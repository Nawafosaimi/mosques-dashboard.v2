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pet-my.sharepoint.com/personal/alosaink_mopm_gov_sa/Documents/Documents/Dashboard.v3/"/>
    </mc:Choice>
  </mc:AlternateContent>
  <xr:revisionPtr revIDLastSave="15" documentId="13_ncr:1_{FCF74755-E9D0-43C0-AD23-572D0E942A5D}" xr6:coauthVersionLast="47" xr6:coauthVersionMax="47" xr10:uidLastSave="{5FD62A00-AD16-4E68-8A88-6E3B907CDD7E}"/>
  <bookViews>
    <workbookView xWindow="-108" yWindow="-108" windowWidth="23256" windowHeight="12456" tabRatio="739" xr2:uid="{00000000-000D-0000-FFFF-FFFF00000000}"/>
  </bookViews>
  <sheets>
    <sheet name="الفترة الصباحية" sheetId="1" r:id="rId1"/>
    <sheet name="الفترة المسائية" sheetId="2" r:id="rId2"/>
    <sheet name="تجاوز بنسبة اكبر من 10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F5" i="1"/>
  <c r="D2" i="3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1"/>
  <c r="F3" i="1"/>
  <c r="F2" i="1"/>
</calcChain>
</file>

<file path=xl/sharedStrings.xml><?xml version="1.0" encoding="utf-8"?>
<sst xmlns="http://schemas.openxmlformats.org/spreadsheetml/2006/main" count="41048" uniqueCount="13126">
  <si>
    <t>اسم المسجد</t>
  </si>
  <si>
    <t>رقم العداد</t>
  </si>
  <si>
    <t>المحافظة</t>
  </si>
  <si>
    <t>مجموع الاستهلاك خلال الفترة (ميجاوات ساعة)</t>
  </si>
  <si>
    <t>الموقع</t>
  </si>
  <si>
    <t>نسبة التجاوز في الفترة الصباحية</t>
  </si>
  <si>
    <t>مسجد الامام تركي بـــنعبدالله .</t>
  </si>
  <si>
    <t>KFM2020560000132</t>
  </si>
  <si>
    <t>الرياض (مقر الامارة)</t>
  </si>
  <si>
    <t>View Map</t>
  </si>
  <si>
    <t>مسجد  الملك عبدالله بن عبدالعزيز ال سعود .</t>
  </si>
  <si>
    <t>KFM2020560002341</t>
  </si>
  <si>
    <t xml:space="preserve">   مسجد جامع سليمان عبدالعزيز الراج .</t>
  </si>
  <si>
    <t>KFM2020560002295</t>
  </si>
  <si>
    <t xml:space="preserve">    مسجد / نجيب بن صلال بن المرشدى .</t>
  </si>
  <si>
    <t>AES2120896609003</t>
  </si>
  <si>
    <t>عفيف</t>
  </si>
  <si>
    <t xml:space="preserve">   مسجدالملك خالدبن عبدالعزيز .</t>
  </si>
  <si>
    <t>KFM2120660272398</t>
  </si>
  <si>
    <t xml:space="preserve">   جامع الامام فيصل بن تركي .</t>
  </si>
  <si>
    <t>KFM2020560001048</t>
  </si>
  <si>
    <t>الزلفي</t>
  </si>
  <si>
    <t xml:space="preserve">   مسجد عمر بن الخطاب .</t>
  </si>
  <si>
    <t>KFM2020660193535</t>
  </si>
  <si>
    <t xml:space="preserve">   مسجد / الحرس الوطني .</t>
  </si>
  <si>
    <t>KFM2120655003281</t>
  </si>
  <si>
    <t xml:space="preserve">   الحرس  الوطني مسجد عثمان بن عفان .</t>
  </si>
  <si>
    <t>KFM2020660193591</t>
  </si>
  <si>
    <t>ﻤﺴﺎﺠﺩﺍﻟﺨـﺭﺝ .</t>
  </si>
  <si>
    <t>SMR2220661004487</t>
  </si>
  <si>
    <t>الخرج</t>
  </si>
  <si>
    <t>جامع الامير طلا ل بن فهد بن محمد .</t>
  </si>
  <si>
    <t>KFM2020660191336</t>
  </si>
  <si>
    <t xml:space="preserve">   جامع الملك فهد بن عبدالعزيز .</t>
  </si>
  <si>
    <t>KFM2120660300949</t>
  </si>
  <si>
    <t>مسجدالشيخ  محمد بن ابراهيم .</t>
  </si>
  <si>
    <t>KFM2020660177136</t>
  </si>
  <si>
    <t xml:space="preserve">   الحرس  الوطني مسجد زيد بن حارثه .</t>
  </si>
  <si>
    <t>KFM2020660175359</t>
  </si>
  <si>
    <t xml:space="preserve">   مسجد وسكن فهد الفهيد .</t>
  </si>
  <si>
    <t>KFM2020660174441</t>
  </si>
  <si>
    <t xml:space="preserve">   مسجد      عبدالله بنرواحه .</t>
  </si>
  <si>
    <t>KFM2020660176451</t>
  </si>
  <si>
    <t>KFM2120660272401</t>
  </si>
  <si>
    <t xml:space="preserve">   الحرس  الوطني مسجد أسيد بن حفير .</t>
  </si>
  <si>
    <t>KFM2120655003238</t>
  </si>
  <si>
    <t>ﻤﺴﺎﺠﺩ .</t>
  </si>
  <si>
    <t>KFM2020660145886</t>
  </si>
  <si>
    <t xml:space="preserve">   مسجد      الشئون    والاوقاف .</t>
  </si>
  <si>
    <t>KFM2020660201442</t>
  </si>
  <si>
    <t xml:space="preserve">  اوقاف الخرج /جامع الملك عبدالعزيز .</t>
  </si>
  <si>
    <t>KFM2120660270821</t>
  </si>
  <si>
    <t xml:space="preserve">   مسجد عبدالله بن مسعود .</t>
  </si>
  <si>
    <t>KFM2020660175298</t>
  </si>
  <si>
    <t>KFM2120660255395</t>
  </si>
  <si>
    <t>الدرعية</t>
  </si>
  <si>
    <t xml:space="preserve">   جامع الاماممحمدبن    عبدالوهاب .</t>
  </si>
  <si>
    <t>KFM2020560001936</t>
  </si>
  <si>
    <t xml:space="preserve">    مسجد/عاصم بن ثابت .</t>
  </si>
  <si>
    <t>KFM2120660260510</t>
  </si>
  <si>
    <t xml:space="preserve">   مسجد/الاميرطلال بن عبدالعزيز .</t>
  </si>
  <si>
    <t>KFM2120660262195</t>
  </si>
  <si>
    <t xml:space="preserve">   مسجد الخضير .</t>
  </si>
  <si>
    <t>KFM2020660195200</t>
  </si>
  <si>
    <t xml:space="preserve">     مسجد الناصر .</t>
  </si>
  <si>
    <t>KFM2020660171416</t>
  </si>
  <si>
    <t xml:space="preserve">         مسجد جامع الناصريه .</t>
  </si>
  <si>
    <t>KFM2120660272469</t>
  </si>
  <si>
    <t>KFM2020660202036</t>
  </si>
  <si>
    <t>KFM2120660255564</t>
  </si>
  <si>
    <t>مسجد والدة  /عبدالله  بن عبدالرحمن .</t>
  </si>
  <si>
    <t>KFM2020660051431</t>
  </si>
  <si>
    <t>KFM2120660264382</t>
  </si>
  <si>
    <t>مساجد .</t>
  </si>
  <si>
    <t>KFM2020660049915</t>
  </si>
  <si>
    <t>المساجد والدعوة والإرشاد - الافلاج .</t>
  </si>
  <si>
    <t>KFM2020660165150</t>
  </si>
  <si>
    <t>الافلاج</t>
  </si>
  <si>
    <t>KFM2020660053662</t>
  </si>
  <si>
    <t xml:space="preserve">   جامع الأمير سلطان بن فهد .</t>
  </si>
  <si>
    <t>KFM2020660195139</t>
  </si>
  <si>
    <t xml:space="preserve">   جامع      الهاجري .</t>
  </si>
  <si>
    <t>KFM2120660282678</t>
  </si>
  <si>
    <t xml:space="preserve">   مسجد محمد عبدالله الملوحى .</t>
  </si>
  <si>
    <t>KFM2020660099570</t>
  </si>
  <si>
    <t xml:space="preserve">   مسجد العواد .</t>
  </si>
  <si>
    <t>KFM2020660193557</t>
  </si>
  <si>
    <t xml:space="preserve">   مسجدالاميرعبدالرحمن عبدالله .</t>
  </si>
  <si>
    <t>KFM2120660272391</t>
  </si>
  <si>
    <t>SMR2220661001721</t>
  </si>
  <si>
    <t xml:space="preserve">   جامع سيد الشهداء .</t>
  </si>
  <si>
    <t>KFM2020660193461</t>
  </si>
  <si>
    <t>KFM2120660256039</t>
  </si>
  <si>
    <t xml:space="preserve">   مسجد      سلمه      ابن الآ كوع .</t>
  </si>
  <si>
    <t>KFM2020660175379</t>
  </si>
  <si>
    <t xml:space="preserve">   الحرس  الوطني  مسجد .</t>
  </si>
  <si>
    <t>KFM2020660178113</t>
  </si>
  <si>
    <t xml:space="preserve">   وزارة     الشون     . .</t>
  </si>
  <si>
    <t>KFM2020660213089</t>
  </si>
  <si>
    <t xml:space="preserve">   مسجد فيصل الثاني .</t>
  </si>
  <si>
    <t>KFM2020660167816</t>
  </si>
  <si>
    <t xml:space="preserve">   جامع الاميرفيصل بن فهد .</t>
  </si>
  <si>
    <t>KFM2020660173351</t>
  </si>
  <si>
    <t>KFM2020660172269</t>
  </si>
  <si>
    <t xml:space="preserve">   مسجد الطويان .</t>
  </si>
  <si>
    <t>KFM2020660169860</t>
  </si>
  <si>
    <t>KFM2020660193364</t>
  </si>
  <si>
    <t xml:space="preserve">   مسجد      جعفر بن   ابي طالب .</t>
  </si>
  <si>
    <t>KFM2020660192967</t>
  </si>
  <si>
    <t>KFM2020660207557</t>
  </si>
  <si>
    <t xml:space="preserve">   جامع الامام محمد بن سعود .</t>
  </si>
  <si>
    <t>KFM2020660172102</t>
  </si>
  <si>
    <t>مسجد جامع  الدخل  المحدود .</t>
  </si>
  <si>
    <t>KFM2020660164488</t>
  </si>
  <si>
    <t xml:space="preserve">      مسجدعبدالله العذل .</t>
  </si>
  <si>
    <t>KFM2020660150363</t>
  </si>
  <si>
    <t xml:space="preserve">   جامع الملك عبدالله بن عبدالعزيز .</t>
  </si>
  <si>
    <t>KFM2020660170239</t>
  </si>
  <si>
    <t xml:space="preserve">   مسجد سليمان الدريبي .</t>
  </si>
  <si>
    <t>KFM2120660257442</t>
  </si>
  <si>
    <t xml:space="preserve">   مسجد  السعود .</t>
  </si>
  <si>
    <t>KFM2120660239379</t>
  </si>
  <si>
    <t>ﻤﺴﺎﺠﺩ ﻭﺤﺩﺓ ﺍﻟﺤﺭﻴﻕ .</t>
  </si>
  <si>
    <t>KFM2120660272838</t>
  </si>
  <si>
    <t xml:space="preserve"> وزارةالشئون الاسلاميةجامع ناصر الطيار .</t>
  </si>
  <si>
    <t>KFM2120660257432</t>
  </si>
  <si>
    <t>مسجد/الامير سعد بن محمد ال  سعود .</t>
  </si>
  <si>
    <t>SMR2320661021344</t>
  </si>
  <si>
    <t>KFM2020660169305</t>
  </si>
  <si>
    <t>KFM2020660052559</t>
  </si>
  <si>
    <t>مدرسة خولة بنت حكيم لتحفيظ القرآن .</t>
  </si>
  <si>
    <t>KFM2120660300550</t>
  </si>
  <si>
    <t>KFM2120660262247</t>
  </si>
  <si>
    <t xml:space="preserve">   مسجد الاميره حصة بنت عبدالعزيز .</t>
  </si>
  <si>
    <t>KFM2020660174485</t>
  </si>
  <si>
    <t xml:space="preserve"> جامع الامير مشعل بن عبدالعزيز ال سعود .</t>
  </si>
  <si>
    <t>KFM2020660200908</t>
  </si>
  <si>
    <t>حوطة بنى تميم</t>
  </si>
  <si>
    <t>SMR2320661024549</t>
  </si>
  <si>
    <t>KFM2020660027400</t>
  </si>
  <si>
    <t xml:space="preserve">   جامع الملز الثانى .</t>
  </si>
  <si>
    <t>KFM2120660283305</t>
  </si>
  <si>
    <t>مسجدالاميره  /هيابنت  عبدالعزيزال  سعود .</t>
  </si>
  <si>
    <t>KFM2020660199060</t>
  </si>
  <si>
    <t xml:space="preserve">   مسجد جامع الخير .</t>
  </si>
  <si>
    <t>KFM2120660249157</t>
  </si>
  <si>
    <t>ﻭﺯﺍﺭﺓﺍﻟﺸﺌﻭﻥ ﺍﻻﺴﻼﻤﻴﺓﻭﺍﻻﻭﻗﺎﻑ .</t>
  </si>
  <si>
    <t>KFM2120660281607</t>
  </si>
  <si>
    <t xml:space="preserve">     مسجدالمقدادحي بدر اسكان الحرس .</t>
  </si>
  <si>
    <t>KFM2020660190118</t>
  </si>
  <si>
    <t xml:space="preserve">   مساجد .</t>
  </si>
  <si>
    <t>KFM2020660143133</t>
  </si>
  <si>
    <t xml:space="preserve">   مسجد مكتب الدعوةوالارشاد والمكتب .</t>
  </si>
  <si>
    <t>KFM2120660303877</t>
  </si>
  <si>
    <t xml:space="preserve">   جامع   العساف .</t>
  </si>
  <si>
    <t>KFM2020660193694</t>
  </si>
  <si>
    <t xml:space="preserve">   مسجد حي الزهره .</t>
  </si>
  <si>
    <t>KFM2020660133313</t>
  </si>
  <si>
    <t xml:space="preserve">   جامع الحمراء .</t>
  </si>
  <si>
    <t>KFM2020660133855</t>
  </si>
  <si>
    <t xml:space="preserve">   مسجد عبدالمحسن سعد سعيد .</t>
  </si>
  <si>
    <t>KFM2120660302341</t>
  </si>
  <si>
    <t>KFM2120660302798</t>
  </si>
  <si>
    <t xml:space="preserve">   مسجد الاسكان رقم 2 .</t>
  </si>
  <si>
    <t>KFM2120660290575</t>
  </si>
  <si>
    <t>SMR2220661002729</t>
  </si>
  <si>
    <t xml:space="preserve">   الحرس  الوطني مسجد مصعب بن عمير .</t>
  </si>
  <si>
    <t>KFM2020660191687</t>
  </si>
  <si>
    <t xml:space="preserve">   مسجد جامع حلة العنوز .</t>
  </si>
  <si>
    <t>KFM2120660301941</t>
  </si>
  <si>
    <t xml:space="preserve">   مسجد حى المروج .</t>
  </si>
  <si>
    <t>KFM2020660173656</t>
  </si>
  <si>
    <t xml:space="preserve"> مسجد زيد بن الحارثة مسجدالجربوع .</t>
  </si>
  <si>
    <t>KFM2020660203418</t>
  </si>
  <si>
    <t xml:space="preserve">   مسجد سموالامير/سلطان بن عبدالعزيز .</t>
  </si>
  <si>
    <t>KFM2020660174142</t>
  </si>
  <si>
    <t xml:space="preserve">   مسجد اشبيليه .</t>
  </si>
  <si>
    <t>KFM2020660040631</t>
  </si>
  <si>
    <t xml:space="preserve">   مسجد شرق حي الملك فيصل .</t>
  </si>
  <si>
    <t>KFM2020660025581</t>
  </si>
  <si>
    <t>KFM2120660260234</t>
  </si>
  <si>
    <t>مسجد/محمدعبدالعزيزالراجحى ومرافقة .</t>
  </si>
  <si>
    <t>KFM2020660051622</t>
  </si>
  <si>
    <t>وزارة الشئون الاسلاميه والاوقاف .</t>
  </si>
  <si>
    <t>KFM2020660212034</t>
  </si>
  <si>
    <t xml:space="preserve">   مسجد      منيرة     . .</t>
  </si>
  <si>
    <t>KFM2020660191224</t>
  </si>
  <si>
    <t xml:space="preserve">   مسجد عبدالله بن عباس .</t>
  </si>
  <si>
    <t>KFM2020660193481</t>
  </si>
  <si>
    <t xml:space="preserve">   مسجدمحمدوعبدالرحمن السعدالبواردي .</t>
  </si>
  <si>
    <t>KFM2020660162287</t>
  </si>
  <si>
    <t>KFM2120660246985</t>
  </si>
  <si>
    <t>KFM2120660249230</t>
  </si>
  <si>
    <t>4  مسجد العريجاء بلك .</t>
  </si>
  <si>
    <t>KFM2020660203439</t>
  </si>
  <si>
    <t>KFM2020660038815</t>
  </si>
  <si>
    <t xml:space="preserve">   مسجد الفاروق .</t>
  </si>
  <si>
    <t>KFM2020660176777</t>
  </si>
  <si>
    <t xml:space="preserve">   مسجدالمجمع السكنى بالملز .</t>
  </si>
  <si>
    <t>KFM2120660299699</t>
  </si>
  <si>
    <t xml:space="preserve">   مسجد سهيل بن عمرو .</t>
  </si>
  <si>
    <t>KFM2120660273470</t>
  </si>
  <si>
    <t xml:space="preserve">   حرس وطني  مسجد      أبي هريره .</t>
  </si>
  <si>
    <t>KFM2020660192116</t>
  </si>
  <si>
    <t xml:space="preserve">   مسجد فهد المقيل .</t>
  </si>
  <si>
    <t>KFM2120660262691</t>
  </si>
  <si>
    <t xml:space="preserve">   مسجد عبدالله العسكر .</t>
  </si>
  <si>
    <t>KFM2020660197146</t>
  </si>
  <si>
    <t xml:space="preserve">   مسجد      حي        الروابي .</t>
  </si>
  <si>
    <t>KFM2020660166602</t>
  </si>
  <si>
    <t xml:space="preserve">   مسجد الامير متعب بن عبدالعزيز .</t>
  </si>
  <si>
    <t>KFM2120660276309</t>
  </si>
  <si>
    <t xml:space="preserve">   مسجد الجامع تمير .</t>
  </si>
  <si>
    <t>KFM2020660195717</t>
  </si>
  <si>
    <t>المجمعة</t>
  </si>
  <si>
    <t xml:space="preserve">   جامع الملك عبدالعزيز .</t>
  </si>
  <si>
    <t>KFM2020660188225</t>
  </si>
  <si>
    <t>KFM2020660209284</t>
  </si>
  <si>
    <t>.     مسجد      الجفال .</t>
  </si>
  <si>
    <t>KFM2020660018905</t>
  </si>
  <si>
    <t xml:space="preserve">   مسجدمحمدصالح اللحيدان .</t>
  </si>
  <si>
    <t>KFM2020660213020</t>
  </si>
  <si>
    <t xml:space="preserve">   مسجد حى المنصورة .</t>
  </si>
  <si>
    <t>KFM2120660299174</t>
  </si>
  <si>
    <t xml:space="preserve">   مسجد حي الربوه غرب الاسواق .</t>
  </si>
  <si>
    <t>KFM2120660268725</t>
  </si>
  <si>
    <t xml:space="preserve">   مسجد الغليقة مع سكن الامام المؤذن .</t>
  </si>
  <si>
    <t>KFM2020660193579</t>
  </si>
  <si>
    <t xml:space="preserve">   مسجدعبدالعزيزالتويجري .</t>
  </si>
  <si>
    <t>KFM2120660257932</t>
  </si>
  <si>
    <t>KFM2020660187652</t>
  </si>
  <si>
    <t xml:space="preserve">   مسجد جنوب الروضه .</t>
  </si>
  <si>
    <t>KFM2020660054544</t>
  </si>
  <si>
    <t>SMR2220661003002</t>
  </si>
  <si>
    <t xml:space="preserve">   جامع      سلطان     السلطان .</t>
  </si>
  <si>
    <t>KFM2020660104863</t>
  </si>
  <si>
    <t>SMR2420661038484</t>
  </si>
  <si>
    <t xml:space="preserve">   مسجدابراهيم السليمبحيالصحافه .</t>
  </si>
  <si>
    <t>KFM2020660207660</t>
  </si>
  <si>
    <t xml:space="preserve">   جامع      ال مطرف   اوقاف الدواس .</t>
  </si>
  <si>
    <t>KFM2020660212686</t>
  </si>
  <si>
    <t>وادى الدواسر</t>
  </si>
  <si>
    <t xml:space="preserve">   مسجد حي الخليج .</t>
  </si>
  <si>
    <t>KFM2020660190969</t>
  </si>
  <si>
    <t xml:space="preserve">   جامع المحارب .</t>
  </si>
  <si>
    <t>KFM2020660209212</t>
  </si>
  <si>
    <t>KFM2020660171292</t>
  </si>
  <si>
    <t>مسجد جامع الملك  عبدالعزيز .</t>
  </si>
  <si>
    <t>KFM2020660051599</t>
  </si>
  <si>
    <t xml:space="preserve">   جامع الأ ميرة العنود .</t>
  </si>
  <si>
    <t>KFM2120660257437</t>
  </si>
  <si>
    <t xml:space="preserve">   جامع الامير سلطان بن عبدالعزيز .</t>
  </si>
  <si>
    <t>KFM2120660286809</t>
  </si>
  <si>
    <t xml:space="preserve">   مسجد الراجحي .</t>
  </si>
  <si>
    <t>KFM2020660172466</t>
  </si>
  <si>
    <t>الدوادمي</t>
  </si>
  <si>
    <t>KFM2020660019980</t>
  </si>
  <si>
    <t xml:space="preserve">   مسجدسليمان سالم .</t>
  </si>
  <si>
    <t>KFM2020660036716</t>
  </si>
  <si>
    <t xml:space="preserve">   مسجد معاذ بن جبل .</t>
  </si>
  <si>
    <t>KFM2120660256844</t>
  </si>
  <si>
    <t xml:space="preserve">   مسجد الشيخ عبدالعزيز بن باز .</t>
  </si>
  <si>
    <t>KFM2020660232954</t>
  </si>
  <si>
    <t xml:space="preserve">   مسجد      عبدالله   سكن .</t>
  </si>
  <si>
    <t>KFM2020660178251</t>
  </si>
  <si>
    <t>KFM2020660174341</t>
  </si>
  <si>
    <t>.   مسجد      الراجحي .</t>
  </si>
  <si>
    <t>KFM2020660191142</t>
  </si>
  <si>
    <t xml:space="preserve">      مسجد التوفيق الجامع .</t>
  </si>
  <si>
    <t>SMR2220661004329</t>
  </si>
  <si>
    <t>الدلم</t>
  </si>
  <si>
    <t xml:space="preserve">   مسجد الامير بندر عبدالعزيزال سعود .</t>
  </si>
  <si>
    <t>KFM2020660043453</t>
  </si>
  <si>
    <t xml:space="preserve">   مسجد عبداللهالحيدان .</t>
  </si>
  <si>
    <t>KFM2020660170786</t>
  </si>
  <si>
    <t xml:space="preserve">   جامع وسكن مترك عايض الجعيد .</t>
  </si>
  <si>
    <t>KFM2020660174503</t>
  </si>
  <si>
    <t xml:space="preserve">   وزارة     الاوقاف و  الدعوه و الار .</t>
  </si>
  <si>
    <t>KFM2020660060525</t>
  </si>
  <si>
    <t>KFM2020660191332</t>
  </si>
  <si>
    <t>KFM2020660013550</t>
  </si>
  <si>
    <t>KFM2020660202794</t>
  </si>
  <si>
    <t>KFM2120660303781</t>
  </si>
  <si>
    <t>KFM2020660171809</t>
  </si>
  <si>
    <t xml:space="preserve">   جامع اشيقر .</t>
  </si>
  <si>
    <t>KFM2020660173745</t>
  </si>
  <si>
    <t>شقراء</t>
  </si>
  <si>
    <t>KFM2020660171378</t>
  </si>
  <si>
    <t>KFM2020660174021</t>
  </si>
  <si>
    <t>ﺃﻭﻗﺎﻑ ﻭﻤﺴﺎﺠﺩ ﺍﻟﻗﻭﻴﻌﻴﻩ .</t>
  </si>
  <si>
    <t>SMR2220661005983</t>
  </si>
  <si>
    <t>القويعية</t>
  </si>
  <si>
    <t xml:space="preserve">   مسجد حي غرناطة الغربي .</t>
  </si>
  <si>
    <t>KFM2020660178142</t>
  </si>
  <si>
    <t xml:space="preserve">      مسجد الهويدى بالدخل المحدود .</t>
  </si>
  <si>
    <t>KFM2020660209367</t>
  </si>
  <si>
    <t>المزاحمية</t>
  </si>
  <si>
    <t>KFM2020660046514</t>
  </si>
  <si>
    <t>مسجد      اسامه      بن زيد .</t>
  </si>
  <si>
    <t>KFM2020660171782</t>
  </si>
  <si>
    <t xml:space="preserve">   مسجد حي الوادي .</t>
  </si>
  <si>
    <t>KFM2020660201105</t>
  </si>
  <si>
    <t>SMR2220661006884</t>
  </si>
  <si>
    <t>مسجد      ناصر      الصفيان .</t>
  </si>
  <si>
    <t>KFM2020660192620</t>
  </si>
  <si>
    <t xml:space="preserve">   مسجد اليرموك .</t>
  </si>
  <si>
    <t>KFM2020660171967</t>
  </si>
  <si>
    <t xml:space="preserve">   مشروع مصلى نساءالحي السكني و.الخ .</t>
  </si>
  <si>
    <t>KFM2020660197043</t>
  </si>
  <si>
    <t>مسجد / طارق  بن زياد .</t>
  </si>
  <si>
    <t>KFM2020660056208</t>
  </si>
  <si>
    <t>مسجد المصمك .</t>
  </si>
  <si>
    <t>KFM2020660044537</t>
  </si>
  <si>
    <t xml:space="preserve">   مسجد      أحمد      الدهش .</t>
  </si>
  <si>
    <t>KFM2020660193681</t>
  </si>
  <si>
    <t xml:space="preserve">   مسجد عبدالله حذافة السهمي .</t>
  </si>
  <si>
    <t>KFM2020660057260</t>
  </si>
  <si>
    <t xml:space="preserve">   مسجد وسكن العصيمي .</t>
  </si>
  <si>
    <t>KFM2020660060654</t>
  </si>
  <si>
    <t xml:space="preserve">   جامع سلمان الفارسي .</t>
  </si>
  <si>
    <t>KFM2020660174270</t>
  </si>
  <si>
    <t>KFM2020660192256</t>
  </si>
  <si>
    <t>KFM2020660207930</t>
  </si>
  <si>
    <t xml:space="preserve">   مسجد الامير/ متعب بن عبدالعزيز .</t>
  </si>
  <si>
    <t>KFM2020660178010</t>
  </si>
  <si>
    <t xml:space="preserve">   جامع عثمان بن عفان .</t>
  </si>
  <si>
    <t>KFM2020660169503</t>
  </si>
  <si>
    <t xml:space="preserve">   مسجد      ذو        النورين .</t>
  </si>
  <si>
    <t>KFM2020660057211</t>
  </si>
  <si>
    <t>KFM2020660191719</t>
  </si>
  <si>
    <t>KFM2020660008262</t>
  </si>
  <si>
    <t xml:space="preserve">   مسجد حي السعاده .</t>
  </si>
  <si>
    <t>KFM2120660305466</t>
  </si>
  <si>
    <t>مشروع  الاميرسلمان/4/ مسجد المجمع .</t>
  </si>
  <si>
    <t>KFM2020660166800</t>
  </si>
  <si>
    <t xml:space="preserve">   مسجد الدويش .</t>
  </si>
  <si>
    <t>KFM2120660248692</t>
  </si>
  <si>
    <t xml:space="preserve">   مسجد/الشيخ صالح عبدالله السدلان .</t>
  </si>
  <si>
    <t>KFM2020660167513</t>
  </si>
  <si>
    <t xml:space="preserve">   مسجد حسين أبوسل .</t>
  </si>
  <si>
    <t>KFM2020660037538</t>
  </si>
  <si>
    <t xml:space="preserve">   مسجد  الا مير خالد بن مساعد .</t>
  </si>
  <si>
    <t>KFM2020660174421</t>
  </si>
  <si>
    <t>SMR2220621001343</t>
  </si>
  <si>
    <t xml:space="preserve">   مسجدالحمد .</t>
  </si>
  <si>
    <t>KFM2020660190933</t>
  </si>
  <si>
    <t xml:space="preserve">   مسجدمحمديوسف المصري .</t>
  </si>
  <si>
    <t>KFM2020660049068</t>
  </si>
  <si>
    <t xml:space="preserve">   مسجد /عبدالله الفرهود .</t>
  </si>
  <si>
    <t>KFM2020660188288</t>
  </si>
  <si>
    <t xml:space="preserve">   مسجد  سعيد بن جبير .</t>
  </si>
  <si>
    <t>KFM2020660207130</t>
  </si>
  <si>
    <t xml:space="preserve">   مسجد حي الملك فيصل .</t>
  </si>
  <si>
    <t>KFM2120660256145</t>
  </si>
  <si>
    <t xml:space="preserve">   مسجدوالدة خالد بن عمر البلطان .</t>
  </si>
  <si>
    <t>KFM2020660197653</t>
  </si>
  <si>
    <t xml:space="preserve">   جامع غرب المستشفى العسكري .</t>
  </si>
  <si>
    <t>KFM2020660227154</t>
  </si>
  <si>
    <t xml:space="preserve">   مسجدحي الفلاح .</t>
  </si>
  <si>
    <t>KFM2120660257336</t>
  </si>
  <si>
    <t>مسجدالعقيلى .</t>
  </si>
  <si>
    <t>KFM2020660201629</t>
  </si>
  <si>
    <t>ﻓﺭﻉ ﺍﻻﻭﻗﺎﻑ ﻭﺍﻟﻤﺴﺎﺠﺩ .</t>
  </si>
  <si>
    <t>KFM2120660284428</t>
  </si>
  <si>
    <t>ثادق</t>
  </si>
  <si>
    <t xml:space="preserve">   مسجدآل حفيظ بالنزهه .</t>
  </si>
  <si>
    <t>KFM2120660260644</t>
  </si>
  <si>
    <t xml:space="preserve">   مسجد سوق الخضار .</t>
  </si>
  <si>
    <t>KFM2020660170805</t>
  </si>
  <si>
    <t xml:space="preserve">   مسجد/     ابراهيم   سعيدان .</t>
  </si>
  <si>
    <t>KFM2020660213507</t>
  </si>
  <si>
    <t xml:space="preserve">   مسجد الامام البخاري .</t>
  </si>
  <si>
    <t>KFM2020660139820</t>
  </si>
  <si>
    <t>KFM2020660042256</t>
  </si>
  <si>
    <t>جامع سماحة المفتي .</t>
  </si>
  <si>
    <t>KFM2020660198294</t>
  </si>
  <si>
    <t xml:space="preserve">   مسجد      عبدالعظيم السكن .</t>
  </si>
  <si>
    <t>KFM2020660232960</t>
  </si>
  <si>
    <t>1638 مسجدبظهره  البديعه  مخطط .</t>
  </si>
  <si>
    <t>KFM2020660044499</t>
  </si>
  <si>
    <t>ﻤﻜﺘﺏ ﺍﻻﻭﻗﺎﻑ ﻭﺍﻟﻤﺴﺎﺠﺩ .</t>
  </si>
  <si>
    <t>SMR2220661006693</t>
  </si>
  <si>
    <t xml:space="preserve">   مسجد محمد لافي الحربي+ سكن +مدرسه .</t>
  </si>
  <si>
    <t>KFM2020660176385</t>
  </si>
  <si>
    <t>KFM2020660189356</t>
  </si>
  <si>
    <t>مسجد .</t>
  </si>
  <si>
    <t>KFM2120660304945</t>
  </si>
  <si>
    <t xml:space="preserve">   مسجد الشيخ سليمان عبدالعزيز .</t>
  </si>
  <si>
    <t>KFM2120660273771</t>
  </si>
  <si>
    <t xml:space="preserve">   مسجد حى الضباط .</t>
  </si>
  <si>
    <t>KFM2120660286028</t>
  </si>
  <si>
    <t xml:space="preserve">   جامع ابوبكرالصديق البويق الرين .</t>
  </si>
  <si>
    <t>KFM2120660264012</t>
  </si>
  <si>
    <t>الرين</t>
  </si>
  <si>
    <t xml:space="preserve">   مسجدالتعاون وسكن الامام والمؤذن .</t>
  </si>
  <si>
    <t>KFM2020660173879</t>
  </si>
  <si>
    <t xml:space="preserve">   مسجدحي النخيل الغربي .</t>
  </si>
  <si>
    <t>KFM2020660019830</t>
  </si>
  <si>
    <t xml:space="preserve">   جامع الاحسان .</t>
  </si>
  <si>
    <t>KFM2020660031113</t>
  </si>
  <si>
    <t>KFM2020660187643</t>
  </si>
  <si>
    <t>KFM2020660211318</t>
  </si>
  <si>
    <t>KFM2020660025744</t>
  </si>
  <si>
    <t xml:space="preserve">   مسجد حي الصحافه ومرافقه .</t>
  </si>
  <si>
    <t>KFM2020660100105</t>
  </si>
  <si>
    <t xml:space="preserve">   مسجد حمزه بن عبدالمطلب .</t>
  </si>
  <si>
    <t>KFM2020660178127</t>
  </si>
  <si>
    <t xml:space="preserve">   جامع الشيخ/سعود تراحيب الديحاني .</t>
  </si>
  <si>
    <t>KFM2020660188300</t>
  </si>
  <si>
    <t xml:space="preserve">   مسجد      الرواف    . .</t>
  </si>
  <si>
    <t>KFM2020660097327</t>
  </si>
  <si>
    <t>ﺍﻟﻤﺴﺎﺠﺩﻭﺍﻟﺩﻋﻭﻩ ﺍﻻﺭﺸﺎﺩ ﺒﺎﻻﻓﻼﺝ .</t>
  </si>
  <si>
    <t>KFM2120660259915</t>
  </si>
  <si>
    <t xml:space="preserve">   وزاره الشؤن الاسلاميه ولاوقاف .</t>
  </si>
  <si>
    <t>KFM2020660224415</t>
  </si>
  <si>
    <t>SMR2320661030289</t>
  </si>
  <si>
    <t>مسجد      خالد      سعود .</t>
  </si>
  <si>
    <t>KFM2020660200373</t>
  </si>
  <si>
    <t xml:space="preserve">   مسجد فهد عبدالله ال حسين .</t>
  </si>
  <si>
    <t>KFM2120660305455</t>
  </si>
  <si>
    <t>KFM2120660246943</t>
  </si>
  <si>
    <t>KFM2020660023300</t>
  </si>
  <si>
    <t xml:space="preserve"> مسجدالجبل  جامع الحقباني .</t>
  </si>
  <si>
    <t>KFM2020660203970</t>
  </si>
  <si>
    <t>KFM2120660262116</t>
  </si>
  <si>
    <t>KFM2020660203983</t>
  </si>
  <si>
    <t xml:space="preserve">  مسجد جمعيه البر الخيريه باالدرعيه .</t>
  </si>
  <si>
    <t>KFM2120660270649</t>
  </si>
  <si>
    <t xml:space="preserve">   مسجد منصور التركي .</t>
  </si>
  <si>
    <t>KFM2020660057166</t>
  </si>
  <si>
    <t xml:space="preserve">   مسجد الجوهره .</t>
  </si>
  <si>
    <t>KFM2020660060077</t>
  </si>
  <si>
    <t>SMR2420661036166</t>
  </si>
  <si>
    <t>ﻤﺴﺎﺠﺩ ﺍﻟﺤﻭﻁﻩ .</t>
  </si>
  <si>
    <t>KFM2020660177752</t>
  </si>
  <si>
    <t xml:space="preserve">   وزاره الشئون الاسلاميه ولاوقاف .</t>
  </si>
  <si>
    <t>KFM2020660035649</t>
  </si>
  <si>
    <t xml:space="preserve">   جامع الامام احمد بن حنبل .</t>
  </si>
  <si>
    <t>KFM2020660175825</t>
  </si>
  <si>
    <t xml:space="preserve">   مسجد      بن        . .</t>
  </si>
  <si>
    <t>KFM2020660209660</t>
  </si>
  <si>
    <t>KFM2020660177688</t>
  </si>
  <si>
    <t>الحريق</t>
  </si>
  <si>
    <t>, مسجد      ناصر عبيد .</t>
  </si>
  <si>
    <t>KFM2020660057815</t>
  </si>
  <si>
    <t>KFM2020660039177</t>
  </si>
  <si>
    <t xml:space="preserve">   مسجد      محمد      عمران .</t>
  </si>
  <si>
    <t>KFM2020660227219</t>
  </si>
  <si>
    <t xml:space="preserve">   جامع وسكن  حمود اللحيدان .</t>
  </si>
  <si>
    <t>KFM2020660176371</t>
  </si>
  <si>
    <t>KFM2020660213001</t>
  </si>
  <si>
    <t xml:space="preserve">   جامع وسكن الشيخ عبدالله ال كليب .</t>
  </si>
  <si>
    <t>KFM2020660144703</t>
  </si>
  <si>
    <t>SMR2320661033900</t>
  </si>
  <si>
    <t xml:space="preserve">   جامع      فهد       الهريش .</t>
  </si>
  <si>
    <t>KFM2020660190244</t>
  </si>
  <si>
    <t>SMR2220621001186</t>
  </si>
  <si>
    <t xml:space="preserve">   مسجد الرميزان .</t>
  </si>
  <si>
    <t>KFM2020660214051</t>
  </si>
  <si>
    <t>ﺃﻭﻗﺎﻑ ﻭﻤﺴﺎﺠﺩ ﺍﻟﻭﺸﻡ .</t>
  </si>
  <si>
    <t>KFM2020660177051</t>
  </si>
  <si>
    <t xml:space="preserve">   مسجد   حى السفارات .</t>
  </si>
  <si>
    <t>KFM2020660188586</t>
  </si>
  <si>
    <t>KFM2020660192940</t>
  </si>
  <si>
    <t>ﺍﻭﻗﺎﻑ ﻭﻤﺴﺎﺠﺩ ﻀﺭﻤﺎء .</t>
  </si>
  <si>
    <t>SMR2220661006664</t>
  </si>
  <si>
    <t>ضرما</t>
  </si>
  <si>
    <t>.    مسجد      السويدي .</t>
  </si>
  <si>
    <t>KFM2020660199450</t>
  </si>
  <si>
    <t xml:space="preserve">   مسجد النور .</t>
  </si>
  <si>
    <t>KFM2020660129880</t>
  </si>
  <si>
    <t xml:space="preserve">   مسجد الشيخ موفق الميدانى .</t>
  </si>
  <si>
    <t>KFM2020660167287</t>
  </si>
  <si>
    <t>مسجد جامع  حله  بن دايل .</t>
  </si>
  <si>
    <t>KFM2020660196868</t>
  </si>
  <si>
    <t>SMR2320661021428</t>
  </si>
  <si>
    <t xml:space="preserve">   مسجد شرق غبيرا-أبوبكرالصديق .</t>
  </si>
  <si>
    <t>KFM2120660299306</t>
  </si>
  <si>
    <t>KFM2020660176771</t>
  </si>
  <si>
    <t>ﺍﺩﺍﺭﻩ ﺍﻻﻭﻗﺎﻑ ﻭﺍﻟﻤﺴﺎﺠﺩ .</t>
  </si>
  <si>
    <t>SMR2220661018602</t>
  </si>
  <si>
    <t xml:space="preserve">   مسجد المفدى .</t>
  </si>
  <si>
    <t>KFM2120660240857</t>
  </si>
  <si>
    <t>KFM2120660255702</t>
  </si>
  <si>
    <t xml:space="preserve">   مسجد وسكن عبدالله المغامس .</t>
  </si>
  <si>
    <t>KFM2020660174893</t>
  </si>
  <si>
    <t>KFM2020660031548</t>
  </si>
  <si>
    <t xml:space="preserve">   مسجد      كتاب      العتيبي .</t>
  </si>
  <si>
    <t>KFM2020660053595</t>
  </si>
  <si>
    <t>مسجد      عبدالعزيز الحمدان .</t>
  </si>
  <si>
    <t>KFM2020660023421</t>
  </si>
  <si>
    <t xml:space="preserve">   جامع/عبدالعزيزبن محمد النصار .</t>
  </si>
  <si>
    <t>KFM2020660187962</t>
  </si>
  <si>
    <t xml:space="preserve">   جامع  هجرة سمحه .</t>
  </si>
  <si>
    <t>KFM2020660211277</t>
  </si>
  <si>
    <t xml:space="preserve">   مسجد الدغيثر .</t>
  </si>
  <si>
    <t>KFM2020660197485</t>
  </si>
  <si>
    <t xml:space="preserve">   مسجد والدة عبدالعزيز بن سليم .</t>
  </si>
  <si>
    <t>KFM2020660135549</t>
  </si>
  <si>
    <t>KFM2020660175744</t>
  </si>
  <si>
    <t xml:space="preserve">   مسجد بن ماضي .</t>
  </si>
  <si>
    <t>KFM2120660276276</t>
  </si>
  <si>
    <t xml:space="preserve">   مسجدالاميرفيصل بن سعدالواقع المرب .</t>
  </si>
  <si>
    <t>KFM2120660257895</t>
  </si>
  <si>
    <t>KFM2020660170236</t>
  </si>
  <si>
    <t>جامع الرميح .</t>
  </si>
  <si>
    <t>KFM2020660098856</t>
  </si>
  <si>
    <t>KFM2020660190339</t>
  </si>
  <si>
    <t xml:space="preserve">   مسجـد مخطط 433 .</t>
  </si>
  <si>
    <t>KFM2020660163311</t>
  </si>
  <si>
    <t>أوقاف ومساجد القويعيه .</t>
  </si>
  <si>
    <t>KFM2020660167711</t>
  </si>
  <si>
    <t xml:space="preserve">   مسجد وسكن الشيخ محمد القاسم .</t>
  </si>
  <si>
    <t>KFM2020660174333</t>
  </si>
  <si>
    <t>KFM2020660195117</t>
  </si>
  <si>
    <t xml:space="preserve">   المدينه الطبيه / مسجد .</t>
  </si>
  <si>
    <t>KFM2020660193672</t>
  </si>
  <si>
    <t>مسجد بن غيث .</t>
  </si>
  <si>
    <t>KFM2020660023260</t>
  </si>
  <si>
    <t xml:space="preserve">   جامع الاميره الجوهره بن مساعدومرا .</t>
  </si>
  <si>
    <t>KFM2020660203256</t>
  </si>
  <si>
    <t xml:space="preserve">   جامع الشيخ محمد بن عبدالوهاب .</t>
  </si>
  <si>
    <t>KFM2020660091272</t>
  </si>
  <si>
    <t xml:space="preserve">   مسجد المقيل .</t>
  </si>
  <si>
    <t>KFM2020660090803</t>
  </si>
  <si>
    <t>KFM2020660212601</t>
  </si>
  <si>
    <t>KFM2020660127563</t>
  </si>
  <si>
    <t>KFM2120660236172</t>
  </si>
  <si>
    <t xml:space="preserve">   مسجد الصديق .</t>
  </si>
  <si>
    <t>KFM2020660129800</t>
  </si>
  <si>
    <t xml:space="preserve">   مسجد حي القدس .</t>
  </si>
  <si>
    <t>KFM2020660056722</t>
  </si>
  <si>
    <t>KFM2020660170640</t>
  </si>
  <si>
    <t xml:space="preserve">   مسجدالسحيم مع سكن الامام والمؤذن .</t>
  </si>
  <si>
    <t>KFM2020660053564</t>
  </si>
  <si>
    <t xml:space="preserve">   اوقاف الدواسر/مسجد جروان قويد .</t>
  </si>
  <si>
    <t>SMR2420661037324</t>
  </si>
  <si>
    <t>KFM2120660262527</t>
  </si>
  <si>
    <t>KFM2020660187873</t>
  </si>
  <si>
    <t xml:space="preserve">   جامع الحسايه بالباطن .</t>
  </si>
  <si>
    <t>KFM2120660292726</t>
  </si>
  <si>
    <t>KFM2120660241089</t>
  </si>
  <si>
    <t>KFM2020660207289</t>
  </si>
  <si>
    <t xml:space="preserve">   مسجد لولوةبنت محمد المالك .</t>
  </si>
  <si>
    <t>KFM2020660191036</t>
  </si>
  <si>
    <t xml:space="preserve">   جامع خادم الحرمين الشريفين/فروسي .</t>
  </si>
  <si>
    <t>KFM2120660279587</t>
  </si>
  <si>
    <t>KFM2020660211309</t>
  </si>
  <si>
    <t>KFM2020660202035</t>
  </si>
  <si>
    <t xml:space="preserve">   مسجد السبيعي متعب الفهاد .</t>
  </si>
  <si>
    <t>KFM2120660276280</t>
  </si>
  <si>
    <t xml:space="preserve">   مسجد سعود بن سمار 5/3145</t>
  </si>
  <si>
    <t>KFM2120660279589</t>
  </si>
  <si>
    <t xml:space="preserve">   اوقاف الخرج / مسجديوسف السالم .</t>
  </si>
  <si>
    <t>KFM2120660245994</t>
  </si>
  <si>
    <t>KFM2020660057597</t>
  </si>
  <si>
    <t xml:space="preserve">   وزارة     الشؤون    مسجد حي عرقه .</t>
  </si>
  <si>
    <t>KFM2020660097359</t>
  </si>
  <si>
    <t xml:space="preserve">   مسجد      حسين      ال الشيخ .</t>
  </si>
  <si>
    <t>KFM2020660012239</t>
  </si>
  <si>
    <t>KFM2020660132821</t>
  </si>
  <si>
    <t>مسجد التركى .</t>
  </si>
  <si>
    <t>KFM2020660034096</t>
  </si>
  <si>
    <t xml:space="preserve">   مسجد العيسى .</t>
  </si>
  <si>
    <t>KFM2020660139776</t>
  </si>
  <si>
    <t>مسجد حي طريق  ديراب .</t>
  </si>
  <si>
    <t>KFM2020660200434</t>
  </si>
  <si>
    <t>مسجد جفرة  الشيوخ .</t>
  </si>
  <si>
    <t>KFM2020660170975</t>
  </si>
  <si>
    <t xml:space="preserve">   اوقاف الخرج/مسجد الامام البخارى .</t>
  </si>
  <si>
    <t>KFM2020660174636</t>
  </si>
  <si>
    <t>SMR2220661001854</t>
  </si>
  <si>
    <t>KFM2120655004082</t>
  </si>
  <si>
    <t xml:space="preserve">   مسجد العواد بحي الربيع .</t>
  </si>
  <si>
    <t>KFM2120660253065</t>
  </si>
  <si>
    <t>KFM2020660174804</t>
  </si>
  <si>
    <t>مسجد حي بدر .</t>
  </si>
  <si>
    <t>KFM2020660202481</t>
  </si>
  <si>
    <t>KFM2020660007883</t>
  </si>
  <si>
    <t>مسجدالغنيم .</t>
  </si>
  <si>
    <t>KFM2020660225630</t>
  </si>
  <si>
    <t>KFM2120660270642</t>
  </si>
  <si>
    <t>KFM2020660197195</t>
  </si>
  <si>
    <t xml:space="preserve">   مسجد      الا وقاف   . .</t>
  </si>
  <si>
    <t>KFM2020660171136</t>
  </si>
  <si>
    <t xml:space="preserve">   مسجد كريم الشمري .</t>
  </si>
  <si>
    <t>KFM2020660012502</t>
  </si>
  <si>
    <t>مسجد حي طويق .</t>
  </si>
  <si>
    <t>KFM2020660173463</t>
  </si>
  <si>
    <t xml:space="preserve">   مسـجـد حى الزهور(الاوقاف) .</t>
  </si>
  <si>
    <t>KFM2020660229241</t>
  </si>
  <si>
    <t>SMR2320661030446</t>
  </si>
  <si>
    <t>مسجد الامير/ محمد بن عبدالعزيز .</t>
  </si>
  <si>
    <t>KFM2020660197081</t>
  </si>
  <si>
    <t xml:space="preserve">      مسجد      التركي .</t>
  </si>
  <si>
    <t>KFM2020660193656</t>
  </si>
  <si>
    <t>KFM2020660187990</t>
  </si>
  <si>
    <t xml:space="preserve">   مسجد عبدالله البشر .</t>
  </si>
  <si>
    <t>KFM2120660254671</t>
  </si>
  <si>
    <t>KFM2020660031360</t>
  </si>
  <si>
    <t>مسجد القحطانى .</t>
  </si>
  <si>
    <t>KFM2020660015391</t>
  </si>
  <si>
    <t>KFM2020660174861</t>
  </si>
  <si>
    <t xml:space="preserve">   مسجدالصانع بحي الصحافة .</t>
  </si>
  <si>
    <t>KFM2120660302243</t>
  </si>
  <si>
    <t>KFM2020660051196</t>
  </si>
  <si>
    <t xml:space="preserve">   مسجد والده السليمي .</t>
  </si>
  <si>
    <t>KFM2020660191845</t>
  </si>
  <si>
    <t xml:space="preserve">   مسجد/طارق بن زياد 6/3435</t>
  </si>
  <si>
    <t>KFM2120660299246</t>
  </si>
  <si>
    <t xml:space="preserve">   مسجد فهد الدهمش .</t>
  </si>
  <si>
    <t>KFM2020660127514</t>
  </si>
  <si>
    <t>KFM2120660271638</t>
  </si>
  <si>
    <t xml:space="preserve">   مسجداحد بحي التعاون .</t>
  </si>
  <si>
    <t>KFM2020660213008</t>
  </si>
  <si>
    <t>KFM2020660007881</t>
  </si>
  <si>
    <t>مسجد عبدالعزيز عبدالله العسكر .</t>
  </si>
  <si>
    <t>SMR2220621001359</t>
  </si>
  <si>
    <t>KFM2020660230142</t>
  </si>
  <si>
    <t>مسجد      الرفيعة .</t>
  </si>
  <si>
    <t>KFM2020660015215</t>
  </si>
  <si>
    <t xml:space="preserve">   مسجد الرحمانيه .</t>
  </si>
  <si>
    <t>KFM2120660265972</t>
  </si>
  <si>
    <t xml:space="preserve">   مسجد طيبه النسيم الشرقي .</t>
  </si>
  <si>
    <t>KFM2020660054560</t>
  </si>
  <si>
    <t xml:space="preserve">   مسجد وسكن امام ومؤذن مسجدالهاجري .</t>
  </si>
  <si>
    <t>KFM2020660187615</t>
  </si>
  <si>
    <t xml:space="preserve">   وزارة الشئون الاسلامية والاوقاف .</t>
  </si>
  <si>
    <t>KFM2020660197492</t>
  </si>
  <si>
    <t>KFM2020660195778</t>
  </si>
  <si>
    <t>جامع ابي  هريره .</t>
  </si>
  <si>
    <t>KFM2020660202669</t>
  </si>
  <si>
    <t>مسجد العريجاء .</t>
  </si>
  <si>
    <t>KFM2020660199000</t>
  </si>
  <si>
    <t>KFM2020660090754</t>
  </si>
  <si>
    <t xml:space="preserve">   مسجد حي اليرموك .</t>
  </si>
  <si>
    <t>KFM2020660175733</t>
  </si>
  <si>
    <t xml:space="preserve">   وزارة الشئون الا سلا مية والا وقاف .</t>
  </si>
  <si>
    <t>KFM2020660127836</t>
  </si>
  <si>
    <t>KFM2020660104259</t>
  </si>
  <si>
    <t xml:space="preserve">   مسجد حي النخيل .</t>
  </si>
  <si>
    <t>KFM2120660258265</t>
  </si>
  <si>
    <t xml:space="preserve">   مسجد ج حى السفارات .</t>
  </si>
  <si>
    <t>KFM2020660225653</t>
  </si>
  <si>
    <t>ﻤﺴﺎﺠﺩ ﺍﻟﺴﻟﻴﻝ .</t>
  </si>
  <si>
    <t>SMR2220661018181</t>
  </si>
  <si>
    <t>السليل</t>
  </si>
  <si>
    <t xml:space="preserve">   مسجد عمر بن سعيد الأنصار .</t>
  </si>
  <si>
    <t>KFM2020660025552</t>
  </si>
  <si>
    <t xml:space="preserve">   مسجد      محمد      القاضي .</t>
  </si>
  <si>
    <t>KFM2020660133790</t>
  </si>
  <si>
    <t xml:space="preserve">   جامع/ راشد صالح الخنين .</t>
  </si>
  <si>
    <t>KFM2020660177832</t>
  </si>
  <si>
    <t>KFM2020660171848</t>
  </si>
  <si>
    <t xml:space="preserve">   مسجد الشرفيه .</t>
  </si>
  <si>
    <t>KFM2020660209243</t>
  </si>
  <si>
    <t>KFM2020660047215</t>
  </si>
  <si>
    <t>جامع      سعود      الزياد .</t>
  </si>
  <si>
    <t>KFM2020660203705</t>
  </si>
  <si>
    <t xml:space="preserve">   اوقاف الدلم / جامع السلمانية .</t>
  </si>
  <si>
    <t>KFM2020660170466</t>
  </si>
  <si>
    <t>ﻓﺭﻉ ﺍﻻﻭﻗﺎﻑ ﺒﺤﻭﻁﻩ ﺴﺩﻴﺭ .</t>
  </si>
  <si>
    <t>KFM2120660270194</t>
  </si>
  <si>
    <t>لمساجدوالدعوه الا رشاد بالا فل .</t>
  </si>
  <si>
    <t>KFM2020660169750</t>
  </si>
  <si>
    <t xml:space="preserve">   جامع الامير/ تركي بن عبدالله ال س .</t>
  </si>
  <si>
    <t>KFM2120660273709</t>
  </si>
  <si>
    <t xml:space="preserve">   مسجدحى الضباط .</t>
  </si>
  <si>
    <t>KFM2020660162708</t>
  </si>
  <si>
    <t>مسجد الهدايه .</t>
  </si>
  <si>
    <t>KFM2020660171001</t>
  </si>
  <si>
    <t xml:space="preserve">   مسجدلولوةعبدالعزيزالمطوع الصحافة .</t>
  </si>
  <si>
    <t>KFM2120660262476</t>
  </si>
  <si>
    <t>KFM2020660193653</t>
  </si>
  <si>
    <t xml:space="preserve">   مسجد/حمد   محمد     بن سعيدان .</t>
  </si>
  <si>
    <t>KFM2020660174120</t>
  </si>
  <si>
    <t xml:space="preserve">   جامع      عرقة      . .</t>
  </si>
  <si>
    <t>KFM2120660270676</t>
  </si>
  <si>
    <t>ﺍﻭﻗﺎﻑ ﻭﻤﺴﺎﺠﺩ ( ) .</t>
  </si>
  <si>
    <t>KFM2120660280283</t>
  </si>
  <si>
    <t>مسجد ولي العهد الامير عبدالله  بن .</t>
  </si>
  <si>
    <t>KFM2020660189329</t>
  </si>
  <si>
    <t xml:space="preserve">   مسجد نورة حرم التويجري .</t>
  </si>
  <si>
    <t>KFM2020660188571</t>
  </si>
  <si>
    <t xml:space="preserve">   مسجد ابراهيم المعمر .</t>
  </si>
  <si>
    <t>KFM2020660175146</t>
  </si>
  <si>
    <t xml:space="preserve">   مسجد الحي السكنى بوزارةالخارجيه .</t>
  </si>
  <si>
    <t>KFM2020660197124</t>
  </si>
  <si>
    <t>KFM2020660205842</t>
  </si>
  <si>
    <t xml:space="preserve">   مسجد      بن عساكر  . .</t>
  </si>
  <si>
    <t>SMR2420661038471</t>
  </si>
  <si>
    <t xml:space="preserve">   مسجد رقم 5 .</t>
  </si>
  <si>
    <t>KFM2120660260336</t>
  </si>
  <si>
    <t xml:space="preserve">   مسجد حطين .</t>
  </si>
  <si>
    <t>KFM2020660193091</t>
  </si>
  <si>
    <t xml:space="preserve">   مكتب اوقافومساجد    مسجد الجوهره .</t>
  </si>
  <si>
    <t>KFM2120660279067</t>
  </si>
  <si>
    <t xml:space="preserve">   جامع الملك فهد بمرات-مخطط1056 .</t>
  </si>
  <si>
    <t>KFM2120660242945</t>
  </si>
  <si>
    <t>مرات</t>
  </si>
  <si>
    <t>هيئة تطوير بوابة الدرعيه .</t>
  </si>
  <si>
    <t>KFM2020660027828</t>
  </si>
  <si>
    <t>KFM2020660190532</t>
  </si>
  <si>
    <t>KFM2020660174330</t>
  </si>
  <si>
    <t xml:space="preserve">   مسجد أبوهريره .</t>
  </si>
  <si>
    <t>KFM2020660056733</t>
  </si>
  <si>
    <t>وزارة الشئون الا سلا مية والااوقاف .</t>
  </si>
  <si>
    <t>KFM2020660051461</t>
  </si>
  <si>
    <t>KFM2020660213007</t>
  </si>
  <si>
    <t>KFM2020660008745</t>
  </si>
  <si>
    <t>KFM2020660212130</t>
  </si>
  <si>
    <t xml:space="preserve">   مسجد شمال سوق الخضار .</t>
  </si>
  <si>
    <t>KFM2020660195199</t>
  </si>
  <si>
    <t>مسجد جامع  بن خثيله .</t>
  </si>
  <si>
    <t>KFM2020660053824</t>
  </si>
  <si>
    <t xml:space="preserve">   مسجد جامع حى الفيحاء .</t>
  </si>
  <si>
    <t>KFM2120660299428</t>
  </si>
  <si>
    <t>ﻭﺯﺍﺭﺓﺍﻻﻭﻗﺎﻑ ـ ﺍﻭﻗﺎﻑ ﺍﻟﺩﻭﺍﺩﻤﻲ .</t>
  </si>
  <si>
    <t>KFM2120660267432</t>
  </si>
  <si>
    <t xml:space="preserve">   مسجد الحميد .</t>
  </si>
  <si>
    <t>KFM2120660295057</t>
  </si>
  <si>
    <t xml:space="preserve">   مسجد  المسلط  نوارة .</t>
  </si>
  <si>
    <t>KFM2020660206782</t>
  </si>
  <si>
    <t>KFM2020660195114</t>
  </si>
  <si>
    <t xml:space="preserve">   جامع عبدالله ابراهيم الهداب .</t>
  </si>
  <si>
    <t>KFM2020660208622</t>
  </si>
  <si>
    <t xml:space="preserve">   مسجد جامع العزيزية .</t>
  </si>
  <si>
    <t>KFM2120660299250</t>
  </si>
  <si>
    <t>جامع منيره التويجري .</t>
  </si>
  <si>
    <t>KFM2020660210009</t>
  </si>
  <si>
    <t>KFM2020660018985</t>
  </si>
  <si>
    <t xml:space="preserve">   جامع الشيخ/فهد بن زرعه .</t>
  </si>
  <si>
    <t>KFM2020660053110</t>
  </si>
  <si>
    <t>KFM2020660051349</t>
  </si>
  <si>
    <t xml:space="preserve">   ادارة     الا وقاف   (المسجدالجام .</t>
  </si>
  <si>
    <t>KFM2120660242986</t>
  </si>
  <si>
    <t xml:space="preserve">   مسجد      الشيخ     جماز .</t>
  </si>
  <si>
    <t>KFM2020660168508</t>
  </si>
  <si>
    <t>حريملاء</t>
  </si>
  <si>
    <t>SMR2220661018797</t>
  </si>
  <si>
    <t xml:space="preserve">   مسجد التوحيد .</t>
  </si>
  <si>
    <t>KFM2120660271569</t>
  </si>
  <si>
    <t xml:space="preserve">   مسجد/سعد سعود المسعدالكرشمي .</t>
  </si>
  <si>
    <t>KFM2020660204281</t>
  </si>
  <si>
    <t xml:space="preserve">    جامع ابويوسف  مع سكن الا مام .</t>
  </si>
  <si>
    <t>KFM2020660176857</t>
  </si>
  <si>
    <t>KFM2120660302040</t>
  </si>
  <si>
    <t>KFM2020660004048</t>
  </si>
  <si>
    <t xml:space="preserve">   مسـجد وزارة الدفاع والطيران .</t>
  </si>
  <si>
    <t>KFM2020660160544</t>
  </si>
  <si>
    <t>مسجد الجراديه .</t>
  </si>
  <si>
    <t>KFM2020660098976</t>
  </si>
  <si>
    <t xml:space="preserve">      مسجد حى الفيصليه .</t>
  </si>
  <si>
    <t>KFM2020660231520</t>
  </si>
  <si>
    <t xml:space="preserve">   مسجد وسكن والدي محمد الدباسي .</t>
  </si>
  <si>
    <t>KFM2020660056943</t>
  </si>
  <si>
    <t xml:space="preserve">   جامع الربع بالربوه .</t>
  </si>
  <si>
    <t>KFM2120660267447</t>
  </si>
  <si>
    <t xml:space="preserve">   مسجد      الجردة بعودةسدير .</t>
  </si>
  <si>
    <t>KFM2020660210582</t>
  </si>
  <si>
    <t xml:space="preserve">      مسجد حى الناصريه الجامع .</t>
  </si>
  <si>
    <t>KFM2020660125098</t>
  </si>
  <si>
    <t xml:space="preserve">   مسجد هيا الحسن ومرافقه بحي الفلاح .</t>
  </si>
  <si>
    <t>KFM2020660213478</t>
  </si>
  <si>
    <t>KFM2020660174896</t>
  </si>
  <si>
    <t xml:space="preserve">   مسجد المحيسن .</t>
  </si>
  <si>
    <t>SMR2220661002104</t>
  </si>
  <si>
    <t xml:space="preserve">   مسجد احمد عبدالقادر .</t>
  </si>
  <si>
    <t>KFM2020660156098</t>
  </si>
  <si>
    <t xml:space="preserve">   مسجد الا   ندلس و سكنوالمؤذن .</t>
  </si>
  <si>
    <t>KFM2020660174463</t>
  </si>
  <si>
    <t xml:space="preserve">   مسجد حي المحمدية .</t>
  </si>
  <si>
    <t>KFM2020660188982</t>
  </si>
  <si>
    <t>مسجدالعريفي /صناعية   الموسى .</t>
  </si>
  <si>
    <t>KFM2020660019453</t>
  </si>
  <si>
    <t xml:space="preserve">   جامع الريس    // مغسلة الأموات .</t>
  </si>
  <si>
    <t>KFM2120660304107</t>
  </si>
  <si>
    <t xml:space="preserve">   مسجدالحميدي الهقشاء .</t>
  </si>
  <si>
    <t>KFM2020660042633</t>
  </si>
  <si>
    <t>KFM2120660299310</t>
  </si>
  <si>
    <t xml:space="preserve">   مسجد      بحي       ا .</t>
  </si>
  <si>
    <t>KFM2120660262240</t>
  </si>
  <si>
    <t xml:space="preserve">   مسجد/نورة بنت صالح الغماس .</t>
  </si>
  <si>
    <t>KFM2020660174201</t>
  </si>
  <si>
    <t xml:space="preserve">   مسجد      حمد       الخريف .</t>
  </si>
  <si>
    <t>KFM2020660139700</t>
  </si>
  <si>
    <t>مسجد المنصوريات .</t>
  </si>
  <si>
    <t>KFM2020660039193</t>
  </si>
  <si>
    <t>KFM2020660193120</t>
  </si>
  <si>
    <t xml:space="preserve">   مسجد      القرني .</t>
  </si>
  <si>
    <t>KFM2020660139721</t>
  </si>
  <si>
    <t xml:space="preserve">   مسجد موءقت .</t>
  </si>
  <si>
    <t>KFM2120660236611</t>
  </si>
  <si>
    <t xml:space="preserve">   مسجد      الشيخ     الراجحى .</t>
  </si>
  <si>
    <t>KFM2020660214067</t>
  </si>
  <si>
    <t xml:space="preserve">   مسجد حي الريان .</t>
  </si>
  <si>
    <t>KFM2020660167835</t>
  </si>
  <si>
    <t>KFM2020660051385</t>
  </si>
  <si>
    <t xml:space="preserve">   مسجد  السليمانيه .</t>
  </si>
  <si>
    <t>SMR2420661038482</t>
  </si>
  <si>
    <t xml:space="preserve">   مسجد الذييب .</t>
  </si>
  <si>
    <t>KFM2120655003328</t>
  </si>
  <si>
    <t>KFM2020660053322</t>
  </si>
  <si>
    <t xml:space="preserve">     اوقاف المزاحميه/جامع حلاة الجله .</t>
  </si>
  <si>
    <t>KFM2020660209326</t>
  </si>
  <si>
    <t xml:space="preserve">   اوقاف القويعية/جامع ابوبكرالصديق .</t>
  </si>
  <si>
    <t>KFM2120660240473</t>
  </si>
  <si>
    <t xml:space="preserve">   مسجد منيره ابراهيم العثيمين .</t>
  </si>
  <si>
    <t>KFM2020660123002</t>
  </si>
  <si>
    <t xml:space="preserve">   مسجد حي الا ندلس .</t>
  </si>
  <si>
    <t>KFM2020660060147</t>
  </si>
  <si>
    <t xml:space="preserve">   مسجدحى الفلاح .</t>
  </si>
  <si>
    <t>KFM2020660206424</t>
  </si>
  <si>
    <t xml:space="preserve">   مسجد عبدالرحمن بن ثنيان العبيكان .</t>
  </si>
  <si>
    <t>KFM2020660197463</t>
  </si>
  <si>
    <t xml:space="preserve">   مسجد/محمد احمد الطهيفي .</t>
  </si>
  <si>
    <t>KFM2120660257281</t>
  </si>
  <si>
    <t xml:space="preserve">    الموسسه العامه للصناعات الحربيه .</t>
  </si>
  <si>
    <t>KFM2120660250471</t>
  </si>
  <si>
    <t>MMF2420601016333</t>
  </si>
  <si>
    <t>جدة</t>
  </si>
  <si>
    <t xml:space="preserve">   مسجد الفصام .</t>
  </si>
  <si>
    <t>KFM2020660025583</t>
  </si>
  <si>
    <t xml:space="preserve">   مسجد  فهد محمد السعيدان .</t>
  </si>
  <si>
    <t>KFM2020660197005</t>
  </si>
  <si>
    <t xml:space="preserve">   مسجد نجر غزاي العتيبي .</t>
  </si>
  <si>
    <t>KFM2020660141907</t>
  </si>
  <si>
    <t>KFM2020660191363</t>
  </si>
  <si>
    <t xml:space="preserve">   مسجد حي بن لادن .</t>
  </si>
  <si>
    <t>KFM2120660247985</t>
  </si>
  <si>
    <t xml:space="preserve">   مسجدابوسفيان .</t>
  </si>
  <si>
    <t>KFM2020660171228</t>
  </si>
  <si>
    <t xml:space="preserve">   مسجدام المؤمنين  خديجه بنت خويلد .</t>
  </si>
  <si>
    <t>KFM2020660056935</t>
  </si>
  <si>
    <t xml:space="preserve">   مسجد السليمانيه .</t>
  </si>
  <si>
    <t>KFM2020660165852</t>
  </si>
  <si>
    <t>KFM2020660053287</t>
  </si>
  <si>
    <t>KFM2020660031434</t>
  </si>
  <si>
    <t xml:space="preserve">      مسجد جامع بنعرفج .</t>
  </si>
  <si>
    <t>KFM2020660165224</t>
  </si>
  <si>
    <t>مسجد زيد بن ثابت .</t>
  </si>
  <si>
    <t>KFM2020660200399</t>
  </si>
  <si>
    <t>KFM2120660299308</t>
  </si>
  <si>
    <t xml:space="preserve">   مسجد العمور .</t>
  </si>
  <si>
    <t>KFM2120660282664</t>
  </si>
  <si>
    <t xml:space="preserve">   مسجد/ سليمان العيسى .</t>
  </si>
  <si>
    <t>KFM2020660190501</t>
  </si>
  <si>
    <t xml:space="preserve">   مسجد وسكن عبدالعزيز التويجرى .</t>
  </si>
  <si>
    <t>KFM2020660161236</t>
  </si>
  <si>
    <t>KFM2020660204211</t>
  </si>
  <si>
    <t xml:space="preserve">   اوقاف  تمير  مسجد الثلاثين .</t>
  </si>
  <si>
    <t>KFM2020660209951</t>
  </si>
  <si>
    <t xml:space="preserve">   مسجدالامير سلطان ابن ال سعود .</t>
  </si>
  <si>
    <t>KFM2120660262259</t>
  </si>
  <si>
    <t xml:space="preserve">   مسجد عبدالله التركى .</t>
  </si>
  <si>
    <t>KFM2020660026482</t>
  </si>
  <si>
    <t xml:space="preserve">   مسجدحي الجزيره .</t>
  </si>
  <si>
    <t>KFM2020660031613</t>
  </si>
  <si>
    <t xml:space="preserve">   مسجد اللحيدان .</t>
  </si>
  <si>
    <t>KFM2020660174498</t>
  </si>
  <si>
    <t xml:space="preserve">   مسجد خالد بن الوليد .</t>
  </si>
  <si>
    <t>KFM2020660193485</t>
  </si>
  <si>
    <t xml:space="preserve">   مسجدوالدة الامير سعد محمدال سعود .</t>
  </si>
  <si>
    <t>KFM2020660052077</t>
  </si>
  <si>
    <t>مسجد /محمد عبدالعزيز بن عياف .</t>
  </si>
  <si>
    <t>KFM2020660043964</t>
  </si>
  <si>
    <t>SMR2420661038927</t>
  </si>
  <si>
    <t xml:space="preserve">      مسجد حى العاليه .</t>
  </si>
  <si>
    <t>KFM2120660300267</t>
  </si>
  <si>
    <t xml:space="preserve">   مسجد الدار البيضاء .</t>
  </si>
  <si>
    <t>KFM2020660162799</t>
  </si>
  <si>
    <t>مسجد الراجحي .</t>
  </si>
  <si>
    <t>KFM2020660191150</t>
  </si>
  <si>
    <t xml:space="preserve">   مسجد بحي الفيحاء .</t>
  </si>
  <si>
    <t>KFM2120660268837</t>
  </si>
  <si>
    <t xml:space="preserve">   مسجدبلال .</t>
  </si>
  <si>
    <t>SMR2420661038941</t>
  </si>
  <si>
    <t xml:space="preserve">   مسجد العبري .</t>
  </si>
  <si>
    <t>KFM2020660145848</t>
  </si>
  <si>
    <t>مسجد      حي        السويدي .</t>
  </si>
  <si>
    <t>KFM2020660051615</t>
  </si>
  <si>
    <t>ﺃﻭﻗﺎﻑ ﻭﻤﺴﺎﺠﺩ ﺭﻤﺎﺡ .</t>
  </si>
  <si>
    <t>KFM2020660199681</t>
  </si>
  <si>
    <t>رماح</t>
  </si>
  <si>
    <t xml:space="preserve">   مسجد أم الحمام .</t>
  </si>
  <si>
    <t>KFM2020660132407</t>
  </si>
  <si>
    <t>KFM2020660202889</t>
  </si>
  <si>
    <t xml:space="preserve">   مسجد سعد بن معاذ .</t>
  </si>
  <si>
    <t>KFM2020660060430</t>
  </si>
  <si>
    <t xml:space="preserve">   مسجد حي العقيق .</t>
  </si>
  <si>
    <t>KFM2120660302037</t>
  </si>
  <si>
    <t xml:space="preserve">   مسجد       حلة        3/ .</t>
  </si>
  <si>
    <t>KFM2120660272949</t>
  </si>
  <si>
    <t xml:space="preserve">   مسجد منيرة عبدالله المزروع .</t>
  </si>
  <si>
    <t>KFM2020660049887</t>
  </si>
  <si>
    <t xml:space="preserve">   مسجد حى النزهــه .</t>
  </si>
  <si>
    <t>KFM2020660209287</t>
  </si>
  <si>
    <t xml:space="preserve">   مسجد الشيخ عبدالله البليهد .</t>
  </si>
  <si>
    <t>KFM2020660169927</t>
  </si>
  <si>
    <t xml:space="preserve">   مسجدسليمانعبدالله الحماد .</t>
  </si>
  <si>
    <t>KFM2020660192182</t>
  </si>
  <si>
    <t xml:space="preserve">   اوقاف الزلفي مسجد علي الطيار .</t>
  </si>
  <si>
    <t>KFM2020660134426</t>
  </si>
  <si>
    <t xml:space="preserve">   مسجد حى النزهه .</t>
  </si>
  <si>
    <t>KFM2020660173087</t>
  </si>
  <si>
    <t>KFM2020660051567</t>
  </si>
  <si>
    <t xml:space="preserve">   مسجد حى الفيصليه رقم(8) .</t>
  </si>
  <si>
    <t>KFM2020660230761</t>
  </si>
  <si>
    <t>وزارة الشئون الاسلامية والاوقاف .</t>
  </si>
  <si>
    <t>KFM2020660193065</t>
  </si>
  <si>
    <t xml:space="preserve">   مسجدالجامع بالمخطط الجديد .</t>
  </si>
  <si>
    <t>KFM2120660273515</t>
  </si>
  <si>
    <t>KFM2020660202060</t>
  </si>
  <si>
    <t>KFM2020660191653</t>
  </si>
  <si>
    <t>KFM2020660026981</t>
  </si>
  <si>
    <t xml:space="preserve">    مسجد البواردي .</t>
  </si>
  <si>
    <t>KFM2020660202827</t>
  </si>
  <si>
    <t>KFM2120660237182</t>
  </si>
  <si>
    <t xml:space="preserve">   مسجد الربوة .</t>
  </si>
  <si>
    <t>KFM2020660204407</t>
  </si>
  <si>
    <t xml:space="preserve">   مسجد/ تميم الداري .</t>
  </si>
  <si>
    <t>KFM2120660249793</t>
  </si>
  <si>
    <t>مسجد سعد الكريديسى .</t>
  </si>
  <si>
    <t>KFM2020660051474</t>
  </si>
  <si>
    <t xml:space="preserve">      مسجد الجامع بالرفيعه .</t>
  </si>
  <si>
    <t>KFM2020660200846</t>
  </si>
  <si>
    <t xml:space="preserve">   مسجد / عبدالعزيز اليمني .</t>
  </si>
  <si>
    <t>KFM2120660245967</t>
  </si>
  <si>
    <t xml:space="preserve">   مسجد      فرعة      بالحصاة .</t>
  </si>
  <si>
    <t>KFM2120660301699</t>
  </si>
  <si>
    <t xml:space="preserve">   مسسجد خالد بن الوليد .</t>
  </si>
  <si>
    <t>KFM2120660260567</t>
  </si>
  <si>
    <t xml:space="preserve">   مسجد علي بن أبي طالب .</t>
  </si>
  <si>
    <t>KFM2020660190914</t>
  </si>
  <si>
    <t xml:space="preserve">   مسجد حي النور .</t>
  </si>
  <si>
    <t>KFM2120660299666</t>
  </si>
  <si>
    <t>مسجد جامع  بن تركى .</t>
  </si>
  <si>
    <t>KFM2020660035609</t>
  </si>
  <si>
    <t xml:space="preserve">   مسجد الهزاع .</t>
  </si>
  <si>
    <t>KFM2020660175706</t>
  </si>
  <si>
    <t>KFM2020660195214</t>
  </si>
  <si>
    <t xml:space="preserve">   مسجد محمدبن زيد ين سعد الجويعد .</t>
  </si>
  <si>
    <t>KFM2020660162803</t>
  </si>
  <si>
    <t xml:space="preserve">   مسجد محمد المرزوق .</t>
  </si>
  <si>
    <t>KFM2120660287437</t>
  </si>
  <si>
    <t xml:space="preserve">   مسجدالبصير .</t>
  </si>
  <si>
    <t>KFM2120660305399</t>
  </si>
  <si>
    <t xml:space="preserve">   مدرسة حبيبه بنت جحش بحى الاسكان .</t>
  </si>
  <si>
    <t>KFM2020660162807</t>
  </si>
  <si>
    <t xml:space="preserve">      مسجد آل حشان .</t>
  </si>
  <si>
    <t>KFM2020660177741</t>
  </si>
  <si>
    <t xml:space="preserve">         مسجد    حي     الغدير .</t>
  </si>
  <si>
    <t>KFM2120660240848</t>
  </si>
  <si>
    <t xml:space="preserve">   مسجد      الاميره    بنت عبدالله .</t>
  </si>
  <si>
    <t>KFM2120660265990</t>
  </si>
  <si>
    <t>KFM2020660053113</t>
  </si>
  <si>
    <t xml:space="preserve">   مسجد مؤقت      / .</t>
  </si>
  <si>
    <t>SMR2220661000711</t>
  </si>
  <si>
    <t>مسجد الشفاء .</t>
  </si>
  <si>
    <t>KFM2020660087445</t>
  </si>
  <si>
    <t>KFM2020660046513</t>
  </si>
  <si>
    <t>.    مسجد      الخرجي .</t>
  </si>
  <si>
    <t>KFM2020660054991</t>
  </si>
  <si>
    <t>مساجد الخماسين .</t>
  </si>
  <si>
    <t>SMR2220661004671</t>
  </si>
  <si>
    <t>KFM2020660036398</t>
  </si>
  <si>
    <t>SMR2420661038839</t>
  </si>
  <si>
    <t xml:space="preserve">   مسجد جامع الذياب .</t>
  </si>
  <si>
    <t>KFM2120660274158</t>
  </si>
  <si>
    <t>مسجد      عبدالله    بن عمار .</t>
  </si>
  <si>
    <t>KFM2020660057777</t>
  </si>
  <si>
    <t xml:space="preserve">   مسجدالشيخ عبدالرحمن علي الجريسي .</t>
  </si>
  <si>
    <t>KFM2020660104165</t>
  </si>
  <si>
    <t xml:space="preserve">   مسجد حي الرمال .</t>
  </si>
  <si>
    <t>KFM2020660190150</t>
  </si>
  <si>
    <t xml:space="preserve">   مسجد      عثمان     عفان .</t>
  </si>
  <si>
    <t>KFM2020660209522</t>
  </si>
  <si>
    <t xml:space="preserve">   مسجد وسكن الامام والمؤذن وخدمات .</t>
  </si>
  <si>
    <t>KFM2120660271679</t>
  </si>
  <si>
    <t>KFM2120660272078</t>
  </si>
  <si>
    <t xml:space="preserve">    اوقاف الرين / جامع القزعان .</t>
  </si>
  <si>
    <t>KFM2020660196822</t>
  </si>
  <si>
    <t>KFM2120660263435</t>
  </si>
  <si>
    <t xml:space="preserve">   مسجد   محمد مبارك الفرج .</t>
  </si>
  <si>
    <t>KFM2020660230856</t>
  </si>
  <si>
    <t xml:space="preserve">   وزارةالشؤن الاسلاميه مسجدالنخيل غ .</t>
  </si>
  <si>
    <t>KFM2020660197521</t>
  </si>
  <si>
    <t>KFM2020660046428</t>
  </si>
  <si>
    <t xml:space="preserve">  مسجد وزارة الشئون الاسلاميه والاوقاف .</t>
  </si>
  <si>
    <t>KFM2120660299280</t>
  </si>
  <si>
    <t xml:space="preserve">   مسجد حي الروابي .</t>
  </si>
  <si>
    <t>KFM2020660193640</t>
  </si>
  <si>
    <t xml:space="preserve">   مسجد فراج .</t>
  </si>
  <si>
    <t>KFM2020660053513</t>
  </si>
  <si>
    <t xml:space="preserve">   جامع فالح عبدالرحمن الحارثي .</t>
  </si>
  <si>
    <t>KFM2120660239068</t>
  </si>
  <si>
    <t>KFM2020660187656</t>
  </si>
  <si>
    <t xml:space="preserve">   مسجد وسكن عبدالمحسن المهيدب .</t>
  </si>
  <si>
    <t>KFM2020660053319</t>
  </si>
  <si>
    <t xml:space="preserve">   مسجد حي العزيزية .</t>
  </si>
  <si>
    <t>KFM2120660256931</t>
  </si>
  <si>
    <t>KFM2020660057094</t>
  </si>
  <si>
    <t>ﻤﻜﺘﺏ ﺍﻭﻗﺎﻑ ﺍﻟﻤﺠﻤﻌﻩ (ﺍﻟﻤﺴﺎﺠﺩ) .</t>
  </si>
  <si>
    <t>KFM2120655001336</t>
  </si>
  <si>
    <t>KFM2020660026524</t>
  </si>
  <si>
    <t xml:space="preserve">   مسجد جامع السلي .</t>
  </si>
  <si>
    <t>KFM2120660236572</t>
  </si>
  <si>
    <t>مسجد      جامع      شبرا .</t>
  </si>
  <si>
    <t>KFM2020660049448</t>
  </si>
  <si>
    <t>مسجد ظهره  النميلات .</t>
  </si>
  <si>
    <t>KFM2020660022966</t>
  </si>
  <si>
    <t>KFM2020660201953</t>
  </si>
  <si>
    <t xml:space="preserve">   مسجد سليمان محمد الجوير .</t>
  </si>
  <si>
    <t>KFM2020660195505</t>
  </si>
  <si>
    <t>KFM2020660012634</t>
  </si>
  <si>
    <t xml:space="preserve">   مسجد الفضيلي .</t>
  </si>
  <si>
    <t>KFM2020660124984</t>
  </si>
  <si>
    <t>مسجد السويدي .</t>
  </si>
  <si>
    <t>KFM2020660051670</t>
  </si>
  <si>
    <t>KFM2120660240911</t>
  </si>
  <si>
    <t>جامع      فاطمه      الحمدان .</t>
  </si>
  <si>
    <t>KFM2020660191112</t>
  </si>
  <si>
    <t xml:space="preserve">   جامع حي المروج .</t>
  </si>
  <si>
    <t>KFM2020660213557</t>
  </si>
  <si>
    <t xml:space="preserve">   اوقاف المزاحميه/جامع سلطانه .</t>
  </si>
  <si>
    <t>KFM2020660200302</t>
  </si>
  <si>
    <t>KFM2020660160575</t>
  </si>
  <si>
    <t xml:space="preserve">   مسجدموسى عبدالرحمن ال اسماعيل .</t>
  </si>
  <si>
    <t>KFM2020660130020</t>
  </si>
  <si>
    <t>KFM2020660195086</t>
  </si>
  <si>
    <t>KFM2020660056079</t>
  </si>
  <si>
    <t xml:space="preserve">   جامع السحيباني .</t>
  </si>
  <si>
    <t>KFM2120660301608</t>
  </si>
  <si>
    <t>SMR2420661035947</t>
  </si>
  <si>
    <t xml:space="preserve">     مسجد  بندر  بن عميره .</t>
  </si>
  <si>
    <t>KFM2020660061593</t>
  </si>
  <si>
    <t xml:space="preserve">   جامع الامير سلمان بن عبدالعزيز .</t>
  </si>
  <si>
    <t>KFM2120660295311</t>
  </si>
  <si>
    <t xml:space="preserve">   مسجدحي التعاونومرافقه .</t>
  </si>
  <si>
    <t>KFM2020660160587</t>
  </si>
  <si>
    <t>KFM2020660212769</t>
  </si>
  <si>
    <t xml:space="preserve">   مسجد حي السلام الشرقي .</t>
  </si>
  <si>
    <t>KFM2020660145825</t>
  </si>
  <si>
    <t xml:space="preserve">   مسجد الشلفان .</t>
  </si>
  <si>
    <t>KFM2020660193119</t>
  </si>
  <si>
    <t>KFM2020660013485</t>
  </si>
  <si>
    <t xml:space="preserve">   مسجد المشعليه .</t>
  </si>
  <si>
    <t>KFM2020660193556</t>
  </si>
  <si>
    <t>KFM2120660262696</t>
  </si>
  <si>
    <t>KFM2020660191937</t>
  </si>
  <si>
    <t>KFM2020660174865</t>
  </si>
  <si>
    <t xml:space="preserve">   جامع ودارتحفيظ و مغسلة القدس .</t>
  </si>
  <si>
    <t>KFM2020660188263</t>
  </si>
  <si>
    <t xml:space="preserve">   مسجدالسلي حي الجزيره .</t>
  </si>
  <si>
    <t>KFM2120660271546</t>
  </si>
  <si>
    <t>مسجد الاميرة  سارة بنت  عبدالله  الفي .</t>
  </si>
  <si>
    <t>KFM2020660203979</t>
  </si>
  <si>
    <t xml:space="preserve">   مسجدرشيد بن جبر .</t>
  </si>
  <si>
    <t>KFM2020660187773</t>
  </si>
  <si>
    <t xml:space="preserve">   مسجد الا مير سلطان بن عبد العزيز0 .</t>
  </si>
  <si>
    <t>KFM2020660192378</t>
  </si>
  <si>
    <t>KFM2120660281568</t>
  </si>
  <si>
    <t>جامع المعارض .</t>
  </si>
  <si>
    <t>KFM2020660200474</t>
  </si>
  <si>
    <t xml:space="preserve">   مسجد الزبير بن العوام .</t>
  </si>
  <si>
    <t>KFM2020660162184</t>
  </si>
  <si>
    <t xml:space="preserve">   مسجد السلامه بحى الصحافه .</t>
  </si>
  <si>
    <t>KFM2020660104266</t>
  </si>
  <si>
    <t>KFM2020660191652</t>
  </si>
  <si>
    <t>SMR2220661007090</t>
  </si>
  <si>
    <t xml:space="preserve">   مسجد عبدالله ولوالديه .</t>
  </si>
  <si>
    <t>KFM2020660060675</t>
  </si>
  <si>
    <t>SMR2220661006794</t>
  </si>
  <si>
    <t xml:space="preserve">   اوقاف المزاحميه/جامع حزام بن عمر .</t>
  </si>
  <si>
    <t>KFM2020660177266</t>
  </si>
  <si>
    <t xml:space="preserve">    مسجد  ال سعيدان .</t>
  </si>
  <si>
    <t>KFM2120660256805</t>
  </si>
  <si>
    <t xml:space="preserve">   مسجد التقوى .</t>
  </si>
  <si>
    <t>KFM2120660251608</t>
  </si>
  <si>
    <t>KFM2120660257404</t>
  </si>
  <si>
    <t xml:space="preserve">   مسجد هياء راشد الحسين .</t>
  </si>
  <si>
    <t>KFM2020660191584</t>
  </si>
  <si>
    <t>SMR2420661038802</t>
  </si>
  <si>
    <t xml:space="preserve">   مسجد العجيان .</t>
  </si>
  <si>
    <t>KFM2120660256714</t>
  </si>
  <si>
    <t xml:space="preserve">   جامع      جلالة      بسنام .</t>
  </si>
  <si>
    <t>KFM2020660199297</t>
  </si>
  <si>
    <t>KFM2020660198530</t>
  </si>
  <si>
    <t xml:space="preserve">   جامع الايمان .</t>
  </si>
  <si>
    <t>KFM2020660204405</t>
  </si>
  <si>
    <t xml:space="preserve">   مسجدعلي بن علي .</t>
  </si>
  <si>
    <t>KFM2020660150021</t>
  </si>
  <si>
    <t xml:space="preserve">   مسجد الا ندلس .</t>
  </si>
  <si>
    <t>KFM2020660193654</t>
  </si>
  <si>
    <t>KFM2020660170792</t>
  </si>
  <si>
    <t>KFM2120660304637</t>
  </si>
  <si>
    <t xml:space="preserve">   اوقاف الدواسر/ جامع الولامين .</t>
  </si>
  <si>
    <t>KFM2020660206127</t>
  </si>
  <si>
    <t>KFM2120660254489</t>
  </si>
  <si>
    <t xml:space="preserve">      مسجد جامع حى الرفاع .</t>
  </si>
  <si>
    <t>KFM2020660207897</t>
  </si>
  <si>
    <t xml:space="preserve">   مسجد الناصر .</t>
  </si>
  <si>
    <t>KFM2020660044941</t>
  </si>
  <si>
    <t>SMR2220661007268</t>
  </si>
  <si>
    <t xml:space="preserve">   جامع      التقوى    الروضه .</t>
  </si>
  <si>
    <t>KFM2020660057006</t>
  </si>
  <si>
    <t xml:space="preserve">   مسجد عبدالعزيز عبدالله الموسى .</t>
  </si>
  <si>
    <t>KFM2020660173925</t>
  </si>
  <si>
    <t xml:space="preserve">      مسجد حله السعوديه5/ .</t>
  </si>
  <si>
    <t>KFM2020660208012</t>
  </si>
  <si>
    <t>جامع خادم الحرمين الشريفين بالغاط .</t>
  </si>
  <si>
    <t>KFM2120660273867</t>
  </si>
  <si>
    <t>الغاط</t>
  </si>
  <si>
    <t xml:space="preserve">   مسجداليمامة .</t>
  </si>
  <si>
    <t>KFM2020660193542</t>
  </si>
  <si>
    <t>KFM2020660043885</t>
  </si>
  <si>
    <t xml:space="preserve">   مسجد حي المروج .</t>
  </si>
  <si>
    <t>KFM2020660213538</t>
  </si>
  <si>
    <t xml:space="preserve">   مسجد الوهيبي .</t>
  </si>
  <si>
    <t>KFM2020660202886</t>
  </si>
  <si>
    <t xml:space="preserve">   مسجد      لطيفه     ال الشيخ .</t>
  </si>
  <si>
    <t>KFM2020660190936</t>
  </si>
  <si>
    <t xml:space="preserve">   جامع الأمير بندر بن محمد .</t>
  </si>
  <si>
    <t>KFM2020660150049</t>
  </si>
  <si>
    <t xml:space="preserve">   جامع فهد العويضة .</t>
  </si>
  <si>
    <t>KFM2120660300169</t>
  </si>
  <si>
    <t>0   مسجد      بن مقرن .</t>
  </si>
  <si>
    <t>KFM2020660203665</t>
  </si>
  <si>
    <t xml:space="preserve">   مسجدعدي بن حاتم والسكن الخاص .</t>
  </si>
  <si>
    <t>KFM2120660264210</t>
  </si>
  <si>
    <t xml:space="preserve">   مسجدام الحمام الغربيه .</t>
  </si>
  <si>
    <t>KFM2020660188561</t>
  </si>
  <si>
    <t xml:space="preserve">   مسجدالأ ميربدر بن عبدالعزيز .</t>
  </si>
  <si>
    <t>KFM2120660280915</t>
  </si>
  <si>
    <t>KFM2120660241035</t>
  </si>
  <si>
    <t xml:space="preserve">   مسجد اسواق طيبه .</t>
  </si>
  <si>
    <t>KFM2020660209167</t>
  </si>
  <si>
    <t xml:space="preserve">           جامع البصير .</t>
  </si>
  <si>
    <t>KFM2020660161238</t>
  </si>
  <si>
    <t>ﺍﻟﻬﻴﺌﺓﺍﻟﻌﻟﻴﺎﻟﺘﻁﻭﻴﺭﻤﺩﻴﻨﺓﺍﻟﺭﻴﺎﺽ .</t>
  </si>
  <si>
    <t>KFM2120660301998</t>
  </si>
  <si>
    <t xml:space="preserve">    مسجدبحي لبن وزارةالشؤون الاسلامية .</t>
  </si>
  <si>
    <t>KFM2020660197669</t>
  </si>
  <si>
    <t>وقاف ومساجد الامزاحميه .</t>
  </si>
  <si>
    <t>KFM2020660228266</t>
  </si>
  <si>
    <t>KFM2020660202496</t>
  </si>
  <si>
    <t>KFM2020660196745</t>
  </si>
  <si>
    <t>SMR2220621001086</t>
  </si>
  <si>
    <t>مسجد النمر / الشفا .</t>
  </si>
  <si>
    <t>KFM2020660057837</t>
  </si>
  <si>
    <t xml:space="preserve">   مسجد      حمزه  بن  عبدالمطلب .</t>
  </si>
  <si>
    <t>KFM2020660193613</t>
  </si>
  <si>
    <t xml:space="preserve">   وزارة الشئون الاسلاميةومسجد وسكن .</t>
  </si>
  <si>
    <t>KFM2020660013515</t>
  </si>
  <si>
    <t>مسجد الجوير .</t>
  </si>
  <si>
    <t>KFM2120660236389</t>
  </si>
  <si>
    <t xml:space="preserve">   مسجد/محمد باعبدالله .</t>
  </si>
  <si>
    <t>KFM2020660169853</t>
  </si>
  <si>
    <t xml:space="preserve">   مسجد الأمير عبدالله بن عبدالعزيز .</t>
  </si>
  <si>
    <t>KFM2020660132573</t>
  </si>
  <si>
    <t xml:space="preserve">      جامع سوق  طحى .</t>
  </si>
  <si>
    <t>SMR2220661011880</t>
  </si>
  <si>
    <t xml:space="preserve">   مسجد المغرازات .</t>
  </si>
  <si>
    <t>KFM2020660170821</t>
  </si>
  <si>
    <t xml:space="preserve">    جامع الأميرة سارة بنت تركي .</t>
  </si>
  <si>
    <t>KFM2120660246244</t>
  </si>
  <si>
    <t>KFM2020660091185</t>
  </si>
  <si>
    <t xml:space="preserve">   مسجد      محمد      الموسى .</t>
  </si>
  <si>
    <t>KFM2020660198005</t>
  </si>
  <si>
    <t>مسجد بن سعيد .</t>
  </si>
  <si>
    <t>KFM2020660056025</t>
  </si>
  <si>
    <t>KFM2020660167837</t>
  </si>
  <si>
    <t>مسجد الامير متعب بن عبدالله آل سعود .</t>
  </si>
  <si>
    <t>KFM2120660300106</t>
  </si>
  <si>
    <t xml:space="preserve">   مسجد جامع الملك عبدالعزيز .</t>
  </si>
  <si>
    <t>KFM2020660188675</t>
  </si>
  <si>
    <t>KFM2020660193634</t>
  </si>
  <si>
    <t>KFM2020660150131</t>
  </si>
  <si>
    <t>KFM2120660302656</t>
  </si>
  <si>
    <t>KFM2020660154705</t>
  </si>
  <si>
    <t>جامع الشيخ ابراهيم العجلا ن .</t>
  </si>
  <si>
    <t>KFM2020660187693</t>
  </si>
  <si>
    <t>KFM2020660170634</t>
  </si>
  <si>
    <t xml:space="preserve">   مسجد/ عبدالرحمن سعد المشوح .</t>
  </si>
  <si>
    <t>KFM2020660129415</t>
  </si>
  <si>
    <t xml:space="preserve">   مسجد      ابراهيم    السالم .</t>
  </si>
  <si>
    <t>KFM2020660090788</t>
  </si>
  <si>
    <t xml:space="preserve">   جامع الا وبيرق الجديد .</t>
  </si>
  <si>
    <t>KFM2020660200039</t>
  </si>
  <si>
    <t xml:space="preserve">   مسجد      عواض      //////////// .</t>
  </si>
  <si>
    <t>KFM2020660225211</t>
  </si>
  <si>
    <t>KFM2020660104917</t>
  </si>
  <si>
    <t xml:space="preserve">   مسجد فهد علي الجميعة .</t>
  </si>
  <si>
    <t>KFM2020660049679</t>
  </si>
  <si>
    <t>KFM2120660256969</t>
  </si>
  <si>
    <t xml:space="preserve">   وزاره الشؤن الاسلاميه والاوقاف .</t>
  </si>
  <si>
    <t>KFM2020660031225</t>
  </si>
  <si>
    <t xml:space="preserve">   مسجد علي الفهد الهزاع .</t>
  </si>
  <si>
    <t>KFM2020660191774</t>
  </si>
  <si>
    <t>KFM2020660052218</t>
  </si>
  <si>
    <t xml:space="preserve">   مسجد الحىرقم 8 المطار .</t>
  </si>
  <si>
    <t>KFM2020660201591</t>
  </si>
  <si>
    <t xml:space="preserve">   مسجد الرومي .</t>
  </si>
  <si>
    <t>KFM2020660191030</t>
  </si>
  <si>
    <t xml:space="preserve">   مسجد حي الورود .</t>
  </si>
  <si>
    <t>KFM2020660206470</t>
  </si>
  <si>
    <t xml:space="preserve"> وزارةالشؤن الاسلامية والاوقاف مسجدخالد .</t>
  </si>
  <si>
    <t>KFM2120660254665</t>
  </si>
  <si>
    <t>مسجد جامع  الجراديه .</t>
  </si>
  <si>
    <t>KFM2020660198392</t>
  </si>
  <si>
    <t xml:space="preserve">   مسجد  ناصر العريفي .</t>
  </si>
  <si>
    <t>KFM2020660046574</t>
  </si>
  <si>
    <t>KFM2020660008750</t>
  </si>
  <si>
    <t xml:space="preserve">   الجامع الكبير بساجر .</t>
  </si>
  <si>
    <t>KFM2020660126677</t>
  </si>
  <si>
    <t xml:space="preserve">   مسجدالشيخ الشقحاء .</t>
  </si>
  <si>
    <t>KFM2020660208624</t>
  </si>
  <si>
    <t xml:space="preserve">   مسجد أبوبكر .</t>
  </si>
  <si>
    <t>KFM2020660057025</t>
  </si>
  <si>
    <t xml:space="preserve">   مسجد الريان .</t>
  </si>
  <si>
    <t>KFM2020660178121</t>
  </si>
  <si>
    <t xml:space="preserve">   وزارةالشئون الاسلاميه بناء مسجد .</t>
  </si>
  <si>
    <t>KFM2120660264183</t>
  </si>
  <si>
    <t>KFM2020660172464</t>
  </si>
  <si>
    <t>مسجد وزاره  الاعلام .</t>
  </si>
  <si>
    <t>KFM2020660014135</t>
  </si>
  <si>
    <t>الجامع الكبير بالمجمعة .</t>
  </si>
  <si>
    <t>KFM2020660225265</t>
  </si>
  <si>
    <t xml:space="preserve">      مسجد جعفر بن أبي طالب .</t>
  </si>
  <si>
    <t>KFM2020660233254</t>
  </si>
  <si>
    <t>وقاف ومساجد ضرماء .</t>
  </si>
  <si>
    <t>KFM2120660280840</t>
  </si>
  <si>
    <t xml:space="preserve">   وزارة الشئون الاسلاميه والاوقاف .</t>
  </si>
  <si>
    <t>KFM2020660213986</t>
  </si>
  <si>
    <t xml:space="preserve">   مسجد بلال بن رباح .</t>
  </si>
  <si>
    <t>KFM2120660247448</t>
  </si>
  <si>
    <t>SMR2220621002032</t>
  </si>
  <si>
    <t xml:space="preserve">   مسجد المصيريعى 5/2777</t>
  </si>
  <si>
    <t>KFM2120660301611</t>
  </si>
  <si>
    <t xml:space="preserve">   جامع العرنوس .</t>
  </si>
  <si>
    <t>KFM2020660162754</t>
  </si>
  <si>
    <t xml:space="preserve">   أوقاف و مساجدالسليل/ مسجد الرقة .</t>
  </si>
  <si>
    <t>KFM2120660270771</t>
  </si>
  <si>
    <t xml:space="preserve">   بيت الامام المسجد ا .</t>
  </si>
  <si>
    <t>KFM2020660188582</t>
  </si>
  <si>
    <t xml:space="preserve">   مسجد غاتر تحسين الفهد .</t>
  </si>
  <si>
    <t>KFM2120660262663</t>
  </si>
  <si>
    <t>KFM2120660300605</t>
  </si>
  <si>
    <t>KFM2020660098728</t>
  </si>
  <si>
    <t>KFM2020660207560</t>
  </si>
  <si>
    <t>KFM2120660242219</t>
  </si>
  <si>
    <t xml:space="preserve">   مسجد اليسرى .</t>
  </si>
  <si>
    <t>KFM2020660192574</t>
  </si>
  <si>
    <t xml:space="preserve">   مسجد/مبارك الغيمه .</t>
  </si>
  <si>
    <t>KFM2020660169706</t>
  </si>
  <si>
    <t xml:space="preserve">   مسجد السويلمي .</t>
  </si>
  <si>
    <t>KFM2020660060123</t>
  </si>
  <si>
    <t xml:space="preserve">   اوقاف     تمبر      مبايض .</t>
  </si>
  <si>
    <t>KFM2020660195734</t>
  </si>
  <si>
    <t>KFM2020660224369</t>
  </si>
  <si>
    <t xml:space="preserve">   مسجد جامع المحيسن .</t>
  </si>
  <si>
    <t>KFM2020660209030</t>
  </si>
  <si>
    <t xml:space="preserve">   مسجد حي النهضه .</t>
  </si>
  <si>
    <t>KFM2020660012512</t>
  </si>
  <si>
    <t>KFM2020660188957</t>
  </si>
  <si>
    <t xml:space="preserve">      مسجد الجامع بحريملاء .</t>
  </si>
  <si>
    <t>KFM2020660208834</t>
  </si>
  <si>
    <t>مسجد حبيس عبدالله الحبيس .</t>
  </si>
  <si>
    <t>KFM2120660280300</t>
  </si>
  <si>
    <t>7  مسجد مخطط 8  2 بلك .</t>
  </si>
  <si>
    <t>KFM2020660171732</t>
  </si>
  <si>
    <t xml:space="preserve">      اوقاف الدواسر/مسجد متعب .</t>
  </si>
  <si>
    <t>KFM2020660206085</t>
  </si>
  <si>
    <t>ﻤﺴﺎﺠﺩ ﺍﻟﺨﻤﺎﺴﻴﻥ .</t>
  </si>
  <si>
    <t>SMR2220661004664</t>
  </si>
  <si>
    <t xml:space="preserve">   مسجد حي المنار .</t>
  </si>
  <si>
    <t>SMR2220621002000</t>
  </si>
  <si>
    <t xml:space="preserve">   مسجد حي المنصورة .</t>
  </si>
  <si>
    <t>KFM2120660253613</t>
  </si>
  <si>
    <t>مسجد جريس  محمد الجريس .</t>
  </si>
  <si>
    <t>KFM2020660204336</t>
  </si>
  <si>
    <t xml:space="preserve">   جامع الربوة .</t>
  </si>
  <si>
    <t>KFM2020660234142</t>
  </si>
  <si>
    <t>KFM2020660035616</t>
  </si>
  <si>
    <t xml:space="preserve">   مسجد      علي       د .</t>
  </si>
  <si>
    <t>KFM2020660188134</t>
  </si>
  <si>
    <t xml:space="preserve">   مسجد      احمد      القبس .</t>
  </si>
  <si>
    <t>KFM2020660187667</t>
  </si>
  <si>
    <t>KFM2020660134750</t>
  </si>
  <si>
    <t>KFM2120660256929</t>
  </si>
  <si>
    <t xml:space="preserve">   مسجد باجد .</t>
  </si>
  <si>
    <t>KFM2020660172791</t>
  </si>
  <si>
    <t xml:space="preserve">   مسجد الزيد .</t>
  </si>
  <si>
    <t>KFM2020660048217</t>
  </si>
  <si>
    <t>مسجدشيخ  الاسلام  بن تيميه .</t>
  </si>
  <si>
    <t>KFM2020660203967</t>
  </si>
  <si>
    <t xml:space="preserve">   مسجد عبدالعزيز ابراهيم الناصر .</t>
  </si>
  <si>
    <t>KFM2020660165480</t>
  </si>
  <si>
    <t xml:space="preserve">   مسجد أبي بكر الصديق .</t>
  </si>
  <si>
    <t>KFM2020660138390</t>
  </si>
  <si>
    <t>مسجدسلمان بن محمد .</t>
  </si>
  <si>
    <t>KFM2020660198265</t>
  </si>
  <si>
    <t>KFM2120660248794</t>
  </si>
  <si>
    <t xml:space="preserve">   مسجد ذوالنورين .</t>
  </si>
  <si>
    <t>KFM2020660195173</t>
  </si>
  <si>
    <t>. مسجد      خي السويدي .</t>
  </si>
  <si>
    <t>KFM2020660051652</t>
  </si>
  <si>
    <t xml:space="preserve">   مسجد السعادة .</t>
  </si>
  <si>
    <t>SMR2220621002184</t>
  </si>
  <si>
    <t>KFM2020660189758</t>
  </si>
  <si>
    <t xml:space="preserve">   مسجد سعد بن أبي وقاص .</t>
  </si>
  <si>
    <t>KFM2020660193592</t>
  </si>
  <si>
    <t>KFM2020660176176</t>
  </si>
  <si>
    <t xml:space="preserve">   مسجد احمد بن تيمية - رحمه الله .</t>
  </si>
  <si>
    <t>KFM2020660141793</t>
  </si>
  <si>
    <t>SMR2220661007391</t>
  </si>
  <si>
    <t>KFM2120660255555</t>
  </si>
  <si>
    <t>مسجد/ بن تيميه .</t>
  </si>
  <si>
    <t>KFM2020660098752</t>
  </si>
  <si>
    <t>مسجدالشيخ  عبدالله  القرعاوي .</t>
  </si>
  <si>
    <t>KFM2020660174963</t>
  </si>
  <si>
    <t xml:space="preserve">   مسجد/ عمر بن عبدالعزيز .</t>
  </si>
  <si>
    <t>KFM2020660135568</t>
  </si>
  <si>
    <t xml:space="preserve">      مسجدالشيخ/عبدالرحمن بن حسن بن .</t>
  </si>
  <si>
    <t>KFM2020660057017</t>
  </si>
  <si>
    <t>SMR2220661007624</t>
  </si>
  <si>
    <t>KFM2020660211248</t>
  </si>
  <si>
    <t>KFM2020660054511</t>
  </si>
  <si>
    <t>KFM2120660241580</t>
  </si>
  <si>
    <t>SMR2220661006080</t>
  </si>
  <si>
    <t xml:space="preserve">   مسجد      عبدالله   . .</t>
  </si>
  <si>
    <t>KFM2020660127797</t>
  </si>
  <si>
    <t>KFM2020660008732</t>
  </si>
  <si>
    <t>KFM2020660224402</t>
  </si>
  <si>
    <t xml:space="preserve">   مسجد حي   الياسمين .</t>
  </si>
  <si>
    <t>KFM2020660206925</t>
  </si>
  <si>
    <t>KFM2120660281717</t>
  </si>
  <si>
    <t xml:space="preserve">   مسجدشمال حي الوادي ومرافقه .</t>
  </si>
  <si>
    <t>KFM2020660211385</t>
  </si>
  <si>
    <t xml:space="preserve">   مسجد وزارة الدفاع .</t>
  </si>
  <si>
    <t>KFM2120660303078</t>
  </si>
  <si>
    <t xml:space="preserve">   مسجد كيلو 4 بالنسيم .</t>
  </si>
  <si>
    <t>KFM2120660237230</t>
  </si>
  <si>
    <t xml:space="preserve">   مسجد / عبدالله العريض .</t>
  </si>
  <si>
    <t>KFM2120660299637</t>
  </si>
  <si>
    <t xml:space="preserve">   مسجد/ابراهيم المحارب .</t>
  </si>
  <si>
    <t>KFM2020760020374</t>
  </si>
  <si>
    <t xml:space="preserve">   مسجد حى خنشليله .</t>
  </si>
  <si>
    <t>KFM2120660253473</t>
  </si>
  <si>
    <t>ﺍﻭﻗﺎﻑ ﺍﻟﺩﻟﻡ / ﺍﻟﻤﺴــــــﺎﺠـﺩ .</t>
  </si>
  <si>
    <t>AEC2020830024523</t>
  </si>
  <si>
    <t xml:space="preserve">   مسجدصالح القفاري .</t>
  </si>
  <si>
    <t>KFM2020660193721</t>
  </si>
  <si>
    <t>KFM2020660190524</t>
  </si>
  <si>
    <t xml:space="preserve">   مسجدبريدةبن الحصيب .</t>
  </si>
  <si>
    <t>KFM2020660201603</t>
  </si>
  <si>
    <t>KFM2020660053846</t>
  </si>
  <si>
    <t>KFM2020660051198</t>
  </si>
  <si>
    <t>KFM2020660142235</t>
  </si>
  <si>
    <t xml:space="preserve">   مسجد  حي اليرموك .</t>
  </si>
  <si>
    <t>KFM2120660256032</t>
  </si>
  <si>
    <t>KFM2020660057140</t>
  </si>
  <si>
    <t xml:space="preserve">   مسجد      المخطط    //////////// .</t>
  </si>
  <si>
    <t>KFM2020660172463</t>
  </si>
  <si>
    <t xml:space="preserve">     مسجدالجامع الكبير .</t>
  </si>
  <si>
    <t>KFM2120660270881</t>
  </si>
  <si>
    <t xml:space="preserve">  مسجدالاميره/العنودعبدالعزيزبن جلوي .</t>
  </si>
  <si>
    <t>KFM2120660236101</t>
  </si>
  <si>
    <t xml:space="preserve">   جامع حي النهضـه .</t>
  </si>
  <si>
    <t>KFM2120660264343</t>
  </si>
  <si>
    <t>KFM2020660052625</t>
  </si>
  <si>
    <t>KFM2120660257373</t>
  </si>
  <si>
    <t>مسجد محمد العلي .</t>
  </si>
  <si>
    <t>KFM2020660054940</t>
  </si>
  <si>
    <t xml:space="preserve">   مسجد الوسيدي .</t>
  </si>
  <si>
    <t>KFM2020660171466</t>
  </si>
  <si>
    <t xml:space="preserve">      مسجد/سعود عبدالعزيز المقبل .</t>
  </si>
  <si>
    <t>KFM2020660209346</t>
  </si>
  <si>
    <t>مسجد ابن   قدامه      الغربي .</t>
  </si>
  <si>
    <t>KFM2020660051658</t>
  </si>
  <si>
    <t>KFM2020660209474</t>
  </si>
  <si>
    <t xml:space="preserve">   اوقاف الخرج /  مسجد حلة المحاسنه .</t>
  </si>
  <si>
    <t>KFM2020660174637</t>
  </si>
  <si>
    <t>KFM2020660212763</t>
  </si>
  <si>
    <t>مسجد العكرش .</t>
  </si>
  <si>
    <t>KFM2020660098725</t>
  </si>
  <si>
    <t xml:space="preserve">    مسجد  الشفا بحوطة سـدير .</t>
  </si>
  <si>
    <t>KFM2020660210675</t>
  </si>
  <si>
    <t>8المسجدالموقتبالدخل  المحدودمخطط .</t>
  </si>
  <si>
    <t>KFM2020660053772</t>
  </si>
  <si>
    <t>KFM2120660290531</t>
  </si>
  <si>
    <t xml:space="preserve">   مسجد حي النسيم .</t>
  </si>
  <si>
    <t>KFM2020660007771</t>
  </si>
  <si>
    <t xml:space="preserve">   مسجد      حي        الملك فيصل .</t>
  </si>
  <si>
    <t>KFM2020660012579</t>
  </si>
  <si>
    <t>-  مسجد بحي الشفاء  -العطاالله .</t>
  </si>
  <si>
    <t>KFM2020660019050</t>
  </si>
  <si>
    <t xml:space="preserve">   مسجدحي الغدير .</t>
  </si>
  <si>
    <t>KFM2120660257860</t>
  </si>
  <si>
    <t xml:space="preserve">   مسجد      الجامع    //////////// .</t>
  </si>
  <si>
    <t>KFM2020660233540</t>
  </si>
  <si>
    <t>.    مسجد      الطرباق .</t>
  </si>
  <si>
    <t>KFM2020660203684</t>
  </si>
  <si>
    <t xml:space="preserve">   مسجد / ابو بكر الصديق .</t>
  </si>
  <si>
    <t>SMR2320661021313</t>
  </si>
  <si>
    <t>KFM2020660195084</t>
  </si>
  <si>
    <t xml:space="preserve">      مسـجد صـلاح الدين الأيوبي .</t>
  </si>
  <si>
    <t>KFM2020660205803</t>
  </si>
  <si>
    <t>KFM2020660053330</t>
  </si>
  <si>
    <t xml:space="preserve">    مسجد مصعب بن عمي .</t>
  </si>
  <si>
    <t>KFM2120660260338</t>
  </si>
  <si>
    <t>KFM2020660231080</t>
  </si>
  <si>
    <t xml:space="preserve">   مسجد محمد تركي التركي .</t>
  </si>
  <si>
    <t>KFM2020660178137</t>
  </si>
  <si>
    <t xml:space="preserve">   جامع نورة بنت عبدالعزيزالحقباني .</t>
  </si>
  <si>
    <t>KFM2020660192983</t>
  </si>
  <si>
    <t xml:space="preserve">   مسجدحى الفيحاء .</t>
  </si>
  <si>
    <t>KFM2120660299663</t>
  </si>
  <si>
    <t xml:space="preserve">   مسجد حى الازدهار .</t>
  </si>
  <si>
    <t>KFM2020660173140</t>
  </si>
  <si>
    <t xml:space="preserve">   مسجد      الدخل     //////////// .</t>
  </si>
  <si>
    <t>KFM2020660189978</t>
  </si>
  <si>
    <t>KFM2020660213610</t>
  </si>
  <si>
    <t>جامع حي الشرف بالحنيه /اوقاف الخرج .</t>
  </si>
  <si>
    <t>KFM2020660176064</t>
  </si>
  <si>
    <t xml:space="preserve">   مسجد محمدالحمدالاصفر .</t>
  </si>
  <si>
    <t>KFM2120660274163</t>
  </si>
  <si>
    <t>وزارة الشئون الا سلا مية والا اوقاف .</t>
  </si>
  <si>
    <t>KFM2020660007882</t>
  </si>
  <si>
    <t xml:space="preserve">      ادارة الأوقاف والمساجد بالحريق .</t>
  </si>
  <si>
    <t>AES2320896641508</t>
  </si>
  <si>
    <t>.  مسجد      ال  فريان .</t>
  </si>
  <si>
    <t>KFM2020660173462</t>
  </si>
  <si>
    <t xml:space="preserve">   وزارة الشئوؤن الاسلامية/مسجدالفاضل .</t>
  </si>
  <si>
    <t>KFM2020660207698</t>
  </si>
  <si>
    <t>KFM2020660212433</t>
  </si>
  <si>
    <t xml:space="preserve">   وزارة الشئون الاسلامية مسجدالواصل .</t>
  </si>
  <si>
    <t>KFM2020660202785</t>
  </si>
  <si>
    <t>KFM2020660211807</t>
  </si>
  <si>
    <t xml:space="preserve">   مسجد حي غبيراء .</t>
  </si>
  <si>
    <t>KFM2120660281774</t>
  </si>
  <si>
    <t xml:space="preserve">   مسجد / مفرج البياع .</t>
  </si>
  <si>
    <t>KFM2120660302740</t>
  </si>
  <si>
    <t xml:space="preserve">  وزارة الشئون الاسلاميه/ مسجدالفيحاء .</t>
  </si>
  <si>
    <t>KFM2120660241534</t>
  </si>
  <si>
    <t>KFM2020660174454</t>
  </si>
  <si>
    <t>KFM2020660207641</t>
  </si>
  <si>
    <t>مسجد محمد عبدالله  العشوخ .</t>
  </si>
  <si>
    <t>KFM2020660055021</t>
  </si>
  <si>
    <t>KFM2020660104874</t>
  </si>
  <si>
    <t>KFM2020660187626</t>
  </si>
  <si>
    <t xml:space="preserve">   مسجد خليل السبعان .</t>
  </si>
  <si>
    <t>KFM2020660197213</t>
  </si>
  <si>
    <t xml:space="preserve">   ادراةاوقاف(مسجدغرب مستوصف لبديع) .</t>
  </si>
  <si>
    <t>KFM2020660211804</t>
  </si>
  <si>
    <t xml:space="preserve">   مسجد/ هادي محمد شتين الدوسري .</t>
  </si>
  <si>
    <t>KFM2020660230779</t>
  </si>
  <si>
    <t xml:space="preserve">   مسجدالعقيق .</t>
  </si>
  <si>
    <t>KFM2020660036745</t>
  </si>
  <si>
    <t>مسجدوالدمحمدبن عبدالرحمن .</t>
  </si>
  <si>
    <t>KFM2020760030256</t>
  </si>
  <si>
    <t>جامع الشويعر .</t>
  </si>
  <si>
    <t>KFM2020660104875</t>
  </si>
  <si>
    <t>MMF2420601015549</t>
  </si>
  <si>
    <t>وزارة     الشؤن     مسجد    الف .</t>
  </si>
  <si>
    <t>KFM2020660173451</t>
  </si>
  <si>
    <t xml:space="preserve">   مسجد الصحافة .</t>
  </si>
  <si>
    <t>KFM2020660135546</t>
  </si>
  <si>
    <t>مسجد الامير هذلول  بن سعود .</t>
  </si>
  <si>
    <t>KFM2020660098883</t>
  </si>
  <si>
    <t xml:space="preserve">   مسجد      صالح      الحديثي .</t>
  </si>
  <si>
    <t>KFM2020660056669</t>
  </si>
  <si>
    <t xml:space="preserve">   جامع خالد الجبري .</t>
  </si>
  <si>
    <t>KFM2020660176815</t>
  </si>
  <si>
    <t>مسجد البديعه  وسكن الامام  والمؤذن .</t>
  </si>
  <si>
    <t>KFM2020660173520</t>
  </si>
  <si>
    <t xml:space="preserve">   مسجد/ محمد ناصر اليوسف .</t>
  </si>
  <si>
    <t>KFM2120660264303</t>
  </si>
  <si>
    <t>KFM2120655004282</t>
  </si>
  <si>
    <t xml:space="preserve">   مسجدالفلاح .</t>
  </si>
  <si>
    <t>KFM2020660206988</t>
  </si>
  <si>
    <t>KFM2020660192875</t>
  </si>
  <si>
    <t>مسجد عبدالله الثابت / 182 .</t>
  </si>
  <si>
    <t>KFM2020660212247</t>
  </si>
  <si>
    <t xml:space="preserve">   مسجد/ معاويه بن ابي سفيان .</t>
  </si>
  <si>
    <t>KFM2120660260583</t>
  </si>
  <si>
    <t xml:space="preserve">   مسجد الروابي .</t>
  </si>
  <si>
    <t>KFM2020660144749</t>
  </si>
  <si>
    <t xml:space="preserve">   اوقاف الخرج / مسجد  بن عايش .</t>
  </si>
  <si>
    <t>KFM2020660193146</t>
  </si>
  <si>
    <t xml:space="preserve">   مسجدعثمان بن عفان بحي العقيق .</t>
  </si>
  <si>
    <t>KFM2020660131348</t>
  </si>
  <si>
    <t>KFM2020660040837</t>
  </si>
  <si>
    <t>KFM2020660051657</t>
  </si>
  <si>
    <t xml:space="preserve">   مسجد ام القرى .</t>
  </si>
  <si>
    <t>KFM2120660239324</t>
  </si>
  <si>
    <t xml:space="preserve">   وزارةالشؤن لاسلاميه/مسجدظافرالطوق .</t>
  </si>
  <si>
    <t>KFM2120660299061</t>
  </si>
  <si>
    <t xml:space="preserve">   ادارةاوقاف(مسجد جنوب الخزان جديد .</t>
  </si>
  <si>
    <t>KFM2020660165159</t>
  </si>
  <si>
    <t xml:space="preserve">   مسجد جامع العزيزيه .</t>
  </si>
  <si>
    <t>KFM2120660235682</t>
  </si>
  <si>
    <t xml:space="preserve">   مسجد عبدالرحمن الخليفي .</t>
  </si>
  <si>
    <t>KFM2120660260295</t>
  </si>
  <si>
    <t>KFM2020660008678</t>
  </si>
  <si>
    <t>KFM2120660304567</t>
  </si>
  <si>
    <t xml:space="preserve">   مسجد أحمد بغلف .</t>
  </si>
  <si>
    <t>KFM2020660056784</t>
  </si>
  <si>
    <t>SMR2220661018237</t>
  </si>
  <si>
    <t xml:space="preserve">   مسجد الا ميرة نورة بنت مشعل .</t>
  </si>
  <si>
    <t>KFM2020660139693</t>
  </si>
  <si>
    <t>KFM2020660040498</t>
  </si>
  <si>
    <t xml:space="preserve">     اوقاف المزاحميه / جامع قنيفذاء .</t>
  </si>
  <si>
    <t>KFM2020660177285</t>
  </si>
  <si>
    <t xml:space="preserve">      المسجد الجامع الكبير .</t>
  </si>
  <si>
    <t>KFM2020660176242</t>
  </si>
  <si>
    <t xml:space="preserve">   جامع      مزعل      مزعل .</t>
  </si>
  <si>
    <t>KFM2020660234251</t>
  </si>
  <si>
    <t xml:space="preserve">   مسجدالوادي ومرافقه .</t>
  </si>
  <si>
    <t>KFM2020660211389</t>
  </si>
  <si>
    <t xml:space="preserve">   مسجد محمد عبدالعزيز الرواف .</t>
  </si>
  <si>
    <t>KFM2020660051312</t>
  </si>
  <si>
    <t xml:space="preserve">   وزارة الحجوالأوقاف   م بن جرالله .</t>
  </si>
  <si>
    <t>KFM2120660250913</t>
  </si>
  <si>
    <t xml:space="preserve">      اوقاف الدواسر/مسجد بن جماهر .</t>
  </si>
  <si>
    <t>KFM2020660206215</t>
  </si>
  <si>
    <t xml:space="preserve">   مسجد الازدهار .</t>
  </si>
  <si>
    <t>KFM2020660173132</t>
  </si>
  <si>
    <t>مسجدالشيخ  عبدالعزيزبن سحيم .</t>
  </si>
  <si>
    <t>KFM2020660051637</t>
  </si>
  <si>
    <t xml:space="preserve">   مسجد  عبدالله بن مسعود .</t>
  </si>
  <si>
    <t>KFM2120660257446</t>
  </si>
  <si>
    <t>KFM2020660202031</t>
  </si>
  <si>
    <t>KFM2020660133878</t>
  </si>
  <si>
    <t>KFM2020660202081</t>
  </si>
  <si>
    <t>وزارةالا وقاف اوقاف البجاديه .</t>
  </si>
  <si>
    <t>KFM2020660212269</t>
  </si>
  <si>
    <t xml:space="preserve">   مسجد صالح بن غصون .</t>
  </si>
  <si>
    <t>KFM2020660229807</t>
  </si>
  <si>
    <t xml:space="preserve">   جامع ابي بكر الصديق .</t>
  </si>
  <si>
    <t>KFM2020660188304</t>
  </si>
  <si>
    <t>مسجد الاسكان ( 2 ) .</t>
  </si>
  <si>
    <t>KFM2020660200624</t>
  </si>
  <si>
    <t xml:space="preserve">   مسجد المخطط الغربى ـ أوثيلان .</t>
  </si>
  <si>
    <t>SMR2320761022434</t>
  </si>
  <si>
    <t>جامع  مخطط 46 رماح .</t>
  </si>
  <si>
    <t>KFM2020660150022</t>
  </si>
  <si>
    <t xml:space="preserve">   مسجد/عقبه بن نافع .</t>
  </si>
  <si>
    <t>KFM2020660038155</t>
  </si>
  <si>
    <t xml:space="preserve">   مسـجد الشـيخ ناصر الشـثرى .</t>
  </si>
  <si>
    <t>KFM2020660201414</t>
  </si>
  <si>
    <t>KFM2120660255401</t>
  </si>
  <si>
    <t>KFM2020660053286</t>
  </si>
  <si>
    <t xml:space="preserve">   وزارة الشئون الاسلاميه جامع النور .</t>
  </si>
  <si>
    <t>KFM2120660256934</t>
  </si>
  <si>
    <t>KFM2020660049557</t>
  </si>
  <si>
    <t xml:space="preserve">   مسجد محمد ال شيخ .</t>
  </si>
  <si>
    <t>KFM2020660195178</t>
  </si>
  <si>
    <t>KFM2120660304077</t>
  </si>
  <si>
    <t xml:space="preserve">    مسجد حي الحمراءوسكن الا مام المؤ .</t>
  </si>
  <si>
    <t>KFM2020660060017</t>
  </si>
  <si>
    <t>KFM2120660270726</t>
  </si>
  <si>
    <t xml:space="preserve">   مسجد منصور  الراجحي .</t>
  </si>
  <si>
    <t>KFM2020660175256</t>
  </si>
  <si>
    <t xml:space="preserve">   مسجد      جامع      الجنوبيى .</t>
  </si>
  <si>
    <t>KFM2020660211845</t>
  </si>
  <si>
    <t xml:space="preserve">   مسجد فهيد المخلفي .</t>
  </si>
  <si>
    <t>KFM2020660050045</t>
  </si>
  <si>
    <t xml:space="preserve">   مسجد/ عمر بن  عبدالعزيز .</t>
  </si>
  <si>
    <t>KFM2020660197660</t>
  </si>
  <si>
    <t xml:space="preserve">   مسجدالمديد .</t>
  </si>
  <si>
    <t>KFM2020660199257</t>
  </si>
  <si>
    <t>KFM2020660200170</t>
  </si>
  <si>
    <t xml:space="preserve">   مسجد / عبدالله العامرى .</t>
  </si>
  <si>
    <t>KFM2020660206421</t>
  </si>
  <si>
    <t xml:space="preserve">   بيت       الامام     السفارات .</t>
  </si>
  <si>
    <t>KFM2120660262236</t>
  </si>
  <si>
    <t xml:space="preserve">   مسجد أمهات المؤمنين .</t>
  </si>
  <si>
    <t>KFM2120660274160</t>
  </si>
  <si>
    <t xml:space="preserve">   مسجد الشويب القديم .</t>
  </si>
  <si>
    <t>KFM2020660054725</t>
  </si>
  <si>
    <t>KFM2020660035966</t>
  </si>
  <si>
    <t>مسجد بن دنان .</t>
  </si>
  <si>
    <t>KFM2020660038655</t>
  </si>
  <si>
    <t>KFM2020660056774</t>
  </si>
  <si>
    <t xml:space="preserve">   مسجد/ محمد بن سعيدان .</t>
  </si>
  <si>
    <t>KFM2020660008664</t>
  </si>
  <si>
    <t>KFM2020660174551</t>
  </si>
  <si>
    <t xml:space="preserve"> مسجد حي السعادة مدرسة تحفيظ القرآن .</t>
  </si>
  <si>
    <t>KFM2120660242157</t>
  </si>
  <si>
    <t xml:space="preserve">   جامع      الحميدي   (509) .</t>
  </si>
  <si>
    <t>KFM2020660192453</t>
  </si>
  <si>
    <t xml:space="preserve"> وزاره الشئون والاوقاف (مسجدحي النفل) .</t>
  </si>
  <si>
    <t>KFM2020660052796</t>
  </si>
  <si>
    <t>ﺍﻭﻗﺎﻑ ﻭﻤﺴﺎﺠﺩ ﺍﻟﻤﺯﺍﺤﻤﻴﻩ .</t>
  </si>
  <si>
    <t>SMR2320661034418</t>
  </si>
  <si>
    <t>KFM2020660130014</t>
  </si>
  <si>
    <t xml:space="preserve">   مسجد ابو بكر الصديق .</t>
  </si>
  <si>
    <t>KFM2020660132820</t>
  </si>
  <si>
    <t>KFM2120660273710</t>
  </si>
  <si>
    <t xml:space="preserve">     جامع  مسجد عين الصوينع .</t>
  </si>
  <si>
    <t>KFM2020660173225</t>
  </si>
  <si>
    <t xml:space="preserve">   مسجد عبدالهادي الصفوق .</t>
  </si>
  <si>
    <t>KFM2120660246741</t>
  </si>
  <si>
    <t>مسجد      عبدالله  بن رواحـــــه .</t>
  </si>
  <si>
    <t>KFM2020660177036</t>
  </si>
  <si>
    <t xml:space="preserve">   مسجد / مشرفه .</t>
  </si>
  <si>
    <t>SMR2420661036504</t>
  </si>
  <si>
    <t xml:space="preserve">   مسجد الخزامى .</t>
  </si>
  <si>
    <t>KFM2120660266085</t>
  </si>
  <si>
    <t xml:space="preserve">   جامع عثمان بن عفان بحي الجزيرة .</t>
  </si>
  <si>
    <t>KFM2020660200573</t>
  </si>
  <si>
    <t>مسجد حي الدريهميه /المنجم .</t>
  </si>
  <si>
    <t>KFM2020660202602</t>
  </si>
  <si>
    <t>KFM2020660040865</t>
  </si>
  <si>
    <t>مسجد بن عدوان .</t>
  </si>
  <si>
    <t>KFM2020660198930</t>
  </si>
  <si>
    <t>مسجد الداخله .</t>
  </si>
  <si>
    <t>KFM2020660098990</t>
  </si>
  <si>
    <t>مسجد مهنا المدالله .</t>
  </si>
  <si>
    <t>KFM2020660207111</t>
  </si>
  <si>
    <t xml:space="preserve">   مسجد الشهيد ايمن الفتى .</t>
  </si>
  <si>
    <t>KFM2120660247053</t>
  </si>
  <si>
    <t>مسجد      محمد      الماجد .</t>
  </si>
  <si>
    <t>KFM2020660015351</t>
  </si>
  <si>
    <t xml:space="preserve">      وزارة الشئون الاسلاميةوالاوقاف .</t>
  </si>
  <si>
    <t>KFM2020660127561</t>
  </si>
  <si>
    <t>KFM2120660240920</t>
  </si>
  <si>
    <t>KFM2120660247025</t>
  </si>
  <si>
    <t>مسجد      ابراهيم   التمامي .</t>
  </si>
  <si>
    <t>KFM2020660209322</t>
  </si>
  <si>
    <t xml:space="preserve">   مسجدرقم(8)بحي التاهيل الشامل .</t>
  </si>
  <si>
    <t>KFM2020660200682</t>
  </si>
  <si>
    <t xml:space="preserve">   مسجدجامع حله العنوز .</t>
  </si>
  <si>
    <t>KFM2120660267537</t>
  </si>
  <si>
    <t xml:space="preserve">   اوقاف الخرج / مسجد حبيب بن زيد .</t>
  </si>
  <si>
    <t>KFM2120660249791</t>
  </si>
  <si>
    <t xml:space="preserve">   اوقاف     ومساجد    مسجدال ناصر .</t>
  </si>
  <si>
    <t>KFM2120660272848</t>
  </si>
  <si>
    <t xml:space="preserve">   مسجد ابوبكر الصديق .</t>
  </si>
  <si>
    <t>KFM2020660192234</t>
  </si>
  <si>
    <t>مسجد الفارس .</t>
  </si>
  <si>
    <t>KFM2020660019170</t>
  </si>
  <si>
    <t>SMR2420661035788</t>
  </si>
  <si>
    <t>KFM2020660191027</t>
  </si>
  <si>
    <t xml:space="preserve">   مسجد اسواق الهودج .</t>
  </si>
  <si>
    <t>KFM2120660268731</t>
  </si>
  <si>
    <t>مسجدعليشة .</t>
  </si>
  <si>
    <t>KFM2020660053806</t>
  </si>
  <si>
    <t>KFM2020660007873</t>
  </si>
  <si>
    <t>KFM2020660192906</t>
  </si>
  <si>
    <t>SMR2220661004489</t>
  </si>
  <si>
    <t xml:space="preserve">   مسجد / عقبة بن نافع بالأرطاوية .</t>
  </si>
  <si>
    <t>KFM2020660209808</t>
  </si>
  <si>
    <t xml:space="preserve">   مسجد أنس  بن مالك .</t>
  </si>
  <si>
    <t>KFM2020660061232</t>
  </si>
  <si>
    <t>KFM2020660104172</t>
  </si>
  <si>
    <t>مسجد حمود بن محمد الصالح .</t>
  </si>
  <si>
    <t>KFM2020660031565</t>
  </si>
  <si>
    <t xml:space="preserve">   مسجد الخليفه .</t>
  </si>
  <si>
    <t>KFM2020660104203</t>
  </si>
  <si>
    <t>KFM2020660173125</t>
  </si>
  <si>
    <t xml:space="preserve">       مسجد جامع الحزم بالحلوه .</t>
  </si>
  <si>
    <t>KFM2020660230804</t>
  </si>
  <si>
    <t xml:space="preserve">   مسجد حي القادسية .</t>
  </si>
  <si>
    <t>KFM2020660038840</t>
  </si>
  <si>
    <t>KFM2120660286878</t>
  </si>
  <si>
    <t xml:space="preserve">   مسجد الاحنف بن قيس .</t>
  </si>
  <si>
    <t>KFM2020660192429</t>
  </si>
  <si>
    <t xml:space="preserve">   أملاك الدولةلصالح الشئون الاسلامية .</t>
  </si>
  <si>
    <t>KFM2020660031400</t>
  </si>
  <si>
    <t>مسجد جامع  طلعه .</t>
  </si>
  <si>
    <t>KFM2020660056107</t>
  </si>
  <si>
    <t xml:space="preserve">  مسجد/عبدالرحمن فهد صالح الكريديس .</t>
  </si>
  <si>
    <t>KFM2120660242173</t>
  </si>
  <si>
    <t xml:space="preserve">   مسجد بحي الدار البيضاء .</t>
  </si>
  <si>
    <t>KFM2020660161702</t>
  </si>
  <si>
    <t xml:space="preserve">    مسجد/متعب تركىمحيا .</t>
  </si>
  <si>
    <t>KFM2020766090119</t>
  </si>
  <si>
    <t xml:space="preserve">   مسجد  ام ثامر .</t>
  </si>
  <si>
    <t>KFM2020660211062</t>
  </si>
  <si>
    <t xml:space="preserve">   مسجدحي الربيع .</t>
  </si>
  <si>
    <t>KFM2020660208626</t>
  </si>
  <si>
    <t xml:space="preserve">   ادارة     الاوقاف    المقداد بن ع .</t>
  </si>
  <si>
    <t>KFM2020660176126</t>
  </si>
  <si>
    <t xml:space="preserve">   مسجد      -         الصالحيه .</t>
  </si>
  <si>
    <t>KFM2120660286082</t>
  </si>
  <si>
    <t>مسجد      هيله       العوده .</t>
  </si>
  <si>
    <t>KFM2020660054999</t>
  </si>
  <si>
    <t>KFM2020660104891</t>
  </si>
  <si>
    <t xml:space="preserve">   جامع عمربن عبدالعزيز .</t>
  </si>
  <si>
    <t>KFM2020660188222</t>
  </si>
  <si>
    <t>0    مسجد      الرومي .</t>
  </si>
  <si>
    <t>KFM2020660055013</t>
  </si>
  <si>
    <t>KFM2020660190965</t>
  </si>
  <si>
    <t>KFM2120660253612</t>
  </si>
  <si>
    <t xml:space="preserve">   مسجد/ صالح  الرشيد .</t>
  </si>
  <si>
    <t>KFM2020660174076</t>
  </si>
  <si>
    <t xml:space="preserve">   مسجد      الركيان   /// .</t>
  </si>
  <si>
    <t>KFM2020660225197</t>
  </si>
  <si>
    <t xml:space="preserve">   مسجد عقبه بن نافع .</t>
  </si>
  <si>
    <t>KFM2020660012603</t>
  </si>
  <si>
    <t>KFM2020660174815</t>
  </si>
  <si>
    <t>مسجد الامير/ محمد بن عبدالرحمن .</t>
  </si>
  <si>
    <t>KFM2020660203476</t>
  </si>
  <si>
    <t xml:space="preserve">   مسجد فئة و .</t>
  </si>
  <si>
    <t>KFM2020660195105</t>
  </si>
  <si>
    <t xml:space="preserve">   مسجد/ محمد الجميعه .</t>
  </si>
  <si>
    <t>KFM2020660166492</t>
  </si>
  <si>
    <t>KFM2020660192644</t>
  </si>
  <si>
    <t>SMR2320661034650</t>
  </si>
  <si>
    <t>مسجد      المقبل    مخطط 352 .</t>
  </si>
  <si>
    <t>KFM2020660206831</t>
  </si>
  <si>
    <t xml:space="preserve">   مسجد      الوسيطا   الوسيطا .</t>
  </si>
  <si>
    <t>KFM2020660200163</t>
  </si>
  <si>
    <t xml:space="preserve">   مسجد الامام عبدالرحمن الفيصل سعود .</t>
  </si>
  <si>
    <t>KFM2020660189585</t>
  </si>
  <si>
    <t xml:space="preserve">   مسجدعبدالله النملة ومرافقيه .</t>
  </si>
  <si>
    <t>KFM2120660253018</t>
  </si>
  <si>
    <t>KFM2020660166586</t>
  </si>
  <si>
    <t>KFM2020660202000</t>
  </si>
  <si>
    <t xml:space="preserve">   مسجد جامع خديجة بنت خويلد .</t>
  </si>
  <si>
    <t>KFM2020660162854</t>
  </si>
  <si>
    <t xml:space="preserve"> مسجد الشيخ / عبدالعزيز بن باز .</t>
  </si>
  <si>
    <t>KFM2020660223929</t>
  </si>
  <si>
    <t>KFM2120660300948</t>
  </si>
  <si>
    <t xml:space="preserve">   مسجد معاوية بن أبي سفيان .</t>
  </si>
  <si>
    <t>KFM2020660193706</t>
  </si>
  <si>
    <t>SMR2320761034326</t>
  </si>
  <si>
    <t xml:space="preserve">   مسجد الرشيد .</t>
  </si>
  <si>
    <t>KFM2020660201531</t>
  </si>
  <si>
    <t>مسجد /الشيخ  محمد بن عبدالوهاب .</t>
  </si>
  <si>
    <t>KFM2020660015221</t>
  </si>
  <si>
    <t>مسجد      حى         الجامعين .</t>
  </si>
  <si>
    <t>KFM2020660098877</t>
  </si>
  <si>
    <t xml:space="preserve">   مسجد طيبه .</t>
  </si>
  <si>
    <t>KFM2020660030505</t>
  </si>
  <si>
    <t xml:space="preserve">    مسجد حى اشبيليا .</t>
  </si>
  <si>
    <t>KFM2020660171291</t>
  </si>
  <si>
    <t>KFM2020660145256</t>
  </si>
  <si>
    <t>SMR2320661034189</t>
  </si>
  <si>
    <t>KFM2020660190356</t>
  </si>
  <si>
    <t>KFM2120660268846</t>
  </si>
  <si>
    <t>مسجد الشيخ  عبدالعزيزالمغصيب .</t>
  </si>
  <si>
    <t>KFM2020660202608</t>
  </si>
  <si>
    <t xml:space="preserve">   مسجد/ ذات النطاقين .</t>
  </si>
  <si>
    <t>KFM2020660041276</t>
  </si>
  <si>
    <t xml:space="preserve">   مسجدالامام الذهبى .</t>
  </si>
  <si>
    <t>KFM2120660290437</t>
  </si>
  <si>
    <t>KFM2120660262525</t>
  </si>
  <si>
    <t xml:space="preserve">   مسجد عبدالرحمن بن عوف .</t>
  </si>
  <si>
    <t>KFM2020660145830</t>
  </si>
  <si>
    <t xml:space="preserve">   مسجد مجاهد المجاهد .</t>
  </si>
  <si>
    <t>KFM2120660299671</t>
  </si>
  <si>
    <t xml:space="preserve">   مسجد      جامع      . .</t>
  </si>
  <si>
    <t>KFM2020660174235</t>
  </si>
  <si>
    <t xml:space="preserve">   مسجد الايمان   بالسلي .</t>
  </si>
  <si>
    <t>KFM2120660258950</t>
  </si>
  <si>
    <t xml:space="preserve">   مسجد حي حطين .</t>
  </si>
  <si>
    <t>KFM2020660031810</t>
  </si>
  <si>
    <t>KFM2020660049570</t>
  </si>
  <si>
    <t xml:space="preserve">    وزارة الشئون الاسلامية والاوقاف .</t>
  </si>
  <si>
    <t>KFM2020660169560</t>
  </si>
  <si>
    <t xml:space="preserve">   مسجد أم سليم .</t>
  </si>
  <si>
    <t>KFM2020660204417</t>
  </si>
  <si>
    <t>KFM2120660279945</t>
  </si>
  <si>
    <t xml:space="preserve">   ادارة الا وقاف مسجد التراضي .</t>
  </si>
  <si>
    <t>KFM2120660245992</t>
  </si>
  <si>
    <t>KFM2020660210979</t>
  </si>
  <si>
    <t xml:space="preserve">   مسجد  على شارع رقم 4 .</t>
  </si>
  <si>
    <t>KFM2120660260342</t>
  </si>
  <si>
    <t xml:space="preserve">   مسجد      حجاب      / .</t>
  </si>
  <si>
    <t>KFM2020660132572</t>
  </si>
  <si>
    <t>KFM2120660256744</t>
  </si>
  <si>
    <t xml:space="preserve">   مسجد علي بن ابي طالب .</t>
  </si>
  <si>
    <t>KFM2020660162856</t>
  </si>
  <si>
    <t xml:space="preserve">   مشروع الاسكان العاجل / المسجد .</t>
  </si>
  <si>
    <t>KFM2020660188427</t>
  </si>
  <si>
    <t xml:space="preserve">   جامع الصديق .</t>
  </si>
  <si>
    <t>KFM2020660210764</t>
  </si>
  <si>
    <t>مسجد بن فريان .</t>
  </si>
  <si>
    <t>KFM2020660013386</t>
  </si>
  <si>
    <t xml:space="preserve"> مسجدجامع الحى السكنى وزارة الخارجيه .</t>
  </si>
  <si>
    <t>KFM2120660266104</t>
  </si>
  <si>
    <t>KFM2020660176819</t>
  </si>
  <si>
    <t>SMR2220661011699</t>
  </si>
  <si>
    <t xml:space="preserve">   ادارة     الأوقاف    والدعوه .</t>
  </si>
  <si>
    <t>ECC2320831052495</t>
  </si>
  <si>
    <t>ﺍﻭﻗﺎﻑ ﻭﻤﺴﺎﺠﺩ ﺍﻟﺭﻴﻥ .</t>
  </si>
  <si>
    <t>KFM2120660264017</t>
  </si>
  <si>
    <t xml:space="preserve">   مسجد عمر بن عبدالعزيز .</t>
  </si>
  <si>
    <t>KFM2020660040632</t>
  </si>
  <si>
    <t>KFM2120660245976</t>
  </si>
  <si>
    <t>جامع مسجد مخطط  581 عفيف       0 .</t>
  </si>
  <si>
    <t>KFM2020660204263</t>
  </si>
  <si>
    <t xml:space="preserve">    مسجد حي الصحافه .</t>
  </si>
  <si>
    <t>KFM2120660257388</t>
  </si>
  <si>
    <t>KFM2020660192923</t>
  </si>
  <si>
    <t xml:space="preserve"> مسجدالامير/تركى بن عبدالعزيزال سعود .</t>
  </si>
  <si>
    <t>KFM2120660246121</t>
  </si>
  <si>
    <t>مسجد حي شبرا .</t>
  </si>
  <si>
    <t>KFM2020660039919</t>
  </si>
  <si>
    <t xml:space="preserve">   مسجد/ابراهيم صالح العجلان .</t>
  </si>
  <si>
    <t>KFM2120660284447</t>
  </si>
  <si>
    <t xml:space="preserve"> جامع/الشيخ عبدالعزيز ابراهيم المهنا .</t>
  </si>
  <si>
    <t>KFM2020660200674</t>
  </si>
  <si>
    <t xml:space="preserve"> تحفيظ القرآن مسجد عبدالله اللحيدان .</t>
  </si>
  <si>
    <t>KFM2020660193750</t>
  </si>
  <si>
    <t>KFM2020660203739</t>
  </si>
  <si>
    <t xml:space="preserve">   مسجد الشريم .</t>
  </si>
  <si>
    <t>KFM2020660057178</t>
  </si>
  <si>
    <t xml:space="preserve">   ادارة     الأوقاف    مسجد جنبان ف .</t>
  </si>
  <si>
    <t>KFM2020660205941</t>
  </si>
  <si>
    <t xml:space="preserve">      مسجد حمزة بن عبد المطلب .</t>
  </si>
  <si>
    <t>KFM2020766054510</t>
  </si>
  <si>
    <t xml:space="preserve">   مسجد ابى ايوب الانصارى .</t>
  </si>
  <si>
    <t>KFM2020660212211</t>
  </si>
  <si>
    <t>KFM2020660060646</t>
  </si>
  <si>
    <t xml:space="preserve">   مسجد ابوموسى الاشعرى .</t>
  </si>
  <si>
    <t>KFM2120660264208</t>
  </si>
  <si>
    <t xml:space="preserve">   مسجدنوره الصبيح ومرافقة .</t>
  </si>
  <si>
    <t>KFM2020660213087</t>
  </si>
  <si>
    <t xml:space="preserve">   مسجد مانع الجهني .</t>
  </si>
  <si>
    <t>KFM2020660173032</t>
  </si>
  <si>
    <t xml:space="preserve">   مسجد السديري .</t>
  </si>
  <si>
    <t>KFM2120660236542</t>
  </si>
  <si>
    <t xml:space="preserve">   جامع بلدة غسله بالقرائن .</t>
  </si>
  <si>
    <t>KFM2120660270118</t>
  </si>
  <si>
    <t xml:space="preserve">   مسجد حي التعاون مخطط 1822 بلك 10 .</t>
  </si>
  <si>
    <t>KFM2020660160610</t>
  </si>
  <si>
    <t xml:space="preserve">   مسجد ناصر عبدالله الجفن .</t>
  </si>
  <si>
    <t>KFM2120660299420</t>
  </si>
  <si>
    <t>KFM2020660190456</t>
  </si>
  <si>
    <t xml:space="preserve">   مسجد ابن  القيم     الجوزيه .</t>
  </si>
  <si>
    <t>KFM2020660166581</t>
  </si>
  <si>
    <t>KFM2120660244056</t>
  </si>
  <si>
    <t xml:space="preserve">   مسجدالامير / سلطان بن عبدالعزيز .</t>
  </si>
  <si>
    <t>KFM2120660280776</t>
  </si>
  <si>
    <t>SMR2220661001531</t>
  </si>
  <si>
    <t>KFM2020760026162</t>
  </si>
  <si>
    <t xml:space="preserve">   مسجد فوزان محمد الفوزان .</t>
  </si>
  <si>
    <t>KFM2120660271673</t>
  </si>
  <si>
    <t>KFM2020660190976</t>
  </si>
  <si>
    <t xml:space="preserve">    مسجدصالح الصانع .</t>
  </si>
  <si>
    <t>KFM2020660058041</t>
  </si>
  <si>
    <t>KFM2020660190950</t>
  </si>
  <si>
    <t xml:space="preserve">   مســــــــجد / على بن ابى طالب .</t>
  </si>
  <si>
    <t>KFM2020660135772</t>
  </si>
  <si>
    <t xml:space="preserve">    مسجد الفاروق  بتمير / م المانع .</t>
  </si>
  <si>
    <t>KFM2020660195833</t>
  </si>
  <si>
    <t xml:space="preserve">    مسجد جامع العماير  بجو .</t>
  </si>
  <si>
    <t>KFM2020660191515</t>
  </si>
  <si>
    <t xml:space="preserve">   مسجد بن جبير .</t>
  </si>
  <si>
    <t>KFM2020660006217</t>
  </si>
  <si>
    <t xml:space="preserve">   مسجد الروابي و سكن الامام والمؤذن .</t>
  </si>
  <si>
    <t>KFM2020660144794</t>
  </si>
  <si>
    <t>KFM2020660190935</t>
  </si>
  <si>
    <t>مسجد حي الشفاء .</t>
  </si>
  <si>
    <t>KFM2020660200476</t>
  </si>
  <si>
    <t xml:space="preserve">   مسجد حى الملك فهد .</t>
  </si>
  <si>
    <t>KFM2020660227073</t>
  </si>
  <si>
    <t xml:space="preserve">   مسـجد الراجحـي .</t>
  </si>
  <si>
    <t>KFM2120660256944</t>
  </si>
  <si>
    <t xml:space="preserve">   مسجد سعيد مهدى الغامدى .</t>
  </si>
  <si>
    <t>KFM2020760068924</t>
  </si>
  <si>
    <t>KFM2020660053126</t>
  </si>
  <si>
    <t>مسجد ظهرة البديعه .</t>
  </si>
  <si>
    <t>KFM2020660054949</t>
  </si>
  <si>
    <t xml:space="preserve">   مسجد جامع السلام .</t>
  </si>
  <si>
    <t>KFM2020660214046</t>
  </si>
  <si>
    <t>KFM2020660167804</t>
  </si>
  <si>
    <t xml:space="preserve">   مسجدشرقى الصالحيه .</t>
  </si>
  <si>
    <t>KFM2120660286077</t>
  </si>
  <si>
    <t xml:space="preserve">   مسجد      ابن       . .</t>
  </si>
  <si>
    <t>KFM2020660197965</t>
  </si>
  <si>
    <t xml:space="preserve">   اوقاف     القويعيه  1 .</t>
  </si>
  <si>
    <t>KFM2020660190602</t>
  </si>
  <si>
    <t xml:space="preserve">   مسجد محمد بن ماجد .</t>
  </si>
  <si>
    <t>SMR2220661017943</t>
  </si>
  <si>
    <t xml:space="preserve">   مسجد عمربن عبدالعزيزومرافقه .</t>
  </si>
  <si>
    <t>KFM2020660192576</t>
  </si>
  <si>
    <t xml:space="preserve">      مسجد فهد العويضه ومرافقه .</t>
  </si>
  <si>
    <t>KFM2020660169616</t>
  </si>
  <si>
    <t xml:space="preserve">      مسجد اهل البئر .</t>
  </si>
  <si>
    <t>KFM2020660212460</t>
  </si>
  <si>
    <t>مسجدجامع  الحى .</t>
  </si>
  <si>
    <t>KFM2020660200355</t>
  </si>
  <si>
    <t>مسجد  حي الحزم .</t>
  </si>
  <si>
    <t>KFM2020660051512</t>
  </si>
  <si>
    <t>SMR2220661006258</t>
  </si>
  <si>
    <t xml:space="preserve">   جامع الريس    // دعوة الجاليات .</t>
  </si>
  <si>
    <t>KFM2120660253462</t>
  </si>
  <si>
    <t xml:space="preserve">         مسجدسليمان القزلان حىالفلاح .</t>
  </si>
  <si>
    <t>KFM2020660214092</t>
  </si>
  <si>
    <t>SMR2320661034287</t>
  </si>
  <si>
    <t>KFM2020660190472</t>
  </si>
  <si>
    <t xml:space="preserve">   مسجدناصرابراهيم التمامي .</t>
  </si>
  <si>
    <t>KFM2020660197722</t>
  </si>
  <si>
    <t xml:space="preserve">   اوقاف الدواسر - مسجد/جامع آلمفيز .</t>
  </si>
  <si>
    <t>KFM2020660206019</t>
  </si>
  <si>
    <t xml:space="preserve">   مسجد ابراهيم مسند المسند .</t>
  </si>
  <si>
    <t>KFM2020660012595</t>
  </si>
  <si>
    <t>مسجد سارة .</t>
  </si>
  <si>
    <t>KFM2020660013320</t>
  </si>
  <si>
    <t>مسجد بحي الحزم .</t>
  </si>
  <si>
    <t>KFM2020660098894</t>
  </si>
  <si>
    <t xml:space="preserve">      مـسـجـد ابوعلفات    بالرين .</t>
  </si>
  <si>
    <t>AES2120896537537</t>
  </si>
  <si>
    <t xml:space="preserve">   مسجد راجح العتيبي .</t>
  </si>
  <si>
    <t>KFM2020660042134</t>
  </si>
  <si>
    <t xml:space="preserve">   مسجد الأمير سلمان .</t>
  </si>
  <si>
    <t>KFM2020660042545</t>
  </si>
  <si>
    <t>مسجد      جامع      حي بدر .</t>
  </si>
  <si>
    <t>KFM2020660208162</t>
  </si>
  <si>
    <t xml:space="preserve">   جامع/ عبدالمحسن بن فهد السويلم .</t>
  </si>
  <si>
    <t>KFM2020660047350</t>
  </si>
  <si>
    <t xml:space="preserve">   مسجدابراهيم بن أدهم .</t>
  </si>
  <si>
    <t>KFM2020660056983</t>
  </si>
  <si>
    <t xml:space="preserve">   اوقاف الخرج/ مسجدسعيدعامرالجمحي .</t>
  </si>
  <si>
    <t>KFM2020660211777</t>
  </si>
  <si>
    <t xml:space="preserve">   مسجد نموذجيه جلاجل .</t>
  </si>
  <si>
    <t>KFM2020660211663</t>
  </si>
  <si>
    <t xml:space="preserve">   مسجد جامع المحمديه .</t>
  </si>
  <si>
    <t>KFM2020660160733</t>
  </si>
  <si>
    <t xml:space="preserve">   مسجد حصه البداح .</t>
  </si>
  <si>
    <t>KFM2120660290496</t>
  </si>
  <si>
    <t>مسجد حبيب المطيري / 138 .</t>
  </si>
  <si>
    <t>KFM2020760135750</t>
  </si>
  <si>
    <t>DZG2020850097018</t>
  </si>
  <si>
    <t>KFM2020660166549</t>
  </si>
  <si>
    <t xml:space="preserve">   جامع حي الزهره .</t>
  </si>
  <si>
    <t>KFM2020660228075</t>
  </si>
  <si>
    <t>KFM2020660013609</t>
  </si>
  <si>
    <t xml:space="preserve">   ادارةالا وقاف(مسجد شرق الخزان ..) .</t>
  </si>
  <si>
    <t>KFM2020660223633</t>
  </si>
  <si>
    <t xml:space="preserve">   مسجدحفـرالعتـش .</t>
  </si>
  <si>
    <t>KFM2020760158831</t>
  </si>
  <si>
    <t xml:space="preserve">   مسجد الصحافة وبيتي الا مام0المؤذن .</t>
  </si>
  <si>
    <t>KFM2020660202881</t>
  </si>
  <si>
    <t>KFM2020660191698</t>
  </si>
  <si>
    <t xml:space="preserve">   أدارةالا وقاف(مسجد جامع الخرفه  ) .</t>
  </si>
  <si>
    <t>KFM2020660176109</t>
  </si>
  <si>
    <t>KFM2120660302091</t>
  </si>
  <si>
    <t xml:space="preserve">   مسجد المعجل .</t>
  </si>
  <si>
    <t>KFM2020660126317</t>
  </si>
  <si>
    <t xml:space="preserve">   جامع شقراء القديم .</t>
  </si>
  <si>
    <t>KFM2020660124774</t>
  </si>
  <si>
    <t>KFM2020660227080</t>
  </si>
  <si>
    <t xml:space="preserve">   اوقاف الزلفي مسجدالسلام .</t>
  </si>
  <si>
    <t>KFM2020660228126</t>
  </si>
  <si>
    <t>مسجد      السكيت     الشفاء .</t>
  </si>
  <si>
    <t>KFM2020660035608</t>
  </si>
  <si>
    <t>مسجد      حي        الشفاء .</t>
  </si>
  <si>
    <t>KFM2020660171556</t>
  </si>
  <si>
    <t>حصه سعود عبدالعزيز الربيعة .</t>
  </si>
  <si>
    <t>KFM2020660229422</t>
  </si>
  <si>
    <t>SMR2320661028757</t>
  </si>
  <si>
    <t>KFM2020660203017</t>
  </si>
  <si>
    <t>KFM2020660123004</t>
  </si>
  <si>
    <t xml:space="preserve">   مسجد حي السلي .</t>
  </si>
  <si>
    <t>KFM2120660258996</t>
  </si>
  <si>
    <t xml:space="preserve">      مسجد الكليبى .</t>
  </si>
  <si>
    <t>KFM2120660271715</t>
  </si>
  <si>
    <t xml:space="preserve">   مسجد نورة بنت عبدالعزيز المسعود .</t>
  </si>
  <si>
    <t>KFM2020660198567</t>
  </si>
  <si>
    <t>مسجد الوالديـــــــن .</t>
  </si>
  <si>
    <t>KFM2020660038714</t>
  </si>
  <si>
    <t>مسجد أم المؤمنين خديجة بنت خويلد .</t>
  </si>
  <si>
    <t>KFM2020760131783</t>
  </si>
  <si>
    <t xml:space="preserve"> مسجد الامير فيصل بن طلال بن عبدالعزيز .</t>
  </si>
  <si>
    <t>KFM2020660202768</t>
  </si>
  <si>
    <t xml:space="preserve">   وزاراة الشئون الاسلامية والاوقاف .</t>
  </si>
  <si>
    <t>KFM2020660201312</t>
  </si>
  <si>
    <t xml:space="preserve"> مسجدالامير/سلطان بن عبدالعزيزال سعود .</t>
  </si>
  <si>
    <t>KFM2120660292214</t>
  </si>
  <si>
    <t xml:space="preserve">   مسجد/ منيره محمد العبدالقادر .</t>
  </si>
  <si>
    <t>KFM2120660302067</t>
  </si>
  <si>
    <t>KFM2020660004034</t>
  </si>
  <si>
    <t>مسجد/ الامير محمد بن سعود الكبير .</t>
  </si>
  <si>
    <t>KFM2020660198342</t>
  </si>
  <si>
    <t xml:space="preserve">   مسجد ام المؤمنين عائشه .</t>
  </si>
  <si>
    <t>KFM2020660057984</t>
  </si>
  <si>
    <t>مسجد رقم 14 مخطط 113 بالقصب .</t>
  </si>
  <si>
    <t>KFM2120660243062</t>
  </si>
  <si>
    <t xml:space="preserve">      جامع سويدان .</t>
  </si>
  <si>
    <t>KFM2120660302747</t>
  </si>
  <si>
    <t xml:space="preserve">   مسجد جوزاء جدي الحريول .</t>
  </si>
  <si>
    <t>KFM2020660174894</t>
  </si>
  <si>
    <t xml:space="preserve">   جامع عبدالله المبيريك .</t>
  </si>
  <si>
    <t>KFM2020660193524</t>
  </si>
  <si>
    <t xml:space="preserve">   وزارةالشئؤون الاسلامية مسجدالغدير .</t>
  </si>
  <si>
    <t>KFM2020660209512</t>
  </si>
  <si>
    <t xml:space="preserve">   مسجد/لطيفه عبدالرحمن الربيعه .</t>
  </si>
  <si>
    <t>KFM2120660260426</t>
  </si>
  <si>
    <t xml:space="preserve">   مسجدسموالاميرمتعب بن عبدالعزيز .</t>
  </si>
  <si>
    <t>KFM2020660210862</t>
  </si>
  <si>
    <t xml:space="preserve">   مسجد ابي عبدالله البخاري .</t>
  </si>
  <si>
    <t>KFM2020660049737</t>
  </si>
  <si>
    <t>مسجدالفوارة  الجنوبي .</t>
  </si>
  <si>
    <t>KFM2020660171798</t>
  </si>
  <si>
    <t>KFM2020660210556</t>
  </si>
  <si>
    <t xml:space="preserve">   مسجد      عبدالله   ال صقر .</t>
  </si>
  <si>
    <t>KFM2020660176030</t>
  </si>
  <si>
    <t xml:space="preserve">   مسجدأبو   عبيده بن  الجراح .</t>
  </si>
  <si>
    <t>KFM2020660193611</t>
  </si>
  <si>
    <t>وزارة الشئون الاسلامية و الاوقاف .</t>
  </si>
  <si>
    <t>KFM2020660136220</t>
  </si>
  <si>
    <t>KFM2020660190982</t>
  </si>
  <si>
    <t>مسجدبن سعيد .</t>
  </si>
  <si>
    <t>KFM2020660200405</t>
  </si>
  <si>
    <t xml:space="preserve">   مسجد / عبدالله ال براهيم .</t>
  </si>
  <si>
    <t>KFM2020660174301</t>
  </si>
  <si>
    <t>KFM2020660128831</t>
  </si>
  <si>
    <t xml:space="preserve">   مسجد الحماد .</t>
  </si>
  <si>
    <t>KFM2120660272476</t>
  </si>
  <si>
    <t xml:space="preserve">   مسجد جامع الزهره .</t>
  </si>
  <si>
    <t>KFM2120660272295</t>
  </si>
  <si>
    <t xml:space="preserve">   مسجد/حي النهضه .</t>
  </si>
  <si>
    <t>KFM2020660040500</t>
  </si>
  <si>
    <t>KFM2120660302795</t>
  </si>
  <si>
    <t>وزارة      الشئون    مسجد .</t>
  </si>
  <si>
    <t>KFM2020660043887</t>
  </si>
  <si>
    <t>SMR2320661029504</t>
  </si>
  <si>
    <t>مسجد الشيخ  عبدالله  الحجي مع السكن .</t>
  </si>
  <si>
    <t>KFM2020660200442</t>
  </si>
  <si>
    <t>KFM2020660046436</t>
  </si>
  <si>
    <t xml:space="preserve">    مسجد/عبدالله عبدالعزيزالعبدالوه .</t>
  </si>
  <si>
    <t>KFM2020660097675</t>
  </si>
  <si>
    <t xml:space="preserve">   مسجد راشد التميمي .</t>
  </si>
  <si>
    <t>KFM2020660031676</t>
  </si>
  <si>
    <t xml:space="preserve">   جامع/ ثابت بن قيس  بن شماس .</t>
  </si>
  <si>
    <t>KFM2020660210983</t>
  </si>
  <si>
    <t>مسجد عبدالعزيز التويجرى .</t>
  </si>
  <si>
    <t>KFM2020660054763</t>
  </si>
  <si>
    <t xml:space="preserve">   مسجد عبدالله السديس .</t>
  </si>
  <si>
    <t>KFM2020660145073</t>
  </si>
  <si>
    <t xml:space="preserve">         مسجد نبي الرحمه .</t>
  </si>
  <si>
    <t>KFM2020660174515</t>
  </si>
  <si>
    <t>مسجد حى  بدر الجنوبى .</t>
  </si>
  <si>
    <t>KFM2020660013285</t>
  </si>
  <si>
    <t>KFM2020660136162</t>
  </si>
  <si>
    <t>KFM2020660190180</t>
  </si>
  <si>
    <t xml:space="preserve">      مسجد   محمد  حمد صالح المطوع .</t>
  </si>
  <si>
    <t>KFM2020660053285</t>
  </si>
  <si>
    <t xml:space="preserve">   مسجد بن ملافخ .</t>
  </si>
  <si>
    <t>KFM2020660167851</t>
  </si>
  <si>
    <t>مسجد بضاحية  العريجا .</t>
  </si>
  <si>
    <t>KFM2020660198275</t>
  </si>
  <si>
    <t xml:space="preserve">   مسجد الملقا وبيتي الامام والمؤذن .</t>
  </si>
  <si>
    <t>KFM2020660127830</t>
  </si>
  <si>
    <t>AEC2020830275655</t>
  </si>
  <si>
    <t xml:space="preserve">   مسجد عبدالرحمن الخريف .</t>
  </si>
  <si>
    <t>KFM2020660170095</t>
  </si>
  <si>
    <t xml:space="preserve">   مسجد حي الفيحاء .</t>
  </si>
  <si>
    <t>KFM2120660271672</t>
  </si>
  <si>
    <t xml:space="preserve">   مسجد اسواق العويس .</t>
  </si>
  <si>
    <t>KFM2020660014356</t>
  </si>
  <si>
    <t xml:space="preserve">   مسجد النفل .</t>
  </si>
  <si>
    <t>KFM2020660095458</t>
  </si>
  <si>
    <t xml:space="preserve">   مسجد عبدالله الرشيد .</t>
  </si>
  <si>
    <t>KFM2020660143136</t>
  </si>
  <si>
    <t>KFM2020766158162</t>
  </si>
  <si>
    <t>KFM2020660176173</t>
  </si>
  <si>
    <t xml:space="preserve">   مسجد .</t>
  </si>
  <si>
    <t>KFM2020760135950</t>
  </si>
  <si>
    <t xml:space="preserve">   مسجد      صلا ح      الدين .</t>
  </si>
  <si>
    <t>KFM2020660056765</t>
  </si>
  <si>
    <t>KFM2120660273253</t>
  </si>
  <si>
    <t>KFM2120660253465</t>
  </si>
  <si>
    <t>مسجد الداؤد/الحزم .</t>
  </si>
  <si>
    <t>KFM2020660099244</t>
  </si>
  <si>
    <t xml:space="preserve">   مسجدوسكن الامام والمؤذن الصحافه .</t>
  </si>
  <si>
    <t>KFM2120660250942</t>
  </si>
  <si>
    <t xml:space="preserve">   مسجد      ام        ال .</t>
  </si>
  <si>
    <t>KFM2020660104394</t>
  </si>
  <si>
    <t>KFM2020660046433</t>
  </si>
  <si>
    <t>مسجد حى  الشفاء .</t>
  </si>
  <si>
    <t>KFM2020660166691</t>
  </si>
  <si>
    <t>مسجد      القويز    بالبديعة .</t>
  </si>
  <si>
    <t>KFM2020660027238</t>
  </si>
  <si>
    <t>مسجد النميلات .</t>
  </si>
  <si>
    <t>KFM2020660087399</t>
  </si>
  <si>
    <t xml:space="preserve"> اوقاف الخرج/مسجدعبدالله صالح العسكر .</t>
  </si>
  <si>
    <t>KFM2020660230150</t>
  </si>
  <si>
    <t xml:space="preserve">   مسجد/ حي الريان. .</t>
  </si>
  <si>
    <t>KFM2020660175745</t>
  </si>
  <si>
    <t xml:space="preserve">    مسجدحفص بن سليمان .</t>
  </si>
  <si>
    <t>KFM2020660212653</t>
  </si>
  <si>
    <t xml:space="preserve">   مسجد      محمد      الداود .</t>
  </si>
  <si>
    <t>KFM2120660236129</t>
  </si>
  <si>
    <t>KFM2020660187550</t>
  </si>
  <si>
    <t xml:space="preserve">   مسجد الفداء .</t>
  </si>
  <si>
    <t>KFM2120660273783</t>
  </si>
  <si>
    <t xml:space="preserve">   مسجد الأسمري .</t>
  </si>
  <si>
    <t>KFM2020660211304</t>
  </si>
  <si>
    <t xml:space="preserve">   مسجد فاطمه الزهراء 2449/5</t>
  </si>
  <si>
    <t>KFM2120660300566</t>
  </si>
  <si>
    <t xml:space="preserve">   وزارة     الشؤن     مسجد الواحة .</t>
  </si>
  <si>
    <t>KFM2020660190503</t>
  </si>
  <si>
    <t xml:space="preserve">   مسجد عثمان ابراهيم .</t>
  </si>
  <si>
    <t>KFM2020660225947</t>
  </si>
  <si>
    <t>أوقاف ومساجد رماح .</t>
  </si>
  <si>
    <t>KFM2020660150142</t>
  </si>
  <si>
    <t>مسجدوالده  اللواءالفرائضي .</t>
  </si>
  <si>
    <t>KFM2020660049575</t>
  </si>
  <si>
    <t>KFM2120660246993</t>
  </si>
  <si>
    <t xml:space="preserve">   وزاره الشؤون الاسلاميه =مسجدالمروج .</t>
  </si>
  <si>
    <t>KFM2020660207302</t>
  </si>
  <si>
    <t xml:space="preserve">   مسجدعبدالله ناصرالصقر .</t>
  </si>
  <si>
    <t>SMR2220661011648</t>
  </si>
  <si>
    <t xml:space="preserve">            مسجد  حمد  الدهش رقم3 .</t>
  </si>
  <si>
    <t>KFM2120660241095</t>
  </si>
  <si>
    <t xml:space="preserve">   مسجد حي  اسكان الجزيره .</t>
  </si>
  <si>
    <t>KFM2120660271548</t>
  </si>
  <si>
    <t>KFM2020660191717</t>
  </si>
  <si>
    <t xml:space="preserve">   اوقاف الخرج --مسجدعبدالله جعوني .</t>
  </si>
  <si>
    <t>KFM2020660231430</t>
  </si>
  <si>
    <t xml:space="preserve">   مسجد التنعيم .</t>
  </si>
  <si>
    <t>KFM2020660047749</t>
  </si>
  <si>
    <t>KFM2020660210977</t>
  </si>
  <si>
    <t>مسجد صالح  الصانع .</t>
  </si>
  <si>
    <t>KFM2020660200899</t>
  </si>
  <si>
    <t xml:space="preserve">   مسجد وسكن المونسيه .</t>
  </si>
  <si>
    <t>KFM2020660175834</t>
  </si>
  <si>
    <t>KFM2020660170643</t>
  </si>
  <si>
    <t xml:space="preserve"> مسجد الامير سعود بن فهد بن عبدالعزيز .</t>
  </si>
  <si>
    <t>KFM2020660043469</t>
  </si>
  <si>
    <t>KFM2020660061118</t>
  </si>
  <si>
    <t>KFM2020660167839</t>
  </si>
  <si>
    <t xml:space="preserve">   مسجد عبدالله يوسف .</t>
  </si>
  <si>
    <t>KFM2020660042001</t>
  </si>
  <si>
    <t>KFM2120660299060</t>
  </si>
  <si>
    <t>KFM2120660257448</t>
  </si>
  <si>
    <t xml:space="preserve">   مسجد حي الخالديه  و مرفقاته .</t>
  </si>
  <si>
    <t>KFM2120660287345</t>
  </si>
  <si>
    <t xml:space="preserve">   مسجد / ابراهيم محمد بن سعيدان .</t>
  </si>
  <si>
    <t>KFM2020660213506</t>
  </si>
  <si>
    <t>KFM2020660174703</t>
  </si>
  <si>
    <t xml:space="preserve">   مسجد عبدالرحمن النفيعي .</t>
  </si>
  <si>
    <t>KFM2020660230217</t>
  </si>
  <si>
    <t xml:space="preserve">      اوقاف الدواسر/ جامع اللدام .</t>
  </si>
  <si>
    <t>KFM2020660176056</t>
  </si>
  <si>
    <t>KFM2020660100037</t>
  </si>
  <si>
    <t>SMR2320661034450</t>
  </si>
  <si>
    <t>مسجد الرويل .</t>
  </si>
  <si>
    <t>KFM2020660177086</t>
  </si>
  <si>
    <t>مسجد جنوب الشفاء .</t>
  </si>
  <si>
    <t>KFM2020660171574</t>
  </si>
  <si>
    <t xml:space="preserve">   مسجد / الداود .</t>
  </si>
  <si>
    <t>KFM2120660284482</t>
  </si>
  <si>
    <t xml:space="preserve">   جامع سويلمفي        حلبان .</t>
  </si>
  <si>
    <t>KFM2120660241366</t>
  </si>
  <si>
    <t xml:space="preserve">   اوقاف القويعيه /مسجدالشفا .</t>
  </si>
  <si>
    <t>KFM2020660229501</t>
  </si>
  <si>
    <t>KFM2120660270020</t>
  </si>
  <si>
    <t xml:space="preserve">   مسجد      ال جري    - .</t>
  </si>
  <si>
    <t>KFM2120660299300</t>
  </si>
  <si>
    <t xml:space="preserve">   مسجد حي  الخليج .</t>
  </si>
  <si>
    <t>KFM2020660047186</t>
  </si>
  <si>
    <t xml:space="preserve">   مسجد الحى رقم 2 المطار .</t>
  </si>
  <si>
    <t>KFM2020660160320</t>
  </si>
  <si>
    <t>SMR2220661002529</t>
  </si>
  <si>
    <t xml:space="preserve">   وزارةالشؤون الاسلامية مسجد و سكن .</t>
  </si>
  <si>
    <t>KFM2020660193040</t>
  </si>
  <si>
    <t xml:space="preserve">   مسجد      الأوبيرق   . .</t>
  </si>
  <si>
    <t>KFM2020766147225</t>
  </si>
  <si>
    <t xml:space="preserve">   مسجدتركي العساف بحي الازدهار .</t>
  </si>
  <si>
    <t>KFM2020660173091</t>
  </si>
  <si>
    <t>وقاف ومساجد الرين .</t>
  </si>
  <si>
    <t>KFM2020660196830</t>
  </si>
  <si>
    <t xml:space="preserve">      الحج و الاقاف /مسجد العاصميه .</t>
  </si>
  <si>
    <t>SMR2320661023149</t>
  </si>
  <si>
    <t xml:space="preserve">   مسجد جامع الحائر .</t>
  </si>
  <si>
    <t>KFM2120660268931</t>
  </si>
  <si>
    <t xml:space="preserve">   مسجد العريني .</t>
  </si>
  <si>
    <t>KFM2020660201377</t>
  </si>
  <si>
    <t xml:space="preserve">   مسجد الرمضةبالجوبة .</t>
  </si>
  <si>
    <t>KFM2120660247567</t>
  </si>
  <si>
    <t xml:space="preserve">   اوقاف الخرج/مسجد حى العدامه .</t>
  </si>
  <si>
    <t>KFM2120660245966</t>
  </si>
  <si>
    <t xml:space="preserve">   مسجد الصحابه  بحي  حطين .</t>
  </si>
  <si>
    <t>KFM2020660091932</t>
  </si>
  <si>
    <t>KFM2020660203232</t>
  </si>
  <si>
    <t xml:space="preserve">   مسجد ابن عمار .</t>
  </si>
  <si>
    <t>KFM2020660200116</t>
  </si>
  <si>
    <t>مسجدالجوهرة العبد السلام .</t>
  </si>
  <si>
    <t>KFM2020660051458</t>
  </si>
  <si>
    <t>SMR2320661020622</t>
  </si>
  <si>
    <t>KFM2020660104337</t>
  </si>
  <si>
    <t xml:space="preserve">   مسجد حي المليحيه .</t>
  </si>
  <si>
    <t>KFM2020660040867</t>
  </si>
  <si>
    <t>KFM2020766061246</t>
  </si>
  <si>
    <t xml:space="preserve">   جامع عبدالله الناصر السديري بالغاط .</t>
  </si>
  <si>
    <t>KFM2120660289656</t>
  </si>
  <si>
    <t xml:space="preserve">   مسجدمحمدالبابطين حي الشفاء .</t>
  </si>
  <si>
    <t>KFM2120660279213</t>
  </si>
  <si>
    <t>SMR2220621001627</t>
  </si>
  <si>
    <t xml:space="preserve">   مسجد حي غبيراء الجنوبي .</t>
  </si>
  <si>
    <t>KFM2120660281634</t>
  </si>
  <si>
    <t>KFM2020660213549</t>
  </si>
  <si>
    <t xml:space="preserve">   مسجدابوبكرالصديق .</t>
  </si>
  <si>
    <t>KFM2020660195061</t>
  </si>
  <si>
    <t xml:space="preserve">   مسجد الاحسان .</t>
  </si>
  <si>
    <t>KFM2020660130963</t>
  </si>
  <si>
    <t xml:space="preserve">   مسجد حي قرطبة .</t>
  </si>
  <si>
    <t>KFM2020660046501</t>
  </si>
  <si>
    <t>مسجد غرب شبراء .</t>
  </si>
  <si>
    <t>KFM2020660099037</t>
  </si>
  <si>
    <t xml:space="preserve">   مسجد/ سعيد بن زيد .</t>
  </si>
  <si>
    <t>KFM2120660273268</t>
  </si>
  <si>
    <t xml:space="preserve">   مسجد الفتح .</t>
  </si>
  <si>
    <t>KFM2120660273899</t>
  </si>
  <si>
    <t>جامع  الامير نايف بن عبدالعزيز .</t>
  </si>
  <si>
    <t>KFM2020660051537</t>
  </si>
  <si>
    <t xml:space="preserve">   مسجد/ مجمع ساجر التجاري .</t>
  </si>
  <si>
    <t>KFM2020660233475</t>
  </si>
  <si>
    <t>مسجد بن زرقان .</t>
  </si>
  <si>
    <t>KFM2020660203975</t>
  </si>
  <si>
    <t>1 مسجد بلك  2008 ـ 3 ـ .</t>
  </si>
  <si>
    <t>KFM2020660054389</t>
  </si>
  <si>
    <t>KFM2020660054033</t>
  </si>
  <si>
    <t>KFM2020766128578</t>
  </si>
  <si>
    <t>.     مسجد      القاسم .</t>
  </si>
  <si>
    <t>KFM2020660203426</t>
  </si>
  <si>
    <t>KFM2020660192901</t>
  </si>
  <si>
    <t>KFM2020660213488</t>
  </si>
  <si>
    <t>KFM2120660242770</t>
  </si>
  <si>
    <t xml:space="preserve">            مسجد  رقم5 مخطط(913) .</t>
  </si>
  <si>
    <t>ECC2020810859092</t>
  </si>
  <si>
    <t xml:space="preserve">   مسجد حى النسيم .</t>
  </si>
  <si>
    <t>KFM2020660018671</t>
  </si>
  <si>
    <t>KFM2020660192926</t>
  </si>
  <si>
    <t>KFM2020660049451</t>
  </si>
  <si>
    <t>مسجد حله  ال  عقيل .</t>
  </si>
  <si>
    <t>KFM2020660202646</t>
  </si>
  <si>
    <t xml:space="preserve">   مسجد عبدالله بن جوهر بن سرهيد .</t>
  </si>
  <si>
    <t>KFM2020660197721</t>
  </si>
  <si>
    <t xml:space="preserve">   مسجد وجامع حى الفيصلية 2905/5</t>
  </si>
  <si>
    <t>KFM2020660053950</t>
  </si>
  <si>
    <t>KFM2020660057463</t>
  </si>
  <si>
    <t xml:space="preserve">   مسجد منيره الحميد .</t>
  </si>
  <si>
    <t>KFM2120660300563</t>
  </si>
  <si>
    <t xml:space="preserve">   مسجد      سعد بن    معاذ .</t>
  </si>
  <si>
    <t>KFM2020660056844</t>
  </si>
  <si>
    <t>KFM2020660197181</t>
  </si>
  <si>
    <t>KFM2020660230873</t>
  </si>
  <si>
    <t>مسجدالاميرة  الجوهرة  بنت تركى .</t>
  </si>
  <si>
    <t>KFM2020660051603</t>
  </si>
  <si>
    <t xml:space="preserve">   الموسسه العامه للصناعات الحرب .</t>
  </si>
  <si>
    <t>KFM2020760214512</t>
  </si>
  <si>
    <t xml:space="preserve">   مسجد      صالح      العيدان .</t>
  </si>
  <si>
    <t>KFM2020660193602</t>
  </si>
  <si>
    <t xml:space="preserve">   مسجد/محمد بن        عبدالوهاب .</t>
  </si>
  <si>
    <t>KFM2120660271543</t>
  </si>
  <si>
    <t>مسجد      عبدالله    السعدون .</t>
  </si>
  <si>
    <t>KFM2020660044533</t>
  </si>
  <si>
    <t xml:space="preserve">   مسجد حي الجنادريه .</t>
  </si>
  <si>
    <t>KFM2020660133881</t>
  </si>
  <si>
    <t xml:space="preserve">   مسجد الجنادريه .</t>
  </si>
  <si>
    <t>KFM2020660012505</t>
  </si>
  <si>
    <t xml:space="preserve">   مسجد      حى        . .</t>
  </si>
  <si>
    <t>KFM2020660173367</t>
  </si>
  <si>
    <t>SMR2320661020739</t>
  </si>
  <si>
    <t xml:space="preserve">   مسجد      حي        الجنادريه .</t>
  </si>
  <si>
    <t>KFM2020660133884</t>
  </si>
  <si>
    <t xml:space="preserve">   مسجد المنطقه الصناعيه .</t>
  </si>
  <si>
    <t>KFM2020660201584</t>
  </si>
  <si>
    <t xml:space="preserve">   مسجد الفريج .</t>
  </si>
  <si>
    <t>KFM2020660229825</t>
  </si>
  <si>
    <t xml:space="preserve">   مسجد/عمر بن عبدالعزيز .</t>
  </si>
  <si>
    <t>KFM2020660193080</t>
  </si>
  <si>
    <t>KFM2020660104257</t>
  </si>
  <si>
    <t xml:space="preserve">   مسجد شمال حى الرحمانيه .</t>
  </si>
  <si>
    <t>KFM2020660203047</t>
  </si>
  <si>
    <t xml:space="preserve">   مسجد رجاء العتيبي .</t>
  </si>
  <si>
    <t>KFM2020660161276</t>
  </si>
  <si>
    <t xml:space="preserve">   مسجدحي الوادي .</t>
  </si>
  <si>
    <t>KFM2020660211384</t>
  </si>
  <si>
    <t>SMR2320661022778</t>
  </si>
  <si>
    <t xml:space="preserve">   مسجد صالح بن صالح الصالح 74 .</t>
  </si>
  <si>
    <t>KFM2020760227449</t>
  </si>
  <si>
    <t xml:space="preserve">   مسجد حي السلام .</t>
  </si>
  <si>
    <t>KFM2020660145821</t>
  </si>
  <si>
    <t xml:space="preserve">   مسجد محمد الرشيد .</t>
  </si>
  <si>
    <t>KFM2120660267533</t>
  </si>
  <si>
    <t xml:space="preserve">   مسجد حي الروضه .</t>
  </si>
  <si>
    <t>KFM2020660037572</t>
  </si>
  <si>
    <t xml:space="preserve">   مسجدالتقوي وبيتي الامام والمؤذن .</t>
  </si>
  <si>
    <t>KFM2120660257450</t>
  </si>
  <si>
    <t>مسجد غرب شارع    1 العريجاء .</t>
  </si>
  <si>
    <t>KFM2020660171801</t>
  </si>
  <si>
    <t xml:space="preserve">   مسجدجامع شمال المربع .</t>
  </si>
  <si>
    <t>KFM2020660209652</t>
  </si>
  <si>
    <t xml:space="preserve"> مسجدالامير تركي بن عبدالرحمن ال سعود .</t>
  </si>
  <si>
    <t>KFM2020660133859</t>
  </si>
  <si>
    <t xml:space="preserve">   مسجد الدائري الجنوبي .</t>
  </si>
  <si>
    <t>KFM2020660057417</t>
  </si>
  <si>
    <t>KFM2120660263441</t>
  </si>
  <si>
    <t xml:space="preserve">   مسجد عدي بن حاتم - رضي الله عنه .</t>
  </si>
  <si>
    <t>KFM2020660129791</t>
  </si>
  <si>
    <t xml:space="preserve">   مسجد /الشيخ محمد الحميدى .</t>
  </si>
  <si>
    <t>KFM2020660050046</t>
  </si>
  <si>
    <t xml:space="preserve">   مسجدشاهه .</t>
  </si>
  <si>
    <t>KFM2020660234227</t>
  </si>
  <si>
    <t>مسجد غرب  شبرا .</t>
  </si>
  <si>
    <t>KFM2020660083781</t>
  </si>
  <si>
    <t xml:space="preserve">   مسجد صفين .</t>
  </si>
  <si>
    <t>KFM2020660166610</t>
  </si>
  <si>
    <t>SMR2220661002517</t>
  </si>
  <si>
    <t xml:space="preserve">      مسجد .</t>
  </si>
  <si>
    <t>AES2020896448253</t>
  </si>
  <si>
    <t>SMR2420768001826</t>
  </si>
  <si>
    <t xml:space="preserve">   مـسـجد جـامعالغانمية .</t>
  </si>
  <si>
    <t>KFM2020660212715</t>
  </si>
  <si>
    <t xml:space="preserve"> مسجدالاميرة/جهير بنت بندر عبدالرحمن .</t>
  </si>
  <si>
    <t>KFM2120660258281</t>
  </si>
  <si>
    <t xml:space="preserve">   مسجدالاميرمساعدالاحمد .</t>
  </si>
  <si>
    <t>KFM2120660289705</t>
  </si>
  <si>
    <t xml:space="preserve">   مسجد الصفوة وبيتي الامام والمؤذن .</t>
  </si>
  <si>
    <t>KFM2020660031455</t>
  </si>
  <si>
    <t>SMR2220661001868</t>
  </si>
  <si>
    <t xml:space="preserve">   جامع      السويد    بطحي .</t>
  </si>
  <si>
    <t>KFM2020660189410</t>
  </si>
  <si>
    <t xml:space="preserve">   مسجد      النور     بحلبان .</t>
  </si>
  <si>
    <t>KFM2020766077803</t>
  </si>
  <si>
    <t>KFM2120655003947</t>
  </si>
  <si>
    <t xml:space="preserve">     وزارة الشئون الاسلامية والاوقاف .</t>
  </si>
  <si>
    <t>KFM2020660187948</t>
  </si>
  <si>
    <t>AEC2020830530726</t>
  </si>
  <si>
    <t>KFM2020660231393</t>
  </si>
  <si>
    <t>KFM2020760210056</t>
  </si>
  <si>
    <t>KFM2020660193741</t>
  </si>
  <si>
    <t>SMR2220661007098</t>
  </si>
  <si>
    <t>KFM2120660251280</t>
  </si>
  <si>
    <t>مسجد      الاميره     ساره .</t>
  </si>
  <si>
    <t>KFM2020660171608</t>
  </si>
  <si>
    <t xml:space="preserve">   مسجد السلطانية .</t>
  </si>
  <si>
    <t>KFM2020660231413</t>
  </si>
  <si>
    <t xml:space="preserve">   مسجد الزغيبي .</t>
  </si>
  <si>
    <t>KFM2020660054066</t>
  </si>
  <si>
    <t xml:space="preserve">   مسجد عائشة بنت أبي بكر .</t>
  </si>
  <si>
    <t>KFM2120660257847</t>
  </si>
  <si>
    <t xml:space="preserve">   مسجد    عمار بن   ياسر .</t>
  </si>
  <si>
    <t>KFM2020660041763</t>
  </si>
  <si>
    <t xml:space="preserve">   المسجدالجامع/جفين سعدالمشعلى .</t>
  </si>
  <si>
    <t>KFM2020660233275</t>
  </si>
  <si>
    <t xml:space="preserve">   مسجد الريس   00 .</t>
  </si>
  <si>
    <t>KFM2020660175133</t>
  </si>
  <si>
    <t xml:space="preserve">   مسجدوالدةعبدالله المطيري .</t>
  </si>
  <si>
    <t>KFM2020660008241</t>
  </si>
  <si>
    <t>KFM2120660284072</t>
  </si>
  <si>
    <t xml:space="preserve">   مسجد/ زياد شحيبان .</t>
  </si>
  <si>
    <t>AES2120896571837</t>
  </si>
  <si>
    <t xml:space="preserve">   مسجد      الجامع    بمصدة .</t>
  </si>
  <si>
    <t>KFM2020660212260</t>
  </si>
  <si>
    <t xml:space="preserve">   مسجد      موضى      . .</t>
  </si>
  <si>
    <t>KFM2020660060523</t>
  </si>
  <si>
    <t xml:space="preserve">   مسجد/الشيخ محمد عبدالله النويصر .</t>
  </si>
  <si>
    <t>KFM2020660188780</t>
  </si>
  <si>
    <t xml:space="preserve">   اوقاف الخرج --مسجد حمد بن ظبان .</t>
  </si>
  <si>
    <t>KFM2020660212871</t>
  </si>
  <si>
    <t>مسجد معاذ بن ابي جبل .</t>
  </si>
  <si>
    <t>KFM2120660251055</t>
  </si>
  <si>
    <t xml:space="preserve">    مسجد      المقبل .</t>
  </si>
  <si>
    <t>KFM2020660057168</t>
  </si>
  <si>
    <t>مسجد شمال  شرق  الخزان .</t>
  </si>
  <si>
    <t>KFM2120660264474</t>
  </si>
  <si>
    <t>SMR2320661029437</t>
  </si>
  <si>
    <t>SMR2420661038673</t>
  </si>
  <si>
    <t xml:space="preserve">   مسجد الشيخ عبدالعزيز ال الشيخ .</t>
  </si>
  <si>
    <t>KFM2020660174026</t>
  </si>
  <si>
    <t xml:space="preserve">   مسجد ام الحمام شرق مجلس التعاون .</t>
  </si>
  <si>
    <t>KFM2020660175533</t>
  </si>
  <si>
    <t xml:space="preserve">   مسجد/السليميه الجنوبي .</t>
  </si>
  <si>
    <t>KFM2020660131278</t>
  </si>
  <si>
    <t>KFM2020660145887</t>
  </si>
  <si>
    <t xml:space="preserve">   مسجدالاميرعبدالعزيزمساعدبن جلوي .</t>
  </si>
  <si>
    <t>KFM2120660303832</t>
  </si>
  <si>
    <t>وقاف ومساجد الزلفي مسجدمحمدالمنصور .</t>
  </si>
  <si>
    <t>KFM2120660280279</t>
  </si>
  <si>
    <t>KFM2020660191830</t>
  </si>
  <si>
    <t>MMF2420601025685</t>
  </si>
  <si>
    <t>KFM2020660012520</t>
  </si>
  <si>
    <t xml:space="preserve">   اوقاف الخرج/ مسجد علي الوابل .</t>
  </si>
  <si>
    <t>KFM2020660230136</t>
  </si>
  <si>
    <t>مسجد سعود الزير .</t>
  </si>
  <si>
    <t>KFM2020660013603</t>
  </si>
  <si>
    <t>KFM2020660201999</t>
  </si>
  <si>
    <t xml:space="preserve">   مسجد قرية الروسان .</t>
  </si>
  <si>
    <t>KFM2120660253514</t>
  </si>
  <si>
    <t xml:space="preserve">   بيت الامام المسجد ة .</t>
  </si>
  <si>
    <t>KFM2120660255697</t>
  </si>
  <si>
    <t xml:space="preserve">   جامع باجد .</t>
  </si>
  <si>
    <t>KFM2020660145764</t>
  </si>
  <si>
    <t xml:space="preserve">   مسجدعمر   بن        عبدالعزيز .</t>
  </si>
  <si>
    <t>KFM2020660036973</t>
  </si>
  <si>
    <t xml:space="preserve">   مسجد / نورة .</t>
  </si>
  <si>
    <t>KFM2020660209448</t>
  </si>
  <si>
    <t xml:space="preserve">   مسجد ابراهيم سعد الموسى .</t>
  </si>
  <si>
    <t>KFM2020660193046</t>
  </si>
  <si>
    <t xml:space="preserve">   اوقاف الزلفي مسجدمحمدالمقحم .</t>
  </si>
  <si>
    <t>KFM2020766158115</t>
  </si>
  <si>
    <t xml:space="preserve">   مسجد لؤلؤة منصور الرميح .</t>
  </si>
  <si>
    <t>KFM2020660210913</t>
  </si>
  <si>
    <t xml:space="preserve">   مسجد    فهد  داود   العصيمي .</t>
  </si>
  <si>
    <t>KFM2020660176470</t>
  </si>
  <si>
    <t xml:space="preserve">     مسجد قحصان محمد اليامي .</t>
  </si>
  <si>
    <t>KFM2020660170742</t>
  </si>
  <si>
    <t xml:space="preserve">   مسجد دغيم الشمري .</t>
  </si>
  <si>
    <t>KFM2020660211780</t>
  </si>
  <si>
    <t>KFM2020660212408</t>
  </si>
  <si>
    <t>KFM2020660027770</t>
  </si>
  <si>
    <t>KFM2020660171822</t>
  </si>
  <si>
    <t>مسجد التضامن .</t>
  </si>
  <si>
    <t>KFM2020660044117</t>
  </si>
  <si>
    <t xml:space="preserve">   مسجدالملز الجنوبي 5/3150</t>
  </si>
  <si>
    <t>KFM2020660057333</t>
  </si>
  <si>
    <t xml:space="preserve">   مسجد العقيق .</t>
  </si>
  <si>
    <t>KFM2020660187994</t>
  </si>
  <si>
    <t>KFM2020660037589</t>
  </si>
  <si>
    <t>KFM2120660304564</t>
  </si>
  <si>
    <t xml:space="preserve">   مسجد الخير مع سكن الامام و المؤذن .</t>
  </si>
  <si>
    <t>KFM2020660061243</t>
  </si>
  <si>
    <t xml:space="preserve">   اوقاف الزلفي (مسجدالرايه) .</t>
  </si>
  <si>
    <t>KFM2020660201468</t>
  </si>
  <si>
    <t>KFM2020660190431</t>
  </si>
  <si>
    <t xml:space="preserve">      مسجد بويريده الصغير .</t>
  </si>
  <si>
    <t>SMR2220661017704</t>
  </si>
  <si>
    <t>MMF2020800227443</t>
  </si>
  <si>
    <t>مسجد الهدى .</t>
  </si>
  <si>
    <t>KFM2020660165556</t>
  </si>
  <si>
    <t>مسجد      الريس     حي السباله .</t>
  </si>
  <si>
    <t>KFM2020660014125</t>
  </si>
  <si>
    <t xml:space="preserve">     مسجد حي الفيصليه -صهيب الرومي- .</t>
  </si>
  <si>
    <t>KFM2020660229287</t>
  </si>
  <si>
    <t xml:space="preserve">   مسجد وسكن السلطان .</t>
  </si>
  <si>
    <t>KFM2020660144708</t>
  </si>
  <si>
    <t xml:space="preserve">   مسجد الامام أحمد بن حنبل .</t>
  </si>
  <si>
    <t>KFM2020660012506</t>
  </si>
  <si>
    <t xml:space="preserve">   مسجد شرق سوق الربوه .</t>
  </si>
  <si>
    <t>KFM2020660129797</t>
  </si>
  <si>
    <t>مسجد / مبارك تركي القحطاني .</t>
  </si>
  <si>
    <t>KFM2020660212554</t>
  </si>
  <si>
    <t>KFM2120660255402</t>
  </si>
  <si>
    <t xml:space="preserve">   مسجد الخشمان .</t>
  </si>
  <si>
    <t>KFM2020660162166</t>
  </si>
  <si>
    <t xml:space="preserve">   مسجد العجيبه .</t>
  </si>
  <si>
    <t>KFM2120660304634</t>
  </si>
  <si>
    <t xml:space="preserve">      مسجد السلمى .</t>
  </si>
  <si>
    <t>AES2020896045265</t>
  </si>
  <si>
    <t xml:space="preserve">   مسجد النويصر .</t>
  </si>
  <si>
    <t>KFM2020660057330</t>
  </si>
  <si>
    <t xml:space="preserve">   مسجدالهداية .</t>
  </si>
  <si>
    <t>KFM2120660270273</t>
  </si>
  <si>
    <t>KFM2020660041621</t>
  </si>
  <si>
    <t xml:space="preserve">   مسجد عائشه أم المؤمنين .</t>
  </si>
  <si>
    <t>KFM2020660171223</t>
  </si>
  <si>
    <t xml:space="preserve">      مسجد الكثيرى .</t>
  </si>
  <si>
    <t>KFM2020660209349</t>
  </si>
  <si>
    <t>KFM2020660061251</t>
  </si>
  <si>
    <t xml:space="preserve">   مسجد ابو عتيق .</t>
  </si>
  <si>
    <t>KFM2020660188229</t>
  </si>
  <si>
    <t>KFM2120660283870</t>
  </si>
  <si>
    <t xml:space="preserve">     مؤسةالاميرهالعنود بنت مساعدال س .</t>
  </si>
  <si>
    <t>KFM2020660091209</t>
  </si>
  <si>
    <t xml:space="preserve">   مسجد/ مسفر عبدالله الربيقي .</t>
  </si>
  <si>
    <t>KFM2020660162231</t>
  </si>
  <si>
    <t xml:space="preserve">   مسجد حي المطار .</t>
  </si>
  <si>
    <t>ECC2020810834367</t>
  </si>
  <si>
    <t xml:space="preserve"> وزارة الشئون الاسلامية والاوقاف(مسجد) .</t>
  </si>
  <si>
    <t>KFM2020660213534</t>
  </si>
  <si>
    <t xml:space="preserve">   مسجد      مدعج      السبيعي .</t>
  </si>
  <si>
    <t>KFM2020660040812</t>
  </si>
  <si>
    <t xml:space="preserve">   مسجد الضلعان .</t>
  </si>
  <si>
    <t>KFM2020660056810</t>
  </si>
  <si>
    <t>KFM2120660257162</t>
  </si>
  <si>
    <t xml:space="preserve">   الاوقاف والمساجدمسجدالدريبي السلام .</t>
  </si>
  <si>
    <t>KFM2020660150136</t>
  </si>
  <si>
    <t xml:space="preserve">   مسجد حي النظيم .</t>
  </si>
  <si>
    <t>KFM2020660174851</t>
  </si>
  <si>
    <t>مسجد محمد الموسى .</t>
  </si>
  <si>
    <t>KFM2020766159154</t>
  </si>
  <si>
    <t>KFM2120660264426</t>
  </si>
  <si>
    <t>KFM2020660061077</t>
  </si>
  <si>
    <t>KFM2020660212074</t>
  </si>
  <si>
    <t>ﻭﺯﺍﺭﺓﺍﻻﻭﻗﺎﻑ _ﺍﻭﻗﺎﻑ ﺍﻟﺠﻤﺵ .</t>
  </si>
  <si>
    <t>SMR2220661004077</t>
  </si>
  <si>
    <t>مسجد القرقرى .</t>
  </si>
  <si>
    <t>KFM2020660099024</t>
  </si>
  <si>
    <t xml:space="preserve">   مسجد نايف الحديثي .</t>
  </si>
  <si>
    <t>KFM2020660060079</t>
  </si>
  <si>
    <t>KFM2020660188416</t>
  </si>
  <si>
    <t xml:space="preserve"> المسجد    الموقت  جامع العوده .</t>
  </si>
  <si>
    <t>KFM2020660198408</t>
  </si>
  <si>
    <t xml:space="preserve">   مسجد اسكان الجزيره .</t>
  </si>
  <si>
    <t>KFM2120660260343</t>
  </si>
  <si>
    <t xml:space="preserve">   مسجد  ابو  ذر الغفاري .</t>
  </si>
  <si>
    <t>KFM2020660054758</t>
  </si>
  <si>
    <t>KFM2020660047271</t>
  </si>
  <si>
    <t xml:space="preserve">      مسجد الداخله .</t>
  </si>
  <si>
    <t>KFM2020660211623</t>
  </si>
  <si>
    <t>KFM2020660177843</t>
  </si>
  <si>
    <t>KFM2020660207287</t>
  </si>
  <si>
    <t xml:space="preserve">   مسجد عبدالله بن عمر .</t>
  </si>
  <si>
    <t>KFM2020660208013</t>
  </si>
  <si>
    <t xml:space="preserve">   مسجد/ال سويكت .</t>
  </si>
  <si>
    <t>KFM2020660223654</t>
  </si>
  <si>
    <t>SMR2220661006778</t>
  </si>
  <si>
    <t xml:space="preserve">   مسجدفهدعبدالله الجخيدب .</t>
  </si>
  <si>
    <t>KFM2020660188266</t>
  </si>
  <si>
    <t xml:space="preserve">   مسجد      النهضه    بالدوادمي .</t>
  </si>
  <si>
    <t>KFM2020660172350</t>
  </si>
  <si>
    <t>KFM2120660293952</t>
  </si>
  <si>
    <t xml:space="preserve">   جامع فهادآل فاران /اوقاف السليل .</t>
  </si>
  <si>
    <t>KFM2120660270779</t>
  </si>
  <si>
    <t xml:space="preserve">   مسجد      سليمان    اليحي .</t>
  </si>
  <si>
    <t>KFM2020660008315</t>
  </si>
  <si>
    <t xml:space="preserve">   ادارةاوقافمسجد      بالافلاج .</t>
  </si>
  <si>
    <t>KFM2020766000952</t>
  </si>
  <si>
    <t>SMR2320661029101</t>
  </si>
  <si>
    <t>KFM2120660284386</t>
  </si>
  <si>
    <t xml:space="preserve">   اوقاف الخرج - مسجدابراهيم الصغير .</t>
  </si>
  <si>
    <t>KFM2120660245969</t>
  </si>
  <si>
    <t>KFM2120660301763</t>
  </si>
  <si>
    <t>KFM2020660191587</t>
  </si>
  <si>
    <t xml:space="preserve">   مسجد حي المصيف .</t>
  </si>
  <si>
    <t>KFM2020660127617</t>
  </si>
  <si>
    <t>KFM2020660192898</t>
  </si>
  <si>
    <t xml:space="preserve">   مسجد الشايع .</t>
  </si>
  <si>
    <t>KFM2120660242239</t>
  </si>
  <si>
    <t>مسجدالشيخ  حمود التويجري .</t>
  </si>
  <si>
    <t>KFM2020660177040</t>
  </si>
  <si>
    <t xml:space="preserve">   مسجد عكاشه .</t>
  </si>
  <si>
    <t>KFM2120660258945</t>
  </si>
  <si>
    <t xml:space="preserve">   مسجد      الياسمين  . .</t>
  </si>
  <si>
    <t>KFM2020660104277</t>
  </si>
  <si>
    <t>KFM2120660286843</t>
  </si>
  <si>
    <t xml:space="preserve">   مسجد عبدالكريم جميلي .</t>
  </si>
  <si>
    <t>KFM2020660061445</t>
  </si>
  <si>
    <t xml:space="preserve">   مسجد      زياد      وزوجته عتقاء .</t>
  </si>
  <si>
    <t>KFM2020660193470</t>
  </si>
  <si>
    <t>مسجدجامع  عبيكان .</t>
  </si>
  <si>
    <t>KFM2020660038596</t>
  </si>
  <si>
    <t xml:space="preserve">   جامع المصيف .</t>
  </si>
  <si>
    <t>KFM2020660173819</t>
  </si>
  <si>
    <t>مسجد الشعلان .</t>
  </si>
  <si>
    <t>KFM2020660056051</t>
  </si>
  <si>
    <t xml:space="preserve">   مسجدعمربن عبدالعزيزحى الملك فهد .</t>
  </si>
  <si>
    <t>KFM2020660227079</t>
  </si>
  <si>
    <t>مسجد بن خرعان بالشفاء .</t>
  </si>
  <si>
    <t>KFM2020660022969</t>
  </si>
  <si>
    <t>KFM2120660291770</t>
  </si>
  <si>
    <t xml:space="preserve">   مسجد علي الجميعه .</t>
  </si>
  <si>
    <t>KFM2020660037487</t>
  </si>
  <si>
    <t xml:space="preserve">   مسجد بحى المصيف .</t>
  </si>
  <si>
    <t>KFM2020660100106</t>
  </si>
  <si>
    <t>KFM2020660129784</t>
  </si>
  <si>
    <t>مسجد صالح الطواله .</t>
  </si>
  <si>
    <t>KFM2020766128605</t>
  </si>
  <si>
    <t xml:space="preserve">   الاوقاف والمساجد/ فهدبن جماهر .</t>
  </si>
  <si>
    <t>MMF2020800309306</t>
  </si>
  <si>
    <t xml:space="preserve">   مسجد الخير مخطط 264 بالمزاحمية .</t>
  </si>
  <si>
    <t>KFM2020660203941</t>
  </si>
  <si>
    <t xml:space="preserve">   مسجدالعصيمي .</t>
  </si>
  <si>
    <t>KFM2120660262436</t>
  </si>
  <si>
    <t xml:space="preserve">      مسجد الجامع الكبير .</t>
  </si>
  <si>
    <t>KFM2020660170441</t>
  </si>
  <si>
    <t>KFM2020660097628</t>
  </si>
  <si>
    <t>مسجد      عثمان     عفان .</t>
  </si>
  <si>
    <t>KFM2020660200654</t>
  </si>
  <si>
    <t xml:space="preserve">   مسجدحي التعاون وسكن الامام والمؤذ .</t>
  </si>
  <si>
    <t>KFM2020660167464</t>
  </si>
  <si>
    <t xml:space="preserve">      مسجد بدر حمود العماج .</t>
  </si>
  <si>
    <t>KFM2020660200921</t>
  </si>
  <si>
    <t>KFM2020660202032</t>
  </si>
  <si>
    <t xml:space="preserve">   مسجد حي الصحافة .</t>
  </si>
  <si>
    <t>KFM2020660127594</t>
  </si>
  <si>
    <t xml:space="preserve">   مسجد حصة العمار .</t>
  </si>
  <si>
    <t>KFM2020660198944</t>
  </si>
  <si>
    <t xml:space="preserve">   مسجد خنشليله .</t>
  </si>
  <si>
    <t>KFM2020660035828</t>
  </si>
  <si>
    <t>KFM2020660051564</t>
  </si>
  <si>
    <t xml:space="preserve">   مسجد بحي قرطبة .</t>
  </si>
  <si>
    <t>KFM2020660046516</t>
  </si>
  <si>
    <t xml:space="preserve">    مسجد جامع  قرية  المصيفقية    0 .</t>
  </si>
  <si>
    <t>KFM2020766084686</t>
  </si>
  <si>
    <t>KFM2020660046425</t>
  </si>
  <si>
    <t xml:space="preserve">   مسجد      فرج       ابو سنيه .</t>
  </si>
  <si>
    <t>KFM2020760204251</t>
  </si>
  <si>
    <t>KFM2020760176414</t>
  </si>
  <si>
    <t>KFM2020660211070</t>
  </si>
  <si>
    <t xml:space="preserve">   مسجد   سلمه ابن  الآكوع .</t>
  </si>
  <si>
    <t>KFM2020660127239</t>
  </si>
  <si>
    <t xml:space="preserve">      اوقاف الزلفى مسجد حى رقم 11 .</t>
  </si>
  <si>
    <t>KFM2020760145495</t>
  </si>
  <si>
    <t>جامع الاسكان .</t>
  </si>
  <si>
    <t>KFM2020660177610</t>
  </si>
  <si>
    <t>ﻭﺯﺍﺭﺓﺍﻷﻭﻗﺎﻑ _ ﺍﻭﻗﺎﻑ ﺍﻟﺭﻭﻴﻀﻩ .</t>
  </si>
  <si>
    <t>KFM2120660265066</t>
  </si>
  <si>
    <t>KFM2020660025458</t>
  </si>
  <si>
    <t>مسجد      المزموم   بالمزاحمية .</t>
  </si>
  <si>
    <t>KFM2020660206750</t>
  </si>
  <si>
    <t>مسجد حي العريجاء .</t>
  </si>
  <si>
    <t>KFM2020660023701</t>
  </si>
  <si>
    <t xml:space="preserve">   مسجد الأمير سلطان .</t>
  </si>
  <si>
    <t>KFM2020660170878</t>
  </si>
  <si>
    <t>مسجد البديعه .</t>
  </si>
  <si>
    <t>KFM2020660038716</t>
  </si>
  <si>
    <t xml:space="preserve">   مسجدجامع المخطط 779 الحوميات   0 .</t>
  </si>
  <si>
    <t>KFM2020660189645</t>
  </si>
  <si>
    <t>KFM2020660192907</t>
  </si>
  <si>
    <t>KFM2120655003921</t>
  </si>
  <si>
    <t>KFM2120660262712</t>
  </si>
  <si>
    <t>SMR2220621001433</t>
  </si>
  <si>
    <t xml:space="preserve">   مسجدسعيدبن معاذ .</t>
  </si>
  <si>
    <t>KFM2120660273738</t>
  </si>
  <si>
    <t xml:space="preserve">     جامع الموقفه القبلي .</t>
  </si>
  <si>
    <t>KFM2020660166957</t>
  </si>
  <si>
    <t>KFM2020760001596</t>
  </si>
  <si>
    <t xml:space="preserve">   مسجد اسامه بن زيد .</t>
  </si>
  <si>
    <t>KFM2020660169701</t>
  </si>
  <si>
    <t>مسجد /عبدالله  بن عمر .</t>
  </si>
  <si>
    <t>KFM2020660056120</t>
  </si>
  <si>
    <t xml:space="preserve">   مسجدالعزيزيه عبدالمحسن ال الشيخ .</t>
  </si>
  <si>
    <t>KFM2020660162189</t>
  </si>
  <si>
    <t>مسجدفهدمحمدبن عبدالعزيز .</t>
  </si>
  <si>
    <t>KFM2020660034103</t>
  </si>
  <si>
    <t xml:space="preserve">      مسجد الشحيتان .</t>
  </si>
  <si>
    <t>KFM2120660246009</t>
  </si>
  <si>
    <t>AEC2020830536532</t>
  </si>
  <si>
    <t xml:space="preserve">   مسجد / والدة ناصر بن سعد الدخيل .</t>
  </si>
  <si>
    <t>KFM2020660026259</t>
  </si>
  <si>
    <t xml:space="preserve">   مسجدابوبكر الصديق .</t>
  </si>
  <si>
    <t>KFM2020660166503</t>
  </si>
  <si>
    <t>المسجد الموقت بالسويدى .</t>
  </si>
  <si>
    <t>KFM2020660051638</t>
  </si>
  <si>
    <t xml:space="preserve">   مسجد سمنان .</t>
  </si>
  <si>
    <t>KFM2020660134532</t>
  </si>
  <si>
    <t xml:space="preserve">   وزاره الشؤون الاسلاميه -مسجدالفلاح .</t>
  </si>
  <si>
    <t>KFM2020660211499</t>
  </si>
  <si>
    <t xml:space="preserve">   مسجد/غرب ساجر /محمد شويفين .</t>
  </si>
  <si>
    <t>KFM2020766090287</t>
  </si>
  <si>
    <t xml:space="preserve">   جامع      حطين      . .</t>
  </si>
  <si>
    <t>KFM2020660187918</t>
  </si>
  <si>
    <t xml:space="preserve">   مسجد المغرزات .</t>
  </si>
  <si>
    <t>KFM2120660258397</t>
  </si>
  <si>
    <t>MMF2020800319402</t>
  </si>
  <si>
    <t>KFM2020660060579</t>
  </si>
  <si>
    <t xml:space="preserve">   مسجد حى المرسـلات .</t>
  </si>
  <si>
    <t>KFM2020660174127</t>
  </si>
  <si>
    <t>مسجد البجادى .</t>
  </si>
  <si>
    <t>KFM2020660039911</t>
  </si>
  <si>
    <t xml:space="preserve">   جامع/     مصعب      (مسجد الصناع .</t>
  </si>
  <si>
    <t>KFM2020660192384</t>
  </si>
  <si>
    <t>KFM2020760053027</t>
  </si>
  <si>
    <t xml:space="preserve">   جامع      الرجع     القويعيه .</t>
  </si>
  <si>
    <t>SMR2220661017593</t>
  </si>
  <si>
    <t xml:space="preserve">   مسجد   النهضه .</t>
  </si>
  <si>
    <t>KFM2020660119277</t>
  </si>
  <si>
    <t>KFM2020760001442</t>
  </si>
  <si>
    <t>KFM2020660190208</t>
  </si>
  <si>
    <t xml:space="preserve">   مسجد وسكن صالح الخليفه .</t>
  </si>
  <si>
    <t>KFM2020660174864</t>
  </si>
  <si>
    <t>KFM2120660242216</t>
  </si>
  <si>
    <t>مسجد ابن عصفور .</t>
  </si>
  <si>
    <t>KFM2020660171829</t>
  </si>
  <si>
    <t xml:space="preserve">   جامع ابوبكر الصديق .</t>
  </si>
  <si>
    <t>KFM2020660012592</t>
  </si>
  <si>
    <t>مسجد      الامير     بن عبدالعزيز .</t>
  </si>
  <si>
    <t>KFM2020660196444</t>
  </si>
  <si>
    <t xml:space="preserve">   مسجد الكريس  رقم (1) .</t>
  </si>
  <si>
    <t>KFM2020660230802</t>
  </si>
  <si>
    <t>KFM2020760231826</t>
  </si>
  <si>
    <t>KFM2020660127540</t>
  </si>
  <si>
    <t>KFM2120660281638</t>
  </si>
  <si>
    <t xml:space="preserve">   مسجدعبدالله محمدالشدى .</t>
  </si>
  <si>
    <t>KFM2120660247042</t>
  </si>
  <si>
    <t>مسجد العرفج .</t>
  </si>
  <si>
    <t>KFM2020660200400</t>
  </si>
  <si>
    <t xml:space="preserve">   مسجد ابراهيم القريشي .</t>
  </si>
  <si>
    <t>KFM2020660057999</t>
  </si>
  <si>
    <t xml:space="preserve">   جامع الشيخ عبدالله ناصر الوهيبي .</t>
  </si>
  <si>
    <t>SMR2220661011767</t>
  </si>
  <si>
    <t xml:space="preserve">   مسجد      عبدالله   العويس .</t>
  </si>
  <si>
    <t>KFM2020660206838</t>
  </si>
  <si>
    <t xml:space="preserve">   مسجد صناعيه السلى .</t>
  </si>
  <si>
    <t>KFM2120660273735</t>
  </si>
  <si>
    <t>KFM2020660227392</t>
  </si>
  <si>
    <t>مساجد السليل .</t>
  </si>
  <si>
    <t>KFM2120660271413</t>
  </si>
  <si>
    <t xml:space="preserve">   جــا مـع الـثـنـدوة .</t>
  </si>
  <si>
    <t>KFM2020766162228</t>
  </si>
  <si>
    <t>KFM2120660256970</t>
  </si>
  <si>
    <t>KFM2020660232973</t>
  </si>
  <si>
    <t>.    مسجد      الحمود .</t>
  </si>
  <si>
    <t>KFM2020660096063</t>
  </si>
  <si>
    <t xml:space="preserve">   مسجد ناصر المهوس  بحي المصيف .</t>
  </si>
  <si>
    <t>KFM2020660104319</t>
  </si>
  <si>
    <t xml:space="preserve">   مسجد العساف .</t>
  </si>
  <si>
    <t>SMR2220661000355</t>
  </si>
  <si>
    <t xml:space="preserve">   جامع  القنزعية .</t>
  </si>
  <si>
    <t>KFM2020660189975</t>
  </si>
  <si>
    <t>مسجد عبدالله عبدالعزيز العجالي .</t>
  </si>
  <si>
    <t>KFM2020660165157</t>
  </si>
  <si>
    <t>KFM2020660043388</t>
  </si>
  <si>
    <t>مسجد      علي       بن خميس .</t>
  </si>
  <si>
    <t>KFM2020660037773</t>
  </si>
  <si>
    <t xml:space="preserve">   مسجد عبدالله بن الزبير .</t>
  </si>
  <si>
    <t>KFM2020660096586</t>
  </si>
  <si>
    <t xml:space="preserve">   مسجد/فالح بن مشعان السهلى .</t>
  </si>
  <si>
    <t>SMR2320661029512</t>
  </si>
  <si>
    <t xml:space="preserve">   مسجد الصفراء رقم(3)مخطط 968 .</t>
  </si>
  <si>
    <t>KFM2020766159951</t>
  </si>
  <si>
    <t xml:space="preserve">   مسجد المنصورة .</t>
  </si>
  <si>
    <t>KFM2120660304171</t>
  </si>
  <si>
    <t xml:space="preserve">   مسجد سيدقطب(ناجىمسرع المطيرى) .</t>
  </si>
  <si>
    <t>KFM2020660162250</t>
  </si>
  <si>
    <t xml:space="preserve">   مسجد حي   النخيل    الشون .</t>
  </si>
  <si>
    <t>KFM2120660256700</t>
  </si>
  <si>
    <t xml:space="preserve"> مسجد مصعب بن عمير الا وقاف والمساجد .</t>
  </si>
  <si>
    <t>KFM2020660176099</t>
  </si>
  <si>
    <t xml:space="preserve">   مسجدحي قرطبه .</t>
  </si>
  <si>
    <t>KFM2020660056753</t>
  </si>
  <si>
    <t xml:space="preserve">      جامع الد عوه .</t>
  </si>
  <si>
    <t>KFM2020660228430</t>
  </si>
  <si>
    <t xml:space="preserve">   اوقاف الزلفي(مسجدالعبدالقادر) .</t>
  </si>
  <si>
    <t>KFM2020660210572</t>
  </si>
  <si>
    <t>KFM2020660197296</t>
  </si>
  <si>
    <t xml:space="preserve">   مسجد جامع ظهرة الحاير .</t>
  </si>
  <si>
    <t>KFM2120660282701</t>
  </si>
  <si>
    <t>KFM2020660041143</t>
  </si>
  <si>
    <t xml:space="preserve">   مسجد/ محمع الاميرسلمان-اسكان خيري .</t>
  </si>
  <si>
    <t>KFM2120660274742</t>
  </si>
  <si>
    <t xml:space="preserve">   مسجد      سعد       الحطيم .</t>
  </si>
  <si>
    <t>KFM2020660177650</t>
  </si>
  <si>
    <t xml:space="preserve">      مسجد   حي   الحمراء .</t>
  </si>
  <si>
    <t>KFM2020660058544</t>
  </si>
  <si>
    <t xml:space="preserve">   مسجد حي السعادة .</t>
  </si>
  <si>
    <t>KFM2120660260287</t>
  </si>
  <si>
    <t>KFM2120660241031</t>
  </si>
  <si>
    <t xml:space="preserve">   مسجد      المنار    . .</t>
  </si>
  <si>
    <t>KFM2020660127748</t>
  </si>
  <si>
    <t>.     المسجد    الموقت .</t>
  </si>
  <si>
    <t>KFM2020660199024</t>
  </si>
  <si>
    <t>KFM2020660191811</t>
  </si>
  <si>
    <t>KFM2020660127526</t>
  </si>
  <si>
    <t>KFM2020660203524</t>
  </si>
  <si>
    <t>KFM2120660267273</t>
  </si>
  <si>
    <t>مسجد حي السويدي .</t>
  </si>
  <si>
    <t>KFM2020660039981</t>
  </si>
  <si>
    <t>KFM2020660139696</t>
  </si>
  <si>
    <t>KFM2020660211476</t>
  </si>
  <si>
    <t xml:space="preserve">      اوقاف الدواسر/مسجد مباركحمدجا .</t>
  </si>
  <si>
    <t>KFM2020660174600</t>
  </si>
  <si>
    <t xml:space="preserve">   صالح عبدالله العمري مسجد .</t>
  </si>
  <si>
    <t>KFM2020660187963</t>
  </si>
  <si>
    <t xml:space="preserve">    مسجد  عبدالله   المسند مع السكن .</t>
  </si>
  <si>
    <t>KFM2020660053563</t>
  </si>
  <si>
    <t xml:space="preserve"> مسجد محمدعبدالوهاب(دارتحفيظ القرآن) .</t>
  </si>
  <si>
    <t>KFM2020660165557</t>
  </si>
  <si>
    <t xml:space="preserve">   المسجدالجامع بالخفيفية .</t>
  </si>
  <si>
    <t>KFM2020660173189</t>
  </si>
  <si>
    <t>SMR2320661021347</t>
  </si>
  <si>
    <t>مسجدالنور الكائن بحي بدرالشفاء .</t>
  </si>
  <si>
    <t>KFM2020660177014</t>
  </si>
  <si>
    <t xml:space="preserve">   مسجد حي المناخ /مؤسسة الحرمين .</t>
  </si>
  <si>
    <t>KFM2120660264438</t>
  </si>
  <si>
    <t xml:space="preserve">   مسـجدمصعب بن عمـير .</t>
  </si>
  <si>
    <t>KFM2020660205810</t>
  </si>
  <si>
    <t xml:space="preserve">   مسجد جامع الشيخ عبدالله .</t>
  </si>
  <si>
    <t>KFM2020660225539</t>
  </si>
  <si>
    <t xml:space="preserve">   مسجد العيدان .</t>
  </si>
  <si>
    <t>KFM2020660191697</t>
  </si>
  <si>
    <t xml:space="preserve">   مسجد/سعودبن فهدبن عبدالعزيز .</t>
  </si>
  <si>
    <t>KFM2020760203346</t>
  </si>
  <si>
    <t>KFM2020660027399</t>
  </si>
  <si>
    <t>مسجد الوادي .</t>
  </si>
  <si>
    <t>KFM2020660022920</t>
  </si>
  <si>
    <t>KFM2020660190126</t>
  </si>
  <si>
    <t>مسجد الحمادى .</t>
  </si>
  <si>
    <t>KFM2020660170961</t>
  </si>
  <si>
    <t xml:space="preserve">   مسجد شرق الربوه .</t>
  </si>
  <si>
    <t>KFM2020660133831</t>
  </si>
  <si>
    <t xml:space="preserve">         مسجد سوق الخضار .</t>
  </si>
  <si>
    <t>KFM2020760057807</t>
  </si>
  <si>
    <t>KFM2020660036431</t>
  </si>
  <si>
    <t xml:space="preserve">    مسجد الشافعى بعودة سدير/الزامل .</t>
  </si>
  <si>
    <t>KFM2020660210590</t>
  </si>
  <si>
    <t>مسجد جامع  ام  سليم .</t>
  </si>
  <si>
    <t>KFM2020660014236</t>
  </si>
  <si>
    <t xml:space="preserve">   مسجد ام الحمام الغربيه .</t>
  </si>
  <si>
    <t>KFM2120660300837</t>
  </si>
  <si>
    <t>KFM2020660047087</t>
  </si>
  <si>
    <t xml:space="preserve">   مسجد بن سعيدان .</t>
  </si>
  <si>
    <t>KFM2020660127769</t>
  </si>
  <si>
    <t>مسجدالحبونيه  الاوسط .</t>
  </si>
  <si>
    <t>KFM2020660057903</t>
  </si>
  <si>
    <t xml:space="preserve">   مسجد القرينى الجامع .</t>
  </si>
  <si>
    <t>KFM2120660304605</t>
  </si>
  <si>
    <t xml:space="preserve">   اوقاف الخرج / مسجدحسين بن علي .</t>
  </si>
  <si>
    <t>KFM2120660270832</t>
  </si>
  <si>
    <t xml:space="preserve">   اوقاف القويعيه /مسجدالملكخالد .</t>
  </si>
  <si>
    <t>KFM2020660229507</t>
  </si>
  <si>
    <t xml:space="preserve">   مسجد سالم عبدالرحمن السالم .</t>
  </si>
  <si>
    <t>KFM2120660267475</t>
  </si>
  <si>
    <t xml:space="preserve">   مسجد عسيله الشرقي .</t>
  </si>
  <si>
    <t>KFM2020660153886</t>
  </si>
  <si>
    <t xml:space="preserve">   مسجد      المقداد   رضي الله عنه .</t>
  </si>
  <si>
    <t>KFM2020660137691</t>
  </si>
  <si>
    <t>SMR2220661017806</t>
  </si>
  <si>
    <t>AEC2020830325430</t>
  </si>
  <si>
    <t>SMR2320661033557</t>
  </si>
  <si>
    <t>KFM2020660187619</t>
  </si>
  <si>
    <t>مسجد بن رويشد حى  اليمامه .</t>
  </si>
  <si>
    <t>KFM2020760038148</t>
  </si>
  <si>
    <t>KFM2020660133789</t>
  </si>
  <si>
    <t xml:space="preserve">   وزارة ألشئون ألاسلاميه ولاوقاف .</t>
  </si>
  <si>
    <t>KFM2020660211383</t>
  </si>
  <si>
    <t xml:space="preserve">   مسجدجامع حى الزهرة .</t>
  </si>
  <si>
    <t>KFM2020660043403</t>
  </si>
  <si>
    <t xml:space="preserve">   مسجد صلا ح الدين .</t>
  </si>
  <si>
    <t>KFM2020660160385</t>
  </si>
  <si>
    <t>KFM2120660262248</t>
  </si>
  <si>
    <t>مسجد سعد المالكى .</t>
  </si>
  <si>
    <t>KFM2020660013610</t>
  </si>
  <si>
    <t xml:space="preserve">   مسجد حي الندى .</t>
  </si>
  <si>
    <t>KFM2020660213043</t>
  </si>
  <si>
    <t xml:space="preserve">   مسجد ابراهيم سعد العريفي .</t>
  </si>
  <si>
    <t>KFM2120660304926</t>
  </si>
  <si>
    <t xml:space="preserve">      مسجد الغزى .</t>
  </si>
  <si>
    <t>KFM2020660204033</t>
  </si>
  <si>
    <t xml:space="preserve">   مسجد جزاء ثنيان  العتيبي .</t>
  </si>
  <si>
    <t>KFM2020660174448</t>
  </si>
  <si>
    <t xml:space="preserve">   مسجدعاصم بن قيس حي اليرموك .</t>
  </si>
  <si>
    <t>KFM2020660228152</t>
  </si>
  <si>
    <t xml:space="preserve">   مسجدالشيخ / عبدالله النصيبى .</t>
  </si>
  <si>
    <t>KFM2020660193061</t>
  </si>
  <si>
    <t xml:space="preserve">   مسجد / عائشه بنت الصديق .</t>
  </si>
  <si>
    <t>KFM2020660230227</t>
  </si>
  <si>
    <t xml:space="preserve">   مسجد      عبدالعزيز البكر .</t>
  </si>
  <si>
    <t>KFM2020660091255</t>
  </si>
  <si>
    <t xml:space="preserve">   مسجد فراج مبارك السبيعى .</t>
  </si>
  <si>
    <t>KFM2020660199667</t>
  </si>
  <si>
    <t xml:space="preserve">   مسجد      انس     بن مالك .</t>
  </si>
  <si>
    <t>KFM2020660056863</t>
  </si>
  <si>
    <t xml:space="preserve">   مسجد      ابراهيم   الشويعر .</t>
  </si>
  <si>
    <t>KFM2020660061503</t>
  </si>
  <si>
    <t>KFM2020660057023</t>
  </si>
  <si>
    <t>ﺍﻭﻗﺎﻑ ﺍﻻﺭﻁﺎﻭﻴﺓ .</t>
  </si>
  <si>
    <t>KFM2020766162049</t>
  </si>
  <si>
    <t>KFM2020660056792</t>
  </si>
  <si>
    <t xml:space="preserve">   جامع رماح .</t>
  </si>
  <si>
    <t>KFM2020660199584</t>
  </si>
  <si>
    <t>KFM2120660239192</t>
  </si>
  <si>
    <t>KFM2020660211449</t>
  </si>
  <si>
    <t xml:space="preserve">   مسجد ام الحمام الشرقيه .</t>
  </si>
  <si>
    <t>KFM2020660172099</t>
  </si>
  <si>
    <t xml:space="preserve">   مسجد حي الياسمين .</t>
  </si>
  <si>
    <t>SMR2420661038947</t>
  </si>
  <si>
    <t xml:space="preserve">   مسجد المنصورة (سعود الدوسري) .</t>
  </si>
  <si>
    <t>KFM2120660253605</t>
  </si>
  <si>
    <t>مسجد محمد الفاتح .</t>
  </si>
  <si>
    <t>KFM2020660176981</t>
  </si>
  <si>
    <t xml:space="preserve">   مسجدالعزيزيه .</t>
  </si>
  <si>
    <t>KFM2120660299058</t>
  </si>
  <si>
    <t xml:space="preserve">   مسجد      منيفة     الجامع .</t>
  </si>
  <si>
    <t>MMF2420801296503</t>
  </si>
  <si>
    <t xml:space="preserve">   مسجد عثمان بن عفان .</t>
  </si>
  <si>
    <t>KFM2020660038802</t>
  </si>
  <si>
    <t xml:space="preserve">   اوقاف الحصاة/جامع الجدعاء .</t>
  </si>
  <si>
    <t>KFM2020660188294</t>
  </si>
  <si>
    <t xml:space="preserve">   جامع علقه(عثمان بن مضعون) .</t>
  </si>
  <si>
    <t>KFM2020660209929</t>
  </si>
  <si>
    <t>MMF2020800310729</t>
  </si>
  <si>
    <t>مسجد      ابراهيم    الشيبان .</t>
  </si>
  <si>
    <t>KFM2020660013840</t>
  </si>
  <si>
    <t>KFM2020660123007</t>
  </si>
  <si>
    <t xml:space="preserve">   جامع الشيخ سعد الختلان .</t>
  </si>
  <si>
    <t>KFM2020660190889</t>
  </si>
  <si>
    <t xml:space="preserve">   مسجدالقادسيه .</t>
  </si>
  <si>
    <t>KFM2120660267500</t>
  </si>
  <si>
    <t>KFM2020660171810</t>
  </si>
  <si>
    <t>مسجد الملك  سعود .</t>
  </si>
  <si>
    <t>KFM2020660167669</t>
  </si>
  <si>
    <t>SMR2220661019034</t>
  </si>
  <si>
    <t xml:space="preserve">   مسجد الخالديه /بالدرعيه .</t>
  </si>
  <si>
    <t>KFM2020660027759</t>
  </si>
  <si>
    <t>مسجد  /محمد سعد ال  فريان .</t>
  </si>
  <si>
    <t>KFM2020660054959</t>
  </si>
  <si>
    <t>KFM2020660007858</t>
  </si>
  <si>
    <t>مسجد المخطط2 بالبديعه .</t>
  </si>
  <si>
    <t>KFM2020660054945</t>
  </si>
  <si>
    <t xml:space="preserve">   مسجد الامير احمد بن عبدالعزيز .</t>
  </si>
  <si>
    <t>KFM2020660173645</t>
  </si>
  <si>
    <t>KFM2020660190453</t>
  </si>
  <si>
    <t xml:space="preserve">   اوقاف الدلم/مسجد فهد الفهادي .</t>
  </si>
  <si>
    <t>KFM2020660170534</t>
  </si>
  <si>
    <t xml:space="preserve">    مسجد/عبادة بن الصامت .</t>
  </si>
  <si>
    <t>KFM2020660223934</t>
  </si>
  <si>
    <t xml:space="preserve">   مسجد بلشرف .</t>
  </si>
  <si>
    <t>KFM2020660209146</t>
  </si>
  <si>
    <t>مسجد سعد بن معاذ .</t>
  </si>
  <si>
    <t>KFM2020660049576</t>
  </si>
  <si>
    <t>مسجد بنات عبدالله العقيلي .</t>
  </si>
  <si>
    <t>KFM2120660281775</t>
  </si>
  <si>
    <t xml:space="preserve">   مسجد سليمان البدر .</t>
  </si>
  <si>
    <t>KFM2020660025452</t>
  </si>
  <si>
    <t>SMR2220661007472</t>
  </si>
  <si>
    <t xml:space="preserve">   مسجد جامع الرائد .</t>
  </si>
  <si>
    <t>KFM2020660031499</t>
  </si>
  <si>
    <t>KFM2020660041926</t>
  </si>
  <si>
    <t xml:space="preserve">   وزارةالشئون الاسلاميه .</t>
  </si>
  <si>
    <t>KFM2020760149146</t>
  </si>
  <si>
    <t xml:space="preserve">   مسجد حى المستشفي بتمير .</t>
  </si>
  <si>
    <t>KFM2020766154357</t>
  </si>
  <si>
    <t xml:space="preserve">   مسجد/والدة نهار فيصل المنديل .</t>
  </si>
  <si>
    <t>KFM2020660127756</t>
  </si>
  <si>
    <t xml:space="preserve">   مسجد فهيد دعيج المطيري ومرافقه .</t>
  </si>
  <si>
    <t>KFM2020660211324</t>
  </si>
  <si>
    <t>مسجد شبرا .</t>
  </si>
  <si>
    <t>KFM2020660044986</t>
  </si>
  <si>
    <t xml:space="preserve">   مسجد حى المراجيم بتمير .</t>
  </si>
  <si>
    <t>KFM2020660195713</t>
  </si>
  <si>
    <t>KFM2120660303428</t>
  </si>
  <si>
    <t xml:space="preserve">   مسجد حي غرناطة .</t>
  </si>
  <si>
    <t>KFM2020660061557</t>
  </si>
  <si>
    <t>مسجد حى  البديعه .</t>
  </si>
  <si>
    <t>KFM2020660044157</t>
  </si>
  <si>
    <t xml:space="preserve">   مسجدالسليمانيه غرب بيت الاميرفهد .</t>
  </si>
  <si>
    <t>KFM2120660249180</t>
  </si>
  <si>
    <t>SMR2320761024338</t>
  </si>
  <si>
    <t xml:space="preserve">   مسجد    سلمان الفارسي .</t>
  </si>
  <si>
    <t>KFM2120660300233</t>
  </si>
  <si>
    <t xml:space="preserve">   مسجد ابراهيم الحصين ومرافقه .</t>
  </si>
  <si>
    <t>ECC2020810865795</t>
  </si>
  <si>
    <t xml:space="preserve">   جامع الريس    // افطار صائم .</t>
  </si>
  <si>
    <t>KFM2120660253464</t>
  </si>
  <si>
    <t xml:space="preserve">     مـسـجـد البويق (اوقاف القويعيه) .</t>
  </si>
  <si>
    <t>KFM2020660150069</t>
  </si>
  <si>
    <t xml:space="preserve">   مسجد /عبدالله علي بن سلمه .</t>
  </si>
  <si>
    <t>KFM2020660006131</t>
  </si>
  <si>
    <t xml:space="preserve">   اوقاف المزاحميةجامع فهدبن سلطان .</t>
  </si>
  <si>
    <t>KFM2020660209307</t>
  </si>
  <si>
    <t xml:space="preserve">   جامع طيبةالطيبة .</t>
  </si>
  <si>
    <t>KFM2020660141799</t>
  </si>
  <si>
    <t xml:space="preserve">   مسجد  ابراهيم الوزان .</t>
  </si>
  <si>
    <t>KFM2120660274162</t>
  </si>
  <si>
    <t>مسجدالاميره  موضي بنت  تركي .</t>
  </si>
  <si>
    <t>KFM2020660200367</t>
  </si>
  <si>
    <t xml:space="preserve">   مسجد الموسي وبيتي الامام والمؤذن .</t>
  </si>
  <si>
    <t>KFM2020660190820</t>
  </si>
  <si>
    <t xml:space="preserve">   أدارة     الأ وقاف   مسجد عائشة .</t>
  </si>
  <si>
    <t>MMF2020800310739</t>
  </si>
  <si>
    <t>KFM2020660198310</t>
  </si>
  <si>
    <t xml:space="preserve">   مسجد بني عامر .</t>
  </si>
  <si>
    <t>KFM2020660199543</t>
  </si>
  <si>
    <t>KFM2020760006757</t>
  </si>
  <si>
    <t xml:space="preserve">   مسجد ناصر المحرج .</t>
  </si>
  <si>
    <t>KFM2020660210499</t>
  </si>
  <si>
    <t>KFM2020660052211</t>
  </si>
  <si>
    <t>مسجد      عبدالله    الدخيل .</t>
  </si>
  <si>
    <t>KFM2020660131948</t>
  </si>
  <si>
    <t xml:space="preserve">   مسجدالدخل المحدودرقم 3 .</t>
  </si>
  <si>
    <t>KFM2020660210646</t>
  </si>
  <si>
    <t xml:space="preserve">   مسجد الحمودي .</t>
  </si>
  <si>
    <t>KFM2020660049861</t>
  </si>
  <si>
    <t xml:space="preserve">   مسجد/الايمان .</t>
  </si>
  <si>
    <t>MMF2420801296606</t>
  </si>
  <si>
    <t xml:space="preserve">   مسجد الا مام المنذري .</t>
  </si>
  <si>
    <t>KFM2120660257161</t>
  </si>
  <si>
    <t xml:space="preserve">   مسجد الفايزيه/ اوقاف الدواسر .</t>
  </si>
  <si>
    <t>KFM2120660259982</t>
  </si>
  <si>
    <t xml:space="preserve">   مسجد حى الروابى .</t>
  </si>
  <si>
    <t>KFM2020660132817</t>
  </si>
  <si>
    <t>مسجد /ماجدالقحطانى .</t>
  </si>
  <si>
    <t>KFM2020660200435</t>
  </si>
  <si>
    <t xml:space="preserve">   المسجد الجامع بمخطط القرينة 406 .</t>
  </si>
  <si>
    <t>KFM2120660244129</t>
  </si>
  <si>
    <t>جامع الا مير محمد بن عبدالعزيز .</t>
  </si>
  <si>
    <t>KFM2020660212031</t>
  </si>
  <si>
    <t>KFM2020660143085</t>
  </si>
  <si>
    <t>KFM2020660053610</t>
  </si>
  <si>
    <t xml:space="preserve">   مسجد الثنيان .</t>
  </si>
  <si>
    <t>KFM2120660252992</t>
  </si>
  <si>
    <t>KFM2020660139819</t>
  </si>
  <si>
    <t xml:space="preserve">   مسجداياس بن سهل بالبطين الجنوبي .</t>
  </si>
  <si>
    <t>KFM2020660207120</t>
  </si>
  <si>
    <t xml:space="preserve">   مسجد نورة بنت مطلق .</t>
  </si>
  <si>
    <t>KFM2020660042181</t>
  </si>
  <si>
    <t xml:space="preserve">   مسجد      ابي       الانصاري .</t>
  </si>
  <si>
    <t>KFM2020660133879</t>
  </si>
  <si>
    <t>SMR2420761036038</t>
  </si>
  <si>
    <t xml:space="preserve">   مسجدحي  اشبيليا   الا مام والمؤذن .</t>
  </si>
  <si>
    <t>KFM2020660057247</t>
  </si>
  <si>
    <t xml:space="preserve">   جامع الرحبه رقم 6 .</t>
  </si>
  <si>
    <t>KFM2020660177607</t>
  </si>
  <si>
    <t>مسجد راشد محمد بن دايل .</t>
  </si>
  <si>
    <t>KFM2020760091913</t>
  </si>
  <si>
    <t>مسجد فهد بن كريديس .</t>
  </si>
  <si>
    <t>KFM2020660045044</t>
  </si>
  <si>
    <t xml:space="preserve">   مسجد البدر .</t>
  </si>
  <si>
    <t>KFM2020660231213</t>
  </si>
  <si>
    <t>مسجد مريم اليوسف .</t>
  </si>
  <si>
    <t>KFM2120660300431</t>
  </si>
  <si>
    <t>ECC2020810865794</t>
  </si>
  <si>
    <t xml:space="preserve">   مسجد/محمدعبدالمحسن الحنتوشي .</t>
  </si>
  <si>
    <t>ECC2020811086123</t>
  </si>
  <si>
    <t xml:space="preserve">   اوقاف الزلفي / مسجد النسائي .</t>
  </si>
  <si>
    <t>KFM2020660201608</t>
  </si>
  <si>
    <t xml:space="preserve">   اوقاف الخرج / مسجد ال هتلان .</t>
  </si>
  <si>
    <t>KFM2020660207867</t>
  </si>
  <si>
    <t>KFM2020660201335</t>
  </si>
  <si>
    <t>KFM2020760144578</t>
  </si>
  <si>
    <t>00     مسجد      التقوى .</t>
  </si>
  <si>
    <t>KFM2020660202712</t>
  </si>
  <si>
    <t xml:space="preserve">       مسجد / حمد محمد القحطاني .</t>
  </si>
  <si>
    <t>AEC2020830312321</t>
  </si>
  <si>
    <t xml:space="preserve">      مسجد الشهباء .</t>
  </si>
  <si>
    <t>KFM2020660192448</t>
  </si>
  <si>
    <t xml:space="preserve">      اوقاف الزلفى مسجد م  /سمنان .</t>
  </si>
  <si>
    <t>KFM2020660228168</t>
  </si>
  <si>
    <t>KFM2020760220647</t>
  </si>
  <si>
    <t>مسجدعلي الناصر .</t>
  </si>
  <si>
    <t>KFM2120660266028</t>
  </si>
  <si>
    <t xml:space="preserve">   مسجد الشريف طراد الحارثي .</t>
  </si>
  <si>
    <t>KFM2020660041686</t>
  </si>
  <si>
    <t xml:space="preserve">    مسجدطارقبنزياد/ادارةالا وقاف .</t>
  </si>
  <si>
    <t>KFM2020660170941</t>
  </si>
  <si>
    <t xml:space="preserve">   اوقاف الدواسر/ جامع ال ناهش .</t>
  </si>
  <si>
    <t>KFM2020660174684</t>
  </si>
  <si>
    <t xml:space="preserve">   مسجد ابي بكر الصديق .</t>
  </si>
  <si>
    <t>KFM2120660281979</t>
  </si>
  <si>
    <t xml:space="preserve">   مسجد  الحي  الشرقي  الشواطن    0 .</t>
  </si>
  <si>
    <t>KFM2020660231753</t>
  </si>
  <si>
    <t>KFM2020660206949</t>
  </si>
  <si>
    <t>KFM2120660260335</t>
  </si>
  <si>
    <t xml:space="preserve">   مسجد      الامير     بن محمد .</t>
  </si>
  <si>
    <t>KFM2120660265987</t>
  </si>
  <si>
    <t>SMR2220661001757</t>
  </si>
  <si>
    <t xml:space="preserve">   مسجد      الخيالي   / .</t>
  </si>
  <si>
    <t>KFM2020660036600</t>
  </si>
  <si>
    <t xml:space="preserve">   مسجدالمورقي مع سكن الامام والمؤذن .</t>
  </si>
  <si>
    <t>KFM2020660007002</t>
  </si>
  <si>
    <t>KFM2120660303312</t>
  </si>
  <si>
    <t>KFM2020660199736</t>
  </si>
  <si>
    <t xml:space="preserve">   مسجد/ محمد شويفين  هلال .</t>
  </si>
  <si>
    <t>KFM2020660204379</t>
  </si>
  <si>
    <t xml:space="preserve">   مسجد سعود الفالح واخوانه .</t>
  </si>
  <si>
    <t>KFM2020660054437</t>
  </si>
  <si>
    <t xml:space="preserve">   مسجد الاميرة دليل بنت عبدالرحمن .</t>
  </si>
  <si>
    <t>KFM2120660299478</t>
  </si>
  <si>
    <t>KFM2120655004334</t>
  </si>
  <si>
    <t xml:space="preserve">   مسجدغليفص بسوق البطحاء .</t>
  </si>
  <si>
    <t>KFM2020660047690</t>
  </si>
  <si>
    <t>KFM2020660104894</t>
  </si>
  <si>
    <t>KFM2020660211839</t>
  </si>
  <si>
    <t xml:space="preserve">   ادارة الاوقاف - جامع الراشدية .</t>
  </si>
  <si>
    <t>KFM2120660246032</t>
  </si>
  <si>
    <t>KFM2020660197752</t>
  </si>
  <si>
    <t xml:space="preserve">   اوقاف القويعيه .</t>
  </si>
  <si>
    <t>AES2020896454037</t>
  </si>
  <si>
    <t>مسجد   الزامل .</t>
  </si>
  <si>
    <t>KFM2020660014167</t>
  </si>
  <si>
    <t xml:space="preserve">      مسجد عبدالله ابراهيم العجمى .</t>
  </si>
  <si>
    <t>KFM2020760022184</t>
  </si>
  <si>
    <t xml:space="preserve">   وزارةالشئون الاسلامية-مسجدالعقيلي .</t>
  </si>
  <si>
    <t>KFM2020660197050</t>
  </si>
  <si>
    <t>KFM2020660203721</t>
  </si>
  <si>
    <t>KFM2020766096078</t>
  </si>
  <si>
    <t xml:space="preserve">   مسجد                السليس .</t>
  </si>
  <si>
    <t>KFM2020660057250</t>
  </si>
  <si>
    <t xml:space="preserve">     مسجد ادارة التعليم .</t>
  </si>
  <si>
    <t>KFM2020660160325</t>
  </si>
  <si>
    <t xml:space="preserve">   مسجد عمر البلطان .</t>
  </si>
  <si>
    <t>KFM2120660267539</t>
  </si>
  <si>
    <t>SMR2220661017330</t>
  </si>
  <si>
    <t>KFM2020660173436</t>
  </si>
  <si>
    <t xml:space="preserve">   مسجد جامع هجرة سعد .</t>
  </si>
  <si>
    <t>KFM2020660206843</t>
  </si>
  <si>
    <t xml:space="preserve">   مسجد المنخاس .</t>
  </si>
  <si>
    <t>KFM2020660138161</t>
  </si>
  <si>
    <t>SMR2220621001360</t>
  </si>
  <si>
    <t xml:space="preserve">   مسجد/ابو بكرالصديق .</t>
  </si>
  <si>
    <t>KFM2020660192885</t>
  </si>
  <si>
    <t xml:space="preserve">   مسجد      السليمانيه//////////// .</t>
  </si>
  <si>
    <t>KFM2020766098698</t>
  </si>
  <si>
    <t xml:space="preserve">   مدرسة تحفيظ قران /عبدالله الذياب .</t>
  </si>
  <si>
    <t>KFM2120660249327</t>
  </si>
  <si>
    <t>مسجد الملك  عبدالعزيز .</t>
  </si>
  <si>
    <t>KFM2020660054888</t>
  </si>
  <si>
    <t xml:space="preserve">   مسجدعثمان العثمان .</t>
  </si>
  <si>
    <t>KFM2020660126296</t>
  </si>
  <si>
    <t xml:space="preserve">   مسجد      محمد      العسكر .</t>
  </si>
  <si>
    <t>KFM2020760210599</t>
  </si>
  <si>
    <t>KFM2020660211850</t>
  </si>
  <si>
    <t xml:space="preserve">      مسجد المخطط الشمالى .</t>
  </si>
  <si>
    <t>KFM2120660279084</t>
  </si>
  <si>
    <t>KFM2020760040879</t>
  </si>
  <si>
    <t xml:space="preserve">   مسجد المانع .</t>
  </si>
  <si>
    <t>KFM2020660057136</t>
  </si>
  <si>
    <t xml:space="preserve"> وزاررة     الشئون     مسجد .</t>
  </si>
  <si>
    <t>KFM2020660025694</t>
  </si>
  <si>
    <t xml:space="preserve">   مسجد المشنوطية .</t>
  </si>
  <si>
    <t>AEC2120830595949</t>
  </si>
  <si>
    <t xml:space="preserve">   اوقاف الزلفي (مسجدالفضل العباس ) .</t>
  </si>
  <si>
    <t>AES2120896549574</t>
  </si>
  <si>
    <t xml:space="preserve">   اوقاف القويعيه/ جامع الفويلق .</t>
  </si>
  <si>
    <t>KFM2020660209965</t>
  </si>
  <si>
    <t xml:space="preserve">   مسجد ابو ايوب الانصاري . .</t>
  </si>
  <si>
    <t>KFM2020660232955</t>
  </si>
  <si>
    <t>جامع العرفج  بحي شبرا .</t>
  </si>
  <si>
    <t>KFM2020660049446</t>
  </si>
  <si>
    <t xml:space="preserve">   اوقاف المزاحميه .</t>
  </si>
  <si>
    <t>AEC2020830114458</t>
  </si>
  <si>
    <t xml:space="preserve">    مسجد حي الملقا .</t>
  </si>
  <si>
    <t>KFM2020660045241</t>
  </si>
  <si>
    <t>KFM2020660192454</t>
  </si>
  <si>
    <t xml:space="preserve">                 مسجد الشعب .</t>
  </si>
  <si>
    <t>KFM2020660195732</t>
  </si>
  <si>
    <t>KFM2020660054517</t>
  </si>
  <si>
    <t xml:space="preserve">        مسجد المدينة ج الثاني .</t>
  </si>
  <si>
    <t>KFM2020660177745</t>
  </si>
  <si>
    <t xml:space="preserve">   مسجدال جمعان .</t>
  </si>
  <si>
    <t>KFM2120660257247</t>
  </si>
  <si>
    <t xml:space="preserve">   مسجد الهزاعيه .</t>
  </si>
  <si>
    <t>KFM2020660176426</t>
  </si>
  <si>
    <t>KFM2020660037535</t>
  </si>
  <si>
    <t>مسجد حي نمار .</t>
  </si>
  <si>
    <t>KFM2020660083825</t>
  </si>
  <si>
    <t xml:space="preserve">   مسجد محمد عبدالرحمن الجحلان .</t>
  </si>
  <si>
    <t>KFM2020660145558</t>
  </si>
  <si>
    <t xml:space="preserve">      اوقاف المزاحمية/جامع الجديدة .</t>
  </si>
  <si>
    <t>KFM2020660177264</t>
  </si>
  <si>
    <t>مسجد ام  الامير طلال .</t>
  </si>
  <si>
    <t>KFM2020660198262</t>
  </si>
  <si>
    <t>KFM2020660191313</t>
  </si>
  <si>
    <t xml:space="preserve">   مسجد عبدالعزيز الخريف .</t>
  </si>
  <si>
    <t>KFM2020660031185</t>
  </si>
  <si>
    <t xml:space="preserve">     مـسـجـد شفلوت (اوقاف القويعيه) .</t>
  </si>
  <si>
    <t>KFM2020660209390</t>
  </si>
  <si>
    <t xml:space="preserve">   جامع حي السبعين بالروضه .</t>
  </si>
  <si>
    <t>KFM2020660211553</t>
  </si>
  <si>
    <t xml:space="preserve">   مسجد الخليج الشرقي .</t>
  </si>
  <si>
    <t>KFM2020660190953</t>
  </si>
  <si>
    <t>مسجد سعود الدوسري .</t>
  </si>
  <si>
    <t>KFM2020660196973</t>
  </si>
  <si>
    <t xml:space="preserve">   مسجد الجامع القديم بروضة سدير .</t>
  </si>
  <si>
    <t>KFM2020660211590</t>
  </si>
  <si>
    <t xml:space="preserve">   مسجدعمربن عبدالعزيز .</t>
  </si>
  <si>
    <t>KFM2020660212793</t>
  </si>
  <si>
    <t xml:space="preserve">   مسجدرقم (1)بالخالديه .</t>
  </si>
  <si>
    <t>ECC2320831015097</t>
  </si>
  <si>
    <t xml:space="preserve">   مسجد المصيف .</t>
  </si>
  <si>
    <t>KFM2020660173920</t>
  </si>
  <si>
    <t>KFM2120655004579</t>
  </si>
  <si>
    <t>KFM2020760018052</t>
  </si>
  <si>
    <t xml:space="preserve">     مسجد جامع الشعيبه بجلاجل .</t>
  </si>
  <si>
    <t>KFM2120660270197</t>
  </si>
  <si>
    <t>وقاف الا رطاوية .</t>
  </si>
  <si>
    <t>AES2120896593178</t>
  </si>
  <si>
    <t xml:space="preserve">    مسجد /حاره محمد .</t>
  </si>
  <si>
    <t>KFM2020766065310</t>
  </si>
  <si>
    <t xml:space="preserve">   مسجد عبدالله الجعيثن .</t>
  </si>
  <si>
    <t>KFM2020660145832</t>
  </si>
  <si>
    <t>ﻭﺯﺍﺭﺓﺍﻷﻭﻗﺎﻑ _ﺍﻭﻗﺎﻑ ﻨﻓﻲ .</t>
  </si>
  <si>
    <t>KFM2020660233619</t>
  </si>
  <si>
    <t>KFM2020660211319</t>
  </si>
  <si>
    <t xml:space="preserve">   مسجد  عبدالله العواد .</t>
  </si>
  <si>
    <t>KFM2120660251088</t>
  </si>
  <si>
    <t>KFM2120660253623</t>
  </si>
  <si>
    <t xml:space="preserve">   مسجد المبرز/اوقاف السليل .</t>
  </si>
  <si>
    <t>ECC2020820004682</t>
  </si>
  <si>
    <t xml:space="preserve">  مسجدسموالاميره/لطيفه بنت عبدالعزيز .</t>
  </si>
  <si>
    <t>KFM2120660246923</t>
  </si>
  <si>
    <t xml:space="preserve">   مسجد/محمدبن عبدالوهاب .</t>
  </si>
  <si>
    <t>KFM2020766154406</t>
  </si>
  <si>
    <t xml:space="preserve">   مسجد فهد ال حسين  / مدرسةالتحفيظ .</t>
  </si>
  <si>
    <t>KFM2120660286466</t>
  </si>
  <si>
    <t xml:space="preserve">   مسجد/عسيلة غرب .</t>
  </si>
  <si>
    <t>KFM2120660265113</t>
  </si>
  <si>
    <t>KFM2120660300562</t>
  </si>
  <si>
    <t>KFM2020760001525</t>
  </si>
  <si>
    <t xml:space="preserve">   مسجد      الثامريه  . .</t>
  </si>
  <si>
    <t>KFM2020660188209</t>
  </si>
  <si>
    <t>مسجد ابوبكر الصديق .</t>
  </si>
  <si>
    <t>KFM2020660042285</t>
  </si>
  <si>
    <t xml:space="preserve">   مسجد الرشودى .</t>
  </si>
  <si>
    <t>KFM2020660196517</t>
  </si>
  <si>
    <t>KFM2020660207607</t>
  </si>
  <si>
    <t xml:space="preserve">   مسجدحي الفيصليه .</t>
  </si>
  <si>
    <t>KFM2120660257285</t>
  </si>
  <si>
    <t>ﻤﻜﺘﺏ ﺒﻟﺩﻴﺓ ﺍﻟﻗﺼﺏ .</t>
  </si>
  <si>
    <t>KFM2020766132738</t>
  </si>
  <si>
    <t xml:space="preserve">      مسجد الدخل المحدود رقم 1 .</t>
  </si>
  <si>
    <t>KFM2020766128823</t>
  </si>
  <si>
    <t xml:space="preserve">      مسجد بن عمار بالحزم .</t>
  </si>
  <si>
    <t>KFM2020760160112</t>
  </si>
  <si>
    <t>KFM2020660202796</t>
  </si>
  <si>
    <t>KFM2120660257701</t>
  </si>
  <si>
    <t xml:space="preserve">   المسجد الجامع بالحسى .</t>
  </si>
  <si>
    <t>KFM2120660275816</t>
  </si>
  <si>
    <t>KFM2120660304274</t>
  </si>
  <si>
    <t xml:space="preserve">   مسجد مازن الراجحي .</t>
  </si>
  <si>
    <t>KFM2020660161270</t>
  </si>
  <si>
    <t xml:space="preserve">   جامع الهجره .</t>
  </si>
  <si>
    <t>KFM2020760203044</t>
  </si>
  <si>
    <t xml:space="preserve">   مسجدعلي ابراهيم الحديثي .</t>
  </si>
  <si>
    <t>KFM2020660193565</t>
  </si>
  <si>
    <t>مسجد / محمد ابوشنق .</t>
  </si>
  <si>
    <t>KFM2020660013836</t>
  </si>
  <si>
    <t xml:space="preserve">   اوقاف الحصاة   - جامع مويسل .</t>
  </si>
  <si>
    <t>KFM2120660280944</t>
  </si>
  <si>
    <t>مسجد سموالامير/مساعدبن عبدالرحمن .</t>
  </si>
  <si>
    <t>KFM2020660011949</t>
  </si>
  <si>
    <t>KFM2020660223663</t>
  </si>
  <si>
    <t>SMR2420661036116</t>
  </si>
  <si>
    <t xml:space="preserve">      مسجد مقبوله .</t>
  </si>
  <si>
    <t>KFM2020660212542</t>
  </si>
  <si>
    <t xml:space="preserve">   مسـجد الحي الأخضــر .</t>
  </si>
  <si>
    <t>KFM2020660210912</t>
  </si>
  <si>
    <t>SMR2320661022843</t>
  </si>
  <si>
    <t>SMR2220661000002</t>
  </si>
  <si>
    <t xml:space="preserve">   مسجد التويجري .</t>
  </si>
  <si>
    <t>KFM2020660012601</t>
  </si>
  <si>
    <t>مسجد قرطبه .</t>
  </si>
  <si>
    <t>KFM2020660171318</t>
  </si>
  <si>
    <t xml:space="preserve">   مسجد الروضه بحي العليا .</t>
  </si>
  <si>
    <t>KFM2020660051155</t>
  </si>
  <si>
    <t xml:space="preserve">   مسجدال مرزوق .</t>
  </si>
  <si>
    <t>KFM2020660041274</t>
  </si>
  <si>
    <t xml:space="preserve">   مسجد/ محمد بن عثيمين .</t>
  </si>
  <si>
    <t>KFM2120660239384</t>
  </si>
  <si>
    <t xml:space="preserve">   مسجد  الدرويش .</t>
  </si>
  <si>
    <t>KFM2020660060157</t>
  </si>
  <si>
    <t>KFM2020760006879</t>
  </si>
  <si>
    <t>SMR2220661000301</t>
  </si>
  <si>
    <t xml:space="preserve">   مسجد اشبيليا .</t>
  </si>
  <si>
    <t>KFM2020660040635</t>
  </si>
  <si>
    <t>KFM2020660193645</t>
  </si>
  <si>
    <t xml:space="preserve">   مسجد/ عبدالله حمد العواد .</t>
  </si>
  <si>
    <t>KFM2020660191317</t>
  </si>
  <si>
    <t>خدمات مسجدالامير متعب بن عبدالله آل سعود .</t>
  </si>
  <si>
    <t>KFM2120660236638</t>
  </si>
  <si>
    <t xml:space="preserve">   مسجد حصة بنت صالح العلى السالم .</t>
  </si>
  <si>
    <t>KFM2020660056917</t>
  </si>
  <si>
    <t xml:space="preserve">   مسجد      النايفه   ملهم صلبوخ .</t>
  </si>
  <si>
    <t>SMR2320661022934</t>
  </si>
  <si>
    <t>KFM2020660196923</t>
  </si>
  <si>
    <t xml:space="preserve">   مسجد بر الوالدين .</t>
  </si>
  <si>
    <t>KFM2120660256843</t>
  </si>
  <si>
    <t xml:space="preserve">      جــامـع البدائع .</t>
  </si>
  <si>
    <t>KFM2020766163482</t>
  </si>
  <si>
    <t>KFM2120660285054</t>
  </si>
  <si>
    <t>مسجدخالدبن الوليدوسكن الامام  والم .</t>
  </si>
  <si>
    <t>KFM2020660196908</t>
  </si>
  <si>
    <t xml:space="preserve">   مسجد الفردوس .</t>
  </si>
  <si>
    <t>KFM2020660145801</t>
  </si>
  <si>
    <t>KFM2020660170164</t>
  </si>
  <si>
    <t>KFM2020660209274</t>
  </si>
  <si>
    <t xml:space="preserve">   مسجد أم سلطان الاوقاف والمساجد .</t>
  </si>
  <si>
    <t>KFM2020660212677</t>
  </si>
  <si>
    <t xml:space="preserve">   مسجد حمد عبدالعزيز العثيمين .</t>
  </si>
  <si>
    <t>KFM2020660193780</t>
  </si>
  <si>
    <t>مسجد ال  الشيخ .</t>
  </si>
  <si>
    <t>KFM2020660098927</t>
  </si>
  <si>
    <t xml:space="preserve">   مسجدالسوق التجارى .</t>
  </si>
  <si>
    <t>KFM2020660229443</t>
  </si>
  <si>
    <t>-  وزارة الشؤون الاسلا مية   -   مسجد .</t>
  </si>
  <si>
    <t>KFM2020660015286</t>
  </si>
  <si>
    <t>سكن امام ومؤذن مسجد السعادة .</t>
  </si>
  <si>
    <t>KFM2020660234149</t>
  </si>
  <si>
    <t>AEC2020830233829</t>
  </si>
  <si>
    <t xml:space="preserve">   مسجد حى السعوديه .</t>
  </si>
  <si>
    <t>KFM2120660260519</t>
  </si>
  <si>
    <t>SMR2320661033865</t>
  </si>
  <si>
    <t>KFM2020660213540</t>
  </si>
  <si>
    <t xml:space="preserve">   مسجد      رقم (10 ) رقم(408 ) .</t>
  </si>
  <si>
    <t>KFM2020660208916</t>
  </si>
  <si>
    <t xml:space="preserve">   اوقاف الحصاة/جامع هجرةمسدح .</t>
  </si>
  <si>
    <t>KFM2020766138372</t>
  </si>
  <si>
    <t>KFM2020660203443</t>
  </si>
  <si>
    <t xml:space="preserve">   مسجد بن مشنوطه .</t>
  </si>
  <si>
    <t>KFM2020760149222</t>
  </si>
  <si>
    <t>KFM2020766155502</t>
  </si>
  <si>
    <t>مسجد      المرحوم  / محمد السلامة .</t>
  </si>
  <si>
    <t>KFM2020660174923</t>
  </si>
  <si>
    <t>مسجد/احمد .</t>
  </si>
  <si>
    <t>KFM2020760030280</t>
  </si>
  <si>
    <t xml:space="preserve">   مسجد الشيخ / عبدالعزيز بن باز .</t>
  </si>
  <si>
    <t>KFM2020660197487</t>
  </si>
  <si>
    <t xml:space="preserve">   مسجد/ابوطــلحه الا نصاري .</t>
  </si>
  <si>
    <t>KFM2120660292724</t>
  </si>
  <si>
    <t>KFM2020660038845</t>
  </si>
  <si>
    <t xml:space="preserve">   المسجد الشمالي بالشديدة .</t>
  </si>
  <si>
    <t>MMF2020800218918</t>
  </si>
  <si>
    <t>مسجد      علي       بن ابي طالب .</t>
  </si>
  <si>
    <t>KFM2020660061336</t>
  </si>
  <si>
    <t>KFM2020660097430</t>
  </si>
  <si>
    <t>KFM2020660043125</t>
  </si>
  <si>
    <t xml:space="preserve">   ادارة     الأوقاف    مسجد حسان بن .</t>
  </si>
  <si>
    <t>KFM2120660271512</t>
  </si>
  <si>
    <t>مسجد عيسى  بن راشد بن عويسى .</t>
  </si>
  <si>
    <t>KFM2020660056097</t>
  </si>
  <si>
    <t xml:space="preserve">   مسجد عبدالله الكابري .</t>
  </si>
  <si>
    <t>KFM2020660174452</t>
  </si>
  <si>
    <t>الشؤون الخاصة لخادم الحرمين الشريفين .</t>
  </si>
  <si>
    <t>MMF2020800123790</t>
  </si>
  <si>
    <t xml:space="preserve">   مسجد سعد  بن بطي    الفراج .</t>
  </si>
  <si>
    <t>KFM2020660158955</t>
  </si>
  <si>
    <t xml:space="preserve">   مسجد العبيد .</t>
  </si>
  <si>
    <t>KFM2020660127400</t>
  </si>
  <si>
    <t xml:space="preserve">   مسجد حي الملك فهد .</t>
  </si>
  <si>
    <t>KFM2020660227182</t>
  </si>
  <si>
    <t xml:space="preserve">   مسجدالرميزان .</t>
  </si>
  <si>
    <t>KFM2120660257451</t>
  </si>
  <si>
    <t>KFM2120655001427</t>
  </si>
  <si>
    <t>مسجد سمو الامير-فيصل سلمان محمد .</t>
  </si>
  <si>
    <t>KFM2020660169647</t>
  </si>
  <si>
    <t>SMR2220661018311</t>
  </si>
  <si>
    <t xml:space="preserve"> مسجدحىالنخيل الشئون الاسلاميه والاوقاف .</t>
  </si>
  <si>
    <t>KFM2020660012277</t>
  </si>
  <si>
    <t>KFM2020760053071</t>
  </si>
  <si>
    <t xml:space="preserve">   مسجد      فرعه      بالحصاه .</t>
  </si>
  <si>
    <t>AES2020896460984</t>
  </si>
  <si>
    <t xml:space="preserve">   مسجد الحبيب .</t>
  </si>
  <si>
    <t>KFM2120660299435</t>
  </si>
  <si>
    <t>مسجد / ابن كثير .</t>
  </si>
  <si>
    <t>KFM2020660057783</t>
  </si>
  <si>
    <t>KFM2020660044523</t>
  </si>
  <si>
    <t xml:space="preserve">    مسجد وسكن  نوره    الشقير .</t>
  </si>
  <si>
    <t>KFM2020660190931</t>
  </si>
  <si>
    <t>وزارة     الشئون    والاوقاف .</t>
  </si>
  <si>
    <t>KFM2020660051295</t>
  </si>
  <si>
    <t xml:space="preserve">   اوقاف الزلفي(مسجدماجدالمنيع) .</t>
  </si>
  <si>
    <t>KFM2020766158139</t>
  </si>
  <si>
    <t xml:space="preserve">   مسجدالحسن بن على بن ابى طالب .</t>
  </si>
  <si>
    <t>KFM2120660267476</t>
  </si>
  <si>
    <t>مسجد الحباب .</t>
  </si>
  <si>
    <t>KFM2020660015418</t>
  </si>
  <si>
    <t xml:space="preserve">   اوقاف     القويعيه  القويعية .</t>
  </si>
  <si>
    <t>KFM2020660190670</t>
  </si>
  <si>
    <t xml:space="preserve">   مسجد      الجامع    الصفرات .</t>
  </si>
  <si>
    <t>KFM2120660284478</t>
  </si>
  <si>
    <t xml:space="preserve">   مسجد عبادةبن الصامت مخطط 384 .</t>
  </si>
  <si>
    <t>KFM2120660270870</t>
  </si>
  <si>
    <t xml:space="preserve">    مسجدحىرقم18مطارشمالىبنيدرالعتيبى .</t>
  </si>
  <si>
    <t>KFM2020660150138</t>
  </si>
  <si>
    <t xml:space="preserve">   مسجدحى الزلفى .</t>
  </si>
  <si>
    <t>KFM2020660229359</t>
  </si>
  <si>
    <t>KFM2120660272869</t>
  </si>
  <si>
    <t>مسجد عمر بن الخطاب .</t>
  </si>
  <si>
    <t>KFM2020660039916</t>
  </si>
  <si>
    <t>مسجد اسامة  سعد احمد آل  سليمان .</t>
  </si>
  <si>
    <t>KFM2020660198382</t>
  </si>
  <si>
    <t xml:space="preserve">   مسجد      ام        الغربيه .</t>
  </si>
  <si>
    <t>LYE2020830270129</t>
  </si>
  <si>
    <t xml:space="preserve">      مسجد الحله بالعزيزيه .</t>
  </si>
  <si>
    <t>KFM2020760009879</t>
  </si>
  <si>
    <t xml:space="preserve">   مسجدالخزامى ( بحي الخزامى ) .</t>
  </si>
  <si>
    <t>KFM2020660035309</t>
  </si>
  <si>
    <t xml:space="preserve">   مسجد      التقوى    //// .</t>
  </si>
  <si>
    <t>KFM2020760082921</t>
  </si>
  <si>
    <t>KFM2020660027517</t>
  </si>
  <si>
    <t xml:space="preserve">   مسجد تركى الشمالى .</t>
  </si>
  <si>
    <t>KFM2020760210477</t>
  </si>
  <si>
    <t>KFM2120660270032</t>
  </si>
  <si>
    <t>MMF2420601015530</t>
  </si>
  <si>
    <t xml:space="preserve">   مسجد الفلاح .</t>
  </si>
  <si>
    <t>KFM2020660171473</t>
  </si>
  <si>
    <t>KFM2020660097387</t>
  </si>
  <si>
    <t>KFM2020660145204</t>
  </si>
  <si>
    <t xml:space="preserve">   اوقاف ومساجدالرين .</t>
  </si>
  <si>
    <t>KFM2020766054703</t>
  </si>
  <si>
    <t>SMR2220661007067</t>
  </si>
  <si>
    <t xml:space="preserve">   مسجد      العمرين   . .</t>
  </si>
  <si>
    <t>KFM2020660132818</t>
  </si>
  <si>
    <t>وقاف الزلفي .</t>
  </si>
  <si>
    <t>AES2020896433466</t>
  </si>
  <si>
    <t xml:space="preserve">   مسجد      الفيصلية  الاوقاف .</t>
  </si>
  <si>
    <t>KFM2020766086171</t>
  </si>
  <si>
    <t xml:space="preserve">      مسجد  الفيصليه .</t>
  </si>
  <si>
    <t>KFM2020660230766</t>
  </si>
  <si>
    <t xml:space="preserve">   مسجد الوقف الثانى .</t>
  </si>
  <si>
    <t>KFM2020660200662</t>
  </si>
  <si>
    <t>AEC2020830171245</t>
  </si>
  <si>
    <t>MMF2420801308689</t>
  </si>
  <si>
    <t xml:space="preserve">   مسجد محمد عبدالله الماجد .</t>
  </si>
  <si>
    <t>KFM2120660300815</t>
  </si>
  <si>
    <t>KFM2020660212795</t>
  </si>
  <si>
    <t xml:space="preserve">   مسجد مصلح الحربي .</t>
  </si>
  <si>
    <t>KFM2120660293122</t>
  </si>
  <si>
    <t xml:space="preserve">   مسجد بدر/ حي العلياء .</t>
  </si>
  <si>
    <t>KFM2120660246669</t>
  </si>
  <si>
    <t>KFM2020660097281</t>
  </si>
  <si>
    <t xml:space="preserve">   مسجد الامام/ عبد الله بن المبارك .</t>
  </si>
  <si>
    <t>KFM2120655004161</t>
  </si>
  <si>
    <t xml:space="preserve">   اوقاف الاا ال .</t>
  </si>
  <si>
    <t>KFM2020660190754</t>
  </si>
  <si>
    <t xml:space="preserve">       مسجد  رقم (58)  (1328) .</t>
  </si>
  <si>
    <t>ECC2020810847244</t>
  </si>
  <si>
    <t>KFM2020660223896</t>
  </si>
  <si>
    <t xml:space="preserve">   اوقاف القويعيه  جامع ابن عقاب .</t>
  </si>
  <si>
    <t>KFM2120660240361</t>
  </si>
  <si>
    <t xml:space="preserve">   اوقاف ومساجد حمود محمدبن مريحة .</t>
  </si>
  <si>
    <t>AES2320896640644</t>
  </si>
  <si>
    <t xml:space="preserve">   اوقاف الدواسر/مسجد مريس  دعيكان .</t>
  </si>
  <si>
    <t>KFM2020660206050</t>
  </si>
  <si>
    <t>KFM2020660012509</t>
  </si>
  <si>
    <t xml:space="preserve">     مسجدالعزيزية الشمالى بتمير .</t>
  </si>
  <si>
    <t>KFM2020660195749</t>
  </si>
  <si>
    <t xml:space="preserve">   مسجد الزبيربن العوام .</t>
  </si>
  <si>
    <t>KFM2020660162181</t>
  </si>
  <si>
    <t xml:space="preserve">   مسجد الهدى .</t>
  </si>
  <si>
    <t>KFM2020660175153</t>
  </si>
  <si>
    <t>KFM2020660129798</t>
  </si>
  <si>
    <t xml:space="preserve">     مسجد الظهره .</t>
  </si>
  <si>
    <t>KFM2020760184511</t>
  </si>
  <si>
    <t>SMR2020865039527</t>
  </si>
  <si>
    <t xml:space="preserve">   مسجد الخريجى .</t>
  </si>
  <si>
    <t>KFM2120660246071</t>
  </si>
  <si>
    <t xml:space="preserve">   مسجد المعتق .</t>
  </si>
  <si>
    <t>KFM2020766073457</t>
  </si>
  <si>
    <t>KFM2120660253460</t>
  </si>
  <si>
    <t xml:space="preserve">      مسجد الحى رقم 2 المطار .</t>
  </si>
  <si>
    <t>KFM2020766162067</t>
  </si>
  <si>
    <t>SMR2420868021151</t>
  </si>
  <si>
    <t xml:space="preserve">   جامع بن صالح .</t>
  </si>
  <si>
    <t>KFM2020660174154</t>
  </si>
  <si>
    <t xml:space="preserve">      مسجد الحزيميه .</t>
  </si>
  <si>
    <t>KFM2020766075887</t>
  </si>
  <si>
    <t>KFM2120660276222</t>
  </si>
  <si>
    <t xml:space="preserve">   جامع      الدسمه    //////////// .</t>
  </si>
  <si>
    <t>KFM2020660176207</t>
  </si>
  <si>
    <t xml:space="preserve">   مسجد الدخيل .</t>
  </si>
  <si>
    <t>KFM2020660191703</t>
  </si>
  <si>
    <t>KFM2020660201420</t>
  </si>
  <si>
    <t>KFM2020660044615</t>
  </si>
  <si>
    <t xml:space="preserve">   مسجد اهالى/ محمد حسن العسيرى .</t>
  </si>
  <si>
    <t>KFM2120660268782</t>
  </si>
  <si>
    <t>SMR2420868018389</t>
  </si>
  <si>
    <t>KFM2020660175014</t>
  </si>
  <si>
    <t xml:space="preserve">   مسجد غبيراء .</t>
  </si>
  <si>
    <t>KFM2120660247959</t>
  </si>
  <si>
    <t xml:space="preserve">   مسجد علي ابي طالب .</t>
  </si>
  <si>
    <t>KFM2020660162191</t>
  </si>
  <si>
    <t xml:space="preserve">   مسجدسعودالمغيصيب .</t>
  </si>
  <si>
    <t>KFM2020660197246</t>
  </si>
  <si>
    <t xml:space="preserve">   مسجد الامام الذهبي .</t>
  </si>
  <si>
    <t>KFM2120660257182</t>
  </si>
  <si>
    <t xml:space="preserve">   جامع      الرويضه   القديم .</t>
  </si>
  <si>
    <t>KFM2020660171216</t>
  </si>
  <si>
    <t xml:space="preserve">   مسجد      بن تيمية  الجديدة .</t>
  </si>
  <si>
    <t>KFM2020660177749</t>
  </si>
  <si>
    <t xml:space="preserve">   مسجد المعيذر .</t>
  </si>
  <si>
    <t>KFM2020660018863</t>
  </si>
  <si>
    <t>مسجد الشيخ  عبدالعزيز الموسى .</t>
  </si>
  <si>
    <t>KFM2020660191252</t>
  </si>
  <si>
    <t xml:space="preserve">   مسجدالشيخ فهد العويضه +  السكن .</t>
  </si>
  <si>
    <t>KFM2020660060118</t>
  </si>
  <si>
    <t>KFM2120660299515</t>
  </si>
  <si>
    <t xml:space="preserve">   مسجدالنهضه .</t>
  </si>
  <si>
    <t>KFM2120660276284</t>
  </si>
  <si>
    <t>KFM2020660036501</t>
  </si>
  <si>
    <t xml:space="preserve">   مسجدرقم(3)في مخطط   بحريملاء .</t>
  </si>
  <si>
    <t>KFM2020760184567</t>
  </si>
  <si>
    <t>AEC2020830270981</t>
  </si>
  <si>
    <t xml:space="preserve">    مـسـجـدالمعموره(اوقاف القويعيه) .</t>
  </si>
  <si>
    <t>AES2120896537334</t>
  </si>
  <si>
    <t>KFM2020660190654</t>
  </si>
  <si>
    <t>KFM2120660270636</t>
  </si>
  <si>
    <t>حمد عبدالله الدوسري .</t>
  </si>
  <si>
    <t>KFM2020660137642</t>
  </si>
  <si>
    <t xml:space="preserve">   مسجد/محمد بن ابراهيم .</t>
  </si>
  <si>
    <t>KFM2020660160383</t>
  </si>
  <si>
    <t>KFM2020760211473</t>
  </si>
  <si>
    <t>KFM2020660057961</t>
  </si>
  <si>
    <t xml:space="preserve">   جامع السرداح اوقاف القويعية .</t>
  </si>
  <si>
    <t>KFM2020660190636</t>
  </si>
  <si>
    <t>مسجدالنمله .</t>
  </si>
  <si>
    <t>SMR2420761043627</t>
  </si>
  <si>
    <t>مسجدشبرا .</t>
  </si>
  <si>
    <t>KFM2020660037776</t>
  </si>
  <si>
    <t xml:space="preserve">   مسجد اسكان حي الجزيرة .</t>
  </si>
  <si>
    <t>KFM2120660282017</t>
  </si>
  <si>
    <t xml:space="preserve">   وزارة الشئوؤن الاسلاميه مسجدحطين .</t>
  </si>
  <si>
    <t>KFM2020660187908</t>
  </si>
  <si>
    <t xml:space="preserve">   مسجد الغفيلي .</t>
  </si>
  <si>
    <t>KFM2020660049708</t>
  </si>
  <si>
    <t xml:space="preserve">      المسجد الجامع بالبدع .</t>
  </si>
  <si>
    <t>KFM2020660176065</t>
  </si>
  <si>
    <t xml:space="preserve">   جامع مصدة الجديد .</t>
  </si>
  <si>
    <t>KFM2020660204028</t>
  </si>
  <si>
    <t>SMR2220661003239</t>
  </si>
  <si>
    <t>مسجد حي الرفيعه .</t>
  </si>
  <si>
    <t>KFM2120660304421</t>
  </si>
  <si>
    <t xml:space="preserve">   مسجد الشيخ مبارك الرشود .</t>
  </si>
  <si>
    <t>KFM2020660206525</t>
  </si>
  <si>
    <t>AEC2020830082783</t>
  </si>
  <si>
    <t xml:space="preserve">   مسجد      الامير     عبدالعزيز .</t>
  </si>
  <si>
    <t>KFM2020660233534</t>
  </si>
  <si>
    <t>SMR2220661006449</t>
  </si>
  <si>
    <t>KFM2020660197522</t>
  </si>
  <si>
    <t xml:space="preserve">   المسجد  الشمالي الشرقي .</t>
  </si>
  <si>
    <t>KFM2020660126622</t>
  </si>
  <si>
    <t>KFM2020660206787</t>
  </si>
  <si>
    <t>SMR2120765014545</t>
  </si>
  <si>
    <t xml:space="preserve">   جامع عمر المختار .</t>
  </si>
  <si>
    <t>SMR2220661018901</t>
  </si>
  <si>
    <t xml:space="preserve">      جامع الوداعين بالهدار .</t>
  </si>
  <si>
    <t>SMR2220661016890</t>
  </si>
  <si>
    <t xml:space="preserve">   مسجد والدة سعد الدريس .</t>
  </si>
  <si>
    <t>KFM2020660190780</t>
  </si>
  <si>
    <t xml:space="preserve">   مسجد صالح الفوزان .</t>
  </si>
  <si>
    <t>KFM2120660270412</t>
  </si>
  <si>
    <t>KFM2020660196369</t>
  </si>
  <si>
    <t>جامع(الخريف)مسجد أحمد بن حنبل سابقا مرات .</t>
  </si>
  <si>
    <t>KFM2120660268897</t>
  </si>
  <si>
    <t>.  مسجد سامح  (مصعب  بن .</t>
  </si>
  <si>
    <t>KFM2020660098762</t>
  </si>
  <si>
    <t xml:space="preserve">   جامع      الغزي     / .</t>
  </si>
  <si>
    <t>KFM2020660057210</t>
  </si>
  <si>
    <t xml:space="preserve">   مسجد جامع الملز الاول .</t>
  </si>
  <si>
    <t>KFM2120660282676</t>
  </si>
  <si>
    <t xml:space="preserve">   مسجد  على العبدالقادر .</t>
  </si>
  <si>
    <t>KFM2020660134543</t>
  </si>
  <si>
    <t>KFM2020660193686</t>
  </si>
  <si>
    <t xml:space="preserve">   مسجد      المنصور   0 .</t>
  </si>
  <si>
    <t>KFM2020760082651</t>
  </si>
  <si>
    <t xml:space="preserve">   مسجد عوده العبدالله العوده .</t>
  </si>
  <si>
    <t>KFM2120660285398</t>
  </si>
  <si>
    <t xml:space="preserve">   مســجـد العيـن .</t>
  </si>
  <si>
    <t>KFM2120660260786</t>
  </si>
  <si>
    <t xml:space="preserve">      جامع امالشبرم .</t>
  </si>
  <si>
    <t>KFM2020660234217</t>
  </si>
  <si>
    <t>مسجد ابوهريرة .</t>
  </si>
  <si>
    <t>KFM2020660051572</t>
  </si>
  <si>
    <t xml:space="preserve">   اوقاف     الرين     المجمعة .</t>
  </si>
  <si>
    <t>KFM2020660196377</t>
  </si>
  <si>
    <t>KFM2020760210057</t>
  </si>
  <si>
    <t>KFM2020766160110</t>
  </si>
  <si>
    <t>KFM2420660295693</t>
  </si>
  <si>
    <t xml:space="preserve">   مسجد الزاهر .</t>
  </si>
  <si>
    <t>KFM2020660230223</t>
  </si>
  <si>
    <t xml:space="preserve">   ادارة الأوقاف ثادق .</t>
  </si>
  <si>
    <t>KFM2020766152765</t>
  </si>
  <si>
    <t xml:space="preserve">   مسجد ناصر بن مزيد   مخطط 549 طحي .</t>
  </si>
  <si>
    <t>KFM2020660173269</t>
  </si>
  <si>
    <t xml:space="preserve">   مسجد جامع بالبدع .</t>
  </si>
  <si>
    <t>KFM2020760019055</t>
  </si>
  <si>
    <t xml:space="preserve">   مسجد هجرة الفيضة سرالكعد .</t>
  </si>
  <si>
    <t>AEC2020830325374</t>
  </si>
  <si>
    <t xml:space="preserve">   الاوقاف مسجدعبدالرحمن الداخل .</t>
  </si>
  <si>
    <t>KFM2120660236133</t>
  </si>
  <si>
    <t>KFM2020660145909</t>
  </si>
  <si>
    <t xml:space="preserve">   مسجد العزيزية .</t>
  </si>
  <si>
    <t>KFM2120660299057</t>
  </si>
  <si>
    <t xml:space="preserve">   مسجد خف المخطط 123 .</t>
  </si>
  <si>
    <t>KFM2020766077766</t>
  </si>
  <si>
    <t xml:space="preserve">   مسجد عيد مفوز الشمرى .</t>
  </si>
  <si>
    <t>KFM2020660177798</t>
  </si>
  <si>
    <t xml:space="preserve">    مسجد سعدبن ابي وقاص .</t>
  </si>
  <si>
    <t>KFM2020766167879</t>
  </si>
  <si>
    <t xml:space="preserve">   مسجد عاصم بن عمر .</t>
  </si>
  <si>
    <t>KFM2020660041671</t>
  </si>
  <si>
    <t>MMF2020800125211</t>
  </si>
  <si>
    <t>مسجد  حي الشفاء .</t>
  </si>
  <si>
    <t>KFM2020660198305</t>
  </si>
  <si>
    <t>مسجد صلاح  الدين .</t>
  </si>
  <si>
    <t>KFM2020660171719</t>
  </si>
  <si>
    <t xml:space="preserve">   مسجدمنصور .</t>
  </si>
  <si>
    <t>KFM2120660303778</t>
  </si>
  <si>
    <t xml:space="preserve">   مسجد الشلوى بحى الوزارات .</t>
  </si>
  <si>
    <t>KFM2020660208536</t>
  </si>
  <si>
    <t xml:space="preserve">   مسجدوالدة/الامير فيصل بن فهد .</t>
  </si>
  <si>
    <t>KFM2020660051105</t>
  </si>
  <si>
    <t>KFM2020660206945</t>
  </si>
  <si>
    <t xml:space="preserve">      المسجد الجامع بالمفيجر .</t>
  </si>
  <si>
    <t>KFM2020660177632</t>
  </si>
  <si>
    <t>مسجد منفوحه .</t>
  </si>
  <si>
    <t>KFM2020660015205</t>
  </si>
  <si>
    <t>وزارة  الشؤون الا سلا مية مسجدالبليش .</t>
  </si>
  <si>
    <t>KFM2020660051366</t>
  </si>
  <si>
    <t xml:space="preserve">   مسجد عدي بن حاتم .</t>
  </si>
  <si>
    <t>KFM2020660057081</t>
  </si>
  <si>
    <t xml:space="preserve">   مسجد / منيرة بنت ناصر .</t>
  </si>
  <si>
    <t>KFM2020660175148</t>
  </si>
  <si>
    <t xml:space="preserve">   مسحد الشيخ فريان .</t>
  </si>
  <si>
    <t>KFM2020660211482</t>
  </si>
  <si>
    <t>SMR2220661016885</t>
  </si>
  <si>
    <t xml:space="preserve">      جـامـع الملك خالد بالحفيره .</t>
  </si>
  <si>
    <t>KFM2020660166273</t>
  </si>
  <si>
    <t xml:space="preserve">      مسجد حى المساعره .</t>
  </si>
  <si>
    <t>KFM2020660203839</t>
  </si>
  <si>
    <t xml:space="preserve">   مسجد البليهد .</t>
  </si>
  <si>
    <t>KFM2020660025572</t>
  </si>
  <si>
    <t xml:space="preserve">   مسجد       مبارك     ال عريمه .</t>
  </si>
  <si>
    <t>KFM2020660177877</t>
  </si>
  <si>
    <t xml:space="preserve">   مسجد غرناطة .</t>
  </si>
  <si>
    <t>KFM2020660178231</t>
  </si>
  <si>
    <t>AES2020896526911</t>
  </si>
  <si>
    <t xml:space="preserve">   مسجد      عبدالله   622 مخطط .</t>
  </si>
  <si>
    <t>SMR2020850055553</t>
  </si>
  <si>
    <t xml:space="preserve">   مسجد الراجحى .</t>
  </si>
  <si>
    <t>KFM2120660247991</t>
  </si>
  <si>
    <t>SMR2220661002776</t>
  </si>
  <si>
    <t>مسجد ال  خالد .</t>
  </si>
  <si>
    <t>KFM2020660013736</t>
  </si>
  <si>
    <t xml:space="preserve">   مسجد شيخة بنت عبدالعزيز .</t>
  </si>
  <si>
    <t>KFM2020660188810</t>
  </si>
  <si>
    <t xml:space="preserve">   اوقاف الزلفي(مسجدالعزبن عبدالسلام .</t>
  </si>
  <si>
    <t>KFM2020766158119</t>
  </si>
  <si>
    <t xml:space="preserve">   مسجدالزهرة حي المنار .</t>
  </si>
  <si>
    <t>KFM2020660054755</t>
  </si>
  <si>
    <t>KFM2020660056996</t>
  </si>
  <si>
    <t xml:space="preserve">   مسجدعبدالعزيزعبدالله الموسى .</t>
  </si>
  <si>
    <t>KFM2120660285342</t>
  </si>
  <si>
    <t>مسجدالنعيم .</t>
  </si>
  <si>
    <t>KFM2020660098941</t>
  </si>
  <si>
    <t>KFM2020660176323</t>
  </si>
  <si>
    <t>ECC2320831069819</t>
  </si>
  <si>
    <t xml:space="preserve">   مسجد معقره .</t>
  </si>
  <si>
    <t>KFM2020660060891</t>
  </si>
  <si>
    <t>مسجد ابي عبيده .</t>
  </si>
  <si>
    <t>KFM2020660189399</t>
  </si>
  <si>
    <t xml:space="preserve">  مسجدالاميرعبدالرحمن العبدالله فيصل .</t>
  </si>
  <si>
    <t>KFM2020660012636</t>
  </si>
  <si>
    <t>KFM2020660025968</t>
  </si>
  <si>
    <t>KFM2020660210858</t>
  </si>
  <si>
    <t xml:space="preserve">  مسجد جامع ال سويلم / اوقاف السليل .</t>
  </si>
  <si>
    <t>KFM2120660271398</t>
  </si>
  <si>
    <t>KFM2020660201954</t>
  </si>
  <si>
    <t xml:space="preserve">   مسجد عبدالرحمن بن حسان .</t>
  </si>
  <si>
    <t>KFM2020660160322</t>
  </si>
  <si>
    <t xml:space="preserve">   مسجدابن القيم .</t>
  </si>
  <si>
    <t>KFM2020660133317</t>
  </si>
  <si>
    <t xml:space="preserve">   مسجد      ال فرحان  اوقاف السليل .</t>
  </si>
  <si>
    <t>KFM2020766165783</t>
  </si>
  <si>
    <t xml:space="preserve">   مسجد  طالبات المملكه .</t>
  </si>
  <si>
    <t>KFM2020660061266</t>
  </si>
  <si>
    <t xml:space="preserve">   مسجد 6 حي الجزيرة .</t>
  </si>
  <si>
    <t>KFM2120660282721</t>
  </si>
  <si>
    <t xml:space="preserve">   اوقاف الزلفى مسجد حمود الشايع .</t>
  </si>
  <si>
    <t>KFM2020660188228</t>
  </si>
  <si>
    <t xml:space="preserve">   اوقاف القويعية/جامع البساتين .</t>
  </si>
  <si>
    <t>KFM2120660240474</t>
  </si>
  <si>
    <t xml:space="preserve">   مسجد      هجره      غالب ماجد .</t>
  </si>
  <si>
    <t>KFM2120660267491</t>
  </si>
  <si>
    <t>KFM2020660137727</t>
  </si>
  <si>
    <t>KFM2020660042242</t>
  </si>
  <si>
    <t>مسجد  /  السويدى .</t>
  </si>
  <si>
    <t>KFM2020660025772</t>
  </si>
  <si>
    <t xml:space="preserve">  وزارةالحج والاوقاف/مسجدجامع آل طله .</t>
  </si>
  <si>
    <t>KFM2020766096124</t>
  </si>
  <si>
    <t>مسجد والدة  الاميرسطام  بن عبدالعزيز .</t>
  </si>
  <si>
    <t>KFM2120660283966</t>
  </si>
  <si>
    <t>KFM2020660031625</t>
  </si>
  <si>
    <t xml:space="preserve">   مسجد الهزاع. .</t>
  </si>
  <si>
    <t>KFM2020660132605</t>
  </si>
  <si>
    <t xml:space="preserve">   جامع      الرين     القويعية .</t>
  </si>
  <si>
    <t>SMR2320661028274</t>
  </si>
  <si>
    <t>.   /  مسجد جنوب  عتيقة .</t>
  </si>
  <si>
    <t>KFM2020660168521</t>
  </si>
  <si>
    <t xml:space="preserve">   مسجد حى النور .</t>
  </si>
  <si>
    <t>KFM2120660301501</t>
  </si>
  <si>
    <t>مسجد الشيخ  محمد بن عبدالوهاب .</t>
  </si>
  <si>
    <t>KFM2020660039917</t>
  </si>
  <si>
    <t>00  مسجدالمديميغ .</t>
  </si>
  <si>
    <t>KFM2020660191347</t>
  </si>
  <si>
    <t xml:space="preserve">    فاهد حسين الدوسرى/مسجد الرقاعين .</t>
  </si>
  <si>
    <t>MMF2020800092698</t>
  </si>
  <si>
    <t xml:space="preserve">   مسجد حي لفيحاء .</t>
  </si>
  <si>
    <t>KFM2120660290495</t>
  </si>
  <si>
    <t xml:space="preserve">   مسجد      عسكرةبنت  حي نوارة .</t>
  </si>
  <si>
    <t>KFM2020660225595</t>
  </si>
  <si>
    <t>KFM2020766075870</t>
  </si>
  <si>
    <t xml:space="preserve">   جامع الفاروق .</t>
  </si>
  <si>
    <t>KFM2120660260563</t>
  </si>
  <si>
    <t xml:space="preserve">   مسجد شرق قرطبة .</t>
  </si>
  <si>
    <t>KFM2020660142143</t>
  </si>
  <si>
    <t xml:space="preserve">     مسجد الفوزان و سكن امام و مؤذن .</t>
  </si>
  <si>
    <t>KFM2020660060137</t>
  </si>
  <si>
    <t xml:space="preserve">   مسجد متعب الدعجاني .</t>
  </si>
  <si>
    <t>KFM2020660054529</t>
  </si>
  <si>
    <t xml:space="preserve">    مسجدالعزيزية/ عبدالرحمن الريس .</t>
  </si>
  <si>
    <t>KFM2020660195703</t>
  </si>
  <si>
    <t>مسجد الدريهميه .</t>
  </si>
  <si>
    <t>KFM2020660054302</t>
  </si>
  <si>
    <t xml:space="preserve">   مسجد / سعيد بن المسيب .</t>
  </si>
  <si>
    <t>KFM2120660270820</t>
  </si>
  <si>
    <t xml:space="preserve">   مسجد حي المنصوره .</t>
  </si>
  <si>
    <t>KFM2120660299137</t>
  </si>
  <si>
    <t xml:space="preserve">   المسجد الكبير بالارطاوى .</t>
  </si>
  <si>
    <t>KFM2020660176266</t>
  </si>
  <si>
    <t xml:space="preserve">    اوقاف الرين / مسجد المعتلا .</t>
  </si>
  <si>
    <t>AES2020896468012</t>
  </si>
  <si>
    <t xml:space="preserve">   مسجد الهيئه .</t>
  </si>
  <si>
    <t>KFM2020766161972</t>
  </si>
  <si>
    <t xml:space="preserve">   جامع العز بن        عبدالسلام .</t>
  </si>
  <si>
    <t>KFM2120660246007</t>
  </si>
  <si>
    <t xml:space="preserve">   مسجد العلياء .</t>
  </si>
  <si>
    <t>KFM2120660236030</t>
  </si>
  <si>
    <t xml:space="preserve">      مـسـجـد بن عمار(الاوقاف) .</t>
  </si>
  <si>
    <t>KFM2020766156352</t>
  </si>
  <si>
    <t xml:space="preserve">   مسجد الدكتورعبدالله المصرى .</t>
  </si>
  <si>
    <t>KFM2020660190482</t>
  </si>
  <si>
    <t>مسجد      عبدالله    القحطاني .</t>
  </si>
  <si>
    <t>KFM2020660051455</t>
  </si>
  <si>
    <t xml:space="preserve">   مسجد العتبان .</t>
  </si>
  <si>
    <t>KFM2020660229237</t>
  </si>
  <si>
    <t xml:space="preserve">   مسجدحى المعذر .</t>
  </si>
  <si>
    <t>KFM2020660031211</t>
  </si>
  <si>
    <t>مسجد الشيخ محمد بن عثيمين .</t>
  </si>
  <si>
    <t>KFM2020660195850</t>
  </si>
  <si>
    <t>AES2020896468903</t>
  </si>
  <si>
    <t xml:space="preserve">   مسجد وسكن بحي المونسية .</t>
  </si>
  <si>
    <t>KFM2020660054241</t>
  </si>
  <si>
    <t xml:space="preserve">   مسجد حى النفل مؤقت .</t>
  </si>
  <si>
    <t>KFM2020660008202</t>
  </si>
  <si>
    <t>مسجد العياد .</t>
  </si>
  <si>
    <t>KFM2020760115609</t>
  </si>
  <si>
    <t xml:space="preserve">   مسجدابراهيم محمدالسعيدان .</t>
  </si>
  <si>
    <t>KFM2020660127488</t>
  </si>
  <si>
    <t>KFM2020660195113</t>
  </si>
  <si>
    <t xml:space="preserve">   مسجد صالح العليان .</t>
  </si>
  <si>
    <t>KFM2020660018703</t>
  </si>
  <si>
    <t xml:space="preserve">      جامع الخنقه بلعلع .</t>
  </si>
  <si>
    <t>KFM2020766163405</t>
  </si>
  <si>
    <t xml:space="preserve">   مسجدمعهد الاداره العامه .</t>
  </si>
  <si>
    <t>KFM2120660242785</t>
  </si>
  <si>
    <t xml:space="preserve">   مسجد أنس بن مالك بمرات .</t>
  </si>
  <si>
    <t>SMR2120765018635</t>
  </si>
  <si>
    <t xml:space="preserve">   ادارةالاوقاف (مسجدخزان بالبديع ) .</t>
  </si>
  <si>
    <t>KFM2020766027681</t>
  </si>
  <si>
    <t xml:space="preserve">   مسجد الجامع بالعماريه بالجمش .</t>
  </si>
  <si>
    <t>SMR2220661011884</t>
  </si>
  <si>
    <t>ﻭﺯﺍﺭﺓﺍﻻﻭﻗﺎﻑ ـ ﺍﻭﻗﺎﻑ ﺴﺎﺠﺭ .</t>
  </si>
  <si>
    <t>MMF2320801153190</t>
  </si>
  <si>
    <t>جامع السليم .</t>
  </si>
  <si>
    <t>KFM2020660057790</t>
  </si>
  <si>
    <t>KFM2020660192382</t>
  </si>
  <si>
    <t>جامع منفوحة  الكبير .</t>
  </si>
  <si>
    <t>KFM2020660015399</t>
  </si>
  <si>
    <t>مسجدحى  غذوانه .</t>
  </si>
  <si>
    <t>KFM2020660006671</t>
  </si>
  <si>
    <t xml:space="preserve">   مسجد.الحى رقم 7 .</t>
  </si>
  <si>
    <t>KFM2020766113475</t>
  </si>
  <si>
    <t>KFM2120660266813</t>
  </si>
  <si>
    <t>KFM2120660251616</t>
  </si>
  <si>
    <t xml:space="preserve">   مسجد    مخطط     471    عفيف .</t>
  </si>
  <si>
    <t>AES2120896601665</t>
  </si>
  <si>
    <t>KFM2020660004072</t>
  </si>
  <si>
    <t>KFM2120660245978</t>
  </si>
  <si>
    <t xml:space="preserve">   مسجد الزيد بحي المروج .</t>
  </si>
  <si>
    <t>KFM2020660173420</t>
  </si>
  <si>
    <t>MMF2020800309776</t>
  </si>
  <si>
    <t>مسجدال  سويلم .</t>
  </si>
  <si>
    <t>KFM2020660189457</t>
  </si>
  <si>
    <t xml:space="preserve">      مسجد الفالح/ طريق الكويت .</t>
  </si>
  <si>
    <t>KFM2020660207149</t>
  </si>
  <si>
    <t xml:space="preserve">   مسجد العليويه .</t>
  </si>
  <si>
    <t>KFM2020660153954</t>
  </si>
  <si>
    <t xml:space="preserve">   مسجد الشيخ صالح بن غصون .</t>
  </si>
  <si>
    <t>KFM2020660045984</t>
  </si>
  <si>
    <t xml:space="preserve">   مسجدمعاذبن جبل .</t>
  </si>
  <si>
    <t>KFM2020660150072</t>
  </si>
  <si>
    <t xml:space="preserve">   جامع الرويضة .</t>
  </si>
  <si>
    <t>KFM2020760004931</t>
  </si>
  <si>
    <t xml:space="preserve">   ادارة الاوقاف(مسجدجنوب ش الغروب.) .</t>
  </si>
  <si>
    <t>KFM2020660176156</t>
  </si>
  <si>
    <t xml:space="preserve">   مسجد/ القشعمى .</t>
  </si>
  <si>
    <t>KFM2020660160314</t>
  </si>
  <si>
    <t xml:space="preserve">   مسجدالغربي بحريملاء .</t>
  </si>
  <si>
    <t>KFM2020760207758</t>
  </si>
  <si>
    <t xml:space="preserve">      اوقاف الزلفى مسجد حى(5) .</t>
  </si>
  <si>
    <t>KFM2020660228163</t>
  </si>
  <si>
    <t>KFM2020660083824</t>
  </si>
  <si>
    <t>SMR2420761037999</t>
  </si>
  <si>
    <t>KFM2020660206129</t>
  </si>
  <si>
    <t>KFM2020660007885</t>
  </si>
  <si>
    <t>مسجد حمد  عبدالله    الموسى .</t>
  </si>
  <si>
    <t>MMF2020800008887</t>
  </si>
  <si>
    <t xml:space="preserve">   مسجد سرحان محمد فنيسان القحطاني .</t>
  </si>
  <si>
    <t>KFM2020760155757</t>
  </si>
  <si>
    <t xml:space="preserve">   مسجد ابناء عبدالله بن عبدالرحمن .</t>
  </si>
  <si>
    <t>KFM2020660192138</t>
  </si>
  <si>
    <t>ECC2020811090526</t>
  </si>
  <si>
    <t xml:space="preserve">   مسجد      الفاضل    - .</t>
  </si>
  <si>
    <t>KFM2020760010094</t>
  </si>
  <si>
    <t>SMR2320661031278</t>
  </si>
  <si>
    <t>KFM2020660045941</t>
  </si>
  <si>
    <t>KFM2020760220615</t>
  </si>
  <si>
    <t xml:space="preserve">   مسجد والديحسن  بن   العجمي .</t>
  </si>
  <si>
    <t>KFM2020660201326</t>
  </si>
  <si>
    <t xml:space="preserve">   مسجدالعيال بالناصريه .</t>
  </si>
  <si>
    <t>KFM2020660174083</t>
  </si>
  <si>
    <t>مسجد الطويلعة .</t>
  </si>
  <si>
    <t>KFM2120660284016</t>
  </si>
  <si>
    <t>SMR2220661004282</t>
  </si>
  <si>
    <t>KFM2020660060633</t>
  </si>
  <si>
    <t>KFM2020660057901</t>
  </si>
  <si>
    <t>KFM2120660236183</t>
  </si>
  <si>
    <t>KFM2020660213530</t>
  </si>
  <si>
    <t xml:space="preserve">   مسجدابراهيم الحمزة .</t>
  </si>
  <si>
    <t>KFM2020660057137</t>
  </si>
  <si>
    <t xml:space="preserve">   مسجد سعد عبدالرحمن المزروع .</t>
  </si>
  <si>
    <t>KFM2020660104391</t>
  </si>
  <si>
    <t xml:space="preserve">   مسجد الشهري .</t>
  </si>
  <si>
    <t>KFM2020660061569</t>
  </si>
  <si>
    <t xml:space="preserve">   مسجدجعفربن ابي طالب .</t>
  </si>
  <si>
    <t>KFM2020766161997</t>
  </si>
  <si>
    <t xml:space="preserve">   اوقاف الدلم/مسجدخالدالغانم .</t>
  </si>
  <si>
    <t>KFM2120660249816</t>
  </si>
  <si>
    <t xml:space="preserve">   مسجد الحىرقم13 المطار .</t>
  </si>
  <si>
    <t>KFM2020660209926</t>
  </si>
  <si>
    <t xml:space="preserve">   مسجد ع.المعمري .</t>
  </si>
  <si>
    <t>KFM2120660299062</t>
  </si>
  <si>
    <t>KFM2020660095899</t>
  </si>
  <si>
    <t xml:space="preserve">   مسجد/ عبدالله البقمي .</t>
  </si>
  <si>
    <t>KFM2020660040639</t>
  </si>
  <si>
    <t>مسجد ابناء احمد سالم باسودان .</t>
  </si>
  <si>
    <t>KFM2120660256974</t>
  </si>
  <si>
    <t>مسجد العباسى .</t>
  </si>
  <si>
    <t>KFM2020660035605</t>
  </si>
  <si>
    <t>KFM2020660123005</t>
  </si>
  <si>
    <t>مسجد السليم .</t>
  </si>
  <si>
    <t>KFM2020660023015</t>
  </si>
  <si>
    <t>KFM2020660172346</t>
  </si>
  <si>
    <t>مقر القسم النسائي بنوارة .</t>
  </si>
  <si>
    <t>AES2020896062654</t>
  </si>
  <si>
    <t xml:space="preserve">      مسجدحضرم بن قريش العاصمى .</t>
  </si>
  <si>
    <t>KFM2020660212651</t>
  </si>
  <si>
    <t xml:space="preserve">   مسجد/ ابراهيم بن عبدالله الجريسي .</t>
  </si>
  <si>
    <t>KFM2020660212123</t>
  </si>
  <si>
    <t>AES2120896552211</t>
  </si>
  <si>
    <t>KFM2020660199629</t>
  </si>
  <si>
    <t xml:space="preserve">   مسجدمحسن الصالح .</t>
  </si>
  <si>
    <t>KFM2020660057244</t>
  </si>
  <si>
    <t>KFM2120660239282</t>
  </si>
  <si>
    <t xml:space="preserve">   مسجد عبدالله العباد بحي حطين .</t>
  </si>
  <si>
    <t>KFM2020660187914</t>
  </si>
  <si>
    <t>مسجدالراجحى .</t>
  </si>
  <si>
    <t>KFM2020660099036</t>
  </si>
  <si>
    <t>KFM2020660210766</t>
  </si>
  <si>
    <t>KFM2020660200418</t>
  </si>
  <si>
    <t xml:space="preserve">   اوقاف المزاحميةمسجدالمحمدية .</t>
  </si>
  <si>
    <t>AES2020896459702</t>
  </si>
  <si>
    <t>KFM2020660044643</t>
  </si>
  <si>
    <t xml:space="preserve">   مسجد / بدرابراهيم السعيدان .</t>
  </si>
  <si>
    <t>KFM2020660043500</t>
  </si>
  <si>
    <t xml:space="preserve">   مسجد غرناطه .</t>
  </si>
  <si>
    <t>KFM2020660175800</t>
  </si>
  <si>
    <t xml:space="preserve">   مسجدابراهيم المفيريج و مرافقه .</t>
  </si>
  <si>
    <t>KFM2020660173665</t>
  </si>
  <si>
    <t>KFM2020660202940</t>
  </si>
  <si>
    <t xml:space="preserve">   مسجد زيد ابن الارقم .</t>
  </si>
  <si>
    <t>KFM2120660247414</t>
  </si>
  <si>
    <t>KFM2120660242162</t>
  </si>
  <si>
    <t xml:space="preserve">      مسجد الجامع بهلم .</t>
  </si>
  <si>
    <t>KFM2120660244169</t>
  </si>
  <si>
    <t>مسجد بن الهدى .</t>
  </si>
  <si>
    <t>KFM2020660203508</t>
  </si>
  <si>
    <t>مسجد الإحسان بحي الزاهر .</t>
  </si>
  <si>
    <t>ECC2020811051322</t>
  </si>
  <si>
    <t>ادارة الاوقاف والمساجد (مسجد) .</t>
  </si>
  <si>
    <t>SMR2420761038486</t>
  </si>
  <si>
    <t>وزارة الشئون الاسلامية مسجد المقيطيب .</t>
  </si>
  <si>
    <t>KFM2020660060736</t>
  </si>
  <si>
    <t>ECC2020811068675</t>
  </si>
  <si>
    <t xml:space="preserve">   اوقاف الزاحميه /مسجدهجرةمشرفه .</t>
  </si>
  <si>
    <t>KFM2020766098318</t>
  </si>
  <si>
    <t xml:space="preserve">   جامع / المغزل .</t>
  </si>
  <si>
    <t>KFM2120660248773</t>
  </si>
  <si>
    <t>KFM2120660292190</t>
  </si>
  <si>
    <t>مسجد/ محمدالجويعد .</t>
  </si>
  <si>
    <t>KFM2020660196799</t>
  </si>
  <si>
    <t xml:space="preserve">      مسجد عبدالله الشدي .</t>
  </si>
  <si>
    <t>KFM2020660152900</t>
  </si>
  <si>
    <t>مسجد طارق بن زياد .</t>
  </si>
  <si>
    <t>KFM2020760005539</t>
  </si>
  <si>
    <t xml:space="preserve">   مسجد      الخضيري   . .</t>
  </si>
  <si>
    <t>KFM2020660006211</t>
  </si>
  <si>
    <t xml:space="preserve">   مسجد المحمديه .</t>
  </si>
  <si>
    <t>KFM2020660052997</t>
  </si>
  <si>
    <t xml:space="preserve">   اوقاف الحصاه / مسجد الناصريه .</t>
  </si>
  <si>
    <t>AES2020896448415</t>
  </si>
  <si>
    <t xml:space="preserve">   مسجدالشيخ عبدالعزيز محمد الصرامي .</t>
  </si>
  <si>
    <t>KFM2120660235676</t>
  </si>
  <si>
    <t>سكن امام ومؤذن مسجد الشيخ عبدالرحمن المطرودي</t>
  </si>
  <si>
    <t>KFM2120660282068</t>
  </si>
  <si>
    <t>SMR2020765003981</t>
  </si>
  <si>
    <t>KFM2020660127755</t>
  </si>
  <si>
    <t xml:space="preserve">       مسجد   حي   الحمراء .</t>
  </si>
  <si>
    <t>KFM2020660042690</t>
  </si>
  <si>
    <t>مسجد      .         الهويمل .</t>
  </si>
  <si>
    <t>KFM2020660025691</t>
  </si>
  <si>
    <t xml:space="preserve">   جامع      مزعل      القويعية .</t>
  </si>
  <si>
    <t>KFM2020660190709</t>
  </si>
  <si>
    <t>KFM2020660173546</t>
  </si>
  <si>
    <t xml:space="preserve">   جامع الشيخ ابن عثمين .</t>
  </si>
  <si>
    <t>KFM2020660209930</t>
  </si>
  <si>
    <t xml:space="preserve">      مسجد جامع الصغو .</t>
  </si>
  <si>
    <t>KFM2120660252773</t>
  </si>
  <si>
    <t xml:space="preserve">   الاوقاف    مسجد      الغانم .</t>
  </si>
  <si>
    <t>SMR2020856119351</t>
  </si>
  <si>
    <t xml:space="preserve">   مسجد محمد الأمين .</t>
  </si>
  <si>
    <t>KFM2020660142082</t>
  </si>
  <si>
    <t xml:space="preserve">   مسجد وزارةالشئون الاسلاميه والاوقاف .</t>
  </si>
  <si>
    <t>KFM2120660304162</t>
  </si>
  <si>
    <t xml:space="preserve">   مسجدطرفه بنت فيصل .</t>
  </si>
  <si>
    <t>KFM2020660230863</t>
  </si>
  <si>
    <t>مسجدالسناني .</t>
  </si>
  <si>
    <t>KFM2020660175016</t>
  </si>
  <si>
    <t xml:space="preserve">      مسجد الشعيبى .</t>
  </si>
  <si>
    <t>KFM2020660204239</t>
  </si>
  <si>
    <t xml:space="preserve">   مسجد هجرة سعد .</t>
  </si>
  <si>
    <t>KFM2020766147154</t>
  </si>
  <si>
    <t xml:space="preserve">      جامع كمدا/اوقاف الدواسر .</t>
  </si>
  <si>
    <t>KFM2120660247622</t>
  </si>
  <si>
    <t xml:space="preserve">   مسجدالمخطط(1)/اوقاف الدواسر .</t>
  </si>
  <si>
    <t>KFM2020760052883</t>
  </si>
  <si>
    <t xml:space="preserve">   المسجد الجامع بالشعراء .</t>
  </si>
  <si>
    <t>KFM2020660195906</t>
  </si>
  <si>
    <t>KFM2020660045432</t>
  </si>
  <si>
    <t xml:space="preserve">     مسجد عبيد راقى السهلى .</t>
  </si>
  <si>
    <t>KFM2020760149147</t>
  </si>
  <si>
    <t>KFM2020660232882</t>
  </si>
  <si>
    <t>KFM2120660253468</t>
  </si>
  <si>
    <t xml:space="preserve">   مسجد أل يرموك الصناعية .</t>
  </si>
  <si>
    <t>KFM2020660191475</t>
  </si>
  <si>
    <t>مسجد      محمد      بن ماجد .</t>
  </si>
  <si>
    <t>KFM2020660023359</t>
  </si>
  <si>
    <t xml:space="preserve">   مسجد جامع ال شداد بالفرشه .</t>
  </si>
  <si>
    <t>KFM2120660272957</t>
  </si>
  <si>
    <t xml:space="preserve">   مسجد ابن سعيدان .</t>
  </si>
  <si>
    <t>KFM2020660037507</t>
  </si>
  <si>
    <t xml:space="preserve">   المسجد    الجامع    بالفيحاء .</t>
  </si>
  <si>
    <t>KFM2020660195908</t>
  </si>
  <si>
    <t>KFM2020766069466</t>
  </si>
  <si>
    <t xml:space="preserve">   مسجد غرمان عبدالعزيز الشهرى .</t>
  </si>
  <si>
    <t>KFM2020660123119</t>
  </si>
  <si>
    <t>KFM2020660018691</t>
  </si>
  <si>
    <t xml:space="preserve">   مسجد العجلان .</t>
  </si>
  <si>
    <t>KFM2020660060637</t>
  </si>
  <si>
    <t xml:space="preserve">   مسجد/ سليمان العبود .</t>
  </si>
  <si>
    <t>KFM2020660138396</t>
  </si>
  <si>
    <t>KFM2120660247885</t>
  </si>
  <si>
    <t xml:space="preserve">   مسجد      جامع      ا .</t>
  </si>
  <si>
    <t>KFM2020660211270</t>
  </si>
  <si>
    <t xml:space="preserve">   مسجد الرشودي .</t>
  </si>
  <si>
    <t>KFM2020660202628</t>
  </si>
  <si>
    <t xml:space="preserve">   مكتب الاوقاف / مسحد الخالديه .</t>
  </si>
  <si>
    <t>KFM2020660150321</t>
  </si>
  <si>
    <t>MMF2420701008075</t>
  </si>
  <si>
    <t>مسجد الاميرة /نورة  بنت عبدالعزيز .</t>
  </si>
  <si>
    <t>KFM2020660198415</t>
  </si>
  <si>
    <t xml:space="preserve">   مـسـجـدمـخـطـط الـجنـيفي .</t>
  </si>
  <si>
    <t>KFM2020766067733</t>
  </si>
  <si>
    <t xml:space="preserve">   مسجد حي الرفيعه .</t>
  </si>
  <si>
    <t>KFM2020660202740</t>
  </si>
  <si>
    <t>مسجد عقبه  بن نافع .</t>
  </si>
  <si>
    <t>KFM2020660025746</t>
  </si>
  <si>
    <t>KFM2020660190353</t>
  </si>
  <si>
    <t xml:space="preserve">   مسجد والدة الأمير تركي .</t>
  </si>
  <si>
    <t>KFM2020660018693</t>
  </si>
  <si>
    <t>SMR2420861009384</t>
  </si>
  <si>
    <t xml:space="preserve">      مسجد محمد بن بداح .</t>
  </si>
  <si>
    <t>KFM2020760051317</t>
  </si>
  <si>
    <t xml:space="preserve">   اوقاف     القويعية  الرفايع .</t>
  </si>
  <si>
    <t>AES2020896454100</t>
  </si>
  <si>
    <t>مسجد / حذيفة  بن اليماني .</t>
  </si>
  <si>
    <t>KFM2020660053778</t>
  </si>
  <si>
    <t xml:space="preserve">   مسجد      الشيخ     الصامل .</t>
  </si>
  <si>
    <t>KFM2020660225461</t>
  </si>
  <si>
    <t xml:space="preserve">   مسجد عبدالله الغنام .</t>
  </si>
  <si>
    <t>KFM2020660036389</t>
  </si>
  <si>
    <t>KFM2020660170865</t>
  </si>
  <si>
    <t>KFM2020660199557</t>
  </si>
  <si>
    <t xml:space="preserve">      مسجد جامع القطين .</t>
  </si>
  <si>
    <t>KFM2020660177816</t>
  </si>
  <si>
    <t>مسجد عبدالرحمن الداخل .</t>
  </si>
  <si>
    <t>KFM2020660044980</t>
  </si>
  <si>
    <t xml:space="preserve">   مسجد مزنه العتيبي .</t>
  </si>
  <si>
    <t>KFM2020660061171</t>
  </si>
  <si>
    <t>KFM2020660207158</t>
  </si>
  <si>
    <t xml:space="preserve">   مسجد رقم 3 بمخطط 113 بالقصب .</t>
  </si>
  <si>
    <t>KFM2020766156326</t>
  </si>
  <si>
    <t xml:space="preserve">   وزارة الشئون الاسلامية والأ وقاف .</t>
  </si>
  <si>
    <t>KFM2020660127832</t>
  </si>
  <si>
    <t xml:space="preserve">     مسجدالحبيب .</t>
  </si>
  <si>
    <t>KFM2020660193114</t>
  </si>
  <si>
    <t>مسجد حى  المروه .</t>
  </si>
  <si>
    <t>KFM2020660060706</t>
  </si>
  <si>
    <t>وقاف الزلفي مسجد صالح الوزان .</t>
  </si>
  <si>
    <t>AES2120896574585</t>
  </si>
  <si>
    <t>KFM2120660251264</t>
  </si>
  <si>
    <t>مسجد / الشيخ  صالح  الفارس .</t>
  </si>
  <si>
    <t>KFM2020660019167</t>
  </si>
  <si>
    <t>مسجد / بن صبحية .</t>
  </si>
  <si>
    <t>KFM2020660015356</t>
  </si>
  <si>
    <t xml:space="preserve">   مسجد والدة سعد عبدالرحمن الحقان .</t>
  </si>
  <si>
    <t>KFM2020660104180</t>
  </si>
  <si>
    <t xml:space="preserve">   مسجد الحنيان الحمراء .</t>
  </si>
  <si>
    <t>KFM2020660060014</t>
  </si>
  <si>
    <t xml:space="preserve">   مسجد أبي بن كعـب بالسلاميه .</t>
  </si>
  <si>
    <t>KFM2020766166085</t>
  </si>
  <si>
    <t xml:space="preserve">   مسجد بحي السلا م .</t>
  </si>
  <si>
    <t>KFM2020660132577</t>
  </si>
  <si>
    <t>KFM2020660191710</t>
  </si>
  <si>
    <t>.0 مسجد      ال  كريديس .</t>
  </si>
  <si>
    <t>MMF2020800018598</t>
  </si>
  <si>
    <t xml:space="preserve">               منزل امام وخطيب جامع .</t>
  </si>
  <si>
    <t>MMF2020800301261</t>
  </si>
  <si>
    <t>مسجد الامير سلطان .</t>
  </si>
  <si>
    <t>KFM2020660051639</t>
  </si>
  <si>
    <t>المسجد الموقت بالدخل  المحدود .</t>
  </si>
  <si>
    <t>KFM2020660199001</t>
  </si>
  <si>
    <t>مسجد/ حبيب  بن زيد .</t>
  </si>
  <si>
    <t>KFM2020660045023</t>
  </si>
  <si>
    <t>KFM2020660043886</t>
  </si>
  <si>
    <t>KFM2020660174492</t>
  </si>
  <si>
    <t>مسجد عمر  بن الخطاب الزباير 0</t>
  </si>
  <si>
    <t>KFM2020660176971</t>
  </si>
  <si>
    <t xml:space="preserve">      مسجد الجويعد .</t>
  </si>
  <si>
    <t>KFM2020760082575</t>
  </si>
  <si>
    <t>مسجد حسن ال  الشيخ .</t>
  </si>
  <si>
    <t>KFM2020660098988</t>
  </si>
  <si>
    <t xml:space="preserve">   مسجد / الفاروق .</t>
  </si>
  <si>
    <t>KFM2120660301486</t>
  </si>
  <si>
    <t>KFM2020660210990</t>
  </si>
  <si>
    <t xml:space="preserve">   جامع العاذريه .</t>
  </si>
  <si>
    <t>KFM2020660172942</t>
  </si>
  <si>
    <t>مسجد المروه .</t>
  </si>
  <si>
    <t>KFM2020760230769</t>
  </si>
  <si>
    <t xml:space="preserve">   اوقاف الخرج / مسجدابوجعفرالمنصور .</t>
  </si>
  <si>
    <t>KFM2120660249872</t>
  </si>
  <si>
    <t xml:space="preserve">   مسجدطارق بن عبدالله المحارب .</t>
  </si>
  <si>
    <t>KFM2020660207117</t>
  </si>
  <si>
    <t xml:space="preserve">   مسجد اسكان رقم 2 .</t>
  </si>
  <si>
    <t>KFM2120660256946</t>
  </si>
  <si>
    <t xml:space="preserve">   مسجد قنيفذ   بالسيبانى .</t>
  </si>
  <si>
    <t>KFM2020660200147</t>
  </si>
  <si>
    <t xml:space="preserve">   جامع/ شراف .</t>
  </si>
  <si>
    <t>KFM2020766090312</t>
  </si>
  <si>
    <t xml:space="preserve">     مســـــجد عـــوض  التــــوم .</t>
  </si>
  <si>
    <t>AES2120896582024</t>
  </si>
  <si>
    <t xml:space="preserve">      مسجدسلطان .</t>
  </si>
  <si>
    <t>AES2120896548001</t>
  </si>
  <si>
    <t>KFM2020660056916</t>
  </si>
  <si>
    <t>SMR2420861002304</t>
  </si>
  <si>
    <t>KFM2120660299864</t>
  </si>
  <si>
    <t xml:space="preserve">   مسجد احمد بن حنبل .</t>
  </si>
  <si>
    <t>KFM2020660127747</t>
  </si>
  <si>
    <t xml:space="preserve">   مسجدوالدة الملك سعودبن عبدالعزيز .</t>
  </si>
  <si>
    <t>KFM2020660203608</t>
  </si>
  <si>
    <t>KFM2020660197760</t>
  </si>
  <si>
    <t>KFM2020760210053</t>
  </si>
  <si>
    <t xml:space="preserve">   اوقاف المزاحميه/مسجدحسان بن ثابت .</t>
  </si>
  <si>
    <t>ECC2020811078680</t>
  </si>
  <si>
    <t xml:space="preserve">   مسجدابوبكر .</t>
  </si>
  <si>
    <t>KFM2020660047750</t>
  </si>
  <si>
    <t>KFM2020660208070</t>
  </si>
  <si>
    <t xml:space="preserve">   الموسسه العامه للصناعات الحربيه .</t>
  </si>
  <si>
    <t>KFM2020760018048</t>
  </si>
  <si>
    <t xml:space="preserve">   مسجد  موضي الجبر .</t>
  </si>
  <si>
    <t>KFM2120660257434</t>
  </si>
  <si>
    <t>مسجد الرفيق .</t>
  </si>
  <si>
    <t>KFM2020660167665</t>
  </si>
  <si>
    <t xml:space="preserve">   مسجد/الاسكان طريق الخرج .</t>
  </si>
  <si>
    <t>KFM2020660160845</t>
  </si>
  <si>
    <t>مسجد جامع  المشيقيق .</t>
  </si>
  <si>
    <t>SMR2220621001978</t>
  </si>
  <si>
    <t xml:space="preserve">   مسجد/عبدالله بن زيد .</t>
  </si>
  <si>
    <t>KFM2020660212789</t>
  </si>
  <si>
    <t>MMF2020800185869</t>
  </si>
  <si>
    <t xml:space="preserve">   مسجدحى المنصورة .</t>
  </si>
  <si>
    <t>KFM2120660290439</t>
  </si>
  <si>
    <t xml:space="preserve">   مسجد الاخلاص  حي العقيق .</t>
  </si>
  <si>
    <t>KFM2120660253002</t>
  </si>
  <si>
    <t xml:space="preserve">      المسجد الشمالى .</t>
  </si>
  <si>
    <t>KFM2020660048551</t>
  </si>
  <si>
    <t xml:space="preserve">     مسجدبن كثير .</t>
  </si>
  <si>
    <t>AES2020896068385</t>
  </si>
  <si>
    <t xml:space="preserve"> مسجدالاميرفهد بن سلمان بن عبدالعزيز .</t>
  </si>
  <si>
    <t>KFM2020660203790</t>
  </si>
  <si>
    <t>وزارة      الشئون    والاوقاف -السد .</t>
  </si>
  <si>
    <t>KFM2020660177041</t>
  </si>
  <si>
    <t xml:space="preserve">   الاوقاف والمساجد(م,الفيصليه جديد) .</t>
  </si>
  <si>
    <t>KFM2020766121721</t>
  </si>
  <si>
    <t>KFM2020660034666</t>
  </si>
  <si>
    <t xml:space="preserve">   مسجد الطرفيه .</t>
  </si>
  <si>
    <t>ECC2020811047005</t>
  </si>
  <si>
    <t xml:space="preserve">      مسجد فرزان .</t>
  </si>
  <si>
    <t>KFM2020760087642</t>
  </si>
  <si>
    <t xml:space="preserve">   مسجدعبدالعزيزالموسى بالصناعية .</t>
  </si>
  <si>
    <t>KFM2020766073456</t>
  </si>
  <si>
    <t xml:space="preserve">   مسجدحي الربيع ومرافقه .</t>
  </si>
  <si>
    <t>KFM2020660209213</t>
  </si>
  <si>
    <t xml:space="preserve">      مسجد الغنام .</t>
  </si>
  <si>
    <t>KFM2020660207369</t>
  </si>
  <si>
    <t xml:space="preserve">   مسجد مخطط 622 .</t>
  </si>
  <si>
    <t>KFM2020660189716</t>
  </si>
  <si>
    <t>مسجد      .         الشفاء .</t>
  </si>
  <si>
    <t>KFM2020660173208</t>
  </si>
  <si>
    <t xml:space="preserve">   مسجد      محمد      الثنيان .</t>
  </si>
  <si>
    <t>KFM2020660036606</t>
  </si>
  <si>
    <t>مسجد غرب حى  البديع .</t>
  </si>
  <si>
    <t>KFM2020660044486</t>
  </si>
  <si>
    <t xml:space="preserve">   جامع حديجه .</t>
  </si>
  <si>
    <t>KFM2020660212325</t>
  </si>
  <si>
    <t xml:space="preserve">   اوقاف السليل / مسجد رقم 8 .</t>
  </si>
  <si>
    <t>KFM2020766165863</t>
  </si>
  <si>
    <t xml:space="preserve">   مسجد الشيخ عبدالله الخليفي .</t>
  </si>
  <si>
    <t>KFM2020660162805</t>
  </si>
  <si>
    <t>KFM2020660209225</t>
  </si>
  <si>
    <t>مسجد محمد سعد الضفيان بحي الروابي .</t>
  </si>
  <si>
    <t>KFM2020760007421</t>
  </si>
  <si>
    <t>KFM2020660031264</t>
  </si>
  <si>
    <t xml:space="preserve">   مسجداليحيى .</t>
  </si>
  <si>
    <t>KFM2020660041767</t>
  </si>
  <si>
    <t xml:space="preserve">   مسجد الامام الالباني .</t>
  </si>
  <si>
    <t>KFM2120660260339</t>
  </si>
  <si>
    <t>مسجد الحسين بن علي .</t>
  </si>
  <si>
    <t>KFM2020660051463</t>
  </si>
  <si>
    <t xml:space="preserve">   مسجد/عبداللهعبدالعزيزالسديري .</t>
  </si>
  <si>
    <t>KFM2120660284170</t>
  </si>
  <si>
    <t>مسجد الاسكان .</t>
  </si>
  <si>
    <t>KFM2120660244060</t>
  </si>
  <si>
    <t xml:space="preserve">   مسجدالشيخ محمدبن عبدالوهاب .</t>
  </si>
  <si>
    <t>KFM2020660230078</t>
  </si>
  <si>
    <t xml:space="preserve">   مسجد      عبداللطيف العبدالكريم .</t>
  </si>
  <si>
    <t>AES2120896565844</t>
  </si>
  <si>
    <t xml:space="preserve">   مسجد      الشيخ     الصالح بالحز .</t>
  </si>
  <si>
    <t>KFM2020660191220</t>
  </si>
  <si>
    <t>SMR2220761005498</t>
  </si>
  <si>
    <t>KFM2020660189348</t>
  </si>
  <si>
    <t xml:space="preserve">      مسجد حله الوسيطى .</t>
  </si>
  <si>
    <t>KFM2020660223634</t>
  </si>
  <si>
    <t xml:space="preserve">   مسجد   حفصه  مخطط  252  عفيف .</t>
  </si>
  <si>
    <t>KFM2120660248772</t>
  </si>
  <si>
    <t xml:space="preserve">   مسجد جامع حنيدر الجديد .</t>
  </si>
  <si>
    <t>KFM2120660249978</t>
  </si>
  <si>
    <t>KFM2120660249223</t>
  </si>
  <si>
    <t xml:space="preserve">   مسجد/ابراهيم بن ناصر بن داود .</t>
  </si>
  <si>
    <t>KFM2020660060712</t>
  </si>
  <si>
    <t xml:space="preserve">   مسجد مترك بن نفل /اوقاف الدواسر .</t>
  </si>
  <si>
    <t>AEC2020830323574</t>
  </si>
  <si>
    <t>KFM2120660271665</t>
  </si>
  <si>
    <t>KFM2120660251283</t>
  </si>
  <si>
    <t xml:space="preserve">   مسجدالشيخ ابن عثيمين .</t>
  </si>
  <si>
    <t>KFM2020660202530</t>
  </si>
  <si>
    <t>مسجد الامير/محمد بن ناصر الفرحان .</t>
  </si>
  <si>
    <t>KFM2020660096068</t>
  </si>
  <si>
    <t>KFM2120660303418</t>
  </si>
  <si>
    <t xml:space="preserve">   مصلىالعيدبالبرود .</t>
  </si>
  <si>
    <t>KFM2020766085501</t>
  </si>
  <si>
    <t>مسجد خالد بن الوليد .</t>
  </si>
  <si>
    <t>KFM2020660054942</t>
  </si>
  <si>
    <t xml:space="preserve">   مسجد منيره تركي التركي .</t>
  </si>
  <si>
    <t>KFM2120660255560</t>
  </si>
  <si>
    <t xml:space="preserve">   مسجد حى المنح  باالعزيزيه .</t>
  </si>
  <si>
    <t>KFM2120660268908</t>
  </si>
  <si>
    <t xml:space="preserve">   مسجد/ المسعد الشرقي الجنوبي .</t>
  </si>
  <si>
    <t>KFM2120660241396</t>
  </si>
  <si>
    <t xml:space="preserve">   مسجد الأندلس .</t>
  </si>
  <si>
    <t>KFM2020660167852</t>
  </si>
  <si>
    <t xml:space="preserve">   مسجد القادسيه .</t>
  </si>
  <si>
    <t>KFM2020660174900</t>
  </si>
  <si>
    <t>مسجد بلال  بن رباح .</t>
  </si>
  <si>
    <t>KFM2020660054296</t>
  </si>
  <si>
    <t xml:space="preserve">   مسجد الامير سلطان بن عبد العزيز .</t>
  </si>
  <si>
    <t>KFM2020660166585</t>
  </si>
  <si>
    <t xml:space="preserve">   مسجدعلي عبدالرحمن ال جميل/م384 .</t>
  </si>
  <si>
    <t>KFM2020660200901</t>
  </si>
  <si>
    <t>KFM2020660169689</t>
  </si>
  <si>
    <t xml:space="preserve">   مسجد      سوق       الربوه .</t>
  </si>
  <si>
    <t>KFM2020660145017</t>
  </si>
  <si>
    <t>مسجد  /سعد بن ابي وقاص .</t>
  </si>
  <si>
    <t>KFM2020660198412</t>
  </si>
  <si>
    <t xml:space="preserve">   وزارة الشئؤن الاسلاميةمسجد التعاون .</t>
  </si>
  <si>
    <t>KFM2020660160617</t>
  </si>
  <si>
    <t>مسجد سارة  /البديعة .</t>
  </si>
  <si>
    <t>KFM2020660171742</t>
  </si>
  <si>
    <t>KFM2120660275804</t>
  </si>
  <si>
    <t>KFM2020766162402</t>
  </si>
  <si>
    <t>SMR2320661034808</t>
  </si>
  <si>
    <t>KFM2020660051453</t>
  </si>
  <si>
    <t xml:space="preserve">   الاوقاف مسجدالامام تركي بن عبدالله .</t>
  </si>
  <si>
    <t>KFM2020660201587</t>
  </si>
  <si>
    <t>ECC2020811092210</t>
  </si>
  <si>
    <t xml:space="preserve">   مسجدحمزةبن عبدالمطلب .</t>
  </si>
  <si>
    <t>KFM2020660190597</t>
  </si>
  <si>
    <t>مسجد الاميرمنصور بن عبد العزيز .</t>
  </si>
  <si>
    <t>KFM2020660203004</t>
  </si>
  <si>
    <t>KFM2020660201085</t>
  </si>
  <si>
    <t>KFM2120660300619</t>
  </si>
  <si>
    <t xml:space="preserve">   مسجد /قبلان سند      العتيبي .</t>
  </si>
  <si>
    <t>KFM2020766086181</t>
  </si>
  <si>
    <t>KFM2020660173386</t>
  </si>
  <si>
    <t xml:space="preserve">      اوقاف الدواسر/مسجد مران قويد .</t>
  </si>
  <si>
    <t>KFM2020660174657</t>
  </si>
  <si>
    <t>KFM2120660262198</t>
  </si>
  <si>
    <t>SMR2420861005317</t>
  </si>
  <si>
    <t xml:space="preserve">   مسـجد رضوى الشمالي .</t>
  </si>
  <si>
    <t>KFM2020660006164</t>
  </si>
  <si>
    <t xml:space="preserve">   الاوقاف والدعوةولارشادمسجدال راكان .</t>
  </si>
  <si>
    <t>KFM2020660206137</t>
  </si>
  <si>
    <t>وزارةالا وقاف اوقاف شبيرمه .</t>
  </si>
  <si>
    <t>KFM2120660252051</t>
  </si>
  <si>
    <t xml:space="preserve">   مسجد الخالديه .</t>
  </si>
  <si>
    <t>KFM2120660241093</t>
  </si>
  <si>
    <t>مسجد نوره ساير الحربي بحي الهد .</t>
  </si>
  <si>
    <t>KFM2120660246012</t>
  </si>
  <si>
    <t>مسجد /عروه  بن الزبير .</t>
  </si>
  <si>
    <t>KFM2020660173204</t>
  </si>
  <si>
    <t xml:space="preserve">   مسجدعبدالله ناصر الوهيب .</t>
  </si>
  <si>
    <t>SMR2120765009973</t>
  </si>
  <si>
    <t xml:space="preserve">   مسجد البراء بن عازب .</t>
  </si>
  <si>
    <t>KFM2020660042188</t>
  </si>
  <si>
    <t xml:space="preserve">     مســــجد البــدع .</t>
  </si>
  <si>
    <t>KFM2020660231701</t>
  </si>
  <si>
    <t>مكتب الا وقاف والمساجد .</t>
  </si>
  <si>
    <t>KFM2020766034221</t>
  </si>
  <si>
    <t>مسجد شبراء .</t>
  </si>
  <si>
    <t>KFM2020660098902</t>
  </si>
  <si>
    <t>AES2320896628017</t>
  </si>
  <si>
    <t xml:space="preserve">   ادارةاوقافمسجد      الهواملة .</t>
  </si>
  <si>
    <t>KFM2020766133693</t>
  </si>
  <si>
    <t xml:space="preserve">   مسجد بلال  بنفي م6 .</t>
  </si>
  <si>
    <t>KFM2020766092976</t>
  </si>
  <si>
    <t xml:space="preserve">   جامع اسنادالحوشان .</t>
  </si>
  <si>
    <t>KFM2020660233600</t>
  </si>
  <si>
    <t>MMF2020800307864</t>
  </si>
  <si>
    <t xml:space="preserve">   الا وقافوالمساجد فهد حصين .</t>
  </si>
  <si>
    <t>MMF2020800256121</t>
  </si>
  <si>
    <t xml:space="preserve">   مسجد    اليرموك .</t>
  </si>
  <si>
    <t>KFM2020660041151</t>
  </si>
  <si>
    <t xml:space="preserve">   مسجد زيد بن ثابت .</t>
  </si>
  <si>
    <t>KFM2020660211462</t>
  </si>
  <si>
    <t xml:space="preserve">      الاوقاف (مسجد هجره الكليفيخ) .</t>
  </si>
  <si>
    <t>ECC2020811068703</t>
  </si>
  <si>
    <t>KFM2020660130970</t>
  </si>
  <si>
    <t>KFM2020660190352</t>
  </si>
  <si>
    <t xml:space="preserve">   مسجد عبدالله ابراهيم النقيثيان .</t>
  </si>
  <si>
    <t>KFM2120660286468</t>
  </si>
  <si>
    <t xml:space="preserve">   وزارةالحج /   مخطط 111 .</t>
  </si>
  <si>
    <t>KFM2120660272168</t>
  </si>
  <si>
    <t xml:space="preserve">   جامع      الرفيعة   /// .</t>
  </si>
  <si>
    <t>KFM2020660223729</t>
  </si>
  <si>
    <t xml:space="preserve">   مسجدحي الصحافةوسكن الامام والمؤذن .</t>
  </si>
  <si>
    <t>KFM2020660189549</t>
  </si>
  <si>
    <t>GTR2320890757131</t>
  </si>
  <si>
    <t>SMR2420868000834</t>
  </si>
  <si>
    <t>KFM2020660190937</t>
  </si>
  <si>
    <t xml:space="preserve">   ادارةالا وقاف  والدعوه والارشاد .</t>
  </si>
  <si>
    <t>KFM2020766158632</t>
  </si>
  <si>
    <t>KFM2020660199587</t>
  </si>
  <si>
    <t xml:space="preserve">   مسجد حى الخليج .</t>
  </si>
  <si>
    <t>KFM2020660174552</t>
  </si>
  <si>
    <t xml:space="preserve">   جامع   خيران .</t>
  </si>
  <si>
    <t>KFM2120660263423</t>
  </si>
  <si>
    <t xml:space="preserve">   مسجد ابو عبدالمحسن .</t>
  </si>
  <si>
    <t>KFM2020660139308</t>
  </si>
  <si>
    <t>KFM2120660282510</t>
  </si>
  <si>
    <t xml:space="preserve">   مسجد الحزم الثانى .</t>
  </si>
  <si>
    <t>KFM2020660232740</t>
  </si>
  <si>
    <t>MMF2420601015697</t>
  </si>
  <si>
    <t>مسجد علي بن ابي طالب .</t>
  </si>
  <si>
    <t>KFM2020660173176</t>
  </si>
  <si>
    <t xml:space="preserve">   مسجد الايمان .</t>
  </si>
  <si>
    <t>KFM2020660041679</t>
  </si>
  <si>
    <t>KFM2020660232842</t>
  </si>
  <si>
    <t xml:space="preserve">   مسجد هشام بن عبدالملك .</t>
  </si>
  <si>
    <t>KFM2020660174126</t>
  </si>
  <si>
    <t>مسجد ناصر العبدالقادر بحي هيت .</t>
  </si>
  <si>
    <t>KFM2120660303087</t>
  </si>
  <si>
    <t>KFM2020766103473</t>
  </si>
  <si>
    <t xml:space="preserve">   مسجد محمد بن عبدالرحمن بن خميس .</t>
  </si>
  <si>
    <t>KFM2120660287252</t>
  </si>
  <si>
    <t>المسجد الموقت بالشفا .</t>
  </si>
  <si>
    <t>KFM2020660096103</t>
  </si>
  <si>
    <t xml:space="preserve">   مسجد الهويمل .</t>
  </si>
  <si>
    <t>KFM2120660265045</t>
  </si>
  <si>
    <t xml:space="preserve">    مسجد زيد المنيفي .</t>
  </si>
  <si>
    <t>KFM2020660150369</t>
  </si>
  <si>
    <t xml:space="preserve">   مسجد جامع عمروبن العاص .</t>
  </si>
  <si>
    <t>KFM2020766165968</t>
  </si>
  <si>
    <t>KFM2020660177696</t>
  </si>
  <si>
    <t>SMR2420661038664</t>
  </si>
  <si>
    <t>SMR2220761013424</t>
  </si>
  <si>
    <t>KFM2020660173323</t>
  </si>
  <si>
    <t>دارةالاوقاف(مسجدحي الملك فهد117) .</t>
  </si>
  <si>
    <t>KFM2020766111069</t>
  </si>
  <si>
    <t xml:space="preserve">   مسجد الطيار .</t>
  </si>
  <si>
    <t>KFM2120660268853</t>
  </si>
  <si>
    <t xml:space="preserve">   مسجد حي الأندلس .</t>
  </si>
  <si>
    <t>KFM2020660139698</t>
  </si>
  <si>
    <t>مسجد المنيع  بالبديعه .</t>
  </si>
  <si>
    <t>KFM2020660052978</t>
  </si>
  <si>
    <t>مسجد زامل  السليم .</t>
  </si>
  <si>
    <t>KFM2020660152995</t>
  </si>
  <si>
    <t xml:space="preserve">   مسجد      عبدالرحمن السكن .</t>
  </si>
  <si>
    <t>KFM2020660053506</t>
  </si>
  <si>
    <t>KFM2120660255403</t>
  </si>
  <si>
    <t xml:space="preserve">  جامع مركز العبدليه .</t>
  </si>
  <si>
    <t>KFM2120660284073</t>
  </si>
  <si>
    <t>مسجدحى  الشفاء .</t>
  </si>
  <si>
    <t>KFM2120660262212</t>
  </si>
  <si>
    <t>KFM2020660200477</t>
  </si>
  <si>
    <t>KFM2020660191626</t>
  </si>
  <si>
    <t xml:space="preserve">      مسجدالقبان/عبدالعزيز سعيد .</t>
  </si>
  <si>
    <t>KFM2120660274669</t>
  </si>
  <si>
    <t>مسجدالشيخ  /عبدالله  بن جبرين .</t>
  </si>
  <si>
    <t>KFM2020660055000</t>
  </si>
  <si>
    <t xml:space="preserve">   الاوقاف والمساجد-جامع نعام الكبير .</t>
  </si>
  <si>
    <t>KFM2020660177712</t>
  </si>
  <si>
    <t xml:space="preserve">   مسجد مبارك الدباسي ( الجنادريه) .</t>
  </si>
  <si>
    <t>KFM2020660175819</t>
  </si>
  <si>
    <t>KFM2020660177032</t>
  </si>
  <si>
    <t xml:space="preserve">   وزارة الحج والاوقاف - مسجد العزيز .</t>
  </si>
  <si>
    <t>KFM2020660191428</t>
  </si>
  <si>
    <t xml:space="preserve">   مسجدجامع  المرشد .</t>
  </si>
  <si>
    <t>KFM2020660234569</t>
  </si>
  <si>
    <t xml:space="preserve">   اوقاف الحصاة/مسجدالمرتفع .</t>
  </si>
  <si>
    <t>AEC2020830074892</t>
  </si>
  <si>
    <t>مسجد حي الفواز .</t>
  </si>
  <si>
    <t>KFM2020660202691</t>
  </si>
  <si>
    <t>AES2020896532354</t>
  </si>
  <si>
    <t xml:space="preserve">   مسجد الجوهره العسكر .</t>
  </si>
  <si>
    <t>KFM2020660210973</t>
  </si>
  <si>
    <t>KFM2020660204168</t>
  </si>
  <si>
    <t>ECC2420841079845</t>
  </si>
  <si>
    <t xml:space="preserve">   مسجد الاميره قماشه .</t>
  </si>
  <si>
    <t>KFM2120660280086</t>
  </si>
  <si>
    <t xml:space="preserve">   مسجد / محمد صالح الرويلي .</t>
  </si>
  <si>
    <t>KFM2020660060140</t>
  </si>
  <si>
    <t>KFM2120660249225</t>
  </si>
  <si>
    <t xml:space="preserve">   مسجد      مخطط      رقم 682 .</t>
  </si>
  <si>
    <t>KFM2020760202773</t>
  </si>
  <si>
    <t xml:space="preserve">   اوقاف المزاحميه ـ مسجدحى الزهره .</t>
  </si>
  <si>
    <t>KFM2020660208948</t>
  </si>
  <si>
    <t>مسجد حله  بن دايل .</t>
  </si>
  <si>
    <t>KFM2020660019244</t>
  </si>
  <si>
    <t xml:space="preserve">   الاوقاف/مسجد الجريوى .</t>
  </si>
  <si>
    <t>KFM2020660174634</t>
  </si>
  <si>
    <t xml:space="preserve">   مسجد     حي        اشبيليا .</t>
  </si>
  <si>
    <t>KFM2020660040638</t>
  </si>
  <si>
    <t>KFM2020660056826</t>
  </si>
  <si>
    <t xml:space="preserve">      مسجد/احمدعبداللهالصالحـالاوقاف .</t>
  </si>
  <si>
    <t>KFM2020660226085</t>
  </si>
  <si>
    <t>مسجد محمد الكثيرى .</t>
  </si>
  <si>
    <t>KFM2020660015360</t>
  </si>
  <si>
    <t xml:space="preserve">   مسجد/عثمان  بالسليمانية .</t>
  </si>
  <si>
    <t>KFM2020766077737</t>
  </si>
  <si>
    <t>KFM2020766062468</t>
  </si>
  <si>
    <t xml:space="preserve">   مسجد سعيد القحطانى / حى الوزارات .</t>
  </si>
  <si>
    <t>KFM2020660170074</t>
  </si>
  <si>
    <t xml:space="preserve">   مسجد المغامس وسكن الامام والمؤذن .</t>
  </si>
  <si>
    <t>KFM2020660191351</t>
  </si>
  <si>
    <t>KFM2020660053520</t>
  </si>
  <si>
    <t xml:space="preserve">   مسجد الصفراء .</t>
  </si>
  <si>
    <t>KFM2020766154254</t>
  </si>
  <si>
    <t>KFM2020660204189</t>
  </si>
  <si>
    <t xml:space="preserve">   مسجد نشاط .</t>
  </si>
  <si>
    <t>KFM2120660286827</t>
  </si>
  <si>
    <t xml:space="preserve">   وزارةالشئون الاسلامية مسجد الموسى .</t>
  </si>
  <si>
    <t>KFM2020660173333</t>
  </si>
  <si>
    <t xml:space="preserve">   اوقاف الخرج / مسجد نافع بن جبير .</t>
  </si>
  <si>
    <t>KFM2120660249789</t>
  </si>
  <si>
    <t>مسجدالدار البيضاء .</t>
  </si>
  <si>
    <t>KFM2020660162794</t>
  </si>
  <si>
    <t xml:space="preserve">   مسجد ابن حجنه .</t>
  </si>
  <si>
    <t>KFM2020660045372</t>
  </si>
  <si>
    <t xml:space="preserve">      جامع الجفونيه .</t>
  </si>
  <si>
    <t>KFM2120660240466</t>
  </si>
  <si>
    <t xml:space="preserve">   أوقاف     و مساجد   جامع آل مغاط .</t>
  </si>
  <si>
    <t>KFM2120660272344</t>
  </si>
  <si>
    <t xml:space="preserve">   مسجدزيدبن ثابت /ابرهيم اليابس .</t>
  </si>
  <si>
    <t>KFM2120655004423</t>
  </si>
  <si>
    <t>GTR2320890741175</t>
  </si>
  <si>
    <t xml:space="preserve">   المسجد الجنوبى بالحى الجديد .</t>
  </si>
  <si>
    <t>KFM2020766085768</t>
  </si>
  <si>
    <t xml:space="preserve">   مسجدالباتلي بحي الندى ومرافقه .</t>
  </si>
  <si>
    <t>KFM2020660201280</t>
  </si>
  <si>
    <t>AEC2020720016022</t>
  </si>
  <si>
    <t>KFM2020660019398</t>
  </si>
  <si>
    <t xml:space="preserve">   مسجد      الدعجاني  ي .</t>
  </si>
  <si>
    <t>AEC2020830243106</t>
  </si>
  <si>
    <t xml:space="preserve">   اوقاف الخرج/ مسجدالامام الاوزاعي .</t>
  </si>
  <si>
    <t>KFM2120660257160</t>
  </si>
  <si>
    <t xml:space="preserve">    مسجد وادي لبن الا ول .</t>
  </si>
  <si>
    <t>KFM2020660192602</t>
  </si>
  <si>
    <t xml:space="preserve">   اوقاف     القويعية  الملفا .</t>
  </si>
  <si>
    <t>KFM2020660234220</t>
  </si>
  <si>
    <t>KFM2020660199683</t>
  </si>
  <si>
    <t xml:space="preserve">   مسجد      طارق      بالسليل .</t>
  </si>
  <si>
    <t>KFM2120660271509</t>
  </si>
  <si>
    <t xml:space="preserve">   مسجد عطا الله العنزي .</t>
  </si>
  <si>
    <t>KFM2020660042639</t>
  </si>
  <si>
    <t xml:space="preserve">   مسجد اباالخيل الحجرى .</t>
  </si>
  <si>
    <t>KFM2120660303779</t>
  </si>
  <si>
    <t xml:space="preserve">   مسجدالمسهب .</t>
  </si>
  <si>
    <t>MMF2020800299356</t>
  </si>
  <si>
    <t>KFM2020660047331</t>
  </si>
  <si>
    <t xml:space="preserve">   جامع      الرفايع   ////////// .</t>
  </si>
  <si>
    <t>KFM2020660172831</t>
  </si>
  <si>
    <t>مسجد حي بطيحاء العمران .</t>
  </si>
  <si>
    <t>KFM2020660191099</t>
  </si>
  <si>
    <t xml:space="preserve">   مسجد مركز المملكةالعليا .</t>
  </si>
  <si>
    <t>KFM2020660173459</t>
  </si>
  <si>
    <t>KFM2020660156123</t>
  </si>
  <si>
    <t xml:space="preserve">    مسجد مستشفى القويعية الجديد .</t>
  </si>
  <si>
    <t>KFM2020660208811</t>
  </si>
  <si>
    <t>ﻭﺯﺍﺭﺓﺍﻻﻭﻗﺎﻑ ـ ﺍﻭﻗﺎﻑ ﻋﻓﻴﻑ .</t>
  </si>
  <si>
    <t>KFM2020660209836</t>
  </si>
  <si>
    <t>KFM2120660299738</t>
  </si>
  <si>
    <t xml:space="preserve"> جامع/الامير عبدالعزيزبن فهد ال سعود .</t>
  </si>
  <si>
    <t>KFM2020766154349</t>
  </si>
  <si>
    <t xml:space="preserve">   اوقاف الزلفي(مسجدهارون الرشيد) .</t>
  </si>
  <si>
    <t>KFM2020660207116</t>
  </si>
  <si>
    <t>مسجد حي  المروة .</t>
  </si>
  <si>
    <t>KFM2020660175007</t>
  </si>
  <si>
    <t>KFM2020660191621</t>
  </si>
  <si>
    <t>KFM2020660207986</t>
  </si>
  <si>
    <t xml:space="preserve">   مسجد حسان بن ثابت .</t>
  </si>
  <si>
    <t>KFM2020660108697</t>
  </si>
  <si>
    <t>مسجد الحميميدى .</t>
  </si>
  <si>
    <t>KFM2020660044026</t>
  </si>
  <si>
    <t xml:space="preserve">   مسجد ناصر المنيع .</t>
  </si>
  <si>
    <t>KFM2020660208145</t>
  </si>
  <si>
    <t xml:space="preserve">   مسجد/حسين عبدالله الاسعدي .</t>
  </si>
  <si>
    <t>KFM2020660123162</t>
  </si>
  <si>
    <t>SMR2320661024400</t>
  </si>
  <si>
    <t>KFM2020760229979</t>
  </si>
  <si>
    <t xml:space="preserve">   مسجد      الطريف    بالمزاحميه .</t>
  </si>
  <si>
    <t>KFM2120660280979</t>
  </si>
  <si>
    <t xml:space="preserve">      وزارة الشئون الاسلامية والاوقاف .</t>
  </si>
  <si>
    <t>KFM2020660135561</t>
  </si>
  <si>
    <t xml:space="preserve">   مسجدالرميح .</t>
  </si>
  <si>
    <t>KFM2120660282907</t>
  </si>
  <si>
    <t xml:space="preserve">   مسجد      فهد       152 مخطط .</t>
  </si>
  <si>
    <t>KFM2020660168496</t>
  </si>
  <si>
    <t xml:space="preserve">   مسجد الاماره بدراويش .</t>
  </si>
  <si>
    <t>KFM2020760229659</t>
  </si>
  <si>
    <t xml:space="preserve">   مسجد الشلغميه - اوقاف القويعيه .</t>
  </si>
  <si>
    <t>AES2320896632426</t>
  </si>
  <si>
    <t>مسجد المستقلة .</t>
  </si>
  <si>
    <t>ECC2020811070626</t>
  </si>
  <si>
    <t>المهد</t>
  </si>
  <si>
    <t xml:space="preserve">   مسجد عبدالعزيز الموسى .</t>
  </si>
  <si>
    <t>KFM2020660209242</t>
  </si>
  <si>
    <t xml:space="preserve">         مسجد حصيان بملهم .</t>
  </si>
  <si>
    <t>ECC2020811047006</t>
  </si>
  <si>
    <t>SMR2320661035275</t>
  </si>
  <si>
    <t>مسجد      خالد      السلمان .</t>
  </si>
  <si>
    <t>KFM2020660039370</t>
  </si>
  <si>
    <t xml:space="preserve">   مسجد/شرف الزهره .</t>
  </si>
  <si>
    <t>KFM2020766154347</t>
  </si>
  <si>
    <t>KFM2020660199650</t>
  </si>
  <si>
    <t>KFM2020660042530</t>
  </si>
  <si>
    <t>ECC2420841104222</t>
  </si>
  <si>
    <t xml:space="preserve">   اوقاف     مسجد      بالرقميه .</t>
  </si>
  <si>
    <t>AES2120896575082</t>
  </si>
  <si>
    <t xml:space="preserve">   مسجد خديجة بنت خويلد .</t>
  </si>
  <si>
    <t>KFM2120660270076</t>
  </si>
  <si>
    <t xml:space="preserve"> مسجدالاميرة/منيرة سلطان بن عبدالعزيز .</t>
  </si>
  <si>
    <t>KFM2120660272459</t>
  </si>
  <si>
    <t xml:space="preserve">   مسجد الميلم .</t>
  </si>
  <si>
    <t>KFM2020660156017</t>
  </si>
  <si>
    <t xml:space="preserve">   مسجد      التقوى .</t>
  </si>
  <si>
    <t>KFM2020660060098</t>
  </si>
  <si>
    <t xml:space="preserve">   مسجـــــد ابا حسين  0 .</t>
  </si>
  <si>
    <t>KFM2020760148346</t>
  </si>
  <si>
    <t>SMR2220761016546</t>
  </si>
  <si>
    <t>مسجد  القبلي .</t>
  </si>
  <si>
    <t>SMR2220661018610</t>
  </si>
  <si>
    <t xml:space="preserve">   اوقاف     حوطة      مسجد حى المد .</t>
  </si>
  <si>
    <t>KFM2020660150036</t>
  </si>
  <si>
    <t>MMF2420601024250</t>
  </si>
  <si>
    <t xml:space="preserve">   اوقاف الدلم / مسجد لطيفه الشلهوب .</t>
  </si>
  <si>
    <t>KFM2020760006713</t>
  </si>
  <si>
    <t>SMR2220761004316</t>
  </si>
  <si>
    <t xml:space="preserve">   مسجد محمد بانافع .</t>
  </si>
  <si>
    <t>KFM2020660193572</t>
  </si>
  <si>
    <t xml:space="preserve">   مسجد صالح ال الشيخ .</t>
  </si>
  <si>
    <t>KFM2020660027387</t>
  </si>
  <si>
    <t xml:space="preserve">   وزارة الشؤن الا سلاميه/مسجدجليبيب .</t>
  </si>
  <si>
    <t>KFM2020660056572</t>
  </si>
  <si>
    <t>SMR2120765018238</t>
  </si>
  <si>
    <t xml:space="preserve">   مسجد/غازي النفيعي .</t>
  </si>
  <si>
    <t>MMF2420801307039</t>
  </si>
  <si>
    <t xml:space="preserve">    مـسـجـد الريان (اوقاف المزاحميه) .</t>
  </si>
  <si>
    <t>SMR2320761030536</t>
  </si>
  <si>
    <t>KFM2120660256214</t>
  </si>
  <si>
    <t xml:space="preserve">   مسجد / عبدالرحمن القاسم .</t>
  </si>
  <si>
    <t>KFM2020660233577</t>
  </si>
  <si>
    <t xml:space="preserve">   مـسـجـد الـتـقـو ى .</t>
  </si>
  <si>
    <t>KFM2020660173098</t>
  </si>
  <si>
    <t xml:space="preserve">   مسجد الغريبى .</t>
  </si>
  <si>
    <t>KFM2020660034618</t>
  </si>
  <si>
    <t xml:space="preserve">   مسجد  ماجد ضيف الله  الغربي .</t>
  </si>
  <si>
    <t>KFM2020660174899</t>
  </si>
  <si>
    <t xml:space="preserve">   جامع  الخالدية الكبير .</t>
  </si>
  <si>
    <t>KFM2120660304653</t>
  </si>
  <si>
    <t>KFM2020660007979</t>
  </si>
  <si>
    <t xml:space="preserve">   مسجد علي محمد التركي .</t>
  </si>
  <si>
    <t>KFM2120660254682</t>
  </si>
  <si>
    <t xml:space="preserve">   مسجد شرق العوده .</t>
  </si>
  <si>
    <t>KFM2020766145762</t>
  </si>
  <si>
    <t xml:space="preserve">      مـسـجـد 409ا باالحوطه .</t>
  </si>
  <si>
    <t>KFM2020766146146</t>
  </si>
  <si>
    <t>KFM2020660213581</t>
  </si>
  <si>
    <t xml:space="preserve">   اوقاف الدلم / مسجد الخزامي .</t>
  </si>
  <si>
    <t>KFM2120660249823</t>
  </si>
  <si>
    <t>KFM2020660056882</t>
  </si>
  <si>
    <t>مسجد / النفيسه .</t>
  </si>
  <si>
    <t>KFM2020660096038</t>
  </si>
  <si>
    <t>KFM2020660171737</t>
  </si>
  <si>
    <t>KFM2020660038844</t>
  </si>
  <si>
    <t xml:space="preserve">   مسجد / محمد العتيبي .</t>
  </si>
  <si>
    <t>KFM2120660260625</t>
  </si>
  <si>
    <t>.      مسجد الشيخ /صالح .</t>
  </si>
  <si>
    <t>KFM2020660202639</t>
  </si>
  <si>
    <t xml:space="preserve">   مسجد حي الملز .</t>
  </si>
  <si>
    <t>KFM2020660039565</t>
  </si>
  <si>
    <t xml:space="preserve">   جامع  التسرير .</t>
  </si>
  <si>
    <t>KFM2020660131275</t>
  </si>
  <si>
    <t xml:space="preserve">         مسجد الجلبان .</t>
  </si>
  <si>
    <t>SMR2420868018347</t>
  </si>
  <si>
    <t>AEC2020830522552</t>
  </si>
  <si>
    <t xml:space="preserve">      دخيلالله ميريك / مسجد .</t>
  </si>
  <si>
    <t>AES2020896369564</t>
  </si>
  <si>
    <t>KFM2020760153423</t>
  </si>
  <si>
    <t xml:space="preserve">   مسجد محمد التركي .</t>
  </si>
  <si>
    <t>KFM2120660251170</t>
  </si>
  <si>
    <t xml:space="preserve"> مسجدالاميره طرفه عبدالله بن عبدالرحم .</t>
  </si>
  <si>
    <t>KFM2020760026320</t>
  </si>
  <si>
    <t xml:space="preserve">   مسجد باهمام .</t>
  </si>
  <si>
    <t>KFM2120660301549</t>
  </si>
  <si>
    <t>جامع الشيخ  معزي   وزارة  الشئون .</t>
  </si>
  <si>
    <t>KFM2020660203563</t>
  </si>
  <si>
    <t>KFM2020660169552</t>
  </si>
  <si>
    <t>KFM2120660246999</t>
  </si>
  <si>
    <t>SMR2220661018857</t>
  </si>
  <si>
    <t xml:space="preserve">   مسجد الربوه .</t>
  </si>
  <si>
    <t>KFM2020660193587</t>
  </si>
  <si>
    <t xml:space="preserve">    مسجد رقم /2 حصه عثمان العثمان .</t>
  </si>
  <si>
    <t>KFM2120660271743</t>
  </si>
  <si>
    <t xml:space="preserve">   مسجد الاسلام .</t>
  </si>
  <si>
    <t>KFM2020660195063</t>
  </si>
  <si>
    <t xml:space="preserve">      مـسـجـد شارع الخزان (الاوقاف) .</t>
  </si>
  <si>
    <t>KFM2020760203118</t>
  </si>
  <si>
    <t>ECC2320831078202</t>
  </si>
  <si>
    <t xml:space="preserve">   مسجد انس بن مالك .</t>
  </si>
  <si>
    <t>KFM2020660193116</t>
  </si>
  <si>
    <t xml:space="preserve">   مسجدسارةبنت عبداالعزيزمحمدالا مير .</t>
  </si>
  <si>
    <t>KFM2020660197723</t>
  </si>
  <si>
    <t>KFM2120660304640</t>
  </si>
  <si>
    <t>AES2220896624949</t>
  </si>
  <si>
    <t>SMR2320661034947</t>
  </si>
  <si>
    <t>KFM2020660200045</t>
  </si>
  <si>
    <t xml:space="preserve">   مسجد/الحماطيات الشمالي .</t>
  </si>
  <si>
    <t>KFM2020766162099</t>
  </si>
  <si>
    <t xml:space="preserve">   مسجد حي مشرف .</t>
  </si>
  <si>
    <t>KFM2020760200724</t>
  </si>
  <si>
    <t>مسجد حى  بدر .</t>
  </si>
  <si>
    <t>KFM2020660171610</t>
  </si>
  <si>
    <t xml:space="preserve">   مسجد      عبدالعزيز باالمزاحميه .</t>
  </si>
  <si>
    <t>KFM2020660225567</t>
  </si>
  <si>
    <t xml:space="preserve">      مسجد الشيابين .</t>
  </si>
  <si>
    <t>KFM2120660270804</t>
  </si>
  <si>
    <t xml:space="preserve">   مسجد العبدالمنعم .</t>
  </si>
  <si>
    <t>KFM2120660282663</t>
  </si>
  <si>
    <t xml:space="preserve">   مسجد و سكن نوره الفارس .</t>
  </si>
  <si>
    <t>KFM2020660041278</t>
  </si>
  <si>
    <t>SMR2320761026409</t>
  </si>
  <si>
    <t>KFM2120660281496</t>
  </si>
  <si>
    <t xml:space="preserve">   اوقاف القويعيه ـ جامع الحرمليه .</t>
  </si>
  <si>
    <t>KFM2020660209964</t>
  </si>
  <si>
    <t>KFM2020766172033</t>
  </si>
  <si>
    <t>KFM2020660211473</t>
  </si>
  <si>
    <t xml:space="preserve">    مسجد      الشيخ      الشثري .</t>
  </si>
  <si>
    <t>KFM2120660260821</t>
  </si>
  <si>
    <t>SMR2320661030815</t>
  </si>
  <si>
    <t xml:space="preserve"> جامع/عبدالعزيزناصرالمنقوربحي الجبل .</t>
  </si>
  <si>
    <t>KFM2020660050198</t>
  </si>
  <si>
    <t xml:space="preserve">   مسجد بلال ابن رباح .</t>
  </si>
  <si>
    <t>KFM2020660034599</t>
  </si>
  <si>
    <t>مسجد عمار ين ياسر .</t>
  </si>
  <si>
    <t>SMR2320661028334</t>
  </si>
  <si>
    <t xml:space="preserve">   مسجد الغزوانى .</t>
  </si>
  <si>
    <t>KFM2020760154865</t>
  </si>
  <si>
    <t xml:space="preserve">   مسجد القشعمى .</t>
  </si>
  <si>
    <t>KFM2020660228121</t>
  </si>
  <si>
    <t xml:space="preserve">   مسجد الشيخ حمد عبدالعزيز العيسى .</t>
  </si>
  <si>
    <t>AES2120896547636</t>
  </si>
  <si>
    <t xml:space="preserve">   مسجد النسيم .</t>
  </si>
  <si>
    <t>KFM2020660042031</t>
  </si>
  <si>
    <t>KFM2020660095325</t>
  </si>
  <si>
    <t xml:space="preserve">   مسجد ابراهيم السويلم .</t>
  </si>
  <si>
    <t>KFM2020660209177</t>
  </si>
  <si>
    <t>KFM2020660211457</t>
  </si>
  <si>
    <t>KFM2020660171686</t>
  </si>
  <si>
    <t>KFM2020660202297</t>
  </si>
  <si>
    <t>KFM2020660163056</t>
  </si>
  <si>
    <t>مسجدام  خالد .</t>
  </si>
  <si>
    <t>KFM2020660014136</t>
  </si>
  <si>
    <t xml:space="preserve">   مسجد       باحمدان  1 .</t>
  </si>
  <si>
    <t>KFM2020660227220</t>
  </si>
  <si>
    <t>KFM2020660201108</t>
  </si>
  <si>
    <t xml:space="preserve">   مسجد      المنح     94 بالمزاحمي .</t>
  </si>
  <si>
    <t>KFM2020660177223</t>
  </si>
  <si>
    <t>ECC2420841101612</t>
  </si>
  <si>
    <t xml:space="preserve">   مسجدالانصار .</t>
  </si>
  <si>
    <t>KFM2020760211335</t>
  </si>
  <si>
    <t xml:space="preserve">   مسجد/     العبل     وزارةالاوقاف .</t>
  </si>
  <si>
    <t>KFM2020660223755</t>
  </si>
  <si>
    <t>KFM2020660206529</t>
  </si>
  <si>
    <t xml:space="preserve">   مسجد عبداللة بن مسعود. .</t>
  </si>
  <si>
    <t>KFM2120660253999</t>
  </si>
  <si>
    <t>وزارة الشئون الاسلامية مسجد الاخلاص .</t>
  </si>
  <si>
    <t>KFM2020660023757</t>
  </si>
  <si>
    <t xml:space="preserve">   وزارةالشئون الاسلامية والاوقاف .</t>
  </si>
  <si>
    <t>KFM2120660257934</t>
  </si>
  <si>
    <t xml:space="preserve">   مسجد صالح عبدالعزيز الراجحى .</t>
  </si>
  <si>
    <t>KFM2020660192216</t>
  </si>
  <si>
    <t>SMR2220661001505</t>
  </si>
  <si>
    <t xml:space="preserve">   اوقاف ومساجد الرين - مسجد شلاح .</t>
  </si>
  <si>
    <t>KFM2020660115176</t>
  </si>
  <si>
    <t xml:space="preserve">   مسجد سعد مناحي .</t>
  </si>
  <si>
    <t>KFM2020660161762</t>
  </si>
  <si>
    <t xml:space="preserve">   مسجد مانع القحطاني .</t>
  </si>
  <si>
    <t>KFM2020660053292</t>
  </si>
  <si>
    <t>DZG2020890026735</t>
  </si>
  <si>
    <t>KFM2020660049692</t>
  </si>
  <si>
    <t xml:space="preserve">   مسجد عبدالعزيز السنيدى .</t>
  </si>
  <si>
    <t>KFM2020660041769</t>
  </si>
  <si>
    <t xml:space="preserve">   مسجد الأمير فيصل بن مشعل .</t>
  </si>
  <si>
    <t>KFM2020660053498</t>
  </si>
  <si>
    <t xml:space="preserve">      مسجد شارع المحطه .</t>
  </si>
  <si>
    <t>KFM2020766062295</t>
  </si>
  <si>
    <t>MMF2420601020619</t>
  </si>
  <si>
    <t>KFM2120660257430</t>
  </si>
  <si>
    <t xml:space="preserve">   مسجد الرفايع .</t>
  </si>
  <si>
    <t>MMF2020800309305</t>
  </si>
  <si>
    <t xml:space="preserve">    مسجد      حي     اشبيليا .</t>
  </si>
  <si>
    <t>KFM2020660041254</t>
  </si>
  <si>
    <t>KFM2020660189674</t>
  </si>
  <si>
    <t>مسجد عبداللطيف جميل .</t>
  </si>
  <si>
    <t>KFM2020660099040</t>
  </si>
  <si>
    <t>SMR2420661038587</t>
  </si>
  <si>
    <t xml:space="preserve">   مسجد/سعيد بن زيد .</t>
  </si>
  <si>
    <t>KFM2020660190961</t>
  </si>
  <si>
    <t>KFM2020660051425</t>
  </si>
  <si>
    <t xml:space="preserve">   مسجد      حي        اشبيليا .</t>
  </si>
  <si>
    <t>KFM2020660041256</t>
  </si>
  <si>
    <t xml:space="preserve">   جامع الزقروط .</t>
  </si>
  <si>
    <t>KFM2120660257209</t>
  </si>
  <si>
    <t xml:space="preserve">   مسجد الشلهوب .</t>
  </si>
  <si>
    <t>KFM2020660213591</t>
  </si>
  <si>
    <t xml:space="preserve">   مسجد/ ماجد فالح المديري .</t>
  </si>
  <si>
    <t>KFM2020760229528</t>
  </si>
  <si>
    <t>SMR2220761016943</t>
  </si>
  <si>
    <t>AEC2020830007505</t>
  </si>
  <si>
    <t>SMR2320661034417</t>
  </si>
  <si>
    <t xml:space="preserve">      مسجد النسق الجديد الاوقاف .</t>
  </si>
  <si>
    <t>KFM2020766167798</t>
  </si>
  <si>
    <t xml:space="preserve">   مسجد/ السعر .</t>
  </si>
  <si>
    <t>KFM2020766158173</t>
  </si>
  <si>
    <t>مسجد عبدالله الفوزان .</t>
  </si>
  <si>
    <t>KFM2020660031541</t>
  </si>
  <si>
    <t xml:space="preserve">   مسجد وسكن   هلال  المشرافي .</t>
  </si>
  <si>
    <t>KFM2020660061253</t>
  </si>
  <si>
    <t>KFM2020660187628</t>
  </si>
  <si>
    <t xml:space="preserve">   مسجد المتوسطه .</t>
  </si>
  <si>
    <t>KFM2020766158194</t>
  </si>
  <si>
    <t xml:space="preserve">   مسجد المستجده الجامع .</t>
  </si>
  <si>
    <t>KFM2020766077051</t>
  </si>
  <si>
    <t xml:space="preserve">   مسجد عبدالرحمن العتيبي .</t>
  </si>
  <si>
    <t>KFM2020660012556</t>
  </si>
  <si>
    <t>AEC2020830284229</t>
  </si>
  <si>
    <t>مسجد /محمد بن ناصر .</t>
  </si>
  <si>
    <t>SMR2420661037252</t>
  </si>
  <si>
    <t xml:space="preserve">   مسجد/ابن ماجه .</t>
  </si>
  <si>
    <t>KFM2120660280278</t>
  </si>
  <si>
    <t xml:space="preserve">   جامع/ جفن الجديد .</t>
  </si>
  <si>
    <t>KFM2020660153754</t>
  </si>
  <si>
    <t>KFM2120660255511</t>
  </si>
  <si>
    <t xml:space="preserve">   مسجد النور بحي الفيصليه .</t>
  </si>
  <si>
    <t>KFM2020660044743</t>
  </si>
  <si>
    <t>مسجد/ابراهيم  محمد الحمود .</t>
  </si>
  <si>
    <t>KFM2120660295190</t>
  </si>
  <si>
    <t xml:space="preserve">   مسجد      عبدالعزيز . .</t>
  </si>
  <si>
    <t>KFM2020660207576</t>
  </si>
  <si>
    <t xml:space="preserve">   مسجد محمد عادي الشيباني .</t>
  </si>
  <si>
    <t>KFM2020660056870</t>
  </si>
  <si>
    <t>MMF2420801441462</t>
  </si>
  <si>
    <t>ECC2020810690966</t>
  </si>
  <si>
    <t xml:space="preserve">   مسجد روضة الصالحين .</t>
  </si>
  <si>
    <t>KFM2120660249325</t>
  </si>
  <si>
    <t>KFM2120655003230</t>
  </si>
  <si>
    <t xml:space="preserve">   ادارة     أوقاف     مسجد محم مبا .</t>
  </si>
  <si>
    <t>KFM2020660174679</t>
  </si>
  <si>
    <t xml:space="preserve">   مسجد صالح عبدالعزيز العبداللطيف .</t>
  </si>
  <si>
    <t>KFM2020660209635</t>
  </si>
  <si>
    <t>KFM2020660104915</t>
  </si>
  <si>
    <t xml:space="preserve">   اوقاف القويعيةمقابل سوق الهويمل .</t>
  </si>
  <si>
    <t>KFM2120660240435</t>
  </si>
  <si>
    <t>SMR2320661033989</t>
  </si>
  <si>
    <t>KFM2020760089983</t>
  </si>
  <si>
    <t xml:space="preserve">   مسجد الملك عبدالعزيز .</t>
  </si>
  <si>
    <t>KFM2020660177012</t>
  </si>
  <si>
    <t xml:space="preserve">   ادارة     الأوقاف    مسجد الجوهرة .</t>
  </si>
  <si>
    <t>KFM2020660206255</t>
  </si>
  <si>
    <t>SMR2020850027473</t>
  </si>
  <si>
    <t xml:space="preserve">   جامع الملك فهد .</t>
  </si>
  <si>
    <t>KFM2120660260690</t>
  </si>
  <si>
    <t xml:space="preserve">   مسجد بحي اليرموك .</t>
  </si>
  <si>
    <t>KFM2020660053591</t>
  </si>
  <si>
    <t xml:space="preserve">      مسجد / صالح الحسن .</t>
  </si>
  <si>
    <t>KFM2120660264320</t>
  </si>
  <si>
    <t xml:space="preserve">      مـسـجـد المخطط 409ا بالحوطه .</t>
  </si>
  <si>
    <t>KFM2020660050199</t>
  </si>
  <si>
    <t xml:space="preserve">   مسجدابن حطاب حارة الغنيمان .</t>
  </si>
  <si>
    <t>KFM2020760210893</t>
  </si>
  <si>
    <t>مسجدالسهله .</t>
  </si>
  <si>
    <t>KFM2020660056071</t>
  </si>
  <si>
    <t xml:space="preserve">   مسجد حي الازدهار .</t>
  </si>
  <si>
    <t>KFM2020660175150</t>
  </si>
  <si>
    <t>SMR2120765021076</t>
  </si>
  <si>
    <t>ECC2020811047117</t>
  </si>
  <si>
    <t>. مسجد      حي السويدي .</t>
  </si>
  <si>
    <t>KFM2020660045056</t>
  </si>
  <si>
    <t xml:space="preserve">   مسجد/الاوزاعي .</t>
  </si>
  <si>
    <t>KFM2020660210459</t>
  </si>
  <si>
    <t xml:space="preserve">   مسجدالخالديةرقم 2/ .</t>
  </si>
  <si>
    <t>KFM2020766095278</t>
  </si>
  <si>
    <t xml:space="preserve">   المسجد الجامع بالحيد .</t>
  </si>
  <si>
    <t>KFM2020660223805</t>
  </si>
  <si>
    <t>KFM2120655001335</t>
  </si>
  <si>
    <t>مسجد نوره  المنديل .</t>
  </si>
  <si>
    <t>KFM2020660044492</t>
  </si>
  <si>
    <t xml:space="preserve">   مسجد       الدريويش 1 .</t>
  </si>
  <si>
    <t>KFM2120660262675</t>
  </si>
  <si>
    <t>SMR2220661018623</t>
  </si>
  <si>
    <t>مسجدالامير مشعل  بن عبد العزيز .</t>
  </si>
  <si>
    <t>KFM2020660034124</t>
  </si>
  <si>
    <t>KFM2020760206444</t>
  </si>
  <si>
    <t>KFM2020660211010</t>
  </si>
  <si>
    <t>KFM2020660049553</t>
  </si>
  <si>
    <t>KFM2120861247407</t>
  </si>
  <si>
    <t xml:space="preserve">   مسجد حي الضباط .</t>
  </si>
  <si>
    <t>KFM2020660192117</t>
  </si>
  <si>
    <t xml:space="preserve">    مسجد حي المشاعل .</t>
  </si>
  <si>
    <t>KFM2020660047807</t>
  </si>
  <si>
    <t xml:space="preserve">   مسجد بندر الجبر .</t>
  </si>
  <si>
    <t>KFM2020766073411</t>
  </si>
  <si>
    <t>KFM2120660240928</t>
  </si>
  <si>
    <t xml:space="preserve">   مسجد وسكن امام ومؤذن .</t>
  </si>
  <si>
    <t>KFM2020660131981</t>
  </si>
  <si>
    <t xml:space="preserve">   مسجد/المنصور بالفيضه .</t>
  </si>
  <si>
    <t>KFM2120660241407</t>
  </si>
  <si>
    <t xml:space="preserve">   مسجدالامير/سعدبن فهدمحمدعبدالعزيز .</t>
  </si>
  <si>
    <t>KFM2020660036782</t>
  </si>
  <si>
    <t xml:space="preserve">   مســـجد الحــزم .</t>
  </si>
  <si>
    <t>KFM2020660177906</t>
  </si>
  <si>
    <t>AEC2020830327919</t>
  </si>
  <si>
    <t xml:space="preserve">   مسجد      عبدالرحمن اليوسف .</t>
  </si>
  <si>
    <t>KFM2020660047344</t>
  </si>
  <si>
    <t xml:space="preserve">   مسجد/ماجد شامان .</t>
  </si>
  <si>
    <t>AES2120896590310</t>
  </si>
  <si>
    <t xml:space="preserve">   مسجد الفهد .</t>
  </si>
  <si>
    <t>AEC2020830558378</t>
  </si>
  <si>
    <t xml:space="preserve">   مسجد الهرجابيه ـ اوقاف القويعيه .</t>
  </si>
  <si>
    <t>SMR2220661006298</t>
  </si>
  <si>
    <t xml:space="preserve">    مسجد حى الملك فهد/ع المغامس .</t>
  </si>
  <si>
    <t>KFM2020766034173</t>
  </si>
  <si>
    <t>مسجد / محمد العريفي .</t>
  </si>
  <si>
    <t>KFM2020660057771</t>
  </si>
  <si>
    <t xml:space="preserve">   مسجد الفلاح بالصفراء .</t>
  </si>
  <si>
    <t>KFM2020766159960</t>
  </si>
  <si>
    <t xml:space="preserve">   مسجد      الموسي    الشؤن الاسلا م .</t>
  </si>
  <si>
    <t>KFM2020660099577</t>
  </si>
  <si>
    <t xml:space="preserve">      مسجد عبدالله على فليج .</t>
  </si>
  <si>
    <t>KFM2020760018418</t>
  </si>
  <si>
    <t>مسجد      ابو  بكر  الصديق .</t>
  </si>
  <si>
    <t>KFM2020660087451</t>
  </si>
  <si>
    <t xml:space="preserve">   مسجدالصحابى العلاءبن الحضرمى .</t>
  </si>
  <si>
    <t>KFM2020660054418</t>
  </si>
  <si>
    <t>KFM2020660203749</t>
  </si>
  <si>
    <t xml:space="preserve">   مسجد حى الصالحيه .</t>
  </si>
  <si>
    <t>KFM2120660249419</t>
  </si>
  <si>
    <t xml:space="preserve">   مسجد/خالد بن الوليد بنجخ .</t>
  </si>
  <si>
    <t>KFM2020660172903</t>
  </si>
  <si>
    <t xml:space="preserve">      اوقاف الدواسر/مسجد ال وثيله .</t>
  </si>
  <si>
    <t>KFM2020760181897</t>
  </si>
  <si>
    <t xml:space="preserve">   مسجدلجع .</t>
  </si>
  <si>
    <t>KFM2020660196364</t>
  </si>
  <si>
    <t xml:space="preserve">   مسجد عمرابن الخطاب  رضي الله عنه .</t>
  </si>
  <si>
    <t>KFM2020766141130</t>
  </si>
  <si>
    <t xml:space="preserve">   اوقاف الزلفي مسجد الترمذى .</t>
  </si>
  <si>
    <t>KFM2020766054653</t>
  </si>
  <si>
    <t>KFM2020660197726</t>
  </si>
  <si>
    <t>مسجد رقم 5 بالتأهيل .</t>
  </si>
  <si>
    <t>AES2020896529524</t>
  </si>
  <si>
    <t>KFM2020660203286</t>
  </si>
  <si>
    <t xml:space="preserve">   مسجد الريان في عسيله .</t>
  </si>
  <si>
    <t>KFM2020660208979</t>
  </si>
  <si>
    <t xml:space="preserve">   مسجد      جنوب      القدس .</t>
  </si>
  <si>
    <t>KFM2020660057185</t>
  </si>
  <si>
    <t xml:space="preserve">   مسجد      جامع      ابو ثنين .</t>
  </si>
  <si>
    <t>KFM2020660150145</t>
  </si>
  <si>
    <t xml:space="preserve">   مسجد/الحي الجنوبيه .</t>
  </si>
  <si>
    <t>KFM2020766161946</t>
  </si>
  <si>
    <t xml:space="preserve">   مسجد جامع الشديده .</t>
  </si>
  <si>
    <t>KFM2020660176138</t>
  </si>
  <si>
    <t xml:space="preserve">   مسجد      عدي       اوقاف السليل .</t>
  </si>
  <si>
    <t>KFM2020766165936</t>
  </si>
  <si>
    <t>KFM2020660126671</t>
  </si>
  <si>
    <t xml:space="preserve">   مسجد/فهد السديري .</t>
  </si>
  <si>
    <t>KFM2020766040383</t>
  </si>
  <si>
    <t>KFM2020660232677</t>
  </si>
  <si>
    <t>KFM2120660270078</t>
  </si>
  <si>
    <t xml:space="preserve">     مسجد   الخفره .</t>
  </si>
  <si>
    <t>KFM2020660135782</t>
  </si>
  <si>
    <t xml:space="preserve">   مسجد طارق عبدالرحمن مراد .</t>
  </si>
  <si>
    <t>KFM2120660239083</t>
  </si>
  <si>
    <t>مسجد سلوم  السلوم (ابراهيم  السبعان .</t>
  </si>
  <si>
    <t>KFM2020660096040</t>
  </si>
  <si>
    <t>مسجدسلطانه .</t>
  </si>
  <si>
    <t>KFM2020660171643</t>
  </si>
  <si>
    <t xml:space="preserve">   مسجدالخليل .</t>
  </si>
  <si>
    <t>KFM2120660271545</t>
  </si>
  <si>
    <t xml:space="preserve">  مسجد ورثة/الملك خالد بن عبدالعزيز .</t>
  </si>
  <si>
    <t>KFM2020660187736</t>
  </si>
  <si>
    <t>LYE2020830054037</t>
  </si>
  <si>
    <t xml:space="preserve">   مسجد حي الربوه .</t>
  </si>
  <si>
    <t>KFM2020660043519</t>
  </si>
  <si>
    <t>KFM2120660239153</t>
  </si>
  <si>
    <t>KFM2020660204076</t>
  </si>
  <si>
    <t>ثامر أحمد الصمعاني .</t>
  </si>
  <si>
    <t>KFM2020660229355</t>
  </si>
  <si>
    <t xml:space="preserve">   مسجد حمود ابراهيم الذياب .</t>
  </si>
  <si>
    <t>KFM2020660176832</t>
  </si>
  <si>
    <t xml:space="preserve">   مسجد محمد بن عبدالرحمن العساكر .</t>
  </si>
  <si>
    <t>KFM2120660242120</t>
  </si>
  <si>
    <t>KFM2020660176206</t>
  </si>
  <si>
    <t>SMR2220761012366</t>
  </si>
  <si>
    <t xml:space="preserve">      الـمـسـجـد  الشرقى .</t>
  </si>
  <si>
    <t>KFM2020760002700</t>
  </si>
  <si>
    <t>مسجد علي شليان .</t>
  </si>
  <si>
    <t>AEC2020830543719</t>
  </si>
  <si>
    <t xml:space="preserve">   مسجد لطيفة عبدالله آل الشيخ .</t>
  </si>
  <si>
    <t>KFM2020660173721</t>
  </si>
  <si>
    <t>KFM2020660178134</t>
  </si>
  <si>
    <t xml:space="preserve">   مسجدالا ميرسلطان     عبدالعزيز .</t>
  </si>
  <si>
    <t>KFM2120660251263</t>
  </si>
  <si>
    <t xml:space="preserve">   مسجدمحطةال سلطان .</t>
  </si>
  <si>
    <t>KFM2020660174674</t>
  </si>
  <si>
    <t xml:space="preserve">   اوقاف الدواسر/ جامع الخالديه .</t>
  </si>
  <si>
    <t>KFM2020660177806</t>
  </si>
  <si>
    <t xml:space="preserve">  مسجد شركه عبدالعزيز و محمد الجميح .</t>
  </si>
  <si>
    <t>KFM2020660201416</t>
  </si>
  <si>
    <t>MMF2020800188552</t>
  </si>
  <si>
    <t xml:space="preserve">   اوقاف الزلفي مسجدالايمان .</t>
  </si>
  <si>
    <t>KFM2020766158123</t>
  </si>
  <si>
    <t xml:space="preserve">   مسجد الربواء بالدخل المحدود .</t>
  </si>
  <si>
    <t>KFM2020766167125</t>
  </si>
  <si>
    <t xml:space="preserve">   مسجد علي عبدالرؤوف باحميد .</t>
  </si>
  <si>
    <t>KFM2120660299065</t>
  </si>
  <si>
    <t>KFM2020660174819</t>
  </si>
  <si>
    <t>KFM2020660193749</t>
  </si>
  <si>
    <t xml:space="preserve">   جامع القدس .</t>
  </si>
  <si>
    <t>KFM2020660170873</t>
  </si>
  <si>
    <t>مسجد نورة بنت مرزوق .</t>
  </si>
  <si>
    <t>KFM2120660299059</t>
  </si>
  <si>
    <t xml:space="preserve">   مسجد/ أسماء بنت أبي بكر .</t>
  </si>
  <si>
    <t>KFM2120660268972</t>
  </si>
  <si>
    <t>SMR2320761031123</t>
  </si>
  <si>
    <t>KFM2020660048437</t>
  </si>
  <si>
    <t xml:space="preserve">   مسجد عبدالله العطاالله/ .</t>
  </si>
  <si>
    <t>KFM2120660300485</t>
  </si>
  <si>
    <t xml:space="preserve">   وزارة الشئون الأسلا مية مسجد .</t>
  </si>
  <si>
    <t>KFM2020660199596</t>
  </si>
  <si>
    <t xml:space="preserve">   مسجد القصب رقم 5 .</t>
  </si>
  <si>
    <t>KFM2020766132867</t>
  </si>
  <si>
    <t>مسجد / ابو عبيده  ابن الجراح .</t>
  </si>
  <si>
    <t>KFM2020660057861</t>
  </si>
  <si>
    <t xml:space="preserve">   جامع الثليماء/اوقاف القويعيه .</t>
  </si>
  <si>
    <t>KFM2020660206847</t>
  </si>
  <si>
    <t>KFM2020660150062</t>
  </si>
  <si>
    <t>KFM2020660196580</t>
  </si>
  <si>
    <t>جامع يوسف  الحربي .</t>
  </si>
  <si>
    <t>KFM2020660173465</t>
  </si>
  <si>
    <t>KFM2020660191113</t>
  </si>
  <si>
    <t xml:space="preserve"> وزارةالحجوألاوقافمسجدألاماممحمدبنسعود .</t>
  </si>
  <si>
    <t>KFM2020660170207</t>
  </si>
  <si>
    <t>SMR2220661018937</t>
  </si>
  <si>
    <t xml:space="preserve">   مسجدسليمان الغثبر .</t>
  </si>
  <si>
    <t>KFM2020660231118</t>
  </si>
  <si>
    <t>مسجد القضيبي .</t>
  </si>
  <si>
    <t>KFM2020660006594</t>
  </si>
  <si>
    <t>مسجد - احمد بن حنبل .</t>
  </si>
  <si>
    <t>KFM2020660173205</t>
  </si>
  <si>
    <t xml:space="preserve">   مسجد سليمان المقيرن .</t>
  </si>
  <si>
    <t>KFM2020660018777</t>
  </si>
  <si>
    <t xml:space="preserve">              مسجد وسكن  حي الحمراء .</t>
  </si>
  <si>
    <t>KFM2020660060117</t>
  </si>
  <si>
    <t>مسجد القاسم .</t>
  </si>
  <si>
    <t>KFM2020660099023</t>
  </si>
  <si>
    <t>KFM2120660271507</t>
  </si>
  <si>
    <t>مسجد ظ البديعة  غرب  الدائري .</t>
  </si>
  <si>
    <t>KFM2020660201774</t>
  </si>
  <si>
    <t>KFM2020660203236</t>
  </si>
  <si>
    <t>KFM2020660232898</t>
  </si>
  <si>
    <t xml:space="preserve">   اوقاف الزلفي مسجدابن حجرالعسقلاني .</t>
  </si>
  <si>
    <t>KFM2020660210460</t>
  </si>
  <si>
    <t>MMF2020800321321</t>
  </si>
  <si>
    <t>KFM2020766166042</t>
  </si>
  <si>
    <t xml:space="preserve">   مسجد مهدي سيف ال سلطان .</t>
  </si>
  <si>
    <t>KFM2120660300184</t>
  </si>
  <si>
    <t xml:space="preserve">   مسجد المنار .</t>
  </si>
  <si>
    <t>KFM2020660058496</t>
  </si>
  <si>
    <t>KFM2020660104175</t>
  </si>
  <si>
    <t>.    مسجد      الشمسيه .</t>
  </si>
  <si>
    <t>KFM2020660054286</t>
  </si>
  <si>
    <t>KFM2020760208694</t>
  </si>
  <si>
    <t xml:space="preserve">   مسجد حى المرسلات .</t>
  </si>
  <si>
    <t>KFM2020660192229</t>
  </si>
  <si>
    <t xml:space="preserve">   مسجد بلا ل بن رباح .</t>
  </si>
  <si>
    <t>KFM2020660169439</t>
  </si>
  <si>
    <t>KFM2120660271572</t>
  </si>
  <si>
    <t xml:space="preserve">   مسجد      منير      الركان .</t>
  </si>
  <si>
    <t>KFM2020660212707</t>
  </si>
  <si>
    <t>MMF2020800321323</t>
  </si>
  <si>
    <t xml:space="preserve">   مسجد الحى رقم 9 المطار .</t>
  </si>
  <si>
    <t>KFM2020660207196</t>
  </si>
  <si>
    <t>KFM2020660045333</t>
  </si>
  <si>
    <t>ECC2320831002984</t>
  </si>
  <si>
    <t>مسجد بالعمارية .</t>
  </si>
  <si>
    <t>KFM2020660202997</t>
  </si>
  <si>
    <t xml:space="preserve">  مسجد عثمان بن عفان بالغاط .</t>
  </si>
  <si>
    <t>AES2020896434684</t>
  </si>
  <si>
    <t xml:space="preserve">   مسجد السديس .</t>
  </si>
  <si>
    <t>KFM2020660036484</t>
  </si>
  <si>
    <t xml:space="preserve">   اوقاف ومساجدمسجدحىالملك فهد .</t>
  </si>
  <si>
    <t>KFM2020766034297</t>
  </si>
  <si>
    <t xml:space="preserve">   ادارة     الاوقاف    السميري .</t>
  </si>
  <si>
    <t>KFM2020660205890</t>
  </si>
  <si>
    <t xml:space="preserve">   اوقاف حوطة سدير مسجد الجنيفى .</t>
  </si>
  <si>
    <t>KFM2020766067737</t>
  </si>
  <si>
    <t xml:space="preserve">   اوقاف     تمير      حى الملك فيص .</t>
  </si>
  <si>
    <t>KFM2020766034177</t>
  </si>
  <si>
    <t>KFM2020660031177</t>
  </si>
  <si>
    <t xml:space="preserve">   مسجد ناصر بن ابراهيم العميقان .</t>
  </si>
  <si>
    <t>KFM2020660208658</t>
  </si>
  <si>
    <t xml:space="preserve">      مسجد   محمد   صالح    العتيبي .</t>
  </si>
  <si>
    <t>KFM2020660174810</t>
  </si>
  <si>
    <t xml:space="preserve">   مسجد الابرار .</t>
  </si>
  <si>
    <t>KFM2120660300603</t>
  </si>
  <si>
    <t xml:space="preserve">   مسجدالفرقان .</t>
  </si>
  <si>
    <t>KFM2020660041178</t>
  </si>
  <si>
    <t xml:space="preserve">   مسجد معاويه بن ابي سفيان .</t>
  </si>
  <si>
    <t>KFM2020766160192</t>
  </si>
  <si>
    <t>AES2020896335648</t>
  </si>
  <si>
    <t>DZG2020890012868</t>
  </si>
  <si>
    <t>مسجد ابن خلدون .</t>
  </si>
  <si>
    <t>KFM2020760204108</t>
  </si>
  <si>
    <t xml:space="preserve">   مسجد سعدبن معاذ .</t>
  </si>
  <si>
    <t>KFM2020760166241</t>
  </si>
  <si>
    <t>KFM2120660262175</t>
  </si>
  <si>
    <t xml:space="preserve">   مسجداليرموك .</t>
  </si>
  <si>
    <t>KFM2020660060658</t>
  </si>
  <si>
    <t>مسجد الشيخ  عبدالعزيز عبدالله .</t>
  </si>
  <si>
    <t>KFM2020660006630</t>
  </si>
  <si>
    <t>KFM2120660241406</t>
  </si>
  <si>
    <t xml:space="preserve">   مسجد/ ابراهيم عبدالله الزيد .</t>
  </si>
  <si>
    <t>KFM2020660212142</t>
  </si>
  <si>
    <t>مسجد /عبدالرحمن بن عوف .</t>
  </si>
  <si>
    <t>KFM2020660060791</t>
  </si>
  <si>
    <t xml:space="preserve">   مسجد عبدالمجيد ال الشيخ .</t>
  </si>
  <si>
    <t>KFM2020660187920</t>
  </si>
  <si>
    <t xml:space="preserve">   مسجد      الوادي    العبيد .</t>
  </si>
  <si>
    <t>KFM2120660246738</t>
  </si>
  <si>
    <t xml:space="preserve">   مسجد حي  الصحافه .</t>
  </si>
  <si>
    <t>KFM2020660188612</t>
  </si>
  <si>
    <t xml:space="preserve">   مسجد      مشرفة     دعيكان .</t>
  </si>
  <si>
    <t>AEC2020830214786</t>
  </si>
  <si>
    <t>الموية</t>
  </si>
  <si>
    <t xml:space="preserve">   مسجد حى الوادى .</t>
  </si>
  <si>
    <t>KFM2020660211381</t>
  </si>
  <si>
    <t>مسجد طلحة  بن الزبير .</t>
  </si>
  <si>
    <t>KFM2020660098947</t>
  </si>
  <si>
    <t>مسجد /طريق  الملك  فهد .</t>
  </si>
  <si>
    <t>KFM2020660201735</t>
  </si>
  <si>
    <t xml:space="preserve">   مسجد      الخير     الشون .</t>
  </si>
  <si>
    <t>KFM2020660176814</t>
  </si>
  <si>
    <t xml:space="preserve"> مسجد فهد عبدالله الراجحي-وزارةالشؤن .</t>
  </si>
  <si>
    <t>KFM2020660209185</t>
  </si>
  <si>
    <t>KFM2020660202293</t>
  </si>
  <si>
    <t xml:space="preserve">   مسجد حمود الذياب .</t>
  </si>
  <si>
    <t>KFM2020660132580</t>
  </si>
  <si>
    <t xml:space="preserve">   مسجد      حي        الجوهره .</t>
  </si>
  <si>
    <t>KFM2020660054519</t>
  </si>
  <si>
    <t xml:space="preserve">   مسجد الشعبه بشارع الامير عبدالله .</t>
  </si>
  <si>
    <t>KFM2020660210800</t>
  </si>
  <si>
    <t>KFM2020660200655</t>
  </si>
  <si>
    <t>KFM2020760184569</t>
  </si>
  <si>
    <t xml:space="preserve">   مسجد علي الحوشاني .</t>
  </si>
  <si>
    <t>KFM2020660191800</t>
  </si>
  <si>
    <t>KFM2020660173256</t>
  </si>
  <si>
    <t xml:space="preserve">   مسجد وسكن منيره الوابل .</t>
  </si>
  <si>
    <t>KFM2020660056861</t>
  </si>
  <si>
    <t>KFM2020766054682</t>
  </si>
  <si>
    <t xml:space="preserve">   مسجدحى الجامعه .</t>
  </si>
  <si>
    <t>KFM2020660057401</t>
  </si>
  <si>
    <t xml:space="preserve">   مساجدالدوسرجامع أم سليم .</t>
  </si>
  <si>
    <t>AES2020896463027</t>
  </si>
  <si>
    <t xml:space="preserve">   مسجدشيخ الا سلا م ابن تيمية .</t>
  </si>
  <si>
    <t>KFM2020660012554</t>
  </si>
  <si>
    <t xml:space="preserve">   وزارةالشئون الاسلامية و الاوقاف .</t>
  </si>
  <si>
    <t>KFM2020660210873</t>
  </si>
  <si>
    <t>SMR2220661018865</t>
  </si>
  <si>
    <t>AEC2020830033843</t>
  </si>
  <si>
    <t>KFM2020660192887</t>
  </si>
  <si>
    <t xml:space="preserve">    مسجد محمد بن سيف .</t>
  </si>
  <si>
    <t>KFM2120660257526</t>
  </si>
  <si>
    <t>وزارة الشؤون الاسلا مية  مسجد العمر .</t>
  </si>
  <si>
    <t>KFM2020660098892</t>
  </si>
  <si>
    <t>ECC2020810865796</t>
  </si>
  <si>
    <t xml:space="preserve">    مسجد      صقر       الدلبحي .</t>
  </si>
  <si>
    <t>AES2020896453529</t>
  </si>
  <si>
    <t xml:space="preserve">   اوقاف الخرج/مسجد بن جعي .</t>
  </si>
  <si>
    <t>KFM2020660200967</t>
  </si>
  <si>
    <t>مسجد   حوطة  خالد .</t>
  </si>
  <si>
    <t>KFM2020660201718</t>
  </si>
  <si>
    <t>SMR2320761030620</t>
  </si>
  <si>
    <t xml:space="preserve">   مسجد/     حنس       الكرشمي .</t>
  </si>
  <si>
    <t>AES2020896446116</t>
  </si>
  <si>
    <t xml:space="preserve">   مسجد محمداباالخيل .</t>
  </si>
  <si>
    <t>KFM2020660135774</t>
  </si>
  <si>
    <t>KFM2020660056734</t>
  </si>
  <si>
    <t xml:space="preserve">   مسجد عامر بن ثابت .</t>
  </si>
  <si>
    <t>KFM2020766162011</t>
  </si>
  <si>
    <t xml:space="preserve">   اوقاف القويعيه/ مسجد شعيفان .</t>
  </si>
  <si>
    <t>AES2020896370463</t>
  </si>
  <si>
    <t>KFM2020660007001</t>
  </si>
  <si>
    <t>AEC2020830300231</t>
  </si>
  <si>
    <t xml:space="preserve">   مسجد بن عروان .</t>
  </si>
  <si>
    <t>KFM2120660300611</t>
  </si>
  <si>
    <t xml:space="preserve">   مسجدالدار البيضاء .</t>
  </si>
  <si>
    <t>KFM2020660162242</t>
  </si>
  <si>
    <t>KFM2020660127454</t>
  </si>
  <si>
    <t>مسجدالمرزوقي      حي الحزم .</t>
  </si>
  <si>
    <t>KFM2020660087422</t>
  </si>
  <si>
    <t>KFM2020660171728</t>
  </si>
  <si>
    <t>KFM2020660191843</t>
  </si>
  <si>
    <t xml:space="preserve">   مسجد الاميره هياء بنت عبدالعزيز .</t>
  </si>
  <si>
    <t>KFM2020660195069</t>
  </si>
  <si>
    <t xml:space="preserve">   مسجد نورة زيدالغملاس .</t>
  </si>
  <si>
    <t>KFM2020660201104</t>
  </si>
  <si>
    <t>KFM2020660012845</t>
  </si>
  <si>
    <t>مسجد المجمع التجاري  /حراج  بن قاسم .</t>
  </si>
  <si>
    <t>KFM2020660166230</t>
  </si>
  <si>
    <t xml:space="preserve">   مسجد محمد السويلمبحي النفل .</t>
  </si>
  <si>
    <t>KFM2020660052798</t>
  </si>
  <si>
    <t>SMR2420661038550</t>
  </si>
  <si>
    <t xml:space="preserve">   مسجدالاميرة مضاوى بنت عبدالعزيز .</t>
  </si>
  <si>
    <t>KFM2120660240970</t>
  </si>
  <si>
    <t>KFM2020660214097</t>
  </si>
  <si>
    <t>مسجدالشويعر .</t>
  </si>
  <si>
    <t>KFM2020660164274</t>
  </si>
  <si>
    <t xml:space="preserve">   مسجد مخطط 375 .</t>
  </si>
  <si>
    <t>AEC2020830327742</t>
  </si>
  <si>
    <t xml:space="preserve">   مسجد محمد الحماد - بحي الربيع .</t>
  </si>
  <si>
    <t>KFM2020760057050</t>
  </si>
  <si>
    <t>KFM2020766157186</t>
  </si>
  <si>
    <t xml:space="preserve">   مسجد      ابن       بحريملاء .</t>
  </si>
  <si>
    <t>AEC2020830572163</t>
  </si>
  <si>
    <t>KFM2120660300640</t>
  </si>
  <si>
    <t>مسجد /حي العوده  بالسويدي .</t>
  </si>
  <si>
    <t>KFM2020660051613</t>
  </si>
  <si>
    <t xml:space="preserve">   مسجد حى الدار البيضاء .</t>
  </si>
  <si>
    <t>KFM2120660270309</t>
  </si>
  <si>
    <t>KFM2020660037819</t>
  </si>
  <si>
    <t>مسجد / هاجر .</t>
  </si>
  <si>
    <t>KFM2020660171083</t>
  </si>
  <si>
    <t xml:space="preserve">   مسجد حي الغدير .</t>
  </si>
  <si>
    <t>KFM2020660030110</t>
  </si>
  <si>
    <t xml:space="preserve">      مسجد هذال .</t>
  </si>
  <si>
    <t>MMF2020800247562</t>
  </si>
  <si>
    <t xml:space="preserve">   مسجد ابوبكر الصديق رضي الله عنه .</t>
  </si>
  <si>
    <t>KFM2020660165475</t>
  </si>
  <si>
    <t>KFM2020660211238</t>
  </si>
  <si>
    <t>ﻭﺯﺍﺭﺓﺍﻻﻭﻗﺎﻑ _ ﺍﻭﻗﺎﻑ ﺍﻟﺒﺠﺎﺩﻴﻩ .</t>
  </si>
  <si>
    <t>AES2020896452249</t>
  </si>
  <si>
    <t xml:space="preserve">   مسجد عبدالله الفجر .</t>
  </si>
  <si>
    <t>KFM2020766040440</t>
  </si>
  <si>
    <t>KFM2120660270037</t>
  </si>
  <si>
    <t>KFM2020660177274</t>
  </si>
  <si>
    <t xml:space="preserve">   مسجد الخويطر .</t>
  </si>
  <si>
    <t>KFM2020660170753</t>
  </si>
  <si>
    <t>مسجد الجاسر .</t>
  </si>
  <si>
    <t>KFM2020660096116</t>
  </si>
  <si>
    <t xml:space="preserve">   جامع الشيخ محمد الدغيثر .</t>
  </si>
  <si>
    <t>KFM2020660165391</t>
  </si>
  <si>
    <t>وزارة الشئون الاسلامية مسجد المرشد .</t>
  </si>
  <si>
    <t>KFM2020660049580</t>
  </si>
  <si>
    <t xml:space="preserve">   مسجد الامير/سعد بن عبدالعزيز .</t>
  </si>
  <si>
    <t>SMR2020850072680</t>
  </si>
  <si>
    <t xml:space="preserve">   مسجد محمد الحربي .</t>
  </si>
  <si>
    <t>KFM2120660285355</t>
  </si>
  <si>
    <t>مسجد      صالح       القرياني .</t>
  </si>
  <si>
    <t>KFM2020660044485</t>
  </si>
  <si>
    <t>SMR2220661007486</t>
  </si>
  <si>
    <t>KFM2120660236571</t>
  </si>
  <si>
    <t>مسجد المروه  جنوب  المعارض .</t>
  </si>
  <si>
    <t>KFM2020660198910</t>
  </si>
  <si>
    <t>MMF2020800006976</t>
  </si>
  <si>
    <t>مسجد النمر .</t>
  </si>
  <si>
    <t>KFM2120655004295</t>
  </si>
  <si>
    <t xml:space="preserve">   مســــجد جــامع الرمثـــي .</t>
  </si>
  <si>
    <t>KFM2020660233603</t>
  </si>
  <si>
    <t xml:space="preserve"> وزارةالشئون الاسلاميه / مسجد التيسير .</t>
  </si>
  <si>
    <t>KFM2020660191753</t>
  </si>
  <si>
    <t>KFM2020660061519</t>
  </si>
  <si>
    <t>مسجد نورة المطيري .</t>
  </si>
  <si>
    <t>KFM2020760020907</t>
  </si>
  <si>
    <t>SMR2420661036091</t>
  </si>
  <si>
    <t>KFM2020660061521</t>
  </si>
  <si>
    <t xml:space="preserve">   مسجد  الصرامى .</t>
  </si>
  <si>
    <t>KFM2020660178222</t>
  </si>
  <si>
    <t xml:space="preserve">   وزارة الحج والاوقاف / فرع ثادق .</t>
  </si>
  <si>
    <t>KFM2120660275824</t>
  </si>
  <si>
    <t xml:space="preserve">   الشئون لاسلاميه/ مسجد ضواي العتيبي .</t>
  </si>
  <si>
    <t>KFM2120660268777</t>
  </si>
  <si>
    <t xml:space="preserve">   مسجد فهد المطيرى .</t>
  </si>
  <si>
    <t>KFM2020660224414</t>
  </si>
  <si>
    <t xml:space="preserve">   مسجد الزبير بن العوام . .</t>
  </si>
  <si>
    <t>KFM2120660300553</t>
  </si>
  <si>
    <t>مسجد والدة سليمان محمد السليم .</t>
  </si>
  <si>
    <t>SMR2320661020719</t>
  </si>
  <si>
    <t>مسجدعبدالعزيزعلى  الخرجى .</t>
  </si>
  <si>
    <t>KFM2020660011938</t>
  </si>
  <si>
    <t>AEC2020830323453</t>
  </si>
  <si>
    <t xml:space="preserve">      مسجد الوسطى بالسهباء .</t>
  </si>
  <si>
    <t>MMF2020800218808</t>
  </si>
  <si>
    <t>SMR2220661000484</t>
  </si>
  <si>
    <t>مسجد محمد الرميح .</t>
  </si>
  <si>
    <t>KFM2020760020358</t>
  </si>
  <si>
    <t>KFM2020660170701</t>
  </si>
  <si>
    <t>مسجد /عبدالله  بن مسعود .</t>
  </si>
  <si>
    <t>KFM2020660039989</t>
  </si>
  <si>
    <t xml:space="preserve">   مسجد الثماله .</t>
  </si>
  <si>
    <t>AES2020896471398</t>
  </si>
  <si>
    <t>مسجد/ عبدالله  بن مسعود .</t>
  </si>
  <si>
    <t>KFM2020660013735</t>
  </si>
  <si>
    <t xml:space="preserve">   مسجد صالح عبدالله .</t>
  </si>
  <si>
    <t>KFM2020660056876</t>
  </si>
  <si>
    <t xml:space="preserve">   مسجدام الحمام .</t>
  </si>
  <si>
    <t>KFM2020660212029</t>
  </si>
  <si>
    <t xml:space="preserve">   مسجدالرشيد بالمعذر .</t>
  </si>
  <si>
    <t>KFM2120660240868</t>
  </si>
  <si>
    <t>KFM2020760206461</t>
  </si>
  <si>
    <t>KFM2020660188240</t>
  </si>
  <si>
    <t xml:space="preserve">   مسجد الخالدية .</t>
  </si>
  <si>
    <t>KFM2120660236482</t>
  </si>
  <si>
    <t xml:space="preserve">      مسجد محمد بن سعد العواد .</t>
  </si>
  <si>
    <t>KFM2020760202712</t>
  </si>
  <si>
    <t>KFM2020660196836</t>
  </si>
  <si>
    <t>مسجد بن جلعود .</t>
  </si>
  <si>
    <t>KFM2020660171730</t>
  </si>
  <si>
    <t xml:space="preserve">   مسجد عبدالرحمن عبدالله صقر .</t>
  </si>
  <si>
    <t>KFM2120660256208</t>
  </si>
  <si>
    <t xml:space="preserve">   مسجد عبد العزيز التويجرى .</t>
  </si>
  <si>
    <t>KFM2120660255501</t>
  </si>
  <si>
    <t xml:space="preserve">   مسجد عبدالله السبيعي .</t>
  </si>
  <si>
    <t>KFM2120660281686</t>
  </si>
  <si>
    <t>SMR2020865028969</t>
  </si>
  <si>
    <t xml:space="preserve">      مسجد عبد الله بن حكيم .</t>
  </si>
  <si>
    <t>KFM2020660230165</t>
  </si>
  <si>
    <t>مسجد الشيخ  سعد الحامد .</t>
  </si>
  <si>
    <t>KFM2020660038864</t>
  </si>
  <si>
    <t xml:space="preserve">       مسجد بهجه .</t>
  </si>
  <si>
    <t>KFM2020660230746</t>
  </si>
  <si>
    <t xml:space="preserve">   مسجد عبدالعزيز الغفيص .</t>
  </si>
  <si>
    <t>KFM2120660242769</t>
  </si>
  <si>
    <t xml:space="preserve">   مسجد      التوحيد   العين .</t>
  </si>
  <si>
    <t>KFM2020766149446</t>
  </si>
  <si>
    <t xml:space="preserve">   مسجد عبدالعزيز الصالح .</t>
  </si>
  <si>
    <t>KFM2020660174159</t>
  </si>
  <si>
    <t xml:space="preserve">   مسجدالخليل بن أحمدبالسلاميه .</t>
  </si>
  <si>
    <t>KFM2020766166096</t>
  </si>
  <si>
    <t>KFM2120660260315</t>
  </si>
  <si>
    <t xml:space="preserve">       مسجد ابن شايع .</t>
  </si>
  <si>
    <t>KFM2020660049697</t>
  </si>
  <si>
    <t xml:space="preserve">   مسجد عبدالله الحمد .</t>
  </si>
  <si>
    <t>KFM2020760014670</t>
  </si>
  <si>
    <t xml:space="preserve">      مسجد المسعود .</t>
  </si>
  <si>
    <t>AES2020896062532</t>
  </si>
  <si>
    <t xml:space="preserve">   مسجدبلال بن رباح .</t>
  </si>
  <si>
    <t>KFM2020660012593</t>
  </si>
  <si>
    <t>مسجد/نورة  عبدالرحمن .</t>
  </si>
  <si>
    <t>KFM2020660198318</t>
  </si>
  <si>
    <t>LYE2020830250723</t>
  </si>
  <si>
    <t xml:space="preserve">   مسجد الحمراء .</t>
  </si>
  <si>
    <t>KFM2020660045572</t>
  </si>
  <si>
    <t>SMR2120765018733</t>
  </si>
  <si>
    <t xml:space="preserve">   مسجد      برزان     المزاحميه .</t>
  </si>
  <si>
    <t>AES2020896471754</t>
  </si>
  <si>
    <t>AES2020896310902</t>
  </si>
  <si>
    <t>KFM2020660174150</t>
  </si>
  <si>
    <t xml:space="preserve">   مسجد / الهزاع  بحي النسيم .</t>
  </si>
  <si>
    <t>KFM2120660237236</t>
  </si>
  <si>
    <t>SMR2320661022840</t>
  </si>
  <si>
    <t>SMR2320761031444</t>
  </si>
  <si>
    <t>مسجدبن مغيثر .</t>
  </si>
  <si>
    <t>KFM2020660203497</t>
  </si>
  <si>
    <t xml:space="preserve">   مسجدبن سيار .</t>
  </si>
  <si>
    <t>KFM2120660248336</t>
  </si>
  <si>
    <t xml:space="preserve">   مسجد الفرقان .</t>
  </si>
  <si>
    <t>KFM2020660204216</t>
  </si>
  <si>
    <t>KFM2020766147199</t>
  </si>
  <si>
    <t xml:space="preserve">   مسجد المطيري .</t>
  </si>
  <si>
    <t>KFM2020660060125</t>
  </si>
  <si>
    <t xml:space="preserve">   مسجدالحديقةالعامة بشقراء .</t>
  </si>
  <si>
    <t>KFM2020660153767</t>
  </si>
  <si>
    <t>مسجد      عبدالطيف   جميل .</t>
  </si>
  <si>
    <t>KFM2020660025700</t>
  </si>
  <si>
    <t xml:space="preserve">   مسجد الجزيرة .</t>
  </si>
  <si>
    <t>KFM2020660191031</t>
  </si>
  <si>
    <t>مسجد مؤقت  بضاحية  العريجا .</t>
  </si>
  <si>
    <t>KFM2020660201775</t>
  </si>
  <si>
    <t xml:space="preserve">   جامع حي السعادة .</t>
  </si>
  <si>
    <t>KFM2120660251346</t>
  </si>
  <si>
    <t xml:space="preserve">        مسجد ومدرسة سارة الحميزي .</t>
  </si>
  <si>
    <t>KFM2020660129871</t>
  </si>
  <si>
    <t xml:space="preserve">   مسجدأبوبكرالصديق .</t>
  </si>
  <si>
    <t>KFM2020766090281</t>
  </si>
  <si>
    <t xml:space="preserve">   مسجد السلي .</t>
  </si>
  <si>
    <t>KFM2120660305335</t>
  </si>
  <si>
    <t xml:space="preserve">   مسجد جبران .</t>
  </si>
  <si>
    <t>KFM2120660299071</t>
  </si>
  <si>
    <t xml:space="preserve">   ادارةالاوقاف(مسجدالحله الجديده..) .</t>
  </si>
  <si>
    <t>AES2020896438780</t>
  </si>
  <si>
    <t xml:space="preserve">   مسجد الوريكيه .</t>
  </si>
  <si>
    <t>MMF2320801107211</t>
  </si>
  <si>
    <t xml:space="preserve">      جامع الزير .</t>
  </si>
  <si>
    <t>SMR2020765000191</t>
  </si>
  <si>
    <t>KFM2020660031251</t>
  </si>
  <si>
    <t>مسجد      ابو بكر الصديق .</t>
  </si>
  <si>
    <t>KFM2020660191158</t>
  </si>
  <si>
    <t xml:space="preserve">   مسجد العصيمي .</t>
  </si>
  <si>
    <t>KFM2020766054657</t>
  </si>
  <si>
    <t xml:space="preserve">   جامع الصناعيه الثانيه .</t>
  </si>
  <si>
    <t>KFM2120660236375</t>
  </si>
  <si>
    <t>KFM2020660015319</t>
  </si>
  <si>
    <t xml:space="preserve">   مسجد عايض فالح البدراني .</t>
  </si>
  <si>
    <t>KFM2020660046494</t>
  </si>
  <si>
    <t xml:space="preserve">   مسجد فراج محمد دهيمان .</t>
  </si>
  <si>
    <t>KFM2020760229611</t>
  </si>
  <si>
    <t xml:space="preserve">   مسجد حى السهول .</t>
  </si>
  <si>
    <t>KFM2020660191315</t>
  </si>
  <si>
    <t>مسجد      الشيخ      البرغش .</t>
  </si>
  <si>
    <t>KFM2020660054992</t>
  </si>
  <si>
    <t>KFM2020660191111</t>
  </si>
  <si>
    <t>مسجد نورة  العجلان .</t>
  </si>
  <si>
    <t>KFM2020660196776</t>
  </si>
  <si>
    <t xml:space="preserve">   اوقاف الخرج / مسجد حي الزاهر .</t>
  </si>
  <si>
    <t>KFM2020660230162</t>
  </si>
  <si>
    <t>KFM2020660206827</t>
  </si>
  <si>
    <t xml:space="preserve">   اوقاف الحصاة/مسجدمخطط وادي الركا .</t>
  </si>
  <si>
    <t>AES2120896536265</t>
  </si>
  <si>
    <t xml:space="preserve">   مسجد فاطمه الفيروز .</t>
  </si>
  <si>
    <t>KFM2020660011830</t>
  </si>
  <si>
    <t xml:space="preserve">   مسجدالاميرعبدالرحمن بن عبدالله .</t>
  </si>
  <si>
    <t>KFM2120660257675</t>
  </si>
  <si>
    <t xml:space="preserve">   المسجد    الغربي    الحي الجديد .</t>
  </si>
  <si>
    <t>AEC2020830323301</t>
  </si>
  <si>
    <t>AEC2020830326381</t>
  </si>
  <si>
    <t xml:space="preserve">   مسجد عبدالعزيز الجميح .</t>
  </si>
  <si>
    <t>KFM2120660235681</t>
  </si>
  <si>
    <t xml:space="preserve">      مسجد الدخل المحدود رقم(2) .</t>
  </si>
  <si>
    <t>KFM2020766128739</t>
  </si>
  <si>
    <t xml:space="preserve">   اوقاف الخرج/ مسجدعروةبن الزبير .</t>
  </si>
  <si>
    <t>KFM2020660223949</t>
  </si>
  <si>
    <t xml:space="preserve">   اوقاف الزلفي مسجدالتعاون .</t>
  </si>
  <si>
    <t>AES2120896564412</t>
  </si>
  <si>
    <t>KFM2020660201573</t>
  </si>
  <si>
    <t xml:space="preserve">   مسجد طلحه بن عبيدالله .</t>
  </si>
  <si>
    <t>KFM2120660246008</t>
  </si>
  <si>
    <t>KFM2020660129876</t>
  </si>
  <si>
    <t xml:space="preserve">   مسجد صلاح الدين .</t>
  </si>
  <si>
    <t>KFM2020660188063</t>
  </si>
  <si>
    <t>مسجد/الامير محمدبن ناصرال  سعود .</t>
  </si>
  <si>
    <t>KFM2020660015393</t>
  </si>
  <si>
    <t>KFM2120660239377</t>
  </si>
  <si>
    <t>المسجد الموقت الدخل  المحدود .</t>
  </si>
  <si>
    <t>KFM2020660052774</t>
  </si>
  <si>
    <t xml:space="preserve">   أوقاف السليل / مسجد رقم 7 .</t>
  </si>
  <si>
    <t>KFM2120660271539</t>
  </si>
  <si>
    <t>KFM2020660043467</t>
  </si>
  <si>
    <t xml:space="preserve">   مسجد فطيمة منصور العساف .</t>
  </si>
  <si>
    <t>KFM2120660290426</t>
  </si>
  <si>
    <t>مسجد الوقيان .</t>
  </si>
  <si>
    <t>KFM2020660013886</t>
  </si>
  <si>
    <t xml:space="preserve">   وزارة الشئون الاسلامية مسجدابوبكر .</t>
  </si>
  <si>
    <t>KFM2020660192610</t>
  </si>
  <si>
    <t>مسجدالامير محمدعبدالعزيزال  سعود .</t>
  </si>
  <si>
    <t>KFM2020660171597</t>
  </si>
  <si>
    <t>مسجدالثنيان .</t>
  </si>
  <si>
    <t>KFM2020660038653</t>
  </si>
  <si>
    <t xml:space="preserve">   جامع مسجد الدويش .</t>
  </si>
  <si>
    <t>KFM2020660188302</t>
  </si>
  <si>
    <t xml:space="preserve">   مسجد صالح الخشان .</t>
  </si>
  <si>
    <t>KFM2020660177795</t>
  </si>
  <si>
    <t xml:space="preserve">   اوقاف المزاحميه/ مسجد بنيه بالجل .</t>
  </si>
  <si>
    <t>KFM2020766075830</t>
  </si>
  <si>
    <t>KFM2020660200164</t>
  </si>
  <si>
    <t xml:space="preserve">   وزارةالشئون الاسلاميه/ مسجد السلي .</t>
  </si>
  <si>
    <t>KFM2120660262284</t>
  </si>
  <si>
    <t>مسجد سلطانه .</t>
  </si>
  <si>
    <t>KFM2020660196780</t>
  </si>
  <si>
    <t>SMR2120765017278</t>
  </si>
  <si>
    <t xml:space="preserve">   وزارة الشؤون الا سلا ميه والا وقاف .</t>
  </si>
  <si>
    <t>KFM2020660206921</t>
  </si>
  <si>
    <t>AEC2020830267733</t>
  </si>
  <si>
    <t>SMR2320661034619</t>
  </si>
  <si>
    <t>KFM2120660304959</t>
  </si>
  <si>
    <t xml:space="preserve">   اوقاف القويعيةجامع دسمان .</t>
  </si>
  <si>
    <t>AEC2020830576593</t>
  </si>
  <si>
    <t>KFM2020660046206</t>
  </si>
  <si>
    <t xml:space="preserve">      مسجد البره .</t>
  </si>
  <si>
    <t>KFM2020760076369</t>
  </si>
  <si>
    <t>KFM2020660012602</t>
  </si>
  <si>
    <t>KFM2020660187884</t>
  </si>
  <si>
    <t>KFM2020660099584</t>
  </si>
  <si>
    <t xml:space="preserve">   مسجد جامع مصدة .</t>
  </si>
  <si>
    <t>KFM2120660257255</t>
  </si>
  <si>
    <t xml:space="preserve">   مسجد      جامع      بالافلاج .</t>
  </si>
  <si>
    <t>KFM2120660252757</t>
  </si>
  <si>
    <t>KFM2120660283896</t>
  </si>
  <si>
    <t>مسجد طرفة مشاري  المعمر .</t>
  </si>
  <si>
    <t>KFM2020660124739</t>
  </si>
  <si>
    <t xml:space="preserve">   مسجد القادسية .</t>
  </si>
  <si>
    <t>KFM2020660060686</t>
  </si>
  <si>
    <t>مسجد ابراهيم الدخيني بحي السعي .</t>
  </si>
  <si>
    <t>KFM2020660224002</t>
  </si>
  <si>
    <t xml:space="preserve">   مسجدعبدالرحمن الشنيفي حي الاوبيرق .</t>
  </si>
  <si>
    <t>KFM2020660158808</t>
  </si>
  <si>
    <t xml:space="preserve">   مسجد الشينه .</t>
  </si>
  <si>
    <t>KFM2120660264324</t>
  </si>
  <si>
    <t>KFM2120660271550</t>
  </si>
  <si>
    <t xml:space="preserve">   مسجد انس  بن مالك .</t>
  </si>
  <si>
    <t>KFM2020660169642</t>
  </si>
  <si>
    <t>ECC2320831073432</t>
  </si>
  <si>
    <t xml:space="preserve">   مسجد      الحميضي   //////////// .</t>
  </si>
  <si>
    <t>KFM2020660153743</t>
  </si>
  <si>
    <t xml:space="preserve">   جامع  مسجد  قرية  اليوسفية ثرب 0 .</t>
  </si>
  <si>
    <t>SMR2320761022542</t>
  </si>
  <si>
    <t xml:space="preserve">   مسجد حي غرناطه .</t>
  </si>
  <si>
    <t>KFM2020660191588</t>
  </si>
  <si>
    <t xml:space="preserve">   مسجد      قرية      الذيبيه .</t>
  </si>
  <si>
    <t>KFM2020766093786</t>
  </si>
  <si>
    <t>مسجد الدار البيضاء .</t>
  </si>
  <si>
    <t>KFM2020660162240</t>
  </si>
  <si>
    <t xml:space="preserve">   مسجد البابطين .</t>
  </si>
  <si>
    <t>KFM2020660054861</t>
  </si>
  <si>
    <t xml:space="preserve">   مسجد/احمد بن حنبل .</t>
  </si>
  <si>
    <t>KFM2020660228164</t>
  </si>
  <si>
    <t>ECC2020811052473</t>
  </si>
  <si>
    <t>KFM2020660192521</t>
  </si>
  <si>
    <t>KFM2020660170145</t>
  </si>
  <si>
    <t xml:space="preserve">   مسجد الشهداء / فاعل خير .</t>
  </si>
  <si>
    <t>KFM2120660268860</t>
  </si>
  <si>
    <t>KFM2020660198448</t>
  </si>
  <si>
    <t>مسجد كعب بن مالك .</t>
  </si>
  <si>
    <t>KFM2120660272199</t>
  </si>
  <si>
    <t>KFM2020660190981</t>
  </si>
  <si>
    <t xml:space="preserve">   مسجد جامع الجفيدريه بليلى .</t>
  </si>
  <si>
    <t>KFM2020660165120</t>
  </si>
  <si>
    <t xml:space="preserve">   مسجد      الرابيه   //////////// .</t>
  </si>
  <si>
    <t>KFM2020660172469</t>
  </si>
  <si>
    <t xml:space="preserve">   مسجد جنوب الاستاد الرياضى .</t>
  </si>
  <si>
    <t>SMR2420861010238</t>
  </si>
  <si>
    <t xml:space="preserve">   اوقاف     الدواسر   ال سبيهين .</t>
  </si>
  <si>
    <t>KFM2020660206055</t>
  </si>
  <si>
    <t>مسجد الامام  عبدالله  بن المبارك .</t>
  </si>
  <si>
    <t>KFM2020660098751</t>
  </si>
  <si>
    <t xml:space="preserve">   مسجد جابر عبداللة .</t>
  </si>
  <si>
    <t>KFM2120660246065</t>
  </si>
  <si>
    <t>مسجد نورالاسلام       العريجاء .</t>
  </si>
  <si>
    <t>KFM2020660202459</t>
  </si>
  <si>
    <t xml:space="preserve">   مسجد السويلم .</t>
  </si>
  <si>
    <t>KFM2020660161237</t>
  </si>
  <si>
    <t>مسجد/ عبدالله  على  الحريشى .</t>
  </si>
  <si>
    <t>KFM2020760030557</t>
  </si>
  <si>
    <t>KFM2020660018865</t>
  </si>
  <si>
    <t xml:space="preserve">   مسجد حي اشبيليه .</t>
  </si>
  <si>
    <t>KFM2020660053543</t>
  </si>
  <si>
    <t>KFM2020660201751</t>
  </si>
  <si>
    <t>SMR2420761037752</t>
  </si>
  <si>
    <t>مسجد ذو النوريين .</t>
  </si>
  <si>
    <t>KFM2020660189400</t>
  </si>
  <si>
    <t>SMR2220661000450</t>
  </si>
  <si>
    <t>KFM2020660057331</t>
  </si>
  <si>
    <t xml:space="preserve">   مسجد      حلاص       ( 536 ) .</t>
  </si>
  <si>
    <t>KFM2020760178280</t>
  </si>
  <si>
    <t>KFM2020660196961</t>
  </si>
  <si>
    <t xml:space="preserve">      مسجد حله المنصور .</t>
  </si>
  <si>
    <t>KFM2020660201969</t>
  </si>
  <si>
    <t xml:space="preserve">   مسجد الميدان .</t>
  </si>
  <si>
    <t>KFM2020660054863</t>
  </si>
  <si>
    <t xml:space="preserve">   مسجد سعيدبن جبير .</t>
  </si>
  <si>
    <t>KFM2120660290403</t>
  </si>
  <si>
    <t>KFM2020660176313</t>
  </si>
  <si>
    <t xml:space="preserve">   مسجد صالح الراجحي .</t>
  </si>
  <si>
    <t>SMR2220661010708</t>
  </si>
  <si>
    <t>KFM2020660205806</t>
  </si>
  <si>
    <t>.   مسجد      الفوزان .</t>
  </si>
  <si>
    <t>KFM2020660006664</t>
  </si>
  <si>
    <t xml:space="preserve">       مسجد فهم بالسالميه .</t>
  </si>
  <si>
    <t>AES2020896471745</t>
  </si>
  <si>
    <t>KFM2020760082710</t>
  </si>
  <si>
    <t xml:space="preserve">   مسجد      الحمراء .</t>
  </si>
  <si>
    <t>KFM2020660042685</t>
  </si>
  <si>
    <t xml:space="preserve">   مسجد وضحي .</t>
  </si>
  <si>
    <t>KFM2120660260288</t>
  </si>
  <si>
    <t xml:space="preserve">   جامع الرفيعة الشمالي .</t>
  </si>
  <si>
    <t>KFM2020660203833</t>
  </si>
  <si>
    <t xml:space="preserve">   مسجد/ علي بن حمودالعذل .</t>
  </si>
  <si>
    <t>KFM2020660213476</t>
  </si>
  <si>
    <t>SMR2220661003267</t>
  </si>
  <si>
    <t xml:space="preserve">   مسجد      الصقيع    بالصقيع .</t>
  </si>
  <si>
    <t>KFM2020766162188</t>
  </si>
  <si>
    <t>KFM2020660200537</t>
  </si>
  <si>
    <t xml:space="preserve">      مسجد الجميعه .</t>
  </si>
  <si>
    <t>MMF2420701007992</t>
  </si>
  <si>
    <t xml:space="preserve">   مسجدمحمداحمدالمسعر .</t>
  </si>
  <si>
    <t>AES2020896435313</t>
  </si>
  <si>
    <t xml:space="preserve">   مسجد      الخيالي .</t>
  </si>
  <si>
    <t>KFM2020660036591</t>
  </si>
  <si>
    <t xml:space="preserve">   مسجد نفي  الشرقي /  سرهان العتيب .</t>
  </si>
  <si>
    <t>AES2120896582348</t>
  </si>
  <si>
    <t>KFM2020660162723</t>
  </si>
  <si>
    <t>مسجد الحديثي .</t>
  </si>
  <si>
    <t>KFM2020760091849</t>
  </si>
  <si>
    <t>KFM2020660203035</t>
  </si>
  <si>
    <t>مسجد صياح .</t>
  </si>
  <si>
    <t>KFM2020660051413</t>
  </si>
  <si>
    <t xml:space="preserve">   مسجد الحاره الشرقيه .</t>
  </si>
  <si>
    <t>AES2020896469492</t>
  </si>
  <si>
    <t>مسجد سعيد ابن المسيب .</t>
  </si>
  <si>
    <t>KFM2020660200447</t>
  </si>
  <si>
    <t xml:space="preserve">   وزارة الحج والا وقاف-مسجد/4م 71 .</t>
  </si>
  <si>
    <t>KFM2020660150130</t>
  </si>
  <si>
    <t>KFM2120660270631</t>
  </si>
  <si>
    <t>الحرس الوطني .</t>
  </si>
  <si>
    <t>KFM2020660175870</t>
  </si>
  <si>
    <t>KFM2020766147230</t>
  </si>
  <si>
    <t>KFM2020660175010</t>
  </si>
  <si>
    <t xml:space="preserve">   مسجد المطير .</t>
  </si>
  <si>
    <t>KFM2020766128715</t>
  </si>
  <si>
    <t>KFM2020660228581</t>
  </si>
  <si>
    <t>مسجد الشيخ محمد العمراني سكن .</t>
  </si>
  <si>
    <t>KFM2020660145907</t>
  </si>
  <si>
    <t xml:space="preserve">   الاءوقاف   والامساجد  والاءرشاد .</t>
  </si>
  <si>
    <t>AES2120896547561</t>
  </si>
  <si>
    <t>KFM2020660171455</t>
  </si>
  <si>
    <t xml:space="preserve">   مسجد/ خليفة ابو بكر الصديق .</t>
  </si>
  <si>
    <t>KFM2020660171226</t>
  </si>
  <si>
    <t xml:space="preserve">   وزارةالشؤن-مسجدصالح الشثري .</t>
  </si>
  <si>
    <t>KFM2120660247062</t>
  </si>
  <si>
    <t xml:space="preserve">   مسجد جامع بن نوفل .</t>
  </si>
  <si>
    <t>KFM2120660302065</t>
  </si>
  <si>
    <t xml:space="preserve">   مسجد السلمانى .</t>
  </si>
  <si>
    <t>KFM2120660249977</t>
  </si>
  <si>
    <t xml:space="preserve">   جامع امالجماجم .</t>
  </si>
  <si>
    <t>KFM2020660199355</t>
  </si>
  <si>
    <t>KFM2120660239332</t>
  </si>
  <si>
    <t>مسجد تركي الماضي . .</t>
  </si>
  <si>
    <t>KFM2120660279149</t>
  </si>
  <si>
    <t xml:space="preserve">   مسجد عبدالله احمد الراشد .</t>
  </si>
  <si>
    <t>KFM2020766040416</t>
  </si>
  <si>
    <t xml:space="preserve">   مسجد هاله بنت علي الجميعه .</t>
  </si>
  <si>
    <t>KFM2020660035970</t>
  </si>
  <si>
    <t xml:space="preserve">      مسجد الجامع الجديد .</t>
  </si>
  <si>
    <t>KFM2020660188181</t>
  </si>
  <si>
    <t xml:space="preserve"> اوقاف المزاحميه مسجدالخلايق الغربيه .</t>
  </si>
  <si>
    <t>KFM2020766156739</t>
  </si>
  <si>
    <t xml:space="preserve">   مسجد      احمد      الحصين .</t>
  </si>
  <si>
    <t>KFM2020660170647</t>
  </si>
  <si>
    <t>SMR2220621000994</t>
  </si>
  <si>
    <t>ECC2020811052475</t>
  </si>
  <si>
    <t xml:space="preserve">   مسجد جامع ال صويان الحج والاوقاف .</t>
  </si>
  <si>
    <t>KFM2020660174664</t>
  </si>
  <si>
    <t>2  مسجد الدخل  المحدود بلك .</t>
  </si>
  <si>
    <t>KFM2020660015287</t>
  </si>
  <si>
    <t>KFM2020660004049</t>
  </si>
  <si>
    <t xml:space="preserve">   اوقاف الحصاة/مسجدالشفاء .</t>
  </si>
  <si>
    <t>AES2020896448183</t>
  </si>
  <si>
    <t xml:space="preserve">   مسجد مؤقت السليمانيه .</t>
  </si>
  <si>
    <t>ECC2020810833444</t>
  </si>
  <si>
    <t>MMF2420601020522</t>
  </si>
  <si>
    <t xml:space="preserve">   مسجد / عمير بن وهـب .</t>
  </si>
  <si>
    <t>KFM2020760113823</t>
  </si>
  <si>
    <t xml:space="preserve">  جامع الملك عبدالله/الاسكان التنموي .</t>
  </si>
  <si>
    <t>KFM2020660165111</t>
  </si>
  <si>
    <t xml:space="preserve">   مسجدالنقير .</t>
  </si>
  <si>
    <t>KFM2120660242098</t>
  </si>
  <si>
    <t>مسجد موافق .</t>
  </si>
  <si>
    <t>KFM2020660210427</t>
  </si>
  <si>
    <t xml:space="preserve">   مسجد فهد العثمان .</t>
  </si>
  <si>
    <t>KFM2120660252991</t>
  </si>
  <si>
    <t xml:space="preserve">      مسجد ابى ذر الغفارى .</t>
  </si>
  <si>
    <t>KFM2020760011835</t>
  </si>
  <si>
    <t>مسجد الدريهمى .</t>
  </si>
  <si>
    <t>KFM2020660051593</t>
  </si>
  <si>
    <t>KFM2120660257007</t>
  </si>
  <si>
    <t>مسجد عثمان احمدالعقيل .</t>
  </si>
  <si>
    <t>KFM2020660038846</t>
  </si>
  <si>
    <t xml:space="preserve">   المسجد    الجامع    بوادي عصيل .</t>
  </si>
  <si>
    <t>KFM2020660192488</t>
  </si>
  <si>
    <t xml:space="preserve">   مسجدالعزيزية مخطط349 /ناصرالفيصل .</t>
  </si>
  <si>
    <t>KFM2020660140687</t>
  </si>
  <si>
    <t>مسجد بحي الشفا .</t>
  </si>
  <si>
    <t>KFM2020660196719</t>
  </si>
  <si>
    <t xml:space="preserve">   مسجدمحمدبن سلطان .</t>
  </si>
  <si>
    <t>KFM2120660257389</t>
  </si>
  <si>
    <t>مسجد جامع  قرى  ال  شهيل .</t>
  </si>
  <si>
    <t>KFM2020660027231</t>
  </si>
  <si>
    <t xml:space="preserve">   مسجد حي الربوة .</t>
  </si>
  <si>
    <t>KFM2020660043385</t>
  </si>
  <si>
    <t>KFM2020660104805</t>
  </si>
  <si>
    <t xml:space="preserve">   مسجد السلام .</t>
  </si>
  <si>
    <t>KFM2020660045987</t>
  </si>
  <si>
    <t>مسجدانس بن مالك .</t>
  </si>
  <si>
    <t>KFM2020660057914</t>
  </si>
  <si>
    <t>MMF2420701013412</t>
  </si>
  <si>
    <t>KFM2020660203015</t>
  </si>
  <si>
    <t>SMR2220661005716</t>
  </si>
  <si>
    <t>KFM2020660061241</t>
  </si>
  <si>
    <t xml:space="preserve">   مسجدال فهيدالجماعين .</t>
  </si>
  <si>
    <t>AES2320896626266</t>
  </si>
  <si>
    <t xml:space="preserve">    مسجد على بن ابى طالب .</t>
  </si>
  <si>
    <t>KFM2020660170108</t>
  </si>
  <si>
    <t xml:space="preserve">   اوقاف الرين /ضويحي مسفرالقحطاني .</t>
  </si>
  <si>
    <t>AES2120896593212</t>
  </si>
  <si>
    <t xml:space="preserve">   مسجد/ مـخـطط   بالدوادمي .</t>
  </si>
  <si>
    <t>SMR2020850028702</t>
  </si>
  <si>
    <t xml:space="preserve">   مسجدمحمدالفاتح .</t>
  </si>
  <si>
    <t>KFM2020660161769</t>
  </si>
  <si>
    <t xml:space="preserve">   مسجد هجرة برزان بالمليحات .</t>
  </si>
  <si>
    <t>AES2020896409731</t>
  </si>
  <si>
    <t xml:space="preserve">    مسجد عبيد الله محمد العبيد الله .</t>
  </si>
  <si>
    <t>KFM2020660054738</t>
  </si>
  <si>
    <t xml:space="preserve">   مسجد عبدالكريم الدرويش .</t>
  </si>
  <si>
    <t>KFM2020660057979</t>
  </si>
  <si>
    <t>SMR2220661006809</t>
  </si>
  <si>
    <t>مسجد      مسفر      ال  دريس .</t>
  </si>
  <si>
    <t>KFM2020660196858</t>
  </si>
  <si>
    <t>SMR2320661021955</t>
  </si>
  <si>
    <t xml:space="preserve">   مسجد معاويه بن أبي سفيان .</t>
  </si>
  <si>
    <t>KFM2020766160194</t>
  </si>
  <si>
    <t xml:space="preserve">   مسجد الظهره .</t>
  </si>
  <si>
    <t>KFM2020766128627</t>
  </si>
  <si>
    <t xml:space="preserve">   جامع يوسف على العمرى .</t>
  </si>
  <si>
    <t>KFM2020660230850</t>
  </si>
  <si>
    <t>مسجد حي الحزم .</t>
  </si>
  <si>
    <t>KFM2020660027246</t>
  </si>
  <si>
    <t xml:space="preserve">   مسجد سليمان الحمالي-بحي الياسمين .</t>
  </si>
  <si>
    <t>KFM2020660213600</t>
  </si>
  <si>
    <t>مسجد /النواس  بن سمعان .</t>
  </si>
  <si>
    <t>KFM2020660171558</t>
  </si>
  <si>
    <t xml:space="preserve">   مسجد      الخير     . .</t>
  </si>
  <si>
    <t>KFM2020660047572</t>
  </si>
  <si>
    <t xml:space="preserve">   مسجد السريع .</t>
  </si>
  <si>
    <t>KFM2020766165867</t>
  </si>
  <si>
    <t>مسجد رقم 4 بمخطط 571 بأشيقر .</t>
  </si>
  <si>
    <t>KFM2020766031926</t>
  </si>
  <si>
    <t>مسجد السبعان /حي منفوحة .</t>
  </si>
  <si>
    <t>KFM2020660056105</t>
  </si>
  <si>
    <t xml:space="preserve">   مسجد عبداللهمسعود/اوقاف الخرج .</t>
  </si>
  <si>
    <t>KFM2020660223974</t>
  </si>
  <si>
    <t>مسجدوالدة الآميرسلمان بن عبدالعزيز .</t>
  </si>
  <si>
    <t>KFM2020660203530</t>
  </si>
  <si>
    <t>مسجد النعمان بن بشير .</t>
  </si>
  <si>
    <t>KFM2020660231303</t>
  </si>
  <si>
    <t xml:space="preserve">   مسجد سعيدبن زيد .</t>
  </si>
  <si>
    <t>KFM2020660057045</t>
  </si>
  <si>
    <t xml:space="preserve">    مسجد  مخطط عشيره .</t>
  </si>
  <si>
    <t>KFM2020660210659</t>
  </si>
  <si>
    <t xml:space="preserve">   المسجدرقم(2)-مخطط(986)بشقراء .</t>
  </si>
  <si>
    <t>KFM2020766132787</t>
  </si>
  <si>
    <t xml:space="preserve">   مسجد الروضه .</t>
  </si>
  <si>
    <t>KFM2020660193772</t>
  </si>
  <si>
    <t xml:space="preserve">   مسجد حي العزيزية / حمدالمناع .</t>
  </si>
  <si>
    <t>AES2120896552622</t>
  </si>
  <si>
    <t xml:space="preserve">   مسجـــد قرية المنصوره .</t>
  </si>
  <si>
    <t>AES2320896629429</t>
  </si>
  <si>
    <t xml:space="preserve">   مسجد النخيل الغربي .</t>
  </si>
  <si>
    <t>KFM2020660202331</t>
  </si>
  <si>
    <t>مسجد الشبانات .</t>
  </si>
  <si>
    <t>KFM2020660136276</t>
  </si>
  <si>
    <t>مسجد الدخل  المحدود .</t>
  </si>
  <si>
    <t>KFM2020660023702</t>
  </si>
  <si>
    <t>KFM2020660104892</t>
  </si>
  <si>
    <t xml:space="preserve">      اوقاف الدواسر/ جامع مهدى .</t>
  </si>
  <si>
    <t>KFM2020660212699</t>
  </si>
  <si>
    <t xml:space="preserve">   جامع الساحبه ببرك .</t>
  </si>
  <si>
    <t>KFM2020660193202</t>
  </si>
  <si>
    <t xml:space="preserve">   مسجدالأمير سلطان     بن عبدالعزيز .</t>
  </si>
  <si>
    <t>KFM2020660175715</t>
  </si>
  <si>
    <t xml:space="preserve">   مسجد   جامع   قرية  ثرب        0 .</t>
  </si>
  <si>
    <t>KFM2020660209839</t>
  </si>
  <si>
    <t>KFM2020660049758</t>
  </si>
  <si>
    <t>SMR2220661000784</t>
  </si>
  <si>
    <t xml:space="preserve">   مسجد/سليمان بن على ال الشيخ .</t>
  </si>
  <si>
    <t>KFM2020660224419</t>
  </si>
  <si>
    <t xml:space="preserve">   مسجد حي الدارالبيضاء .</t>
  </si>
  <si>
    <t>KFM2020660162949</t>
  </si>
  <si>
    <t>مسجد الترمزى .</t>
  </si>
  <si>
    <t>KFM2020660171747</t>
  </si>
  <si>
    <t>مسجد/حى بدر .</t>
  </si>
  <si>
    <t>KFM2020660115774</t>
  </si>
  <si>
    <t xml:space="preserve">   الاوقاف    مسجد      الصديق .</t>
  </si>
  <si>
    <t>SMR2220661004421</t>
  </si>
  <si>
    <t xml:space="preserve">      مـسـجـد ابوهريم بالرين .</t>
  </si>
  <si>
    <t>AES2020896528540</t>
  </si>
  <si>
    <t>KFM2020660191296</t>
  </si>
  <si>
    <t>مسجد عبدالله  العتيق .</t>
  </si>
  <si>
    <t>KFM2020660201720</t>
  </si>
  <si>
    <t>مسجد/ سليمان الهزاع .</t>
  </si>
  <si>
    <t>SMR2420761039995</t>
  </si>
  <si>
    <t>KFM2020660040565</t>
  </si>
  <si>
    <t xml:space="preserve">       مسجد شمال الامار5 .</t>
  </si>
  <si>
    <t>KFM2020660224601</t>
  </si>
  <si>
    <t xml:space="preserve">   مسجد الملز .</t>
  </si>
  <si>
    <t>KFM2020660054729</t>
  </si>
  <si>
    <t xml:space="preserve"> مسجد الأمير/فهد عبدالله بن عبدالرحمن .</t>
  </si>
  <si>
    <t>KFM2120660250079</t>
  </si>
  <si>
    <t xml:space="preserve">      المسجد الجامع بالبره .</t>
  </si>
  <si>
    <t>KFM2120660284362</t>
  </si>
  <si>
    <t xml:space="preserve">   مسجد/الحي الجنوبي .</t>
  </si>
  <si>
    <t>KFM2020766154362</t>
  </si>
  <si>
    <t>KFM2020660170141</t>
  </si>
  <si>
    <t>SMR2420861004275</t>
  </si>
  <si>
    <t>KFM2020660187560</t>
  </si>
  <si>
    <t xml:space="preserve">   مسجد هيت الثانى .</t>
  </si>
  <si>
    <t>MMF2020800211988</t>
  </si>
  <si>
    <t xml:space="preserve">   جامع الدار البيضاء .</t>
  </si>
  <si>
    <t>KFM2020660229316</t>
  </si>
  <si>
    <t>مسجدسعيدمحمدالزهراني .</t>
  </si>
  <si>
    <t>KFM2020660170956</t>
  </si>
  <si>
    <t xml:space="preserve">   مسجدال عليان .</t>
  </si>
  <si>
    <t>KFM2020760211558</t>
  </si>
  <si>
    <t>KFM2020660099030</t>
  </si>
  <si>
    <t xml:space="preserve">   مسجد مهدي ال رشيد .</t>
  </si>
  <si>
    <t>KFM2020660169669</t>
  </si>
  <si>
    <t>مسجد / الثنيان .</t>
  </si>
  <si>
    <t>KFM2020660203968</t>
  </si>
  <si>
    <t>KFM2020660202023</t>
  </si>
  <si>
    <t xml:space="preserve">       المسجد الجامع .</t>
  </si>
  <si>
    <t>KFM2020660171166</t>
  </si>
  <si>
    <t xml:space="preserve">   مسجدحارة الجبس .</t>
  </si>
  <si>
    <t>KFM2120660299070</t>
  </si>
  <si>
    <t>AEC2020830321015</t>
  </si>
  <si>
    <t xml:space="preserve">               مسجد العليا الخالديه .</t>
  </si>
  <si>
    <t>KFM2020660195831</t>
  </si>
  <si>
    <t>KFM2020760087372</t>
  </si>
  <si>
    <t xml:space="preserve">   مسجد ناصربن عتيق .</t>
  </si>
  <si>
    <t>KFM2120660267478</t>
  </si>
  <si>
    <t xml:space="preserve">   مسـجد جعفر بن ابي طالب .</t>
  </si>
  <si>
    <t>KFM2120660304635</t>
  </si>
  <si>
    <t xml:space="preserve">   مسجدعيدالعصيمي مع سكن امام ومؤذن .</t>
  </si>
  <si>
    <t>KFM2020660054737</t>
  </si>
  <si>
    <t xml:space="preserve">   مسجد بدر السلماني .</t>
  </si>
  <si>
    <t>KFM2020660139811</t>
  </si>
  <si>
    <t xml:space="preserve">   مسجد جامع السلميه .</t>
  </si>
  <si>
    <t>KFM2020660202728</t>
  </si>
  <si>
    <t xml:space="preserve">   مسجدالشيخ /عبدالله سليمان المطلق .</t>
  </si>
  <si>
    <t>KFM2020660178211</t>
  </si>
  <si>
    <t>المسجد الموقت بالعريجاء .</t>
  </si>
  <si>
    <t>KFM2020660013283</t>
  </si>
  <si>
    <t>مسجد جامع  حله  المطران .</t>
  </si>
  <si>
    <t>KFM2020660006624</t>
  </si>
  <si>
    <t xml:space="preserve">   مسجدالقاد سيةمع سكن والمؤذن .</t>
  </si>
  <si>
    <t>KFM2020660038833</t>
  </si>
  <si>
    <t xml:space="preserve">   مسجدجامع النهيتية .</t>
  </si>
  <si>
    <t>KFM2120660273368</t>
  </si>
  <si>
    <t xml:space="preserve">   مسجد المنيع .</t>
  </si>
  <si>
    <t>KFM2020766128710</t>
  </si>
  <si>
    <t xml:space="preserve">   مسجد / ابومخروق .</t>
  </si>
  <si>
    <t>KFM2120660260429</t>
  </si>
  <si>
    <t xml:space="preserve">   مسجد الصالحيه الشمالى .</t>
  </si>
  <si>
    <t>KFM2120660299362</t>
  </si>
  <si>
    <t xml:space="preserve">   مسجد محمد سليمان الجبرين .</t>
  </si>
  <si>
    <t>KFM2020766040420</t>
  </si>
  <si>
    <t>KFM2020660132829</t>
  </si>
  <si>
    <t xml:space="preserve">   مسجدام سعد(لطيفةعبداللهالسويحب .</t>
  </si>
  <si>
    <t>KFM2120660274263</t>
  </si>
  <si>
    <t xml:space="preserve">   مسجد عبدالله بن خميس .</t>
  </si>
  <si>
    <t>KFM2020660027827</t>
  </si>
  <si>
    <t>مسجد الاميره  /موضي السديري .</t>
  </si>
  <si>
    <t>KFM2020660203429</t>
  </si>
  <si>
    <t xml:space="preserve">   مسجد الأمير سلطان بن عبدالعزيز .</t>
  </si>
  <si>
    <t>KFM2020660053339</t>
  </si>
  <si>
    <t xml:space="preserve">   وزارة الشئون الاسلاميه مسجد النخيل .</t>
  </si>
  <si>
    <t>KFM2020660019708</t>
  </si>
  <si>
    <t xml:space="preserve">   مسجد بن طياش .</t>
  </si>
  <si>
    <t>KFM2120660299173</t>
  </si>
  <si>
    <t xml:space="preserve">   مسجد الامام الشافعي .</t>
  </si>
  <si>
    <t>KFM2020660104202</t>
  </si>
  <si>
    <t>مسجد المقصب .</t>
  </si>
  <si>
    <t>KFM2020660201759</t>
  </si>
  <si>
    <t xml:space="preserve">  FRI. MOSQUE  ا   المسجد الجامع بملهم .</t>
  </si>
  <si>
    <t>KFM2120660244139</t>
  </si>
  <si>
    <t>جامع سعد الموسى .</t>
  </si>
  <si>
    <t>KFM2020660196695</t>
  </si>
  <si>
    <t>KFM2020660207554</t>
  </si>
  <si>
    <t>KFM2020660206046</t>
  </si>
  <si>
    <t>SMR2020765004996</t>
  </si>
  <si>
    <t>KFM2020660174869</t>
  </si>
  <si>
    <t>MMF2020800263860</t>
  </si>
  <si>
    <t xml:space="preserve">   جامع ابو  بكرالصديق بهجرةالفيحاء .</t>
  </si>
  <si>
    <t>KFM2020660192416</t>
  </si>
  <si>
    <t xml:space="preserve">   مسجد عمار بن ياسر .</t>
  </si>
  <si>
    <t>KFM2020660056724</t>
  </si>
  <si>
    <t>مسجد حي العريجاء الغربي .</t>
  </si>
  <si>
    <t>KFM2020660174997</t>
  </si>
  <si>
    <t xml:space="preserve">   مسجد/ ضيف الله سعود العتيبي .</t>
  </si>
  <si>
    <t>KFM2020766096059</t>
  </si>
  <si>
    <t>KFM2020660096490</t>
  </si>
  <si>
    <t>مسجد عبدالله  الراجحى .</t>
  </si>
  <si>
    <t>KFM2020660013846</t>
  </si>
  <si>
    <t>مسجد عبدالله النعيم .</t>
  </si>
  <si>
    <t>KFM2020760020810</t>
  </si>
  <si>
    <t>KFM2020660196922</t>
  </si>
  <si>
    <t xml:space="preserve">   مسجد      الفرعة    القويعية .</t>
  </si>
  <si>
    <t>AES2020896373346</t>
  </si>
  <si>
    <t xml:space="preserve">   جامع      ابوطلحه   الا وقاف .</t>
  </si>
  <si>
    <t>KFM2020766154267</t>
  </si>
  <si>
    <t xml:space="preserve">  اوقاف القويعية مسجدالبيان بالصاخن .</t>
  </si>
  <si>
    <t>AEC2020830327783</t>
  </si>
  <si>
    <t xml:space="preserve">   اوقاف الحصاة /مسجدبينه بالرقميه .</t>
  </si>
  <si>
    <t>AES2020896462840</t>
  </si>
  <si>
    <t>SMR2420868043199</t>
  </si>
  <si>
    <t xml:space="preserve">   مسجد/متعب علوش .</t>
  </si>
  <si>
    <t>LYE2020830242874</t>
  </si>
  <si>
    <t>KFM2020660060127</t>
  </si>
  <si>
    <t>KFM2020660213988</t>
  </si>
  <si>
    <t xml:space="preserve">   جامع الجفير .</t>
  </si>
  <si>
    <t>KFM2020760160878</t>
  </si>
  <si>
    <t xml:space="preserve">   مكتب اوقاف سدير  مسجدعشيره م454 .</t>
  </si>
  <si>
    <t>KFM2020766104750</t>
  </si>
  <si>
    <t xml:space="preserve">   مسجد صالح و مساعد الحمد .</t>
  </si>
  <si>
    <t>AES2220896624792</t>
  </si>
  <si>
    <t xml:space="preserve">   مسجد احمد العليوى .</t>
  </si>
  <si>
    <t>KFM2120660262536</t>
  </si>
  <si>
    <t xml:space="preserve">   جامع      حي        بروابي نجد .</t>
  </si>
  <si>
    <t>KFM2020660230023</t>
  </si>
  <si>
    <t>مسجد والدة خالد المصيريعي .</t>
  </si>
  <si>
    <t>KFM2020660045237</t>
  </si>
  <si>
    <t xml:space="preserve">   مسجدالاميرعبدالرحمن بن عبدالله 5/3960</t>
  </si>
  <si>
    <t>KFM2120660248008</t>
  </si>
  <si>
    <t>مسجد الجابرية .</t>
  </si>
  <si>
    <t>KFM2020766162505</t>
  </si>
  <si>
    <t>مسجد حارة  بن دايل  بعتيقة .</t>
  </si>
  <si>
    <t>KFM2020660019242</t>
  </si>
  <si>
    <t xml:space="preserve">   مسجد عبدالرحمن حسن النفيسة .</t>
  </si>
  <si>
    <t>KFM2020660191446</t>
  </si>
  <si>
    <t xml:space="preserve">   اوقاف الحصاة .</t>
  </si>
  <si>
    <t>KFM2020766032972</t>
  </si>
  <si>
    <t>KFM2020660174238</t>
  </si>
  <si>
    <t xml:space="preserve">   مسجد /حي ال برزان .</t>
  </si>
  <si>
    <t>AEC2020830311436</t>
  </si>
  <si>
    <t xml:space="preserve">   مسجد السعودية .</t>
  </si>
  <si>
    <t>KFM2120660264315</t>
  </si>
  <si>
    <t>KFM2020660034220</t>
  </si>
  <si>
    <t>KFM2020660191333</t>
  </si>
  <si>
    <t xml:space="preserve">   مسجد محمد العصيمي .</t>
  </si>
  <si>
    <t>KFM2020660046025</t>
  </si>
  <si>
    <t>AES2020896462200</t>
  </si>
  <si>
    <t>KFM2120655004004</t>
  </si>
  <si>
    <t>مسجدالعتبان .</t>
  </si>
  <si>
    <t>KFM2020660006628</t>
  </si>
  <si>
    <t>مسجدجامع  الاميرخالدبن سعود .</t>
  </si>
  <si>
    <t>KFM2020660200441</t>
  </si>
  <si>
    <t xml:space="preserve">      مسجد المحمدى الجامع .</t>
  </si>
  <si>
    <t>KFM2120660257219</t>
  </si>
  <si>
    <t>KFM2020660012587</t>
  </si>
  <si>
    <t xml:space="preserve">      اوقاف الزلفى / مسجد حى 12 .</t>
  </si>
  <si>
    <t>KFM2020660201583</t>
  </si>
  <si>
    <t>مسجد سليمان احمد العتيقي رقم 7 .</t>
  </si>
  <si>
    <t>KFM2020760115418</t>
  </si>
  <si>
    <t xml:space="preserve">   الاوقاف مسجد سعد البهلال .</t>
  </si>
  <si>
    <t>AES2120896564011</t>
  </si>
  <si>
    <t xml:space="preserve">   مسجد مخطط ال حنيش /اوقاف السليل .</t>
  </si>
  <si>
    <t>KFM2020766133861</t>
  </si>
  <si>
    <t>KFM2020660056965</t>
  </si>
  <si>
    <t>KFM2020660133886</t>
  </si>
  <si>
    <t xml:space="preserve">   مسجد بخيت  بحي النسيم .</t>
  </si>
  <si>
    <t>KFM2020660042187</t>
  </si>
  <si>
    <t xml:space="preserve">      جــــامــــع مخطط رغبه .</t>
  </si>
  <si>
    <t>KFM2120660275718</t>
  </si>
  <si>
    <t>KFM2020660139815</t>
  </si>
  <si>
    <t xml:space="preserve">   مسجد / محمد بن صالح العذل .</t>
  </si>
  <si>
    <t>KFM2020660144580</t>
  </si>
  <si>
    <t>KFM2020660104253</t>
  </si>
  <si>
    <t>جامع الشيخ  / عبدالعزيز أبوحبيب .</t>
  </si>
  <si>
    <t>KFM2020660200409</t>
  </si>
  <si>
    <t xml:space="preserve">   مسجد      عبدالله   الحزيمي .</t>
  </si>
  <si>
    <t>KFM2020760136168</t>
  </si>
  <si>
    <t xml:space="preserve">   مسجد مسفر العتيبي .</t>
  </si>
  <si>
    <t>KFM2020660049709</t>
  </si>
  <si>
    <t xml:space="preserve">   مسجد محمد عبدالرحمن العجلان .</t>
  </si>
  <si>
    <t>KFM2020760229565</t>
  </si>
  <si>
    <t>مسجدالشيخ  ناصر      الشتري .</t>
  </si>
  <si>
    <t>KFM2020660198341</t>
  </si>
  <si>
    <t>KFM2020766086278</t>
  </si>
  <si>
    <t>مسجد ال وهطان بالفويلق .</t>
  </si>
  <si>
    <t>KFM2120660240350</t>
  </si>
  <si>
    <t>SMR2020765006378</t>
  </si>
  <si>
    <t xml:space="preserve">   مسجد بدر شبيب المطيرى .</t>
  </si>
  <si>
    <t>KFM2020660233602</t>
  </si>
  <si>
    <t xml:space="preserve">   مـسـجـد محمدبن عبدالوهاب .</t>
  </si>
  <si>
    <t>KFM2020766160012</t>
  </si>
  <si>
    <t>KFM2020660203345</t>
  </si>
  <si>
    <t>مسجدالاميرفهدبن فيصل  الفرحان .</t>
  </si>
  <si>
    <t>KFM2020660056017</t>
  </si>
  <si>
    <t xml:space="preserve">   مسجد ناصر الراجحي .</t>
  </si>
  <si>
    <t>KFM2020660141797</t>
  </si>
  <si>
    <t>مسجد بقية الصعيري .</t>
  </si>
  <si>
    <t>KFM2020660229483</t>
  </si>
  <si>
    <t xml:space="preserve">   اوفاف الحصاة/ مسجد برودان القديم .</t>
  </si>
  <si>
    <t>KFM2020766154991</t>
  </si>
  <si>
    <t>DZG2020850053515</t>
  </si>
  <si>
    <t>مسجد بحي المروه .</t>
  </si>
  <si>
    <t>KFM2020660098754</t>
  </si>
  <si>
    <t>KFM2120660242830</t>
  </si>
  <si>
    <t xml:space="preserve">   مسجد      مخطط      بالبجادية .</t>
  </si>
  <si>
    <t>KFM2120660252072</t>
  </si>
  <si>
    <t>MMF2420601025688</t>
  </si>
  <si>
    <t xml:space="preserve">   جامع المشاعلة بالجلة  الا وقاف .</t>
  </si>
  <si>
    <t>KFM2020660206898</t>
  </si>
  <si>
    <t xml:space="preserve">      مسجد العليا اوقاف الدواسر .</t>
  </si>
  <si>
    <t>KFM2020660212695</t>
  </si>
  <si>
    <t xml:space="preserve">   مسجدالعثمان. .</t>
  </si>
  <si>
    <t>KFM2020660053293</t>
  </si>
  <si>
    <t>SMR2220661016938</t>
  </si>
  <si>
    <t xml:space="preserve">   مسجدجامع السليمانيه .</t>
  </si>
  <si>
    <t>KFM2020660197778</t>
  </si>
  <si>
    <t>KFM2020660193719</t>
  </si>
  <si>
    <t>وقاف الزلفي مسجد حمود النصار .</t>
  </si>
  <si>
    <t>KFM2020766128643</t>
  </si>
  <si>
    <t xml:space="preserve">   ادارة الحجوالأوقاف والأرشاد .</t>
  </si>
  <si>
    <t>KFM2120660272142</t>
  </si>
  <si>
    <t>KFM2020660191044</t>
  </si>
  <si>
    <t xml:space="preserve">   وزارةالشئون الاسلا ميه/مسجدالسعاده .</t>
  </si>
  <si>
    <t>KFM2120660242262</t>
  </si>
  <si>
    <t xml:space="preserve">    مسجداسعد بن يزيد .</t>
  </si>
  <si>
    <t>KFM2020766073452</t>
  </si>
  <si>
    <t>مسجد الطويلعه .</t>
  </si>
  <si>
    <t>KFM2020660054929</t>
  </si>
  <si>
    <t>KFM2120660272279</t>
  </si>
  <si>
    <t xml:space="preserve">   مسجد غرب حي الفيحاء .</t>
  </si>
  <si>
    <t>KFM2120660254722</t>
  </si>
  <si>
    <t>مسجد شرق  الابراج .</t>
  </si>
  <si>
    <t>KFM2020660025745</t>
  </si>
  <si>
    <t xml:space="preserve">   مسجدالربوة .</t>
  </si>
  <si>
    <t>SMR2220661011785</t>
  </si>
  <si>
    <t xml:space="preserve">   جامع العزيزيةادارةالاوقاف بالخرج .</t>
  </si>
  <si>
    <t>KFM2020660229240</t>
  </si>
  <si>
    <t>مسجد مقبل غويلي الرشيد .</t>
  </si>
  <si>
    <t>LYE2020810325908</t>
  </si>
  <si>
    <t xml:space="preserve">   اوقاف القويعيه/جامع زعيفان بصماخ .</t>
  </si>
  <si>
    <t>AEC2020830574166</t>
  </si>
  <si>
    <t xml:space="preserve">   مسجد ملا بش سويد العنزي .</t>
  </si>
  <si>
    <t>KFM2020660050781</t>
  </si>
  <si>
    <t xml:space="preserve">   مسجدالحنطي ومرافقه-المروج .</t>
  </si>
  <si>
    <t>KFM2020660173708</t>
  </si>
  <si>
    <t xml:space="preserve">   اوقاف الزلفى / مسجد الحديقه .</t>
  </si>
  <si>
    <t>KFM2020660150362</t>
  </si>
  <si>
    <t>مسجد الاميرة  / سارة  بنت سعد .</t>
  </si>
  <si>
    <t>KFM2120660254486</t>
  </si>
  <si>
    <t xml:space="preserve">   مسجد/الأساعده .</t>
  </si>
  <si>
    <t>KFM2020660202855</t>
  </si>
  <si>
    <t>مسجد      اسواق      ابن دايل .</t>
  </si>
  <si>
    <t>KFM2020660025789</t>
  </si>
  <si>
    <t xml:space="preserve">   مسجد جامع المغرزات .</t>
  </si>
  <si>
    <t>KFM2020660188124</t>
  </si>
  <si>
    <t xml:space="preserve">   اوقاف الحصاة/مسجدلحسه بالحصاة .</t>
  </si>
  <si>
    <t>AES2020896448216</t>
  </si>
  <si>
    <t xml:space="preserve">     مسجدخادم الحرمين الشريفين .</t>
  </si>
  <si>
    <t>KFM2020660012496</t>
  </si>
  <si>
    <t>مسجد ظهرة  البديعه .</t>
  </si>
  <si>
    <t>KFM2020660054270</t>
  </si>
  <si>
    <t>KFM2020660022962</t>
  </si>
  <si>
    <t>KFM2020660213017</t>
  </si>
  <si>
    <t>مسجد التوحيد بالعريجاء .</t>
  </si>
  <si>
    <t>KFM2020660153735</t>
  </si>
  <si>
    <t xml:space="preserve">   مسجد/ احمد عبدالعزيز الخطيفي .</t>
  </si>
  <si>
    <t>KFM2020660195419</t>
  </si>
  <si>
    <t>KFM2020760178262</t>
  </si>
  <si>
    <t xml:space="preserve">   مسحد      الحى      مبايض .</t>
  </si>
  <si>
    <t>AEC2020830525286</t>
  </si>
  <si>
    <t xml:space="preserve">   اوقاف     الرين مسجدة .</t>
  </si>
  <si>
    <t>KFM2020660209990</t>
  </si>
  <si>
    <t xml:space="preserve">   جامع المربع .</t>
  </si>
  <si>
    <t>KFM2020660188818</t>
  </si>
  <si>
    <t>ECC2420841012282</t>
  </si>
  <si>
    <t xml:space="preserve">    مسجد/ابى هريرة .</t>
  </si>
  <si>
    <t>KFM2020766138470</t>
  </si>
  <si>
    <t xml:space="preserve">   مسجدالاحمري ومرافقه بظهرة لبن .</t>
  </si>
  <si>
    <t>KFM2120655002732</t>
  </si>
  <si>
    <t xml:space="preserve">   مسجد حي الجزيره شارع رقم  14 .</t>
  </si>
  <si>
    <t>KFM2120660304070</t>
  </si>
  <si>
    <t>KFM2020660060541</t>
  </si>
  <si>
    <t xml:space="preserve">   اوقاف القويعيه مسجدفرعة الروضه .</t>
  </si>
  <si>
    <t>SMR2020856052061</t>
  </si>
  <si>
    <t>KFM2020660174534</t>
  </si>
  <si>
    <t xml:space="preserve">   مسجد العييد  -  حي الربيع .</t>
  </si>
  <si>
    <t>KFM2020660209218</t>
  </si>
  <si>
    <t>مسجد بن شويش .</t>
  </si>
  <si>
    <t>KFM2020660168530</t>
  </si>
  <si>
    <t xml:space="preserve">   مسجد عبداللطيف المطلق .</t>
  </si>
  <si>
    <t>KFM2020660049706</t>
  </si>
  <si>
    <t>مسجد /عبدالرحمن مبارك ال فريح .</t>
  </si>
  <si>
    <t>KFM2020660203271</t>
  </si>
  <si>
    <t>KFM2020660007305</t>
  </si>
  <si>
    <t>SMR2220661007178</t>
  </si>
  <si>
    <t>KFM2020660060980</t>
  </si>
  <si>
    <t>KFM2120660251570</t>
  </si>
  <si>
    <t>مسجد الشفاء ك 6بجوارمعرضى  الهملان .</t>
  </si>
  <si>
    <t>KFM2020660035601</t>
  </si>
  <si>
    <t xml:space="preserve">     جامع عصيله .</t>
  </si>
  <si>
    <t>KFM2020766096031</t>
  </si>
  <si>
    <t xml:space="preserve">   مسجد/     الفاخريه .</t>
  </si>
  <si>
    <t>KFM2120660252065</t>
  </si>
  <si>
    <t xml:space="preserve">   (مسجد) وزارة الشئون والاوقاف .</t>
  </si>
  <si>
    <t>KFM2020660197525</t>
  </si>
  <si>
    <t xml:space="preserve">      مسجد الامير سلطان بن سعود بن .</t>
  </si>
  <si>
    <t>KFM2020660202132</t>
  </si>
  <si>
    <t>AES2020896280767</t>
  </si>
  <si>
    <t>KFM2020660191204</t>
  </si>
  <si>
    <t xml:space="preserve">   مسجد/// عايض دخيل الله المطيري .</t>
  </si>
  <si>
    <t>AES2120896611746</t>
  </si>
  <si>
    <t xml:space="preserve"> مسجدالاميره الجوهره بنت سعود الكبير .</t>
  </si>
  <si>
    <t>KFM2020660048648</t>
  </si>
  <si>
    <t xml:space="preserve">   مسجد/ العنود محمد  الزامل .</t>
  </si>
  <si>
    <t>AES2120896535607</t>
  </si>
  <si>
    <t xml:space="preserve">   مسجد مخطط العبدالعزيز .</t>
  </si>
  <si>
    <t>KFM2020660191469</t>
  </si>
  <si>
    <t xml:space="preserve">  مسجد الأميرة الجواهر بنت فيصل سعود .</t>
  </si>
  <si>
    <t>KFM2020660207652</t>
  </si>
  <si>
    <t xml:space="preserve">      مسجد العيد .</t>
  </si>
  <si>
    <t>KFM2020760135914</t>
  </si>
  <si>
    <t xml:space="preserve">      مسجد راشد السماوى .</t>
  </si>
  <si>
    <t>MMF2020800255172</t>
  </si>
  <si>
    <t xml:space="preserve">   اوقاف سدير مســـجد   السلمان .</t>
  </si>
  <si>
    <t>AES2020896450835</t>
  </si>
  <si>
    <t xml:space="preserve">   مسجد الداهنه رقم  2 .</t>
  </si>
  <si>
    <t>KFM2020760178245</t>
  </si>
  <si>
    <t>دارة الاوقاف والمساجد .</t>
  </si>
  <si>
    <t>AEC2020830310934</t>
  </si>
  <si>
    <t>مسجد      الامير     منصور .</t>
  </si>
  <si>
    <t>KFM2020660171827</t>
  </si>
  <si>
    <t xml:space="preserve">   مسجد  ابو ايوب الانصاري .</t>
  </si>
  <si>
    <t>KFM2020660192427</t>
  </si>
  <si>
    <t>KFM2020660160228</t>
  </si>
  <si>
    <t xml:space="preserve">   مسجد      نوره      . .</t>
  </si>
  <si>
    <t>KFM2020660197729</t>
  </si>
  <si>
    <t xml:space="preserve">   مسجدالاحسان .</t>
  </si>
  <si>
    <t>KFM2020660171284</t>
  </si>
  <si>
    <t xml:space="preserve">   مسجد الحدادي .</t>
  </si>
  <si>
    <t>KFM2020660209678</t>
  </si>
  <si>
    <t>مسجد/ الشيخ  الهويمل .</t>
  </si>
  <si>
    <t>KFM2020660198337</t>
  </si>
  <si>
    <t>AEC2020830307592</t>
  </si>
  <si>
    <t xml:space="preserve">   مسجد وسكن محمد بن مترك القحطاني .</t>
  </si>
  <si>
    <t>KFM2020660190946</t>
  </si>
  <si>
    <t>0    مسجد      السويدي .</t>
  </si>
  <si>
    <t>KFM2020660037871</t>
  </si>
  <si>
    <t>KFM2020660139722</t>
  </si>
  <si>
    <t xml:space="preserve">   وزارة الشؤون الاسلاميه والاوقاف .</t>
  </si>
  <si>
    <t>KFM2120660257729</t>
  </si>
  <si>
    <t xml:space="preserve">   مسجد      حي        النهضه .</t>
  </si>
  <si>
    <t>KFM2020660025504</t>
  </si>
  <si>
    <t xml:space="preserve">      مـسـجـد ام عنيق بالحوطه .</t>
  </si>
  <si>
    <t>KFM2020766107278</t>
  </si>
  <si>
    <t xml:space="preserve">   مسجد بحي العزيزية .</t>
  </si>
  <si>
    <t>KFM2120660299243</t>
  </si>
  <si>
    <t xml:space="preserve">   ادارةاوقافمسجد      بالبديع .</t>
  </si>
  <si>
    <t>AES2020896439030</t>
  </si>
  <si>
    <t xml:space="preserve">      مسجد مرقان بخيلان الاوقاف .</t>
  </si>
  <si>
    <t>AES2120896546005</t>
  </si>
  <si>
    <t xml:space="preserve">   مسجدأم حمدان بحي السلام .</t>
  </si>
  <si>
    <t>KFM2020766067676</t>
  </si>
  <si>
    <t xml:space="preserve">    مسجد أحمد أبانمي بالغاط .</t>
  </si>
  <si>
    <t>KFM2120660284171</t>
  </si>
  <si>
    <t xml:space="preserve">   مسجد الشيخ عبدالعزيز رجب .</t>
  </si>
  <si>
    <t>KFM2020660161624</t>
  </si>
  <si>
    <t>KFM2020660200374</t>
  </si>
  <si>
    <t xml:space="preserve">    مسجد      الواحه     ؟؟؟؟؟؟ .</t>
  </si>
  <si>
    <t>KFM2020660213981</t>
  </si>
  <si>
    <t xml:space="preserve">   الاوقاف    مسجد      العسيلان .</t>
  </si>
  <si>
    <t>AES2020896448084</t>
  </si>
  <si>
    <t xml:space="preserve">   مسجد  السديس .</t>
  </si>
  <si>
    <t>KFM2020660124254</t>
  </si>
  <si>
    <t xml:space="preserve">      مسجد المهيزع بالسلاميه .</t>
  </si>
  <si>
    <t>KFM2020660205846</t>
  </si>
  <si>
    <t xml:space="preserve">   مسجد/عبدالله بن سعود .</t>
  </si>
  <si>
    <t>KFM2120660247962</t>
  </si>
  <si>
    <t>KFM2020660176000</t>
  </si>
  <si>
    <t xml:space="preserve">   مسجد حى المصيف .</t>
  </si>
  <si>
    <t>KFM2020660173805</t>
  </si>
  <si>
    <t>AEC2020830090907</t>
  </si>
  <si>
    <t xml:space="preserve">   مكتب اوقاف  تمير مسجد ابن عثيمين .</t>
  </si>
  <si>
    <t>KFM2020766128639</t>
  </si>
  <si>
    <t>DZG2020890008084</t>
  </si>
  <si>
    <t>SMR2220761016975</t>
  </si>
  <si>
    <t>مسجد      الموسى .</t>
  </si>
  <si>
    <t>KFM2020660202585</t>
  </si>
  <si>
    <t>KFM2020660172899</t>
  </si>
  <si>
    <t xml:space="preserve">   مسجد الغليقة .</t>
  </si>
  <si>
    <t>KFM2020660053457</t>
  </si>
  <si>
    <t>وقاف ومساجد نفي .</t>
  </si>
  <si>
    <t>KFM2120660268842</t>
  </si>
  <si>
    <t xml:space="preserve">   المسجد الشمالى الشرقى .</t>
  </si>
  <si>
    <t>KFM2120660268784</t>
  </si>
  <si>
    <t xml:space="preserve">   مسجد الواضحه في مسرح بالحصاة .</t>
  </si>
  <si>
    <t>AES2020896451199</t>
  </si>
  <si>
    <t xml:space="preserve">      مسجد الحار5 الشماليه بمصد5 .</t>
  </si>
  <si>
    <t>KFM2020760058333</t>
  </si>
  <si>
    <t>KFM2120660247690</t>
  </si>
  <si>
    <t xml:space="preserve">   مسجد حي العزيزيه .</t>
  </si>
  <si>
    <t>KFM2120660235677</t>
  </si>
  <si>
    <t xml:space="preserve">   مسجد عبدالعزيز عبدالرحمن المنصور .</t>
  </si>
  <si>
    <t>KFM2120660273708</t>
  </si>
  <si>
    <t xml:space="preserve">   مسجد وسكن فنجال العتيبي .</t>
  </si>
  <si>
    <t>KFM2020660038837</t>
  </si>
  <si>
    <t>KFM2020660208061</t>
  </si>
  <si>
    <t>KFM2020660168401</t>
  </si>
  <si>
    <t>KFM2020660175726</t>
  </si>
  <si>
    <t>KFM2120760245256</t>
  </si>
  <si>
    <t xml:space="preserve">   مسجد اسد السنة .</t>
  </si>
  <si>
    <t>KFM2020660057569</t>
  </si>
  <si>
    <t xml:space="preserve">   مسجد  الجامع  باللنسيات .</t>
  </si>
  <si>
    <t>SMR2220661004040</t>
  </si>
  <si>
    <t xml:space="preserve">   مسجد جامع حي القطار .</t>
  </si>
  <si>
    <t>KFM2120660270830</t>
  </si>
  <si>
    <t xml:space="preserve">   مسجد المنديل .</t>
  </si>
  <si>
    <t>KFM2020660056790</t>
  </si>
  <si>
    <t xml:space="preserve">   مسجد عثمان بن عفان بأثيثية .</t>
  </si>
  <si>
    <t>AES2020896449613</t>
  </si>
  <si>
    <t xml:space="preserve">  مسجدوالدةالامير/ ماجد بن عبدالعزيز .</t>
  </si>
  <si>
    <t>KFM2120660299075</t>
  </si>
  <si>
    <t>KFM2020760149003</t>
  </si>
  <si>
    <t>SMR2020865009548</t>
  </si>
  <si>
    <t xml:space="preserve">   مسجد الطريق العام /م 487 .</t>
  </si>
  <si>
    <t>KFM2020660156064</t>
  </si>
  <si>
    <t>KFM2020766160199</t>
  </si>
  <si>
    <t xml:space="preserve">   وزارة الحج والاوقاف / مسجدالهاجرى .</t>
  </si>
  <si>
    <t>KFM2120660251019</t>
  </si>
  <si>
    <t>KFM2020660037045</t>
  </si>
  <si>
    <t>LYE2020830037340</t>
  </si>
  <si>
    <t>ECC2020811040760</t>
  </si>
  <si>
    <t xml:space="preserve">   مسجدام الحمام الشرقية .</t>
  </si>
  <si>
    <t>KFM2020660172092</t>
  </si>
  <si>
    <t xml:space="preserve">   مسجد الحى الشمالى .</t>
  </si>
  <si>
    <t>KFM2020660201566</t>
  </si>
  <si>
    <t xml:space="preserve">   مسجد الجامع بالسلمانيه .</t>
  </si>
  <si>
    <t>KFM2020660170470</t>
  </si>
  <si>
    <t>مسجد /    جعفر      الطيار .</t>
  </si>
  <si>
    <t>KFM2020660083705</t>
  </si>
  <si>
    <t>KFM2020660171341</t>
  </si>
  <si>
    <t xml:space="preserve">   مسجد      منيره     الثميري .</t>
  </si>
  <si>
    <t>KFM2020760178279</t>
  </si>
  <si>
    <t>مسجد/ فهد ابراهيم  المقبل  مع السكن .</t>
  </si>
  <si>
    <t>KFM2020660007964</t>
  </si>
  <si>
    <t>KFM2020660043894</t>
  </si>
  <si>
    <t>مسجد خالد بن الوليد / 104 .</t>
  </si>
  <si>
    <t>KFM2020760131786</t>
  </si>
  <si>
    <t>مسجد حى  الجامعين .</t>
  </si>
  <si>
    <t>KFM2020660087496</t>
  </si>
  <si>
    <t>KFM2020660202780</t>
  </si>
  <si>
    <t>KFM2120660249967</t>
  </si>
  <si>
    <t xml:space="preserve">   مسجد/ العقلة الغربي .</t>
  </si>
  <si>
    <t>KFM2020766154350</t>
  </si>
  <si>
    <t xml:space="preserve">   مسجد      حىالعزيزيهمخطط349 .</t>
  </si>
  <si>
    <t>KFM2020766034247</t>
  </si>
  <si>
    <t xml:space="preserve">   مسجد الياسمين .</t>
  </si>
  <si>
    <t>KFM2120660240863</t>
  </si>
  <si>
    <t xml:space="preserve">   اوقاف القويعيه - حماد فهد غيث .</t>
  </si>
  <si>
    <t>AES2020896462832</t>
  </si>
  <si>
    <t>ECC2020810888291</t>
  </si>
  <si>
    <t xml:space="preserve">   اوقاف الدلم جامع هجرةالعزيزيه .</t>
  </si>
  <si>
    <t>KFM2020660170464</t>
  </si>
  <si>
    <t xml:space="preserve">    مسجد الامير بعرجاء .</t>
  </si>
  <si>
    <t>AEC2020830315637</t>
  </si>
  <si>
    <t xml:space="preserve">   مسجد/زيد بن الارقم .</t>
  </si>
  <si>
    <t>KFM2020660192424</t>
  </si>
  <si>
    <t>KFM2020660054541</t>
  </si>
  <si>
    <t xml:space="preserve">   مسـجد الامـام النسائي /مشرف .</t>
  </si>
  <si>
    <t>KFM2120660245956</t>
  </si>
  <si>
    <t>مسجد شامر .</t>
  </si>
  <si>
    <t>KFM2020660015400</t>
  </si>
  <si>
    <t xml:space="preserve">   مسجد الرحمة بحي حطين .</t>
  </si>
  <si>
    <t>KFM2020660230003</t>
  </si>
  <si>
    <t>KFM2020660056762</t>
  </si>
  <si>
    <t>مسجد/الامام  مالك  بن انس .</t>
  </si>
  <si>
    <t>KFM2020660034222</t>
  </si>
  <si>
    <t xml:space="preserve">   مسجد هجرة اللفيف / اوقاف الدواسر .</t>
  </si>
  <si>
    <t>AEC2020830575601</t>
  </si>
  <si>
    <t>KFM2020766146017</t>
  </si>
  <si>
    <t xml:space="preserve">   مسجد/ رسل سليمان القحطانى .</t>
  </si>
  <si>
    <t>KFM2020660212478</t>
  </si>
  <si>
    <t>MMF2420601020211</t>
  </si>
  <si>
    <t xml:space="preserve">   اوقاف الخرج / مسجد النور .</t>
  </si>
  <si>
    <t>KFM2020660230132</t>
  </si>
  <si>
    <t>KFM2020660007890</t>
  </si>
  <si>
    <t xml:space="preserve">       مسجد الضحوى الجامع .</t>
  </si>
  <si>
    <t>KFM2020760051234</t>
  </si>
  <si>
    <t xml:space="preserve">   مسجد      دليل      النويصر .</t>
  </si>
  <si>
    <t>KFM2020660209329</t>
  </si>
  <si>
    <t xml:space="preserve">      مسجد/سليم امان .</t>
  </si>
  <si>
    <t>KFM2120660260622</t>
  </si>
  <si>
    <t xml:space="preserve">   مسجد أويس  القرني بمرات .</t>
  </si>
  <si>
    <t>KFM2020766156487</t>
  </si>
  <si>
    <t xml:space="preserve">   مسجد النفيسه .</t>
  </si>
  <si>
    <t>KFM2120660251614</t>
  </si>
  <si>
    <t xml:space="preserve">   مسجد لولوهبنت سليمان المديهيم .</t>
  </si>
  <si>
    <t>KFM2120660270081</t>
  </si>
  <si>
    <t xml:space="preserve">     مـسـجـد الجزع (اوقاف القويعيه) .</t>
  </si>
  <si>
    <t>AES2020896468011</t>
  </si>
  <si>
    <t xml:space="preserve">   مسجد رقم(2)_مخطط(717)/الصفراء .</t>
  </si>
  <si>
    <t>KFM2020766032935</t>
  </si>
  <si>
    <t xml:space="preserve">  مكتبالاوقاف بحوطةسديرمسجد الصناعيه .</t>
  </si>
  <si>
    <t>KFM2020660050197</t>
  </si>
  <si>
    <t>SMR2320661030331</t>
  </si>
  <si>
    <t xml:space="preserve">   مسجد وزارة الشئون الاسلاميه والاوقا .</t>
  </si>
  <si>
    <t>KFM2120660268906</t>
  </si>
  <si>
    <t>KFM2020660026034</t>
  </si>
  <si>
    <t xml:space="preserve">   مسجد/خالد مطلق شافى .</t>
  </si>
  <si>
    <t>KFM2020760182301</t>
  </si>
  <si>
    <t>KFM2020660192458</t>
  </si>
  <si>
    <t xml:space="preserve"> اوقاف الخرج/مسجدعثمان بن ابي العاص .</t>
  </si>
  <si>
    <t>KFM2120660249786</t>
  </si>
  <si>
    <t>SMR2220661011326</t>
  </si>
  <si>
    <t>مسجد  عبدالعزيز بن سليم .</t>
  </si>
  <si>
    <t>KFM2020660196744</t>
  </si>
  <si>
    <t xml:space="preserve">   مسجدمحمد فهدالسديري .</t>
  </si>
  <si>
    <t>KFM2120660289667</t>
  </si>
  <si>
    <t xml:space="preserve">   مسجد التجاري .</t>
  </si>
  <si>
    <t>KFM2020766054726</t>
  </si>
  <si>
    <t xml:space="preserve">   الشئون الاسلامية - مسجد حمدالعمري .</t>
  </si>
  <si>
    <t>KFM2120660299077</t>
  </si>
  <si>
    <t xml:space="preserve">   مسجد نايفية مخيط .</t>
  </si>
  <si>
    <t>AES2020896438328</t>
  </si>
  <si>
    <t xml:space="preserve">   مسجدالشيخ محمدالحسينان .</t>
  </si>
  <si>
    <t>KFM2020760207750</t>
  </si>
  <si>
    <t>KFM2020660211132</t>
  </si>
  <si>
    <t>وزارة الشئون الاسلامية والاو .</t>
  </si>
  <si>
    <t>KFM2020760229451</t>
  </si>
  <si>
    <t>مسجد  /  ام  ثامر .</t>
  </si>
  <si>
    <t>KFM2020660011937</t>
  </si>
  <si>
    <t xml:space="preserve">   مسجد حماد السلامه .</t>
  </si>
  <si>
    <t>KFM2120660254721</t>
  </si>
  <si>
    <t>مسجد      .         الرشودي .</t>
  </si>
  <si>
    <t>KFM2020660015210</t>
  </si>
  <si>
    <t>KFM2020660104187</t>
  </si>
  <si>
    <t xml:space="preserve">    مسجد حبيب بحي غرناطه .</t>
  </si>
  <si>
    <t>KFM2020660170659</t>
  </si>
  <si>
    <t xml:space="preserve">   وزارةالاوقاف والمساجد(جامع ويثلان) .</t>
  </si>
  <si>
    <t>KFM2020660126676</t>
  </si>
  <si>
    <t xml:space="preserve">   مسجد بشر بن المعلى .</t>
  </si>
  <si>
    <t>AES2020896433445</t>
  </si>
  <si>
    <t>ECC2020810924681</t>
  </si>
  <si>
    <t xml:space="preserve">   مسجدالمرشدى .</t>
  </si>
  <si>
    <t>KFM2020660060676</t>
  </si>
  <si>
    <t xml:space="preserve">   مسجد محمد ابراهيم السليمان .</t>
  </si>
  <si>
    <t>KFM2020660211203</t>
  </si>
  <si>
    <t>SMR2220661004277</t>
  </si>
  <si>
    <t>KFM2020660019076</t>
  </si>
  <si>
    <t xml:space="preserve">   مسجدالاميرمشعل .</t>
  </si>
  <si>
    <t>KFM2120660242899</t>
  </si>
  <si>
    <t xml:space="preserve">      مسجد بن سويلم .</t>
  </si>
  <si>
    <t>SMR2020850061938</t>
  </si>
  <si>
    <t>KFM2020760210708</t>
  </si>
  <si>
    <t>KFM2120660270373</t>
  </si>
  <si>
    <t xml:space="preserve">   أوقاف المزاحمية .</t>
  </si>
  <si>
    <t>GTR2320892224178</t>
  </si>
  <si>
    <t xml:space="preserve">   وزارةالشون الاسلاميه مسجدحي لبن .</t>
  </si>
  <si>
    <t>KFM2020660187664</t>
  </si>
  <si>
    <t>SMR2020850104677</t>
  </si>
  <si>
    <t>SMR2220661018307</t>
  </si>
  <si>
    <t>KFM2020660170465</t>
  </si>
  <si>
    <t>KFM2020660232932</t>
  </si>
  <si>
    <t>مسجد رقم ثلاثة حي الاسكان .</t>
  </si>
  <si>
    <t>KFM2020660177619</t>
  </si>
  <si>
    <t xml:space="preserve">   مسجد صالح محمد الزغيبي .</t>
  </si>
  <si>
    <t>KFM2020660053435</t>
  </si>
  <si>
    <t>KFM2020660195456</t>
  </si>
  <si>
    <t xml:space="preserve">   مسجد      عبدالعزيز الزنيدي .</t>
  </si>
  <si>
    <t>KFM2020766158213</t>
  </si>
  <si>
    <t>مسجد  اليحياء .</t>
  </si>
  <si>
    <t>KFM2020660038594</t>
  </si>
  <si>
    <t>0    مسجد      الشعلان .</t>
  </si>
  <si>
    <t>KFM2020660201705</t>
  </si>
  <si>
    <t xml:space="preserve">   مسجد/ والدة الامير سعد ابن خالد .</t>
  </si>
  <si>
    <t>KFM2020660231498</t>
  </si>
  <si>
    <t xml:space="preserve">   مسجد ناصر الدهيم .</t>
  </si>
  <si>
    <t>KFM2020660056959</t>
  </si>
  <si>
    <t xml:space="preserve">    مسجد العليا .</t>
  </si>
  <si>
    <t>KFM2020660165482</t>
  </si>
  <si>
    <t>وزاره      الشئون    مسجد عكاظ .</t>
  </si>
  <si>
    <t>KFM2020660191152</t>
  </si>
  <si>
    <t xml:space="preserve">   مسجد والدة عبدالله   الشلوي .</t>
  </si>
  <si>
    <t>KFM2020660036979</t>
  </si>
  <si>
    <t xml:space="preserve">   مسجد الهدا .</t>
  </si>
  <si>
    <t>KFM2120660252433</t>
  </si>
  <si>
    <t>KFM2020660224607</t>
  </si>
  <si>
    <t xml:space="preserve">   مسجد      خط الحجاز 0 .</t>
  </si>
  <si>
    <t>KFM2020660176219</t>
  </si>
  <si>
    <t xml:space="preserve">   مسجد ماجد الماجد .</t>
  </si>
  <si>
    <t>KFM2020660190894</t>
  </si>
  <si>
    <t>مسجد السحيمان .</t>
  </si>
  <si>
    <t>KFM2020660152910</t>
  </si>
  <si>
    <t>KFM2020660171613</t>
  </si>
  <si>
    <t>SMR2320661034008</t>
  </si>
  <si>
    <t xml:space="preserve">   مسجدربعةالحصون .</t>
  </si>
  <si>
    <t>KFM2020766062308</t>
  </si>
  <si>
    <t xml:space="preserve">   مسجد /مريم مطلق العتيبي .</t>
  </si>
  <si>
    <t>KFM2020766077788</t>
  </si>
  <si>
    <t>KFM2020660198419</t>
  </si>
  <si>
    <t xml:space="preserve">   مسجد والدة الملك سعود .</t>
  </si>
  <si>
    <t>KFM2120660273614</t>
  </si>
  <si>
    <t xml:space="preserve">        مسجد راشد المبارك .</t>
  </si>
  <si>
    <t>KFM2020660206450</t>
  </si>
  <si>
    <t>.  مسجد      ابن ربيعه .</t>
  </si>
  <si>
    <t>KFM2020766160772</t>
  </si>
  <si>
    <t>KFM2020660190391</t>
  </si>
  <si>
    <t>AES2020896472574</t>
  </si>
  <si>
    <t>مسجد      ..        عتيقه .</t>
  </si>
  <si>
    <t>KFM2020660168515</t>
  </si>
  <si>
    <t>KFM2020660022926</t>
  </si>
  <si>
    <t>مسجد حى  بدر الغربى .</t>
  </si>
  <si>
    <t>KFM2020660177000</t>
  </si>
  <si>
    <t xml:space="preserve">   مسجد صالح عبدالله الحمادي .</t>
  </si>
  <si>
    <t>KFM2020660047763</t>
  </si>
  <si>
    <t xml:space="preserve">   جامع/     الحماده   سلمي .</t>
  </si>
  <si>
    <t>KFM2020660153794</t>
  </si>
  <si>
    <t xml:space="preserve">   مسجد الشيخ محمد بن عبدالوهاب .</t>
  </si>
  <si>
    <t>MMF2420801282870</t>
  </si>
  <si>
    <t xml:space="preserve">   مسجد      فيضة      //////////// .</t>
  </si>
  <si>
    <t>MMF2020800077670</t>
  </si>
  <si>
    <t>مسجدابراهيم  السبر ووالدية  وزوجتة .</t>
  </si>
  <si>
    <t>KFM2020660115744</t>
  </si>
  <si>
    <t xml:space="preserve">   مسجد سعد بن معاذ بمرات .</t>
  </si>
  <si>
    <t>KFM2020766156263</t>
  </si>
  <si>
    <t>KFM2020660191987</t>
  </si>
  <si>
    <t>KFM2020766133993</t>
  </si>
  <si>
    <t xml:space="preserve">   اوقاف الدواسر/مسجد تميم مترك .</t>
  </si>
  <si>
    <t>SMR2220661004530</t>
  </si>
  <si>
    <t>KFM2020660178206</t>
  </si>
  <si>
    <t xml:space="preserve">      مسجد/عبدالعزيزالشملان .</t>
  </si>
  <si>
    <t>KFM2020660223918</t>
  </si>
  <si>
    <t xml:space="preserve">   اوقاف الدواسر/ جامع ال عويمر .</t>
  </si>
  <si>
    <t>KFM2020660223582</t>
  </si>
  <si>
    <t>SMR2420761037868</t>
  </si>
  <si>
    <t>KFM2020660104206</t>
  </si>
  <si>
    <t xml:space="preserve">      مـسـجـد ديــــراب .</t>
  </si>
  <si>
    <t>KFM2020660209357</t>
  </si>
  <si>
    <t xml:space="preserve">   اوقاف الرين/مسجد ابن وقيان .</t>
  </si>
  <si>
    <t>AES2020896528097</t>
  </si>
  <si>
    <t xml:space="preserve">        مسجد   المرقبيه .</t>
  </si>
  <si>
    <t>AES2120896585388</t>
  </si>
  <si>
    <t>KFM2020660126250</t>
  </si>
  <si>
    <t>KFM2120660260283</t>
  </si>
  <si>
    <t xml:space="preserve">   مسجد الامير سلمان بن عبدالعزيز .</t>
  </si>
  <si>
    <t>KFM2020660037486</t>
  </si>
  <si>
    <t xml:space="preserve">      مسجد الرفايع بالحصاه .</t>
  </si>
  <si>
    <t>AES2020896446801</t>
  </si>
  <si>
    <t xml:space="preserve">   مسجد التويم .</t>
  </si>
  <si>
    <t>KFM2020660004067</t>
  </si>
  <si>
    <t xml:space="preserve">       مسجد هجر5 سماح/الجامع .</t>
  </si>
  <si>
    <t>AEC2020830239831</t>
  </si>
  <si>
    <t>AEC2020830020072</t>
  </si>
  <si>
    <t>مسجد الايمان .</t>
  </si>
  <si>
    <t>KFM2020660189440</t>
  </si>
  <si>
    <t xml:space="preserve">       مسجد/ عبيد صلاح المغيرى .</t>
  </si>
  <si>
    <t>KFM2020766093791</t>
  </si>
  <si>
    <t>KFM2020660031798</t>
  </si>
  <si>
    <t>KFM2120660249434</t>
  </si>
  <si>
    <t xml:space="preserve">   مسجد/القادسيه .</t>
  </si>
  <si>
    <t>KFM2020660230215</t>
  </si>
  <si>
    <t>KFM2120660291838</t>
  </si>
  <si>
    <t xml:space="preserve">   مسجدالقاضي ابن شريح بالسلاميه .</t>
  </si>
  <si>
    <t>KFM2020760204219</t>
  </si>
  <si>
    <t xml:space="preserve">   مسجد  الشئون الاسلاميةوالاوقاف .</t>
  </si>
  <si>
    <t>KFM2020660187642</t>
  </si>
  <si>
    <t xml:space="preserve">   مسجدغرب الدفاع .</t>
  </si>
  <si>
    <t>KFM2120660291747</t>
  </si>
  <si>
    <t xml:space="preserve">   مسجد - الشيخ بن عمار .</t>
  </si>
  <si>
    <t>KFM2020760205276</t>
  </si>
  <si>
    <t>KFM2020660038793</t>
  </si>
  <si>
    <t xml:space="preserve">   مسجد      المحارب بملهم .</t>
  </si>
  <si>
    <t>KFM2120660244134</t>
  </si>
  <si>
    <t>KFM2020660042054</t>
  </si>
  <si>
    <t>KFM2020766158174</t>
  </si>
  <si>
    <t>ادارة اوقاف  صالح  عبدالعزيزالراجحى .</t>
  </si>
  <si>
    <t>KFM2020660038858</t>
  </si>
  <si>
    <t>KFM2120660271561</t>
  </si>
  <si>
    <t>KFM2020660171638</t>
  </si>
  <si>
    <t xml:space="preserve">   مسجد جوهرة الفوزان .</t>
  </si>
  <si>
    <t>KFM2020660213579</t>
  </si>
  <si>
    <t xml:space="preserve">   مسجد العواد بجلاجل .</t>
  </si>
  <si>
    <t>AES2020896447533</t>
  </si>
  <si>
    <t xml:space="preserve">   مسجد /سعود ناصر الفالح .</t>
  </si>
  <si>
    <t>MMF2220801103592</t>
  </si>
  <si>
    <t xml:space="preserve">   مسجد دار السلام .</t>
  </si>
  <si>
    <t>KFM2020660046036</t>
  </si>
  <si>
    <t xml:space="preserve">   مسجد      عمار      ياسر .</t>
  </si>
  <si>
    <t>KFM2020660202984</t>
  </si>
  <si>
    <t>ﻤﻜﺘﺏ ﺍﻭﻗﺎﻑ ﺍﻟﻤﺠﻤﻌﻩ ﺍﻟﻤﺴﺎﺠﺩ .</t>
  </si>
  <si>
    <t>SMR2420868004723</t>
  </si>
  <si>
    <t xml:space="preserve">   جامع السهباء .</t>
  </si>
  <si>
    <t>KFM2020660230893</t>
  </si>
  <si>
    <t xml:space="preserve">       مسجد الحفاير .</t>
  </si>
  <si>
    <t>SMR2020850118882</t>
  </si>
  <si>
    <t>MMF2020800217164</t>
  </si>
  <si>
    <t xml:space="preserve">   مسحد      الشثري    ء .</t>
  </si>
  <si>
    <t>KFM2020660173016</t>
  </si>
  <si>
    <t xml:space="preserve">      مسجد/عثمان عبدالله السليمان .</t>
  </si>
  <si>
    <t>KFM2020760020423</t>
  </si>
  <si>
    <t>مسجد الحرقان .</t>
  </si>
  <si>
    <t>AES2120896563929</t>
  </si>
  <si>
    <t xml:space="preserve">   مسجد جامع بن عبدالوهاب .</t>
  </si>
  <si>
    <t>KFM2120660235680</t>
  </si>
  <si>
    <t xml:space="preserve">   مسجد والدة محمد بن فيحان الرقاص .</t>
  </si>
  <si>
    <t>KFM2020660031732</t>
  </si>
  <si>
    <t xml:space="preserve">   اوقاف الدلم/ مسجد راشد بن عون .</t>
  </si>
  <si>
    <t>KFM2020660169688</t>
  </si>
  <si>
    <t xml:space="preserve">      مسجد الجامع بحضار .</t>
  </si>
  <si>
    <t>KFM2020660207314</t>
  </si>
  <si>
    <t xml:space="preserve">   مسجد العجلان / .</t>
  </si>
  <si>
    <t>KFM2120660299270</t>
  </si>
  <si>
    <t>مسجد جامع  الجوهرة .</t>
  </si>
  <si>
    <t>KFM2020660201670</t>
  </si>
  <si>
    <t>KFM2020766090311</t>
  </si>
  <si>
    <t xml:space="preserve">   جامع      محيرقة    محيرقة .</t>
  </si>
  <si>
    <t>KFM2020660229564</t>
  </si>
  <si>
    <t>KFM2020660057053</t>
  </si>
  <si>
    <t xml:space="preserve">   مسجد جامع الخاصرة   الجديدة .</t>
  </si>
  <si>
    <t>KFM2020660172895</t>
  </si>
  <si>
    <t xml:space="preserve">   مسجد/عبدالعزيز الحمدان .</t>
  </si>
  <si>
    <t>KFM2020660192331</t>
  </si>
  <si>
    <t xml:space="preserve">   مسجد حى الربوة .</t>
  </si>
  <si>
    <t>KFM2020660043386</t>
  </si>
  <si>
    <t xml:space="preserve">  مسجد فرعة الخشبى - اوقاف القويعية .</t>
  </si>
  <si>
    <t>AES2020896448213</t>
  </si>
  <si>
    <t xml:space="preserve">   مسجد وسكن العبداللطيف .</t>
  </si>
  <si>
    <t>KFM2020660170725</t>
  </si>
  <si>
    <t xml:space="preserve">   وزاره الاوقاف (مسجد المطاوي ) .</t>
  </si>
  <si>
    <t>KFM2020660233596</t>
  </si>
  <si>
    <t xml:space="preserve">   مسجدالمنصور القصب ـ .</t>
  </si>
  <si>
    <t>AES2020896443430</t>
  </si>
  <si>
    <t>KFM2020660012600</t>
  </si>
  <si>
    <t>KFM2120660280735</t>
  </si>
  <si>
    <t>KFM2120660300239</t>
  </si>
  <si>
    <t xml:space="preserve">   مسجد      جامع      بالغطغط .</t>
  </si>
  <si>
    <t>KFM2020660199622</t>
  </si>
  <si>
    <t>AEC2020830556820</t>
  </si>
  <si>
    <t xml:space="preserve">   مسجد البديع / فاعل خير .</t>
  </si>
  <si>
    <t>KFM2020660047681</t>
  </si>
  <si>
    <t>مسجدوالدة  موسى       القباع .</t>
  </si>
  <si>
    <t>KFM2020660042269</t>
  </si>
  <si>
    <t xml:space="preserve">   مسجد رقم2 بالمخطط 906 حي الأندلس .</t>
  </si>
  <si>
    <t>AES2020896529528</t>
  </si>
  <si>
    <t>مسجد ابراهيم  المزروع .</t>
  </si>
  <si>
    <t>KFM2020760000605</t>
  </si>
  <si>
    <t xml:space="preserve">     مسجد      عثمان    -3 .</t>
  </si>
  <si>
    <t>SMR2020850093220</t>
  </si>
  <si>
    <t>KFM2020660057027</t>
  </si>
  <si>
    <t>4 مسجدحمدالقحطانى (بحى  العريجاءبلك .</t>
  </si>
  <si>
    <t>KFM2020660203502</t>
  </si>
  <si>
    <t xml:space="preserve">   مسجد وزارة الشؤن الا سلامية .</t>
  </si>
  <si>
    <t>KFM2020660173119</t>
  </si>
  <si>
    <t>KFM2020760202559</t>
  </si>
  <si>
    <t xml:space="preserve">    مسجد الطواله .</t>
  </si>
  <si>
    <t>KFM2120660280222</t>
  </si>
  <si>
    <t>KFM2120660272127</t>
  </si>
  <si>
    <t>KFM2120660283883</t>
  </si>
  <si>
    <t>LYE2020810249104</t>
  </si>
  <si>
    <t xml:space="preserve">   مسجد      صالح      العبدلى .</t>
  </si>
  <si>
    <t>KFM2020660054247</t>
  </si>
  <si>
    <t>KFM2020660038691</t>
  </si>
  <si>
    <t xml:space="preserve">   مسجد حي المغرزات .</t>
  </si>
  <si>
    <t>KFM2020660189288</t>
  </si>
  <si>
    <t xml:space="preserve">   مسجد / علي فهد الهزاع .</t>
  </si>
  <si>
    <t>KFM2020660053262</t>
  </si>
  <si>
    <t xml:space="preserve">   مسجد/ معاذ بن جبل .</t>
  </si>
  <si>
    <t>KFM2020660124253</t>
  </si>
  <si>
    <t xml:space="preserve">   مسجد عبدالعزيز بن باز .</t>
  </si>
  <si>
    <t>KFM2020660191855</t>
  </si>
  <si>
    <t>KFM2020660156156</t>
  </si>
  <si>
    <t>KFM2020660054443</t>
  </si>
  <si>
    <t xml:space="preserve">   مسجد الماضي / حي السليمانيه .</t>
  </si>
  <si>
    <t>KFM2020660169597</t>
  </si>
  <si>
    <t xml:space="preserve">   مسجدسليمان الحماد .</t>
  </si>
  <si>
    <t>KFM2020660211464</t>
  </si>
  <si>
    <t>المسجدالموءقت حى  الزهرة .</t>
  </si>
  <si>
    <t>KFM2020660044112</t>
  </si>
  <si>
    <t xml:space="preserve">   مسجدالتقوى .</t>
  </si>
  <si>
    <t>KFM2120660260370</t>
  </si>
  <si>
    <t>KFM2120655002507</t>
  </si>
  <si>
    <t>KFM2020660031970</t>
  </si>
  <si>
    <t xml:space="preserve">   اوقاف     القويعيه  القويعيه .</t>
  </si>
  <si>
    <t>AEC2020830324516</t>
  </si>
  <si>
    <t xml:space="preserve">   مسجد/روابينجد الغربيالقحطاني .</t>
  </si>
  <si>
    <t>AES2020896461564</t>
  </si>
  <si>
    <t>KFM2020660040847</t>
  </si>
  <si>
    <t>جامع العشري ( عشيرة ) .</t>
  </si>
  <si>
    <t>KFM2020766062239</t>
  </si>
  <si>
    <t xml:space="preserve">      مـسـجـد سعد الشنيفى .</t>
  </si>
  <si>
    <t>MMF2020801021626</t>
  </si>
  <si>
    <t xml:space="preserve">   مسجد/ نادر حصين نادر .</t>
  </si>
  <si>
    <t>AEC2020830311389</t>
  </si>
  <si>
    <t xml:space="preserve">   مسجد      الفصام .</t>
  </si>
  <si>
    <t>KFM2020660025588</t>
  </si>
  <si>
    <t>مسجد ام رضمه .</t>
  </si>
  <si>
    <t>AEC2020830323445</t>
  </si>
  <si>
    <t xml:space="preserve">   مسجدالجامع الجديدبالملز .</t>
  </si>
  <si>
    <t>KFM2020660229334</t>
  </si>
  <si>
    <t>SMR2220661018938</t>
  </si>
  <si>
    <t xml:space="preserve">   أوقاف الزلفي مسجدالرحماء .</t>
  </si>
  <si>
    <t>KFM2020766133308</t>
  </si>
  <si>
    <t>مسجد /الصوينع بحي بدر .</t>
  </si>
  <si>
    <t>KFM2020660198449</t>
  </si>
  <si>
    <t>مسجد حى  النزهه .</t>
  </si>
  <si>
    <t>KFM2020660203892</t>
  </si>
  <si>
    <t xml:space="preserve">   مسجد ربيعة بن عبدالرحمن 86 .</t>
  </si>
  <si>
    <t>KFM2020760005566</t>
  </si>
  <si>
    <t xml:space="preserve">       جامع البصري .</t>
  </si>
  <si>
    <t>KFM2020660210948</t>
  </si>
  <si>
    <t xml:space="preserve">   مسجد      الرضوان   الرضوان .</t>
  </si>
  <si>
    <t>KFM2020660170817</t>
  </si>
  <si>
    <t xml:space="preserve">   مسجد      ركيب      الكود .</t>
  </si>
  <si>
    <t>KFM2020660042412</t>
  </si>
  <si>
    <t>KFM2120660240913</t>
  </si>
  <si>
    <t xml:space="preserve">   مسجد بن لادن 5/3191</t>
  </si>
  <si>
    <t>KFM2020660054062</t>
  </si>
  <si>
    <t xml:space="preserve">  اوقاف القويعيه/ مسجد هجره الزباره .</t>
  </si>
  <si>
    <t>KFM2020660124284</t>
  </si>
  <si>
    <t xml:space="preserve">   اوقاف القويعيه مسجد جامع قيران .</t>
  </si>
  <si>
    <t>SMR2320661028083</t>
  </si>
  <si>
    <t>SMR2320661032955</t>
  </si>
  <si>
    <t xml:space="preserve">   اوقاف القويعيه مسجدبن عباس .</t>
  </si>
  <si>
    <t>KFM2020660190683</t>
  </si>
  <si>
    <t xml:space="preserve">   مسجد/سعد مغيدن .</t>
  </si>
  <si>
    <t>AES2020896466515</t>
  </si>
  <si>
    <t xml:space="preserve">   اوقاف الرين مسجد الضيغمية .</t>
  </si>
  <si>
    <t>KFM2020766167726</t>
  </si>
  <si>
    <t xml:space="preserve">   مسجد رياض الصالحين .</t>
  </si>
  <si>
    <t>KFM2020660191848</t>
  </si>
  <si>
    <t xml:space="preserve">   مسجد ال صهيب ـ اوقاف الدواسر .</t>
  </si>
  <si>
    <t>KFM2020760212284</t>
  </si>
  <si>
    <t xml:space="preserve">      مسجد السليمانيه بالصحنه .</t>
  </si>
  <si>
    <t>KFM2020760006601</t>
  </si>
  <si>
    <t>مسجد/ الامير سلمان .</t>
  </si>
  <si>
    <t>KFM2020660023516</t>
  </si>
  <si>
    <t xml:space="preserve">   مسجد      جامع      الحدباء .</t>
  </si>
  <si>
    <t>KFM2020766086281</t>
  </si>
  <si>
    <t>KFM2120660255595</t>
  </si>
  <si>
    <t>KFM2020760087393</t>
  </si>
  <si>
    <t>SMR2220661004233</t>
  </si>
  <si>
    <t xml:space="preserve">   مسجد النهاري .</t>
  </si>
  <si>
    <t>KFM2020660029795</t>
  </si>
  <si>
    <t xml:space="preserve">      مسجد بنهريس .</t>
  </si>
  <si>
    <t>AES2020896527388</t>
  </si>
  <si>
    <t xml:space="preserve">   مسجد سفيان بن عون .</t>
  </si>
  <si>
    <t>KFM2120660305454</t>
  </si>
  <si>
    <t xml:space="preserve">    مسجد جامع ال حنيش /اوقاف السليل .</t>
  </si>
  <si>
    <t>KFM2120660271463</t>
  </si>
  <si>
    <t>مسجد      قاعدالحارثي .</t>
  </si>
  <si>
    <t>KFM2020660175003</t>
  </si>
  <si>
    <t xml:space="preserve">      مسجد سعود الشنيفى .</t>
  </si>
  <si>
    <t>KFM2020766147247</t>
  </si>
  <si>
    <t>ECC2420841052483</t>
  </si>
  <si>
    <t xml:space="preserve">   مسجد محمد سيف اوقاف المزاحمية .</t>
  </si>
  <si>
    <t>AES2020896471717</t>
  </si>
  <si>
    <t xml:space="preserve">   مسجدصناعيةالفهدوالفوزان/محمدبيشي .</t>
  </si>
  <si>
    <t>ECC2020810768059</t>
  </si>
  <si>
    <t>MMF2020800111745</t>
  </si>
  <si>
    <t>AES2120896547500</t>
  </si>
  <si>
    <t>ﺍﻭﻗﺎﻑ ﻭﻤﺴـﺎﺠﺩﺍﻟﻐﺎﻁ .</t>
  </si>
  <si>
    <t>AES2020896455359</t>
  </si>
  <si>
    <t xml:space="preserve">   مسجد بن كثير .</t>
  </si>
  <si>
    <t>KFM2020660170159</t>
  </si>
  <si>
    <t>SMR2420868018383</t>
  </si>
  <si>
    <t>KFM2020660172901</t>
  </si>
  <si>
    <t xml:space="preserve">   مسجد محمدالغيث مع سكن الامام .</t>
  </si>
  <si>
    <t>KFM2020660061536</t>
  </si>
  <si>
    <t xml:space="preserve">   مســجد/عبدالله الانصاري .</t>
  </si>
  <si>
    <t>KFM2120660264317</t>
  </si>
  <si>
    <t>MMF2420601023678</t>
  </si>
  <si>
    <t xml:space="preserve">   اوقاف الزلفى مسجدالدريبى .</t>
  </si>
  <si>
    <t>KFM2020660192478</t>
  </si>
  <si>
    <t>MMF2020800321889</t>
  </si>
  <si>
    <t>KFM2020660012606</t>
  </si>
  <si>
    <t>KFM2020660208848</t>
  </si>
  <si>
    <t xml:space="preserve">   مسجد الخريف .</t>
  </si>
  <si>
    <t>KFM2020760210474</t>
  </si>
  <si>
    <t>KFM2020660191365</t>
  </si>
  <si>
    <t xml:space="preserve">   مسجد حى النظيم .</t>
  </si>
  <si>
    <t>ECC2020811050261</t>
  </si>
  <si>
    <t>KFM2020660050757</t>
  </si>
  <si>
    <t xml:space="preserve">   مسجد عائشة بنت الصديق .</t>
  </si>
  <si>
    <t>KFM2020660208356</t>
  </si>
  <si>
    <t>SMR2120765017371</t>
  </si>
  <si>
    <t xml:space="preserve">    مسجد الشوكاني بحي الصديق .</t>
  </si>
  <si>
    <t>KFM2020660160315</t>
  </si>
  <si>
    <t>مسجد عتيقه .</t>
  </si>
  <si>
    <t>KFM2020660202631</t>
  </si>
  <si>
    <t>MMF2420601023705</t>
  </si>
  <si>
    <t>وزارة الشؤونوالاوقاف  مسجدالاميرتركي .</t>
  </si>
  <si>
    <t>KFM2020660201630</t>
  </si>
  <si>
    <t>مسجد ملفي شميس  السميري .</t>
  </si>
  <si>
    <t>KFM2020766093689</t>
  </si>
  <si>
    <t>مسجد / حي الديراب .</t>
  </si>
  <si>
    <t>KFM2020660191331</t>
  </si>
  <si>
    <t xml:space="preserve">   مـسـجـد المخطط ـ395ـ .</t>
  </si>
  <si>
    <t>AES2020896468770</t>
  </si>
  <si>
    <t xml:space="preserve">   مسجدعميربن ابي وقا ص .</t>
  </si>
  <si>
    <t>KFM2020660197637</t>
  </si>
  <si>
    <t xml:space="preserve">   مسجد حديقة الحى الجنوبى .</t>
  </si>
  <si>
    <t>KFM2020660207352</t>
  </si>
  <si>
    <t xml:space="preserve">    مسجدالمدالله .</t>
  </si>
  <si>
    <t>KFM2020766167891</t>
  </si>
  <si>
    <t>مسجد عمر بن جغيمان .</t>
  </si>
  <si>
    <t>KFM2020660056088</t>
  </si>
  <si>
    <t>أوقاف ومساجد .</t>
  </si>
  <si>
    <t>AEC2020830550385</t>
  </si>
  <si>
    <t>مسجدالامير عبدالرحمن بن عبدالله .</t>
  </si>
  <si>
    <t>KFM2020660051562</t>
  </si>
  <si>
    <t xml:space="preserve">   مسجد طارق ابن زياد .</t>
  </si>
  <si>
    <t>KFM2020660104316</t>
  </si>
  <si>
    <t xml:space="preserve">   مسجدرقم-3-مخطط-518-بالرحبه .</t>
  </si>
  <si>
    <t>KFM2020766154182</t>
  </si>
  <si>
    <t xml:space="preserve">   مسجد صالح الأطرم .</t>
  </si>
  <si>
    <t>KFM2020660132578</t>
  </si>
  <si>
    <t>وزارةالأ وقاف اوقاف الرويضه .</t>
  </si>
  <si>
    <t>KFM2020766133911</t>
  </si>
  <si>
    <t xml:space="preserve">   مسجد/الانصار .</t>
  </si>
  <si>
    <t>KFM2020660204406</t>
  </si>
  <si>
    <t xml:space="preserve">   مسجد      رقم 37    بلمجمعه .</t>
  </si>
  <si>
    <t>KFM2020760115587</t>
  </si>
  <si>
    <t>DZG2020890002890</t>
  </si>
  <si>
    <t xml:space="preserve">   مسجد السنانى .</t>
  </si>
  <si>
    <t>KFM2020660049812</t>
  </si>
  <si>
    <t xml:space="preserve">   مسجد/الملك عبدالعزيز بالسحيمي .</t>
  </si>
  <si>
    <t>KFM2020660209900</t>
  </si>
  <si>
    <t>KFM2020660104181</t>
  </si>
  <si>
    <t>مسجد الحكير .</t>
  </si>
  <si>
    <t>KFM2020766093983</t>
  </si>
  <si>
    <t xml:space="preserve">  مسجد  الثمريه   الفيصل .</t>
  </si>
  <si>
    <t>KFM2020660013843</t>
  </si>
  <si>
    <t xml:space="preserve">   اوقاف     الدواسر   ال مجدل .</t>
  </si>
  <si>
    <t>KFM2020760210271</t>
  </si>
  <si>
    <t xml:space="preserve">   اوقاف الدواسر/ جامع المخطط .</t>
  </si>
  <si>
    <t>KFM2020660212731</t>
  </si>
  <si>
    <t xml:space="preserve">      مسجد شمال مخطط العوده .</t>
  </si>
  <si>
    <t>KFM2020766145757</t>
  </si>
  <si>
    <t>KFM2120660299461</t>
  </si>
  <si>
    <t xml:space="preserve">   اوقاف القويعيه /مسجدهجرةالعين .</t>
  </si>
  <si>
    <t>AES2020896296469</t>
  </si>
  <si>
    <t xml:space="preserve"> مسجدالامير/بندر بن محمد بن عبدالعزيز .</t>
  </si>
  <si>
    <t>KFM2020660210765</t>
  </si>
  <si>
    <t xml:space="preserve">   مسجدعبدالعزيزالعلى القيص .</t>
  </si>
  <si>
    <t>KFM2020660039561</t>
  </si>
  <si>
    <t>مسجد مخطط الرابع  عشر .</t>
  </si>
  <si>
    <t>KFM2020660203600</t>
  </si>
  <si>
    <t>مساجد الشهداء .</t>
  </si>
  <si>
    <t>KFM2020660176045</t>
  </si>
  <si>
    <t>KFM2020660040804</t>
  </si>
  <si>
    <t xml:space="preserve">   مسجد سعود السبيعي .</t>
  </si>
  <si>
    <t>KFM2020660167819</t>
  </si>
  <si>
    <t xml:space="preserve">      مسجد الخزيم .</t>
  </si>
  <si>
    <t>KFM2020766075883</t>
  </si>
  <si>
    <t>KFM2020660187586</t>
  </si>
  <si>
    <t>KFM2120660276279</t>
  </si>
  <si>
    <t xml:space="preserve">   مسجد غرب الريان .</t>
  </si>
  <si>
    <t>KFM2020660166497</t>
  </si>
  <si>
    <t>KFM2120660240455</t>
  </si>
  <si>
    <t xml:space="preserve">   مسجد زمزم .</t>
  </si>
  <si>
    <t>KFM2020660046040</t>
  </si>
  <si>
    <t xml:space="preserve">    ادارةاوقاف مسجدالأنصار بالأحمر .</t>
  </si>
  <si>
    <t>AES2120896543627</t>
  </si>
  <si>
    <t xml:space="preserve">   وزارة الشئون الاسلاميه مسجد المقيط .</t>
  </si>
  <si>
    <t>KFM2120660262374</t>
  </si>
  <si>
    <t xml:space="preserve">   مسجد / عبيد عبدالله .</t>
  </si>
  <si>
    <t>KFM2120660248341</t>
  </si>
  <si>
    <t xml:space="preserve">   مسجد حي المرسلات/صالح الراجحي .</t>
  </si>
  <si>
    <t>KFM2020660201971</t>
  </si>
  <si>
    <t>مسجد الصديق .</t>
  </si>
  <si>
    <t>KFM2020660203730</t>
  </si>
  <si>
    <t xml:space="preserve">    مسجد عبدالمحسن خميس  جابرالعصيمى .</t>
  </si>
  <si>
    <t>SMR2020850108738</t>
  </si>
  <si>
    <t>مسجد خبيب  بن عدي .</t>
  </si>
  <si>
    <t>KFM2020660191096</t>
  </si>
  <si>
    <t xml:space="preserve">   مسجدراجح  محمد      السبيعى .</t>
  </si>
  <si>
    <t>AES2120896563705</t>
  </si>
  <si>
    <t>مسجد ظهره  البديعه .</t>
  </si>
  <si>
    <t>KFM2120660295178</t>
  </si>
  <si>
    <t xml:space="preserve">   مسجد حي  القادسيه .</t>
  </si>
  <si>
    <t>KFM2020660060689</t>
  </si>
  <si>
    <t>KFM2020660197174</t>
  </si>
  <si>
    <t>KFM2020660174867</t>
  </si>
  <si>
    <t>KFM2120660254668</t>
  </si>
  <si>
    <t xml:space="preserve">   مسجدعلي الحمران .</t>
  </si>
  <si>
    <t>KFM2020660135337</t>
  </si>
  <si>
    <t>مسجد قتيبه  بن مسلم .</t>
  </si>
  <si>
    <t>KFM2020660096106</t>
  </si>
  <si>
    <t xml:space="preserve">      مسجد العزيزيه .</t>
  </si>
  <si>
    <t>AES2020896269460</t>
  </si>
  <si>
    <t>KFM2020660170105</t>
  </si>
  <si>
    <t xml:space="preserve">   مسجد      النداح    //////// .</t>
  </si>
  <si>
    <t>KFM2020760082761</t>
  </si>
  <si>
    <t xml:space="preserve">   مسجدالشيخ محمد      بمخطط السدير .</t>
  </si>
  <si>
    <t>KFM2020660200303</t>
  </si>
  <si>
    <t xml:space="preserve">   مسجد      الا برار   . .</t>
  </si>
  <si>
    <t>KFM2020766086226</t>
  </si>
  <si>
    <t xml:space="preserve">   مسجدحي الصحافه .</t>
  </si>
  <si>
    <t>KFM2020660104308</t>
  </si>
  <si>
    <t>SMR2220621001847</t>
  </si>
  <si>
    <t xml:space="preserve">   المسجد الكبير بالعذار .</t>
  </si>
  <si>
    <t>KFM2020660228375</t>
  </si>
  <si>
    <t>KFM2120660242067</t>
  </si>
  <si>
    <t>KFM2020660049603</t>
  </si>
  <si>
    <t>KFM2120660262531</t>
  </si>
  <si>
    <t xml:space="preserve">   مسجد حمد السعيدان .</t>
  </si>
  <si>
    <t>KFM2020660190484</t>
  </si>
  <si>
    <t>مسجد في حي العريجاء .</t>
  </si>
  <si>
    <t>KFM2020660053863</t>
  </si>
  <si>
    <t>مسجد ال  عبدالله .</t>
  </si>
  <si>
    <t>KFM2020660039913</t>
  </si>
  <si>
    <t>مسجد في حي الحزم .</t>
  </si>
  <si>
    <t>KFM2020660027278</t>
  </si>
  <si>
    <t xml:space="preserve">   مسجد علي الهزاع .</t>
  </si>
  <si>
    <t>KFM2020660036441</t>
  </si>
  <si>
    <t xml:space="preserve">   جامع  صبحاء .</t>
  </si>
  <si>
    <t>KFM2120660252107</t>
  </si>
  <si>
    <t xml:space="preserve">   مسجد اباحسين .</t>
  </si>
  <si>
    <t>AES2120896548284</t>
  </si>
  <si>
    <t>KFM2020660124256</t>
  </si>
  <si>
    <t>مسجد      .         شلاله .</t>
  </si>
  <si>
    <t>KFM2020660098908</t>
  </si>
  <si>
    <t xml:space="preserve">   مسجدالا    حسان مع   والمؤذن .</t>
  </si>
  <si>
    <t>KFM2020660057018</t>
  </si>
  <si>
    <t>KFM2120660236484</t>
  </si>
  <si>
    <t>KFM2020660188204</t>
  </si>
  <si>
    <t>KFM2020660203557</t>
  </si>
  <si>
    <t xml:space="preserve">      مسجد عوامه .</t>
  </si>
  <si>
    <t>KFM2020660167685</t>
  </si>
  <si>
    <t xml:space="preserve">   اوقاف الخرج / مسجد نعجان .</t>
  </si>
  <si>
    <t>KFM2020660212384</t>
  </si>
  <si>
    <t xml:space="preserve">      مسجد الاخضر .</t>
  </si>
  <si>
    <t>KFM2020660229563</t>
  </si>
  <si>
    <t xml:space="preserve">   مدرسه تحفيظ القران الكريم 0التاب .</t>
  </si>
  <si>
    <t>MMF2020800275858</t>
  </si>
  <si>
    <t xml:space="preserve">   مسجدصاحب السموالملكي ولي العهد .</t>
  </si>
  <si>
    <t>KFM2120660299441</t>
  </si>
  <si>
    <t xml:space="preserve">   مسجد حي العثمان الغربي .</t>
  </si>
  <si>
    <t>KFM2020660199745</t>
  </si>
  <si>
    <t>DZG2020890011540</t>
  </si>
  <si>
    <t>مسجد      .         بن عياف .</t>
  </si>
  <si>
    <t>KFM2020660201739</t>
  </si>
  <si>
    <t>KFM2020760131121</t>
  </si>
  <si>
    <t xml:space="preserve">   مسجدسعودالطيار .</t>
  </si>
  <si>
    <t>KFM2020660110706</t>
  </si>
  <si>
    <t>MMF2420601024752</t>
  </si>
  <si>
    <t xml:space="preserve">   مسجد      المونسيه .</t>
  </si>
  <si>
    <t>KFM2120655004385</t>
  </si>
  <si>
    <t>MMF2420601015930</t>
  </si>
  <si>
    <t>SMR2420868091978</t>
  </si>
  <si>
    <t xml:space="preserve">     مسجد محمد العلى الداوود بالحزم .</t>
  </si>
  <si>
    <t>KFM2020760207757</t>
  </si>
  <si>
    <t>MMF2020801020557</t>
  </si>
  <si>
    <t>KFM2120660299140</t>
  </si>
  <si>
    <t xml:space="preserve">   مسجد المحرق  عيد مسعود القحطاني .</t>
  </si>
  <si>
    <t>KFM2020766077198</t>
  </si>
  <si>
    <t>KFM2020660139773</t>
  </si>
  <si>
    <t xml:space="preserve">         مسجد الصالح بحي الوادي .</t>
  </si>
  <si>
    <t>KFM2020660191931</t>
  </si>
  <si>
    <t>AEC2020830301620</t>
  </si>
  <si>
    <t>مسجد الاميرة  الجوهرة  بنتعبدالعزيز .</t>
  </si>
  <si>
    <t>KFM2020660051626</t>
  </si>
  <si>
    <t>مسجدمحمدسعدالمهنا .</t>
  </si>
  <si>
    <t>KFM2020660098924</t>
  </si>
  <si>
    <t xml:space="preserve">    مسجدعبدالكريم البدر .</t>
  </si>
  <si>
    <t>KFM2020660201491</t>
  </si>
  <si>
    <t xml:space="preserve">   مسجد/ حي الخليج .</t>
  </si>
  <si>
    <t>KFM2020660047147</t>
  </si>
  <si>
    <t xml:space="preserve">   مسجدسعودالكبير .</t>
  </si>
  <si>
    <t>KFM2020660047751</t>
  </si>
  <si>
    <t xml:space="preserve">   مسجد أبوبكر الصديق .</t>
  </si>
  <si>
    <t>KFM2120660271669</t>
  </si>
  <si>
    <t xml:space="preserve">   جامع  الربوة .</t>
  </si>
  <si>
    <t>AEC2020830570126</t>
  </si>
  <si>
    <t xml:space="preserve">   مسجد / ال حميدان بصبحاء .</t>
  </si>
  <si>
    <t>KFM2020766077173</t>
  </si>
  <si>
    <t>مسجد /عبدالعزيز بن حلوان .</t>
  </si>
  <si>
    <t>KFM2020660202581</t>
  </si>
  <si>
    <t>مسجد البرا بن مالك .</t>
  </si>
  <si>
    <t>KFM2020660054321</t>
  </si>
  <si>
    <t>جامع ناصر السهو ( عشيرة ) .</t>
  </si>
  <si>
    <t>KFM2020660150034</t>
  </si>
  <si>
    <t>KFM2020660192577</t>
  </si>
  <si>
    <t>ﻭﺯﺍﺭﺓﺍﻟﺒﻟﺩﻴﺎﺕ ﻡﻗﺭﻭﻱ ﺍﻟﺠﻤﺵ .</t>
  </si>
  <si>
    <t>ECC2320831055389</t>
  </si>
  <si>
    <t xml:space="preserve">   مسجد حي ظهرة لبن .</t>
  </si>
  <si>
    <t>KFM2020660211325</t>
  </si>
  <si>
    <t>MMF2020800188550</t>
  </si>
  <si>
    <t xml:space="preserve">   مسجد جنوب بندةالعلياء .</t>
  </si>
  <si>
    <t>KFM2020660051326</t>
  </si>
  <si>
    <t>مسجد حي الغربي  مسجد الانصار .</t>
  </si>
  <si>
    <t>KFM2020660200403</t>
  </si>
  <si>
    <t>KFM2020660057024</t>
  </si>
  <si>
    <t xml:space="preserve">   مسجد      ام سعد    نوارة .</t>
  </si>
  <si>
    <t>KFM2020660209328</t>
  </si>
  <si>
    <t>KFM2020660042058</t>
  </si>
  <si>
    <t xml:space="preserve">   مسجد حي الورود-والدة عمر الحارثي .</t>
  </si>
  <si>
    <t>KFM2120660272974</t>
  </si>
  <si>
    <t>مسجد الجار الله .</t>
  </si>
  <si>
    <t>KFM2120660301502</t>
  </si>
  <si>
    <t xml:space="preserve">   مسجد باحمدان .</t>
  </si>
  <si>
    <t>KFM2020660227212</t>
  </si>
  <si>
    <t>KFM2020660123166</t>
  </si>
  <si>
    <t xml:space="preserve">   مسجد الامام احمد بن حنبل .</t>
  </si>
  <si>
    <t>KFM2020660162948</t>
  </si>
  <si>
    <t>KFM2120660248189</t>
  </si>
  <si>
    <t>KFM2020660193329</t>
  </si>
  <si>
    <t xml:space="preserve">   وزارة     الشئون    والاوقاف .</t>
  </si>
  <si>
    <t>KFM2020660190489</t>
  </si>
  <si>
    <t>KFM2020660019492</t>
  </si>
  <si>
    <t xml:space="preserve">   مسجد طوى .</t>
  </si>
  <si>
    <t>KFM2020660057980</t>
  </si>
  <si>
    <t>KFM2020660187657</t>
  </si>
  <si>
    <t xml:space="preserve">   مسجد حله الغدير الجنوبى .</t>
  </si>
  <si>
    <t>AES2020896527110</t>
  </si>
  <si>
    <t xml:space="preserve">   مسجد      حي       الخليج .</t>
  </si>
  <si>
    <t>KFM2020660047189</t>
  </si>
  <si>
    <t>AES2120896575866</t>
  </si>
  <si>
    <t xml:space="preserve">   اوقاف القويعيه/جامع حفيرا صماخ .</t>
  </si>
  <si>
    <t>KFM2020766155820</t>
  </si>
  <si>
    <t>GTR2420895401548</t>
  </si>
  <si>
    <t>KFM2020660201228</t>
  </si>
  <si>
    <t xml:space="preserve">   مسجد   حي   قرطبه .</t>
  </si>
  <si>
    <t>KFM2020660046495</t>
  </si>
  <si>
    <t xml:space="preserve">    المـسجـد رقم واحد بالمخطط428/ .</t>
  </si>
  <si>
    <t>AES2020896535498</t>
  </si>
  <si>
    <t>AEC2020830265632</t>
  </si>
  <si>
    <t xml:space="preserve">   مسجد الهزاعيه المؤقت .</t>
  </si>
  <si>
    <t>LYE2020810185640</t>
  </si>
  <si>
    <t xml:space="preserve">   مسجدمعن بن زائدة .</t>
  </si>
  <si>
    <t>KFM2120660235628</t>
  </si>
  <si>
    <t>مسجد بن سلامه .</t>
  </si>
  <si>
    <t>SMR2220661000466</t>
  </si>
  <si>
    <t xml:space="preserve">   جامع العب الكبير .</t>
  </si>
  <si>
    <t>KFM2020660153706</t>
  </si>
  <si>
    <t>SMR2420661036137</t>
  </si>
  <si>
    <t xml:space="preserve">   مسجد حي السعاده 6/3483</t>
  </si>
  <si>
    <t>KFM2120660257700</t>
  </si>
  <si>
    <t>SMR2320661021148</t>
  </si>
  <si>
    <t xml:space="preserve">   مسجد/ تركى  سداح  محيا .</t>
  </si>
  <si>
    <t>KFM2020766077147</t>
  </si>
  <si>
    <t>مسجد      حي    الشفاء .</t>
  </si>
  <si>
    <t>KFM2020660045030</t>
  </si>
  <si>
    <t xml:space="preserve">   مسجد  محمد  ابراهيم  آل شيخ .</t>
  </si>
  <si>
    <t>KFM2020660190997</t>
  </si>
  <si>
    <t>KFM2020660201690</t>
  </si>
  <si>
    <t xml:space="preserve">   مسجد/ عبدالرحمن السعيدان .</t>
  </si>
  <si>
    <t>AEC2020720017647</t>
  </si>
  <si>
    <t xml:space="preserve">   مسجد      ابراهيم   . .</t>
  </si>
  <si>
    <t>KFM2020660201440</t>
  </si>
  <si>
    <t xml:space="preserve">   مسجد ربيعه بن كعب .</t>
  </si>
  <si>
    <t>KFM2020760011541</t>
  </si>
  <si>
    <t>مسجد      محمد      بن تركي .</t>
  </si>
  <si>
    <t>KFM2020660202491</t>
  </si>
  <si>
    <t>1  مسجد بحي العريجا مخطط 2008بلك .</t>
  </si>
  <si>
    <t>KFM2020660164332</t>
  </si>
  <si>
    <t xml:space="preserve">   مسجد محمد عبدالرازق .</t>
  </si>
  <si>
    <t>KFM2020760202519</t>
  </si>
  <si>
    <t xml:space="preserve">   مسجد الجميح .</t>
  </si>
  <si>
    <t>KFM2020660012494</t>
  </si>
  <si>
    <t xml:space="preserve">   مـسـجـد الخزان .</t>
  </si>
  <si>
    <t>KFM2020660223790</t>
  </si>
  <si>
    <t xml:space="preserve">   مكتب      الاوقاف    حى الداخله .</t>
  </si>
  <si>
    <t>SMR2020856119299</t>
  </si>
  <si>
    <t xml:space="preserve">   مـسجـدالحزمبسويدان/الحج الاوقاف .</t>
  </si>
  <si>
    <t>AES2120896543379</t>
  </si>
  <si>
    <t>KFM2020660061159</t>
  </si>
  <si>
    <t>مسجد      جامع      السويدي .</t>
  </si>
  <si>
    <t>KFM2020660054935</t>
  </si>
  <si>
    <t>AES2120896608685</t>
  </si>
  <si>
    <t>KFM2020660175811</t>
  </si>
  <si>
    <t>مسجد الشيخ  عبدالله  بن عقيل .</t>
  </si>
  <si>
    <t>KFM2020660038572</t>
  </si>
  <si>
    <t xml:space="preserve">   مسجد حى الحمراء .</t>
  </si>
  <si>
    <t>KFM2020660052621</t>
  </si>
  <si>
    <t>KFM2020660046549</t>
  </si>
  <si>
    <t xml:space="preserve">   جامع مخطط 366 رقم ـ1ـ .</t>
  </si>
  <si>
    <t>KFM2020660161321</t>
  </si>
  <si>
    <t xml:space="preserve">   مسجدحي حطين .</t>
  </si>
  <si>
    <t>KFM2020660208991</t>
  </si>
  <si>
    <t xml:space="preserve">   مسجدابن شفلوت .</t>
  </si>
  <si>
    <t>KFM2120660276277</t>
  </si>
  <si>
    <t>مسجد بن عياف .</t>
  </si>
  <si>
    <t>KFM2020660054968</t>
  </si>
  <si>
    <t xml:space="preserve">   اوقاف الخرج / مسجد عبدالعزيزالشد .</t>
  </si>
  <si>
    <t>KFM2120660260570</t>
  </si>
  <si>
    <t xml:space="preserve">   مسجد شرق الاسكان .</t>
  </si>
  <si>
    <t>KFM2020660224474</t>
  </si>
  <si>
    <t>KFM2020660192196</t>
  </si>
  <si>
    <t>KFM2020660195830</t>
  </si>
  <si>
    <t xml:space="preserve">   ادرةاوقاف(مسجد ال شبيب بالبديع ) .</t>
  </si>
  <si>
    <t>KFM2020766167933</t>
  </si>
  <si>
    <t>KFM2020660053527</t>
  </si>
  <si>
    <t>KFM2120660303311</t>
  </si>
  <si>
    <t xml:space="preserve">   مسجد حى النهضه بحوطة سدير .</t>
  </si>
  <si>
    <t>AES2120896545394</t>
  </si>
  <si>
    <t xml:space="preserve">   مسجد حاره خالد .</t>
  </si>
  <si>
    <t>KFM2120660250004</t>
  </si>
  <si>
    <t xml:space="preserve">   مسجد ال حميضان رقم 2 .</t>
  </si>
  <si>
    <t>KFM2020760208595</t>
  </si>
  <si>
    <t>KFM2120660238351</t>
  </si>
  <si>
    <t xml:space="preserve">   مسجد حسن البصري .</t>
  </si>
  <si>
    <t>KFM2020660091682</t>
  </si>
  <si>
    <t>AES2020896430955</t>
  </si>
  <si>
    <t>مسجد مريم  بنت  عبد  الله  بن  حسن .</t>
  </si>
  <si>
    <t>KFM2020660007932</t>
  </si>
  <si>
    <t xml:space="preserve">   جامع الامير/سعد بن تركي .</t>
  </si>
  <si>
    <t>KFM2020660170637</t>
  </si>
  <si>
    <t>مسجد   عبدالكريم     الخراشي .</t>
  </si>
  <si>
    <t>KFM2020660153002</t>
  </si>
  <si>
    <t>KFM2020660056807</t>
  </si>
  <si>
    <t xml:space="preserve">   مسجد جامع حلة القصمان .</t>
  </si>
  <si>
    <t>KFM2120660301538</t>
  </si>
  <si>
    <t>مسجد وزاره  الشئون الاسلاميه .</t>
  </si>
  <si>
    <t>KFM2120660284006</t>
  </si>
  <si>
    <t xml:space="preserve">      مسجد الشيخ عبدالله ابوزيد .</t>
  </si>
  <si>
    <t>KFM2020660189738</t>
  </si>
  <si>
    <t xml:space="preserve">   مسجد ابي سعيد الخدري .</t>
  </si>
  <si>
    <t>KFM2120660266820</t>
  </si>
  <si>
    <t>KFM2020660061252</t>
  </si>
  <si>
    <t>مسجد الشيخ عبدالرحمن الراشد .</t>
  </si>
  <si>
    <t>KFM2020660203291</t>
  </si>
  <si>
    <t xml:space="preserve">    مسجدحي الدوائر الجديدبليلي .</t>
  </si>
  <si>
    <t>KFM2120660252709</t>
  </si>
  <si>
    <t>.     مسجد      الفصام .</t>
  </si>
  <si>
    <t>KFM2020660038647</t>
  </si>
  <si>
    <t>SMR2220621000847</t>
  </si>
  <si>
    <t>KFM2020660171435</t>
  </si>
  <si>
    <t>KFM2020660171572</t>
  </si>
  <si>
    <t>وزارةالا وقاف اوقاف الدوادمي .</t>
  </si>
  <si>
    <t>KFM2020760208729</t>
  </si>
  <si>
    <t>KFM2020660040608</t>
  </si>
  <si>
    <t>KFM2020660060113</t>
  </si>
  <si>
    <t>KFM2120660270755</t>
  </si>
  <si>
    <t xml:space="preserve">   مسجدالهاجرى .</t>
  </si>
  <si>
    <t>KFM2020660165379</t>
  </si>
  <si>
    <t>KFM2020660054525</t>
  </si>
  <si>
    <t xml:space="preserve">   مسجدالحصيني .</t>
  </si>
  <si>
    <t>KFM2020660060716</t>
  </si>
  <si>
    <t xml:space="preserve">   مسجدمخطط640 .</t>
  </si>
  <si>
    <t>SMR2020850027944</t>
  </si>
  <si>
    <t xml:space="preserve">   مصلى حديقة غرب المخطط (1057) .</t>
  </si>
  <si>
    <t>KFM2120660264224</t>
  </si>
  <si>
    <t>KFM2120660239276</t>
  </si>
  <si>
    <t>مسجد السويدى .</t>
  </si>
  <si>
    <t>KFM2020660054939</t>
  </si>
  <si>
    <t xml:space="preserve">   جامع      الدخل     بمزعل .</t>
  </si>
  <si>
    <t>KFM2020660234255</t>
  </si>
  <si>
    <t>AES2020896529010</t>
  </si>
  <si>
    <t xml:space="preserve">   مسجد بن القيم .</t>
  </si>
  <si>
    <t>KFM2120660249820</t>
  </si>
  <si>
    <t xml:space="preserve">   مسجد عبدالرحمن الطبيشي .</t>
  </si>
  <si>
    <t>KFM2020660145762</t>
  </si>
  <si>
    <t>KFM2020760058665</t>
  </si>
  <si>
    <t xml:space="preserve">   مسجد بن سمحان - اوفاق القويهيه .</t>
  </si>
  <si>
    <t>AES2020896362394</t>
  </si>
  <si>
    <t>ECC2320831067324</t>
  </si>
  <si>
    <t xml:space="preserve">   مسجدجامع النغر .</t>
  </si>
  <si>
    <t>AES2020896532699</t>
  </si>
  <si>
    <t xml:space="preserve">   مسجد/حي الخليج .</t>
  </si>
  <si>
    <t>KFM2020660193621</t>
  </si>
  <si>
    <t>وقاف ومساجد .</t>
  </si>
  <si>
    <t>KFM2020766091840</t>
  </si>
  <si>
    <t xml:space="preserve">   مسجد جنوب شارع صيته .</t>
  </si>
  <si>
    <t>KFM2020660043573</t>
  </si>
  <si>
    <t>SMR2020865036513</t>
  </si>
  <si>
    <t>KFM2020660150160</t>
  </si>
  <si>
    <t>KFM2120660273712</t>
  </si>
  <si>
    <t>KFM2020660167668</t>
  </si>
  <si>
    <t xml:space="preserve">   مسجد العرباض بن سارية بعلقه .</t>
  </si>
  <si>
    <t>KFM2020660150008</t>
  </si>
  <si>
    <t>مسجد بحي العريجاء .</t>
  </si>
  <si>
    <t>KFM2020660191240</t>
  </si>
  <si>
    <t xml:space="preserve">   مسجد محمد زيد الجويعد .</t>
  </si>
  <si>
    <t>KFM2020660191751</t>
  </si>
  <si>
    <t xml:space="preserve">   جامع عين البراحه .</t>
  </si>
  <si>
    <t>SMR2220661011248</t>
  </si>
  <si>
    <t xml:space="preserve">   مسجد الرا جحي .</t>
  </si>
  <si>
    <t>KFM2120660300422</t>
  </si>
  <si>
    <t xml:space="preserve">   مسجد / حي المشعليه .</t>
  </si>
  <si>
    <t>KFM2120660256188</t>
  </si>
  <si>
    <t xml:space="preserve">   مسجد/عبدالله بن عمر .</t>
  </si>
  <si>
    <t>KFM2020660134538</t>
  </si>
  <si>
    <t>وزاره      الشئون    مسجد ال  مقرن .</t>
  </si>
  <si>
    <t>KFM2020660208077</t>
  </si>
  <si>
    <t>.    مسجد      العريفى .</t>
  </si>
  <si>
    <t>KFM2020660054352</t>
  </si>
  <si>
    <t xml:space="preserve">   مسجد سعود الدوسري 5/3115</t>
  </si>
  <si>
    <t>KFM2120660256925</t>
  </si>
  <si>
    <t>مسجد/الاميرناصربن سعود .</t>
  </si>
  <si>
    <t>KFM2120660295238</t>
  </si>
  <si>
    <t xml:space="preserve">   مسجد عبدالله عمر الجلعود .</t>
  </si>
  <si>
    <t>KFM2020660057978</t>
  </si>
  <si>
    <t>SMR2220761005089</t>
  </si>
  <si>
    <t xml:space="preserve">   مسجد الديريه .</t>
  </si>
  <si>
    <t>KFM2120660241412</t>
  </si>
  <si>
    <t xml:space="preserve">   مسجد/معجب  شمروخ  عجاب .</t>
  </si>
  <si>
    <t>KFM2020766077753</t>
  </si>
  <si>
    <t>MMF2420801312937</t>
  </si>
  <si>
    <t xml:space="preserve">   مسجد السليمانيه ومرافقه .</t>
  </si>
  <si>
    <t>KFM2020660209679</t>
  </si>
  <si>
    <t xml:space="preserve">   مسجد حله القصمان الشرقى .</t>
  </si>
  <si>
    <t>KFM2120660282474</t>
  </si>
  <si>
    <t xml:space="preserve">    مسجد     العقيق    والمؤذن .</t>
  </si>
  <si>
    <t>KFM2020660131342</t>
  </si>
  <si>
    <t xml:space="preserve">   مسجدالملزالجديد .</t>
  </si>
  <si>
    <t>KFM2020660210792</t>
  </si>
  <si>
    <t xml:space="preserve">   مسجد جامع الراجحي .</t>
  </si>
  <si>
    <t>KFM2020660019394</t>
  </si>
  <si>
    <t>داره الا وقاف والمساجد .</t>
  </si>
  <si>
    <t>ECC2020811047120</t>
  </si>
  <si>
    <t xml:space="preserve">   ادارةالاوقاف(مسجدحي الملك فهد367 .</t>
  </si>
  <si>
    <t>KFM2020766114052</t>
  </si>
  <si>
    <t>KFM2020660177124</t>
  </si>
  <si>
    <t xml:space="preserve">    مسجدمصعب بن عميربالسلامية 204 .</t>
  </si>
  <si>
    <t>KFM2020766166045</t>
  </si>
  <si>
    <t>مسجد حى  الشعلان .</t>
  </si>
  <si>
    <t>KFM2020660098822</t>
  </si>
  <si>
    <t>KFM2120660299424</t>
  </si>
  <si>
    <t>KFM2020660193111</t>
  </si>
  <si>
    <t>KFM2020660174818</t>
  </si>
  <si>
    <t>مسجد      ال         التركي .</t>
  </si>
  <si>
    <t>KFM2020660006668</t>
  </si>
  <si>
    <t>مسجد      قتيبة      بن مسلم .</t>
  </si>
  <si>
    <t>KFM2020660096104</t>
  </si>
  <si>
    <t xml:space="preserve">   مسجد هويلة .          . .</t>
  </si>
  <si>
    <t>KFM2020660189662</t>
  </si>
  <si>
    <t xml:space="preserve">   مسجد المثنى بن الحارثه .</t>
  </si>
  <si>
    <t>KFM2020660201605</t>
  </si>
  <si>
    <t xml:space="preserve">      مسجد الفيصليه الجنوبى .</t>
  </si>
  <si>
    <t>KFM2020760011762</t>
  </si>
  <si>
    <t xml:space="preserve">   مسجد حي قرطبة . .</t>
  </si>
  <si>
    <t>KFM2020660053465</t>
  </si>
  <si>
    <t>ECC2420831013004</t>
  </si>
  <si>
    <t>مسجد الدغيلبى .</t>
  </si>
  <si>
    <t>KFM2020660039149</t>
  </si>
  <si>
    <t>مسجد العوميريه  بالشميسى .</t>
  </si>
  <si>
    <t>KFM2020660174986</t>
  </si>
  <si>
    <t xml:space="preserve">   مسجد النور بمحافظة شقراء .</t>
  </si>
  <si>
    <t>KFM2020660199976</t>
  </si>
  <si>
    <t xml:space="preserve">   مسجد البيان  بنفي .</t>
  </si>
  <si>
    <t>KFM2020660128546</t>
  </si>
  <si>
    <t>مسجد / راشد بن عبود .</t>
  </si>
  <si>
    <t>KFM2020766054606</t>
  </si>
  <si>
    <t>جامع الدريهمية الشرفي .</t>
  </si>
  <si>
    <t>KFM2020660099011</t>
  </si>
  <si>
    <t>KFM2020660206130</t>
  </si>
  <si>
    <t xml:space="preserve">   مسجد عامر عبدالله العامر بالغاط .</t>
  </si>
  <si>
    <t>AEC2020830153429</t>
  </si>
  <si>
    <t>مسجد ذو النورين .</t>
  </si>
  <si>
    <t>KFM2020660163525</t>
  </si>
  <si>
    <t xml:space="preserve">   جامع  مركز  مليح .</t>
  </si>
  <si>
    <t>KFM2120660289696</t>
  </si>
  <si>
    <t>KFM2120660271583</t>
  </si>
  <si>
    <t xml:space="preserve">   مسجد      الرابية   عبدالله الحز .</t>
  </si>
  <si>
    <t>KFM2020660172481</t>
  </si>
  <si>
    <t xml:space="preserve">   مسجد دباس  العتيبي .</t>
  </si>
  <si>
    <t>KFM2020660195821</t>
  </si>
  <si>
    <t>KFM2020660229387</t>
  </si>
  <si>
    <t xml:space="preserve">  وزارة الشئون الاسلامية(مسجد المروج) .</t>
  </si>
  <si>
    <t>KFM2020660190278</t>
  </si>
  <si>
    <t>مسجد الحروب .</t>
  </si>
  <si>
    <t>KFM2020660052961</t>
  </si>
  <si>
    <t>KFM2120660301484</t>
  </si>
  <si>
    <t xml:space="preserve">   مسجد حي النزهه .</t>
  </si>
  <si>
    <t>KFM2020660209527</t>
  </si>
  <si>
    <t xml:space="preserve">   مسجد ابن عثيمين .</t>
  </si>
  <si>
    <t>KFM2020660197702</t>
  </si>
  <si>
    <t xml:space="preserve">   جامع/مشاش عوض .</t>
  </si>
  <si>
    <t>KFM2020766162048</t>
  </si>
  <si>
    <t xml:space="preserve">   مسجدوالدةالاميرعبدالعزيز بن تركى .</t>
  </si>
  <si>
    <t>KFM2020660193095</t>
  </si>
  <si>
    <t>KFM2120660290391</t>
  </si>
  <si>
    <t>مسجد العقيل .</t>
  </si>
  <si>
    <t>KFM2020660087410</t>
  </si>
  <si>
    <t xml:space="preserve">   المسجد الجامع بالدرعيه .</t>
  </si>
  <si>
    <t>KFM2020760048893</t>
  </si>
  <si>
    <t xml:space="preserve">   مسجد      حمد       الخنفري .</t>
  </si>
  <si>
    <t>AES2120896611179</t>
  </si>
  <si>
    <t xml:space="preserve">   مسجد      رقم(4)    رقم(408) .</t>
  </si>
  <si>
    <t>AEC2020830324260</t>
  </si>
  <si>
    <t xml:space="preserve">   مسجد الجوزاء .</t>
  </si>
  <si>
    <t>KFM2120660299247</t>
  </si>
  <si>
    <t>KFM2020660211247</t>
  </si>
  <si>
    <t xml:space="preserve">   مسجد حصة ابراهيم التويجري .</t>
  </si>
  <si>
    <t>KFM2120660271577</t>
  </si>
  <si>
    <t xml:space="preserve">      مسجد الفيصليه .</t>
  </si>
  <si>
    <t>KFM2020660172407</t>
  </si>
  <si>
    <t xml:space="preserve">   مسجد/خزام (وزاره الاوقاف والمساجد .</t>
  </si>
  <si>
    <t>KFM2020660204196</t>
  </si>
  <si>
    <t>مسجدالملك  عبدالعزيز .</t>
  </si>
  <si>
    <t>KFM2020660025861</t>
  </si>
  <si>
    <t>KFM2020660196919</t>
  </si>
  <si>
    <t>KFM2020660053574</t>
  </si>
  <si>
    <t xml:space="preserve">   مسجد الامير مشعل بن عبدالعزيز .</t>
  </si>
  <si>
    <t>SMR2420661035986</t>
  </si>
  <si>
    <t>مسجد / حي المصانع .</t>
  </si>
  <si>
    <t>KFM2020660171734</t>
  </si>
  <si>
    <t>AES2020896461508</t>
  </si>
  <si>
    <t xml:space="preserve">   مسجد هياء الناجم .</t>
  </si>
  <si>
    <t>KFM2020660176731</t>
  </si>
  <si>
    <t xml:space="preserve">   مسجد      مهدي      ال رشيد .</t>
  </si>
  <si>
    <t>KFM2020660191841</t>
  </si>
  <si>
    <t xml:space="preserve">   مسجد عبدالرحمن العمودي .</t>
  </si>
  <si>
    <t>KFM2120660299416</t>
  </si>
  <si>
    <t xml:space="preserve">      مسجد جزاء بن على .</t>
  </si>
  <si>
    <t>MMF2020800247536</t>
  </si>
  <si>
    <t>AEC2020830322510</t>
  </si>
  <si>
    <t xml:space="preserve">   مسجدقريةالبطين زبن رحيم العضياني .</t>
  </si>
  <si>
    <t>AES2020896441489</t>
  </si>
  <si>
    <t xml:space="preserve">   مسجد      ال مفرج   ا .</t>
  </si>
  <si>
    <t>AES2020896061524</t>
  </si>
  <si>
    <t xml:space="preserve">   مسجد حى الفيحاء .</t>
  </si>
  <si>
    <t>KFM2120660270417</t>
  </si>
  <si>
    <t xml:space="preserve">      مسجد القبيلى .</t>
  </si>
  <si>
    <t>KFM2020766167378</t>
  </si>
  <si>
    <t xml:space="preserve">   مكتب الاوقاف مسجد حى الملك فيصل .</t>
  </si>
  <si>
    <t>KFM2020766034174</t>
  </si>
  <si>
    <t xml:space="preserve">   مسجد جامع / حي الواحه .</t>
  </si>
  <si>
    <t>KFM2020660188059</t>
  </si>
  <si>
    <t xml:space="preserve">     جامع العين .</t>
  </si>
  <si>
    <t>KFM2020760073467</t>
  </si>
  <si>
    <t xml:space="preserve">    مسجدسويلم الهضيبان  رقم (7) .</t>
  </si>
  <si>
    <t>KFM2020766040384</t>
  </si>
  <si>
    <t>وزارة الشؤون الاسلامية والاوقاف-مسجد .</t>
  </si>
  <si>
    <t>KFM2120660304160</t>
  </si>
  <si>
    <t xml:space="preserve">   أوقاف القويعية/جامع فيضةبن سعيد .</t>
  </si>
  <si>
    <t>KFM2020766152332</t>
  </si>
  <si>
    <t>KFM2120660301968</t>
  </si>
  <si>
    <t xml:space="preserve">   جامع      السيحاني  //////////// .</t>
  </si>
  <si>
    <t>KFM2020660204112</t>
  </si>
  <si>
    <t xml:space="preserve">   مسجد عبدالعزيز سليمان المقيل .</t>
  </si>
  <si>
    <t>KFM2020760136055</t>
  </si>
  <si>
    <t>مسجد والدة  الملك  الراحل  سعود .</t>
  </si>
  <si>
    <t>KFM2020660054287</t>
  </si>
  <si>
    <t xml:space="preserve">   مسجد عمربن عبدالعزيز .</t>
  </si>
  <si>
    <t>KFM2120660263478</t>
  </si>
  <si>
    <t xml:space="preserve">   مسجدالشيخ ابوحبيب الشثري ومرافقه .</t>
  </si>
  <si>
    <t>KFM2020660175491</t>
  </si>
  <si>
    <t xml:space="preserve">   مسجد العباس  بن عبدالمطلب .</t>
  </si>
  <si>
    <t>KFM2020660191055</t>
  </si>
  <si>
    <t>DZG2020850016185</t>
  </si>
  <si>
    <t>SMR2320761028596</t>
  </si>
  <si>
    <t xml:space="preserve">   مسجد احمد بن زيد .</t>
  </si>
  <si>
    <t>KFM2120660271809</t>
  </si>
  <si>
    <t xml:space="preserve">   اوقاف الخرج -مسجدالقاسم بن محمد .</t>
  </si>
  <si>
    <t>KFM2020660230190</t>
  </si>
  <si>
    <t xml:space="preserve">   مسجد/حي الشهبا/محمدبن صقر .</t>
  </si>
  <si>
    <t>KFM2020766102002</t>
  </si>
  <si>
    <t>مسجد عبدالرحمن المقيل .</t>
  </si>
  <si>
    <t>KFM2020760115646</t>
  </si>
  <si>
    <t>مسجد عبدالله بن رواحة(الاوقاف سابقا)مرات .</t>
  </si>
  <si>
    <t>KFM2020766156261</t>
  </si>
  <si>
    <t xml:space="preserve">   مسجدالكرمة/نايف محمل صهيب .</t>
  </si>
  <si>
    <t>AES2120896581951</t>
  </si>
  <si>
    <t xml:space="preserve">   مسجد      بن تيمية  المروج .</t>
  </si>
  <si>
    <t>KFM2020660225566</t>
  </si>
  <si>
    <t>AES2020896523426</t>
  </si>
  <si>
    <t xml:space="preserve">   اوقاف مسجدعمربن خطاب .</t>
  </si>
  <si>
    <t>KFM2020766167702</t>
  </si>
  <si>
    <t xml:space="preserve">   مسجدطرفه عبدالعزيزالسيف ومرافقة .</t>
  </si>
  <si>
    <t>SMR2220661002749</t>
  </si>
  <si>
    <t>MMF2020800321255</t>
  </si>
  <si>
    <t xml:space="preserve">   جامع كبشان .</t>
  </si>
  <si>
    <t>KFM2020766093778</t>
  </si>
  <si>
    <t xml:space="preserve">   مسجد/ مسفر مجمش القحطانى .</t>
  </si>
  <si>
    <t>AEC2020830536983</t>
  </si>
  <si>
    <t xml:space="preserve">   مسجد الاشعريه الجنوبى .</t>
  </si>
  <si>
    <t>AES2020896438358</t>
  </si>
  <si>
    <t xml:space="preserve">      مسجد/عبدالله الطخيس .</t>
  </si>
  <si>
    <t>SMR2020850119667</t>
  </si>
  <si>
    <t xml:space="preserve">   مسجدسباق الخيل .</t>
  </si>
  <si>
    <t>MMF2020800232039</t>
  </si>
  <si>
    <t>مسجد      منيرة     بنوارة .</t>
  </si>
  <si>
    <t>KFM2020660177279</t>
  </si>
  <si>
    <t xml:space="preserve">   مسجد عبدالله تركي الضحيان .</t>
  </si>
  <si>
    <t>KFM2020660198948</t>
  </si>
  <si>
    <t xml:space="preserve">   اوقاف القويعيه /مسجدالورود .</t>
  </si>
  <si>
    <t>KFM2020660210079</t>
  </si>
  <si>
    <t xml:space="preserve">   مسجد/الامام الشافعي .</t>
  </si>
  <si>
    <t>KFM2020766161975</t>
  </si>
  <si>
    <t xml:space="preserve">         مسجد /الاميرفهدبنمحمدبنعبدا .</t>
  </si>
  <si>
    <t>AES2120896563797</t>
  </si>
  <si>
    <t xml:space="preserve">   مسجد /عمير بن زيد .</t>
  </si>
  <si>
    <t>KFM2020660230214</t>
  </si>
  <si>
    <t xml:space="preserve"> مسجدالريعانيه بالرين اوقاف القويعيه .</t>
  </si>
  <si>
    <t>AES2120896575399</t>
  </si>
  <si>
    <t xml:space="preserve"> مسجد علي زيد ابو حيد .</t>
  </si>
  <si>
    <t>KFM2020760229890</t>
  </si>
  <si>
    <t>KFM2020660177066</t>
  </si>
  <si>
    <t xml:space="preserve">   اوقاف     المزاحميه الحوطه .</t>
  </si>
  <si>
    <t>KFM2020660227533</t>
  </si>
  <si>
    <t>مسجد /بحي العريجاء /ج .</t>
  </si>
  <si>
    <t>KFM2120660283934</t>
  </si>
  <si>
    <t xml:space="preserve">   الاوقاف    مسجد      البابطين .</t>
  </si>
  <si>
    <t>KFM2020660211556</t>
  </si>
  <si>
    <t>مسجد عبدالله سعيد القحطاني .</t>
  </si>
  <si>
    <t>KFM2020660162248</t>
  </si>
  <si>
    <t>KFM2020660035964</t>
  </si>
  <si>
    <t xml:space="preserve">   مسجدالشليش / 1درةالا وقافوالمساجد .</t>
  </si>
  <si>
    <t>AES2120896559026</t>
  </si>
  <si>
    <t xml:space="preserve">   مسجد الفضل بن العباس .</t>
  </si>
  <si>
    <t>KFM2120660272924</t>
  </si>
  <si>
    <t>.    مسجد      الغملاس .</t>
  </si>
  <si>
    <t>KFM2020660202436</t>
  </si>
  <si>
    <t>KFM2020660012588</t>
  </si>
  <si>
    <t xml:space="preserve">   جامع السلى .</t>
  </si>
  <si>
    <t>KFM2120660304981</t>
  </si>
  <si>
    <t>مسجد عمر بن عبدالعزيز .</t>
  </si>
  <si>
    <t>KFM2020660054912</t>
  </si>
  <si>
    <t>SMR2120765018773</t>
  </si>
  <si>
    <t xml:space="preserve">   مسجد جامع الصفيه .</t>
  </si>
  <si>
    <t>KFM2020660234461</t>
  </si>
  <si>
    <t xml:space="preserve">   مسجد      قاعد      المقاطي .</t>
  </si>
  <si>
    <t>KFM2020760082706</t>
  </si>
  <si>
    <t>مسجد والدة الامير/فيصل  بن سعد .</t>
  </si>
  <si>
    <t>KFM2020660044532</t>
  </si>
  <si>
    <t>KFM2120660249125</t>
  </si>
  <si>
    <t xml:space="preserve">   مسجد/حمادة جبلة .</t>
  </si>
  <si>
    <t>AES2020896446732</t>
  </si>
  <si>
    <t>ECC2020811047124</t>
  </si>
  <si>
    <t xml:space="preserve">   مسجد حي الشرفيه .</t>
  </si>
  <si>
    <t>KFM2020660209250</t>
  </si>
  <si>
    <t xml:space="preserve">   مسجد متعبة بالرين .</t>
  </si>
  <si>
    <t>AES2020896528123</t>
  </si>
  <si>
    <t>KFM2020660177108</t>
  </si>
  <si>
    <t xml:space="preserve">   مكتب الاوقاف مسجدالمنيع بلخطامه .</t>
  </si>
  <si>
    <t>KFM2020766141170</t>
  </si>
  <si>
    <t xml:space="preserve">   أوقاف ومساجد مرات/مسجد ام سليم .</t>
  </si>
  <si>
    <t>KFM2020766156457</t>
  </si>
  <si>
    <t>KFM2020766110962</t>
  </si>
  <si>
    <t xml:space="preserve">   مسجد عبدالله الخضران .</t>
  </si>
  <si>
    <t>KFM2020660132571</t>
  </si>
  <si>
    <t xml:space="preserve">   اوقاف حوطةسدير مسجد البدربالتويم .</t>
  </si>
  <si>
    <t>SMR2020856052135</t>
  </si>
  <si>
    <t>SMR2020865089398</t>
  </si>
  <si>
    <t xml:space="preserve">   مسجد هياء الشويعر .</t>
  </si>
  <si>
    <t>KFM2020660145206</t>
  </si>
  <si>
    <t xml:space="preserve">   مسجدجامع العنقرى .</t>
  </si>
  <si>
    <t>KFM2020660174110</t>
  </si>
  <si>
    <t xml:space="preserve">   مسجدرقم(1)بمخطط(28)في القصب .</t>
  </si>
  <si>
    <t>KFM2020766156327</t>
  </si>
  <si>
    <t xml:space="preserve">   مسجد      مخطط 960  . .</t>
  </si>
  <si>
    <t>KFM2020760135935</t>
  </si>
  <si>
    <t>MMF2420801457445</t>
  </si>
  <si>
    <t>مسجد/ حي السويدي .</t>
  </si>
  <si>
    <t>KFM2020660051552</t>
  </si>
  <si>
    <t>KFM2020760149336</t>
  </si>
  <si>
    <t xml:space="preserve">      مسجد الصبيخه بحريملاء .</t>
  </si>
  <si>
    <t>KFM2020760152095</t>
  </si>
  <si>
    <t>KFM2020760115603</t>
  </si>
  <si>
    <t xml:space="preserve">   مسجد وسكن عبدالعزيز الطريقي .</t>
  </si>
  <si>
    <t>KFM2020660145207</t>
  </si>
  <si>
    <t>مسجد عبدالله  سعود الدوسرى .</t>
  </si>
  <si>
    <t>KFM2020660200391</t>
  </si>
  <si>
    <t>KFM2020660191827</t>
  </si>
  <si>
    <t xml:space="preserve">   مسجد الوسطى دراويش .</t>
  </si>
  <si>
    <t>AEC2020830563733</t>
  </si>
  <si>
    <t xml:space="preserve"> مكتب الاوقاف /مسجد الشفاء با الروضه .</t>
  </si>
  <si>
    <t>KFM2020766062236</t>
  </si>
  <si>
    <t xml:space="preserve">   مسجد خالد سعود الحربي .</t>
  </si>
  <si>
    <t>KFM2020660139813</t>
  </si>
  <si>
    <t>SMR2220661000219</t>
  </si>
  <si>
    <t xml:space="preserve">   مسجد/عبدالعزيز الحميد/حي النزهه .</t>
  </si>
  <si>
    <t>KFM2020660212218</t>
  </si>
  <si>
    <t>مسجد مصعب  بن عمير .</t>
  </si>
  <si>
    <t>KFM2020660013740</t>
  </si>
  <si>
    <t>KFM2020660132830</t>
  </si>
  <si>
    <t>مسجد الفاروق .</t>
  </si>
  <si>
    <t>KFM2020660023467</t>
  </si>
  <si>
    <t>مسجد الامير مشارى .</t>
  </si>
  <si>
    <t>KFM2020660098871</t>
  </si>
  <si>
    <t xml:space="preserve">   جامع      الغطغط    حصه السديري .</t>
  </si>
  <si>
    <t>KFM2020660225500</t>
  </si>
  <si>
    <t>KFM2020660046007</t>
  </si>
  <si>
    <t xml:space="preserve">   اوقاف القويعيه مسجدزيدابن ثابت .</t>
  </si>
  <si>
    <t>KFM2020766167858</t>
  </si>
  <si>
    <t xml:space="preserve">   مسـجدمجمع اسـواق صالح الراجحى .</t>
  </si>
  <si>
    <t>KFM2020660209269</t>
  </si>
  <si>
    <t xml:space="preserve">   مسجد المليفي  بحي لبن .</t>
  </si>
  <si>
    <t>KFM2020660211323</t>
  </si>
  <si>
    <t>أوقاف ومساجد رماح / مخطط 71 .</t>
  </si>
  <si>
    <t>AES2120896537238</t>
  </si>
  <si>
    <t xml:space="preserve">   مسجد      البركة    بالحزيمية .</t>
  </si>
  <si>
    <t>KFM2120660257056</t>
  </si>
  <si>
    <t>SMR2320661035196</t>
  </si>
  <si>
    <t xml:space="preserve">   ادارةاوقافمسجدحمزه  المطلب بلافلاج .</t>
  </si>
  <si>
    <t>KFM2020660171000</t>
  </si>
  <si>
    <t>KFM2020660053593</t>
  </si>
  <si>
    <t>KFM2020760206373</t>
  </si>
  <si>
    <t xml:space="preserve">   مسجد      الحمراء معماموالمؤذن .</t>
  </si>
  <si>
    <t>KFM2020660054485</t>
  </si>
  <si>
    <t xml:space="preserve">   مسجد هجرة المردمه .</t>
  </si>
  <si>
    <t>AES2020896376948</t>
  </si>
  <si>
    <t xml:space="preserve">   جامع جوي 11 .</t>
  </si>
  <si>
    <t>KFM2020660226049</t>
  </si>
  <si>
    <t xml:space="preserve">   مسجد      الفالح مع والمؤذن .</t>
  </si>
  <si>
    <t>KFM2020660133858</t>
  </si>
  <si>
    <t xml:space="preserve">   اوقاف الخرج /مسجد ال شريم .</t>
  </si>
  <si>
    <t>KFM2020760007441</t>
  </si>
  <si>
    <t xml:space="preserve">   مسجد الهدايه .</t>
  </si>
  <si>
    <t>KFM2020660011200</t>
  </si>
  <si>
    <t>KFM2020660175813</t>
  </si>
  <si>
    <t xml:space="preserve"> اوقاف المزاحميه/ مسجد هجره العناديه .</t>
  </si>
  <si>
    <t>KFM2020660233169</t>
  </si>
  <si>
    <t xml:space="preserve">   مسجد/ عبدالعزيز فهد المطيري .</t>
  </si>
  <si>
    <t>KFM2120660299134</t>
  </si>
  <si>
    <t xml:space="preserve">   مسجد      العزيزيه  ر721 .</t>
  </si>
  <si>
    <t>KFM2020766128654</t>
  </si>
  <si>
    <t xml:space="preserve">      مسجد الرفيعه بالسر .</t>
  </si>
  <si>
    <t>KFM2020660204489</t>
  </si>
  <si>
    <t>KFM2020660039711</t>
  </si>
  <si>
    <t xml:space="preserve">   مسجد حبيب بن زيد مخطط 817 عفيف 0 .</t>
  </si>
  <si>
    <t>KFM2020660212327</t>
  </si>
  <si>
    <t xml:space="preserve">   مسجد      الصناعية  الصناعية .</t>
  </si>
  <si>
    <t>KFM2020660150429</t>
  </si>
  <si>
    <t>KFM2020660051381</t>
  </si>
  <si>
    <t xml:space="preserve">   مسجد حي المربع .</t>
  </si>
  <si>
    <t>KFM2020660188841</t>
  </si>
  <si>
    <t xml:space="preserve">   مسجد سعد سعيد المطيري مع السكن .</t>
  </si>
  <si>
    <t>KFM2020660190943</t>
  </si>
  <si>
    <t>مسجدسلطانه  الشمالى .</t>
  </si>
  <si>
    <t>KFM2020760154088</t>
  </si>
  <si>
    <t xml:space="preserve">   مسجد الحنابج                   . .</t>
  </si>
  <si>
    <t>AES2120896535923</t>
  </si>
  <si>
    <t xml:space="preserve">   مسجد      ابن سويد  //////////// .</t>
  </si>
  <si>
    <t>AES2020896446051</t>
  </si>
  <si>
    <t>مسجد التعاون .</t>
  </si>
  <si>
    <t>KFM2020660173478</t>
  </si>
  <si>
    <t xml:space="preserve">   مسجد      محمد      العطير .</t>
  </si>
  <si>
    <t>KFM2020660145201</t>
  </si>
  <si>
    <t>KFM2120660248235</t>
  </si>
  <si>
    <t xml:space="preserve">   مسجدام الحمام الشرقيه .</t>
  </si>
  <si>
    <t>KFM2020660174064</t>
  </si>
  <si>
    <t>فرع الا وقاف والمساجد .</t>
  </si>
  <si>
    <t>AES2020896279248</t>
  </si>
  <si>
    <t xml:space="preserve">   مسجد حى النهضة .</t>
  </si>
  <si>
    <t>KFM2020660060031</t>
  </si>
  <si>
    <t xml:space="preserve">      مسجد/جعفر بن ابى طالب .</t>
  </si>
  <si>
    <t>KFM2020660170485</t>
  </si>
  <si>
    <t xml:space="preserve">   ادارةالأوقاف والمساجدوالدعوه .</t>
  </si>
  <si>
    <t>KFM2120660272174</t>
  </si>
  <si>
    <t xml:space="preserve">   مسجد والدة صالح الحقباني .</t>
  </si>
  <si>
    <t>KFM2020660162784</t>
  </si>
  <si>
    <t>مسجد الامام الشوكاني .</t>
  </si>
  <si>
    <t>KFM2020660210430</t>
  </si>
  <si>
    <t xml:space="preserve">   مسجد حي  الندوة .</t>
  </si>
  <si>
    <t>KFM2020660193527</t>
  </si>
  <si>
    <t>KFM2120660246958</t>
  </si>
  <si>
    <t xml:space="preserve">   مسجد      ابي       الا ندلس .</t>
  </si>
  <si>
    <t>KFM2020660199633</t>
  </si>
  <si>
    <t xml:space="preserve">     مسجد ابوعبيده بن الجراح .</t>
  </si>
  <si>
    <t>KFM2020766121710</t>
  </si>
  <si>
    <t>مسجدبن خميس .</t>
  </si>
  <si>
    <t>KFM2020660051597</t>
  </si>
  <si>
    <t xml:space="preserve">   مسجد ناصر ابراهيم الجديد .</t>
  </si>
  <si>
    <t>KFM2020660209241</t>
  </si>
  <si>
    <t xml:space="preserve">   جامع السالميه-وزاره الشؤن .</t>
  </si>
  <si>
    <t>KFM2120660299436</t>
  </si>
  <si>
    <t xml:space="preserve">   مسجد/جامع القاعيه .</t>
  </si>
  <si>
    <t>KFM2020660188290</t>
  </si>
  <si>
    <t>KFM2020660142403</t>
  </si>
  <si>
    <t>مسجد  /   طلحه       عبيدالله .</t>
  </si>
  <si>
    <t>KFM2020660166792</t>
  </si>
  <si>
    <t>.   مسجد      الخريجي .</t>
  </si>
  <si>
    <t>KFM2020660204004</t>
  </si>
  <si>
    <t>مسجد/ناصر سعد الخريجى .</t>
  </si>
  <si>
    <t>KFM2020660201666</t>
  </si>
  <si>
    <t xml:space="preserve">   المسجد    الجامع    بسدوس .</t>
  </si>
  <si>
    <t>KFM2120660244074</t>
  </si>
  <si>
    <t xml:space="preserve">   مسجدالحى  الجنوبى      بالدوادمى .</t>
  </si>
  <si>
    <t>KFM2020660172412</t>
  </si>
  <si>
    <t xml:space="preserve">      مسجد الاوقاف الروضه .</t>
  </si>
  <si>
    <t>AES2020896350232</t>
  </si>
  <si>
    <t xml:space="preserve">   اوقاف الدواسر/ جامع بهجه .</t>
  </si>
  <si>
    <t>KFM2020660212751</t>
  </si>
  <si>
    <t>KFM2020760014881</t>
  </si>
  <si>
    <t>مسجد ابن تيميه .</t>
  </si>
  <si>
    <t>KFM2020660203897</t>
  </si>
  <si>
    <t>KFM2020660044984</t>
  </si>
  <si>
    <t xml:space="preserve">         مسجد ـ فراج سلطان .</t>
  </si>
  <si>
    <t>SMR2020765006574</t>
  </si>
  <si>
    <t>مسجد / حي عتيقة .</t>
  </si>
  <si>
    <t>KFM2020660202720</t>
  </si>
  <si>
    <t>مـسـجـد   حي        طويق .</t>
  </si>
  <si>
    <t>KFM2020660049556</t>
  </si>
  <si>
    <t xml:space="preserve">   مسجدالمرقب القديم .</t>
  </si>
  <si>
    <t>SMR2220661019011</t>
  </si>
  <si>
    <t>KFM2020660145889</t>
  </si>
  <si>
    <t xml:space="preserve">   مسجدابن خلدون .</t>
  </si>
  <si>
    <t>KFM2020766110766</t>
  </si>
  <si>
    <t>مسجد مرزوق ماطر غرب لبخة .</t>
  </si>
  <si>
    <t>KFM2020760210618</t>
  </si>
  <si>
    <t>جامع ساره  الفواز .</t>
  </si>
  <si>
    <t>KFM2020660199516</t>
  </si>
  <si>
    <t>SMR2220661007418</t>
  </si>
  <si>
    <t xml:space="preserve">   اوقاف الدواسر/ مسجد العمائر .</t>
  </si>
  <si>
    <t>KFM2120660248997</t>
  </si>
  <si>
    <t>KFM2120660247506</t>
  </si>
  <si>
    <t xml:space="preserve">    مسجد / مصده الجنوبي .</t>
  </si>
  <si>
    <t>SMR2020850106829</t>
  </si>
  <si>
    <t xml:space="preserve">      مسجد الفيحاء .</t>
  </si>
  <si>
    <t>AES2020896466275</t>
  </si>
  <si>
    <t xml:space="preserve">   الاوقاف    مسجد      بن عباس .</t>
  </si>
  <si>
    <t>KFM2020766100543</t>
  </si>
  <si>
    <t>مسجد زايد المطيري . .</t>
  </si>
  <si>
    <t>AES2120896538426</t>
  </si>
  <si>
    <t>KFM2020660192882</t>
  </si>
  <si>
    <t xml:space="preserve">   مسجد      المشف .</t>
  </si>
  <si>
    <t>KFM2020766100577</t>
  </si>
  <si>
    <t xml:space="preserve">   مسجد حي النزهــه بلك 239 .</t>
  </si>
  <si>
    <t>KFM2020660173321</t>
  </si>
  <si>
    <t xml:space="preserve">   مسجدعبدالله ابراهيم الحصيني .</t>
  </si>
  <si>
    <t>KFM2020660095467</t>
  </si>
  <si>
    <t xml:space="preserve">   وزارة الحج والاوقاف محافظة ثادق .</t>
  </si>
  <si>
    <t>KFM2020766161883</t>
  </si>
  <si>
    <t>KFM2020660049519</t>
  </si>
  <si>
    <t xml:space="preserve">   مسجد عبدالعزيز الحماد .</t>
  </si>
  <si>
    <t>KFM2020660188573</t>
  </si>
  <si>
    <t xml:space="preserve">   مسجد ابراهيم الحماد .</t>
  </si>
  <si>
    <t>KFM2020660104291</t>
  </si>
  <si>
    <t>مسجد ميدان عليشه .</t>
  </si>
  <si>
    <t>KFM2020660053857</t>
  </si>
  <si>
    <t>مسجدزيدالمخيلب  الشئون الاسلامية .</t>
  </si>
  <si>
    <t>KFM2020660167666</t>
  </si>
  <si>
    <t>KFM2020760212459</t>
  </si>
  <si>
    <t xml:space="preserve">   مسجد ويثلان ( لافي عبدالكريم ) .</t>
  </si>
  <si>
    <t>GTR2320890753002</t>
  </si>
  <si>
    <t>KFM2020660036528</t>
  </si>
  <si>
    <t>KFM2020660057256</t>
  </si>
  <si>
    <t xml:space="preserve">   جامع الشلوي .</t>
  </si>
  <si>
    <t>KFM2020660057084</t>
  </si>
  <si>
    <t xml:space="preserve">   مسجد/الاميرمتعب      بالقاعيه .</t>
  </si>
  <si>
    <t>KFM2020660171176</t>
  </si>
  <si>
    <t xml:space="preserve">   مسجد رقم 1 مخطط 113 بالقصب .</t>
  </si>
  <si>
    <t>AES2020896531397</t>
  </si>
  <si>
    <t xml:space="preserve">   مسجد حله بن نصار .</t>
  </si>
  <si>
    <t>KFM2020660044646</t>
  </si>
  <si>
    <t>KFM2020660176273</t>
  </si>
  <si>
    <t>مسجد العبيلي بحي الناصريه .</t>
  </si>
  <si>
    <t>KFM2120660260545</t>
  </si>
  <si>
    <t xml:space="preserve">   مسجد سعد الحبابي .</t>
  </si>
  <si>
    <t>KFM2120660295354</t>
  </si>
  <si>
    <t>AES2020896469251</t>
  </si>
  <si>
    <t xml:space="preserve">   مسجد عبدالطيف العبدالطيف .</t>
  </si>
  <si>
    <t>KFM2120660279592</t>
  </si>
  <si>
    <t>KFM2020660144744</t>
  </si>
  <si>
    <t>KFM2020660228455</t>
  </si>
  <si>
    <t xml:space="preserve">   اوقاف القويعيه/مسجدسعدبن وقاص .</t>
  </si>
  <si>
    <t>KFM2020766107195</t>
  </si>
  <si>
    <t>GTR2320890757078</t>
  </si>
  <si>
    <t>SMR2320661034050</t>
  </si>
  <si>
    <t xml:space="preserve">   مسجد      المخطط    العزيزية .</t>
  </si>
  <si>
    <t>AES2020896280299</t>
  </si>
  <si>
    <t xml:space="preserve">   مسجد حى اشبيلية .</t>
  </si>
  <si>
    <t>KFM2020660020418</t>
  </si>
  <si>
    <t>مسجد عبدالعزيز عبدالله  العثمان .</t>
  </si>
  <si>
    <t>KFM2020660054917</t>
  </si>
  <si>
    <t xml:space="preserve">   مسجد الامير/ سلطان بالنظيم .</t>
  </si>
  <si>
    <t>KFM2020660174855</t>
  </si>
  <si>
    <t xml:space="preserve">   اوقاف الحصاة/مسجدالمنتزه .</t>
  </si>
  <si>
    <t>AEC2020830309153</t>
  </si>
  <si>
    <t>AEC2020830022205</t>
  </si>
  <si>
    <t xml:space="preserve">   مسجد أهالي سدير/ فاعل خير .</t>
  </si>
  <si>
    <t>KFM2120660281742</t>
  </si>
  <si>
    <t>KFM2020766128600</t>
  </si>
  <si>
    <t xml:space="preserve">   مسجد مخطط التويم الجديد .</t>
  </si>
  <si>
    <t>KFM2020660211637</t>
  </si>
  <si>
    <t>KFM2020660049551</t>
  </si>
  <si>
    <t xml:space="preserve">   مسجدبدرعبدالله الملحم .</t>
  </si>
  <si>
    <t>MMF2020800325367</t>
  </si>
  <si>
    <t>مسجد العريجا .</t>
  </si>
  <si>
    <t>KFM2020660198404</t>
  </si>
  <si>
    <t>KFM2020660225570</t>
  </si>
  <si>
    <t xml:space="preserve">   مسجد فتح باالفيصليه .</t>
  </si>
  <si>
    <t>KFM2020766168693</t>
  </si>
  <si>
    <t xml:space="preserve">   مسجدبلال بن رباح بأشيقر .</t>
  </si>
  <si>
    <t>KFM2020766121677</t>
  </si>
  <si>
    <t>KFM2020660188905</t>
  </si>
  <si>
    <t>مسجد حي عكاظ .</t>
  </si>
  <si>
    <t>KFM2020660171004</t>
  </si>
  <si>
    <t xml:space="preserve">    مسجد حصه البتال .</t>
  </si>
  <si>
    <t>KFM2020660195153</t>
  </si>
  <si>
    <t xml:space="preserve">   مسجد-عبدالرحمن الجدوع .</t>
  </si>
  <si>
    <t>KFM2120660249837</t>
  </si>
  <si>
    <t xml:space="preserve">   مسجد الفلوجه بحي لبن .</t>
  </si>
  <si>
    <t>KFM2020766077549</t>
  </si>
  <si>
    <t>KFM2120660281738</t>
  </si>
  <si>
    <t>SXE2020800417464</t>
  </si>
  <si>
    <t>KFM2020660197757</t>
  </si>
  <si>
    <t>SMR2220661004676</t>
  </si>
  <si>
    <t>KFM2020660166414</t>
  </si>
  <si>
    <t>SMR2220661001462</t>
  </si>
  <si>
    <t xml:space="preserve">   مسجد/     حي السعديهوزارةالاوقاف .</t>
  </si>
  <si>
    <t>MMF2420801306772</t>
  </si>
  <si>
    <t xml:space="preserve">   مسجد عبدالعزيز اليعيش .</t>
  </si>
  <si>
    <t>KFM2020660049688</t>
  </si>
  <si>
    <t>مسجد /سعد بن ابي وقاص .</t>
  </si>
  <si>
    <t>KFM2020660171683</t>
  </si>
  <si>
    <t xml:space="preserve">   مسجد عبدالله الشدى .</t>
  </si>
  <si>
    <t>KFM2020660187738</t>
  </si>
  <si>
    <t>KFM2020660145560</t>
  </si>
  <si>
    <t xml:space="preserve">   مسجد/ سعد محمد الزامل .</t>
  </si>
  <si>
    <t>KFM2020660229500</t>
  </si>
  <si>
    <t>KFM2020760144740</t>
  </si>
  <si>
    <t xml:space="preserve">   اوقاف الحصاة/مسجدمويسل .</t>
  </si>
  <si>
    <t>AEC2020830562267</t>
  </si>
  <si>
    <t xml:space="preserve">   اوقاف الحصاة/جامع الخشبي .</t>
  </si>
  <si>
    <t>AES2020896448207</t>
  </si>
  <si>
    <t xml:space="preserve">    مسجدعبدالله بن باز .</t>
  </si>
  <si>
    <t>KFM2020660208533</t>
  </si>
  <si>
    <t xml:space="preserve">   مسجد وسكن عبدالله المقحم .</t>
  </si>
  <si>
    <t>KFM2020660060122</t>
  </si>
  <si>
    <t>مسجد / عائشة  ام  المؤمنين .</t>
  </si>
  <si>
    <t>KFM2020660198526</t>
  </si>
  <si>
    <t xml:space="preserve">   مسجدالخضيري .</t>
  </si>
  <si>
    <t>KFM2020660018675</t>
  </si>
  <si>
    <t>SMR2220661000665</t>
  </si>
  <si>
    <t>KFM2020660211387</t>
  </si>
  <si>
    <t>AES2020896467787</t>
  </si>
  <si>
    <t xml:space="preserve">   مسجدوالدة سعد الفالح واخوانه .</t>
  </si>
  <si>
    <t>KFM2120660248289</t>
  </si>
  <si>
    <t xml:space="preserve">   مسجد الرميح .</t>
  </si>
  <si>
    <t>KFM2120660289405</t>
  </si>
  <si>
    <t>المسجدالموقتبالدخل  المحدود .</t>
  </si>
  <si>
    <t>KFM2020660015377</t>
  </si>
  <si>
    <t>مسجد      00        ابو هريره .</t>
  </si>
  <si>
    <t>SMR2320661034179</t>
  </si>
  <si>
    <t xml:space="preserve">   اوقاف القويعيه ـ المسجد الشمالي .</t>
  </si>
  <si>
    <t>AES2020896299786</t>
  </si>
  <si>
    <t xml:space="preserve">   جامع      هجرة .</t>
  </si>
  <si>
    <t>AEC2020830133520</t>
  </si>
  <si>
    <t>مسجد الاميرة  الجوهرة .</t>
  </si>
  <si>
    <t>KFM2020660198456</t>
  </si>
  <si>
    <t xml:space="preserve">   مسجد الشيخ عبدالله العوين .</t>
  </si>
  <si>
    <t>KFM2020660213473</t>
  </si>
  <si>
    <t xml:space="preserve">   مسجدرقم 2مخطط111 .</t>
  </si>
  <si>
    <t>KFM2020766166094</t>
  </si>
  <si>
    <t xml:space="preserve">   جامع الا مام القرطبي .</t>
  </si>
  <si>
    <t>KFM2020660207924</t>
  </si>
  <si>
    <t xml:space="preserve">   مسجد الشيخ عبدالله الشثري .</t>
  </si>
  <si>
    <t>KFM2020660201208</t>
  </si>
  <si>
    <t xml:space="preserve">   مسجد جامع الفيصليه .</t>
  </si>
  <si>
    <t>KFM2020760035620</t>
  </si>
  <si>
    <t>KFM2020660190871</t>
  </si>
  <si>
    <t xml:space="preserve">   مسجد      مرزوق     بنواره .</t>
  </si>
  <si>
    <t>KFM2020660206834</t>
  </si>
  <si>
    <t xml:space="preserve">   مسجد المنيفى .</t>
  </si>
  <si>
    <t>KFM2020660134631</t>
  </si>
  <si>
    <t>KFM2020660056667</t>
  </si>
  <si>
    <t xml:space="preserve">       مسجد عمر بن  الخطاب .</t>
  </si>
  <si>
    <t>MMF2020800115998</t>
  </si>
  <si>
    <t xml:space="preserve">   مسجد فاطمه الطلحه بالغاط .</t>
  </si>
  <si>
    <t>KFM2020766040418</t>
  </si>
  <si>
    <t>MMF2020801012079</t>
  </si>
  <si>
    <t xml:space="preserve">   مسجد بن حسين .</t>
  </si>
  <si>
    <t>AEC2020830575144</t>
  </si>
  <si>
    <t>KFM2020660127525</t>
  </si>
  <si>
    <t xml:space="preserve">   جامع الأمير بندر .</t>
  </si>
  <si>
    <t>KFM2020660170167</t>
  </si>
  <si>
    <t>KFM2020660013288</t>
  </si>
  <si>
    <t>KFM2020766073371</t>
  </si>
  <si>
    <t xml:space="preserve">   مسجد شيخ الاسلام ابن تيميه .</t>
  </si>
  <si>
    <t>KFM2120660299096</t>
  </si>
  <si>
    <t xml:space="preserve">   مسجد الناصريه .</t>
  </si>
  <si>
    <t>KFM2020660206184</t>
  </si>
  <si>
    <t xml:space="preserve">   مسجد مسفر ال فايع ووالديه .</t>
  </si>
  <si>
    <t>KFM2020660061020</t>
  </si>
  <si>
    <t>KFM2020766098772</t>
  </si>
  <si>
    <t>KFM2020660037043</t>
  </si>
  <si>
    <t>KFM2020660204339</t>
  </si>
  <si>
    <t xml:space="preserve">   مسجد عبيده بن الحارث مركز مليح .</t>
  </si>
  <si>
    <t>AES2320896633412</t>
  </si>
  <si>
    <t>KFM2020660163036</t>
  </si>
  <si>
    <t>DZG2020850080836</t>
  </si>
  <si>
    <t>SMR2020765003347</t>
  </si>
  <si>
    <t xml:space="preserve">      مسجد محمد بن نامى .</t>
  </si>
  <si>
    <t>MMF2420801302967</t>
  </si>
  <si>
    <t xml:space="preserve">   مسجدالشيخ زايدالمحطب .</t>
  </si>
  <si>
    <t>KFM2020660161210</t>
  </si>
  <si>
    <t xml:space="preserve">   مسجد حصة ماضي الربيعان .</t>
  </si>
  <si>
    <t>KFM2020660031623</t>
  </si>
  <si>
    <t>مسجد مالك  بن انس    العريجاء .</t>
  </si>
  <si>
    <t>KFM2020660083710</t>
  </si>
  <si>
    <t>KFM2020660202085</t>
  </si>
  <si>
    <t xml:space="preserve">          مسجد   حي   الخالدية .</t>
  </si>
  <si>
    <t>KFM2020766034375</t>
  </si>
  <si>
    <t>KFM2020660208492</t>
  </si>
  <si>
    <t xml:space="preserve">   مسجد هجره الصاع .</t>
  </si>
  <si>
    <t>KFM2020760163438</t>
  </si>
  <si>
    <t xml:space="preserve">   مسجدمعاويه بن أبي سفيان .</t>
  </si>
  <si>
    <t>KFM2020766160198</t>
  </si>
  <si>
    <t xml:space="preserve">   مسجد عبدالله النعيم .</t>
  </si>
  <si>
    <t>KFM2020660197691</t>
  </si>
  <si>
    <t xml:space="preserve">   مسجد محمد الدويش .</t>
  </si>
  <si>
    <t>KFM2120660280217</t>
  </si>
  <si>
    <t>MMF2020800195241</t>
  </si>
  <si>
    <t xml:space="preserve">   المسجد الجنوبى ـ اوقاف القويعيه .</t>
  </si>
  <si>
    <t>AES2020896460910</t>
  </si>
  <si>
    <t xml:space="preserve">      مسجد الشعيبه .</t>
  </si>
  <si>
    <t>KFM2120660270192</t>
  </si>
  <si>
    <t xml:space="preserve">   مسجدحي المناخ .</t>
  </si>
  <si>
    <t>KFM2120660268709</t>
  </si>
  <si>
    <t xml:space="preserve">   مسجد حي   الريان    . .</t>
  </si>
  <si>
    <t>KFM2020660167791</t>
  </si>
  <si>
    <t xml:space="preserve">   مسجد      هجرة      ////// .</t>
  </si>
  <si>
    <t>KFM2020760136460</t>
  </si>
  <si>
    <t xml:space="preserve">      مسجد شمالى الشعيبه .</t>
  </si>
  <si>
    <t>SMR2020850092351</t>
  </si>
  <si>
    <t xml:space="preserve">   مسجد طريق الخرج .</t>
  </si>
  <si>
    <t>KFM2020660234164</t>
  </si>
  <si>
    <t xml:space="preserve">   مسجد      أبي       هريره .</t>
  </si>
  <si>
    <t>KFM2020660124987</t>
  </si>
  <si>
    <t xml:space="preserve">   اوقاف القويعيه /جامع الامار .</t>
  </si>
  <si>
    <t>KFM2020760140460</t>
  </si>
  <si>
    <t>مسجد      البداح     الشى ئون الاسلا .</t>
  </si>
  <si>
    <t>KFM2020660025753</t>
  </si>
  <si>
    <t>.     مسجد      الربيق .</t>
  </si>
  <si>
    <t>KFM2020660051640</t>
  </si>
  <si>
    <t xml:space="preserve">      مسجد الخالديه .</t>
  </si>
  <si>
    <t>KFM2020660150469</t>
  </si>
  <si>
    <t>AES2120896548260</t>
  </si>
  <si>
    <t>KFM2020660211250</t>
  </si>
  <si>
    <t>مسجد      محمد      العقيلي .</t>
  </si>
  <si>
    <t>KFM2020660175008</t>
  </si>
  <si>
    <t xml:space="preserve">   مسجد عبدالعزيز حي السلام .</t>
  </si>
  <si>
    <t>KFM2020660036432</t>
  </si>
  <si>
    <t xml:space="preserve">      مسجد الابرقيه بالسر .</t>
  </si>
  <si>
    <t>KFM2020760210408</t>
  </si>
  <si>
    <t>KFM2020660049499</t>
  </si>
  <si>
    <t xml:space="preserve">   اوقاف     الدواسر   بن الوليد .</t>
  </si>
  <si>
    <t>KFM2020660223653</t>
  </si>
  <si>
    <t>مسجد بحي الجامعيين .</t>
  </si>
  <si>
    <t>KFM2020660199228</t>
  </si>
  <si>
    <t>KFM2020660207259</t>
  </si>
  <si>
    <t>SMR2220661000717</t>
  </si>
  <si>
    <t>KFM2020660209276</t>
  </si>
  <si>
    <t>LYE2020830080064</t>
  </si>
  <si>
    <t>مسجد الامير سعد بن خالد بالفياض .</t>
  </si>
  <si>
    <t>AES2020896446937</t>
  </si>
  <si>
    <t>KFM2020660004039</t>
  </si>
  <si>
    <t>GTR2320892220601</t>
  </si>
  <si>
    <t xml:space="preserve">   مسجدالربيع بن كعب .</t>
  </si>
  <si>
    <t>AES2120896576377</t>
  </si>
  <si>
    <t>KFM2020660153740</t>
  </si>
  <si>
    <t xml:space="preserve">   مسجد      عثمان     ملهم .</t>
  </si>
  <si>
    <t>KFM2020760184554</t>
  </si>
  <si>
    <t>MMF2020801023407</t>
  </si>
  <si>
    <t>KFM2020660211290</t>
  </si>
  <si>
    <t>مسجد العتيان الشلاوى .</t>
  </si>
  <si>
    <t>KFM2020660015396</t>
  </si>
  <si>
    <t xml:space="preserve">   مسجد      المعتق    . .</t>
  </si>
  <si>
    <t>KFM2020660145914</t>
  </si>
  <si>
    <t xml:space="preserve">   مسجد      القوسي    . .</t>
  </si>
  <si>
    <t>KFM2020660145834</t>
  </si>
  <si>
    <t>.    مسجد      الشعيب .</t>
  </si>
  <si>
    <t>KFM2020660053867</t>
  </si>
  <si>
    <t>KFM2120660292681</t>
  </si>
  <si>
    <t xml:space="preserve">   وزارة الشئون الاسلاميه مسجد .</t>
  </si>
  <si>
    <t>KFM2020660162308</t>
  </si>
  <si>
    <t xml:space="preserve">   مسجد هياء السلطان .</t>
  </si>
  <si>
    <t>KFM2120660247491</t>
  </si>
  <si>
    <t xml:space="preserve">    مسجد الجامع بالسيح الجنوبى .</t>
  </si>
  <si>
    <t>KFM2020766054571</t>
  </si>
  <si>
    <t>مسجد والدة عبدالله ابانمي .</t>
  </si>
  <si>
    <t>MMF2020800181068</t>
  </si>
  <si>
    <t xml:space="preserve">   مسجد عبدالله الهاجرى .</t>
  </si>
  <si>
    <t>KFM2020660135667</t>
  </si>
  <si>
    <t>KFM2020660177617</t>
  </si>
  <si>
    <t>SMR2320761031276</t>
  </si>
  <si>
    <t xml:space="preserve">    مـسـجـد الوفراه(اوقاف القويعيه) .</t>
  </si>
  <si>
    <t>AES2120896539394</t>
  </si>
  <si>
    <t>KFM2020660054504</t>
  </si>
  <si>
    <t xml:space="preserve">   مسجد الحمادي .</t>
  </si>
  <si>
    <t>KFM2120660290498</t>
  </si>
  <si>
    <t xml:space="preserve">   مســـجد/جامع الوجاه .</t>
  </si>
  <si>
    <t>KFM2020760205236</t>
  </si>
  <si>
    <t xml:space="preserve">   مسجدسهيل بن عمرو بليلى حي الدوئر .</t>
  </si>
  <si>
    <t>KFM2120660252678</t>
  </si>
  <si>
    <t>ادارة الا وقاف والمساجد بالارطاوية .</t>
  </si>
  <si>
    <t>KFM2020760229425</t>
  </si>
  <si>
    <t xml:space="preserve">   مسجدعبدالله بن كعب الانصاري .</t>
  </si>
  <si>
    <t>AES2020896433116</t>
  </si>
  <si>
    <t>مسجد الامير عبدالرحمن عبدالله .</t>
  </si>
  <si>
    <t>KFM2020660015442</t>
  </si>
  <si>
    <t>KFM2020660057200</t>
  </si>
  <si>
    <t xml:space="preserve">   مسجد      عمر       مخطط 269 .</t>
  </si>
  <si>
    <t>KFM2020660206825</t>
  </si>
  <si>
    <t>KFM2020660187924</t>
  </si>
  <si>
    <t>MMF2420801338539</t>
  </si>
  <si>
    <t xml:space="preserve">   مسجد حي السعادة / فاعل خير .</t>
  </si>
  <si>
    <t>KFM2120660251580</t>
  </si>
  <si>
    <t>KFM2020660143084</t>
  </si>
  <si>
    <t>SMR2320661023006</t>
  </si>
  <si>
    <t xml:space="preserve">   اوقاف الزلفي مسجدعقبه بن عامر .</t>
  </si>
  <si>
    <t>KFM2020766158250</t>
  </si>
  <si>
    <t>KFM2120660268891</t>
  </si>
  <si>
    <t>KFM2020660115309</t>
  </si>
  <si>
    <t xml:space="preserve">         مسجد حاره ملقى .</t>
  </si>
  <si>
    <t>KFM2020766056856</t>
  </si>
  <si>
    <t>KFM2020660211371</t>
  </si>
  <si>
    <t xml:space="preserve">   مسجد  / جامع   ام المدابغ .</t>
  </si>
  <si>
    <t>AES2120896611129</t>
  </si>
  <si>
    <t xml:space="preserve">   مسجد ذو النورين .</t>
  </si>
  <si>
    <t>KFM2120660293669</t>
  </si>
  <si>
    <t xml:space="preserve">   مسجد حنضله بن الربيع .</t>
  </si>
  <si>
    <t>KFM2120660249790</t>
  </si>
  <si>
    <t>KFM2020766163489</t>
  </si>
  <si>
    <t>SMR2320661033715</t>
  </si>
  <si>
    <t xml:space="preserve">   مسجد      وزارة     الاسلا ميةوالاو .</t>
  </si>
  <si>
    <t>KFM2020660160613</t>
  </si>
  <si>
    <t>SMR2220661007340</t>
  </si>
  <si>
    <t>KFM2020660042586</t>
  </si>
  <si>
    <t xml:space="preserve">   مسجد عبدالعزيز العبدان مخطط .817 .</t>
  </si>
  <si>
    <t>KFM2020660212188</t>
  </si>
  <si>
    <t xml:space="preserve">   مسجد      عامر      العامر .</t>
  </si>
  <si>
    <t>KFM2020760021992</t>
  </si>
  <si>
    <t xml:space="preserve">      مسجد حى الدوائر .</t>
  </si>
  <si>
    <t>KFM2020660170237</t>
  </si>
  <si>
    <t xml:space="preserve"> مسجدجنوب الكليه لمدرسةالابناءالثانوي .</t>
  </si>
  <si>
    <t>KFM2020660189292</t>
  </si>
  <si>
    <t>KFM2020660202931</t>
  </si>
  <si>
    <t xml:space="preserve">   مسجد الجابريه بام الحمام .</t>
  </si>
  <si>
    <t>KFM2020660188562</t>
  </si>
  <si>
    <t xml:space="preserve">   مسجد طرفة العبدالقادر .</t>
  </si>
  <si>
    <t>KFM2020660127529</t>
  </si>
  <si>
    <t>KFM2020660018680</t>
  </si>
  <si>
    <t xml:space="preserve">   اوقاف الرين مسجدهجرةالغشبه .</t>
  </si>
  <si>
    <t>AES2020896528479</t>
  </si>
  <si>
    <t xml:space="preserve">   مسجد حماد القريني .</t>
  </si>
  <si>
    <t>KFM2120660256837</t>
  </si>
  <si>
    <t xml:space="preserve">   مسجد الشماسيه/ عبدالله المرزوقي .</t>
  </si>
  <si>
    <t>KFM2020660053935</t>
  </si>
  <si>
    <t xml:space="preserve">   مسجد الهجره .</t>
  </si>
  <si>
    <t>KFM2020660172774</t>
  </si>
  <si>
    <t xml:space="preserve">   مسجد ال هذال /اوقاف الدواسر .</t>
  </si>
  <si>
    <t>MMF2020800307915</t>
  </si>
  <si>
    <t xml:space="preserve">   مسجد ناصر العبود العبود .</t>
  </si>
  <si>
    <t>KFM2020660192430</t>
  </si>
  <si>
    <t xml:space="preserve">   مسجد      سعد       المقبل .</t>
  </si>
  <si>
    <t>AES2120896549150</t>
  </si>
  <si>
    <t>SMR2320661023150</t>
  </si>
  <si>
    <t xml:space="preserve">   مسجد      الجوهره   الماضى .</t>
  </si>
  <si>
    <t>KFM2020766062183</t>
  </si>
  <si>
    <t xml:space="preserve">   مسجدالبرومرافقه بحي عقيق الموسي .</t>
  </si>
  <si>
    <t>KFM2020660104859</t>
  </si>
  <si>
    <t xml:space="preserve">   مسجد هجره الوسيطى .</t>
  </si>
  <si>
    <t>SMR2220761006113</t>
  </si>
  <si>
    <t>MMF2020800114170</t>
  </si>
  <si>
    <t xml:space="preserve">   مسجد      ا         النموذجيه .</t>
  </si>
  <si>
    <t>KFM2020660174179</t>
  </si>
  <si>
    <t xml:space="preserve">   مسجد عكرمة بن ابي جهل .</t>
  </si>
  <si>
    <t>KFM2020766073440</t>
  </si>
  <si>
    <t>KFM2020660138305</t>
  </si>
  <si>
    <t xml:space="preserve">   اوقاف المزاحمية/ مسجد محمد العذل .</t>
  </si>
  <si>
    <t>KFM2020660229257</t>
  </si>
  <si>
    <t>KFM2020660190358</t>
  </si>
  <si>
    <t xml:space="preserve">   مسـجد كمال ادهم .</t>
  </si>
  <si>
    <t>AEC2020830318974</t>
  </si>
  <si>
    <t xml:space="preserve">   مسجد عباد .</t>
  </si>
  <si>
    <t>KFM2020766132736</t>
  </si>
  <si>
    <t>مسجد هندي سويلم العتيبي .</t>
  </si>
  <si>
    <t>SMR2420868000578</t>
  </si>
  <si>
    <t xml:space="preserve">   مسجدالعزازالقادسيه .</t>
  </si>
  <si>
    <t>KFM2020660174350</t>
  </si>
  <si>
    <t>KFM2020660141908</t>
  </si>
  <si>
    <t xml:space="preserve">       مسجد  حافظ  رجب الحنبلي .</t>
  </si>
  <si>
    <t>KFM2020660042051</t>
  </si>
  <si>
    <t xml:space="preserve">   اوقاف السليل / مسجد رقم 13 .</t>
  </si>
  <si>
    <t>KFM2020766165864</t>
  </si>
  <si>
    <t xml:space="preserve">    مسجد خديجه بنت خويلد .</t>
  </si>
  <si>
    <t>KFM2120660250034</t>
  </si>
  <si>
    <t xml:space="preserve">   اوقاف الخرج/مسجد عقبة بن عامر .</t>
  </si>
  <si>
    <t>KFM2020660230780</t>
  </si>
  <si>
    <t xml:space="preserve">   مسجد الحسن بحي الصحافه .</t>
  </si>
  <si>
    <t>KFM2020660135664</t>
  </si>
  <si>
    <t xml:space="preserve">   مسجدالعساف .</t>
  </si>
  <si>
    <t>KFM2020660057294</t>
  </si>
  <si>
    <t xml:space="preserve">   اوقاق     الدلم     ال سويلم .</t>
  </si>
  <si>
    <t>KFM2020660170484</t>
  </si>
  <si>
    <t xml:space="preserve">   جامع حي الخليج .</t>
  </si>
  <si>
    <t>KFM2020660060957</t>
  </si>
  <si>
    <t xml:space="preserve">   اوقاف     ومساجد    الرين .</t>
  </si>
  <si>
    <t>SMR2020856138755</t>
  </si>
  <si>
    <t xml:space="preserve">   مكتب اوقافالحوطه    المخطط216 جلا .</t>
  </si>
  <si>
    <t>KFM2020766062281</t>
  </si>
  <si>
    <t>KFM2020660212642</t>
  </si>
  <si>
    <t xml:space="preserve">      مسجد/هادى مسفر القحطانى .</t>
  </si>
  <si>
    <t>MMF2020800218919</t>
  </si>
  <si>
    <t>ECC2420841081170</t>
  </si>
  <si>
    <t>KFM2020660207552</t>
  </si>
  <si>
    <t>KFM2020766158177</t>
  </si>
  <si>
    <t>مسجد طامي ابن بصيص .</t>
  </si>
  <si>
    <t>ECC2020810717276</t>
  </si>
  <si>
    <t xml:space="preserve">   مسجد      النافل    / .</t>
  </si>
  <si>
    <t>KFM2020660054558</t>
  </si>
  <si>
    <t xml:space="preserve">   مسجدالهويريني والتركي / فاعل خير .</t>
  </si>
  <si>
    <t>KFM2020660043520</t>
  </si>
  <si>
    <t xml:space="preserve">   مسجد  الشيبانى .</t>
  </si>
  <si>
    <t>KFM2020760131533</t>
  </si>
  <si>
    <t xml:space="preserve">   مسجد محمد العجلان .</t>
  </si>
  <si>
    <t>KFM2120660246653</t>
  </si>
  <si>
    <t>KFM2120655002106</t>
  </si>
  <si>
    <t xml:space="preserve">   مسجد فرج  الله      المطيري .</t>
  </si>
  <si>
    <t>KFM2020660040570</t>
  </si>
  <si>
    <t xml:space="preserve">   مسجد ابي قتاده الأنصاري .</t>
  </si>
  <si>
    <t>KFM2120660260648</t>
  </si>
  <si>
    <t>مسجد      عبدالعزيز بن عيد .</t>
  </si>
  <si>
    <t>KFM2020660054309</t>
  </si>
  <si>
    <t xml:space="preserve"> مسجـــد / نفجــان ســاير الرقــاص .</t>
  </si>
  <si>
    <t>KFM2020766098777</t>
  </si>
  <si>
    <t>AES2120896563262</t>
  </si>
  <si>
    <t xml:space="preserve">   مسجد المهنا .</t>
  </si>
  <si>
    <t>KFM2020660213951</t>
  </si>
  <si>
    <t>KFM2020760154725</t>
  </si>
  <si>
    <t xml:space="preserve">   مسجدضاحيةلبن الثاني .</t>
  </si>
  <si>
    <t>KFM2020660192603</t>
  </si>
  <si>
    <t>KFM2020660195145</t>
  </si>
  <si>
    <t>MMF2020800006189</t>
  </si>
  <si>
    <t>مسجد ابن  الشيخ .</t>
  </si>
  <si>
    <t>KFM2020660022924</t>
  </si>
  <si>
    <t>KFM2120660239074</t>
  </si>
  <si>
    <t>مسجد مصعب  بن عمير/ مع سكن .</t>
  </si>
  <si>
    <t>KFM2020660200499</t>
  </si>
  <si>
    <t>مسجد نورة السلمان بروضة سدير .</t>
  </si>
  <si>
    <t>MMF2420801313052</t>
  </si>
  <si>
    <t xml:space="preserve">   مسجدالخالديه وسكن الامام ولمؤذن .</t>
  </si>
  <si>
    <t>KFM2120660256943</t>
  </si>
  <si>
    <t>KFM2020660049565</t>
  </si>
  <si>
    <t xml:space="preserve">   مسجد الشويعى .</t>
  </si>
  <si>
    <t>KFM2120660281690</t>
  </si>
  <si>
    <t>المسجد    الموقت     المحدود .</t>
  </si>
  <si>
    <t>KFM2020660057917</t>
  </si>
  <si>
    <t>مسجد      عائشه      المؤمنين .</t>
  </si>
  <si>
    <t>KFM2020660087460</t>
  </si>
  <si>
    <t xml:space="preserve">   مسجد عوض فارس المطيري .</t>
  </si>
  <si>
    <t>KFM2120660287451</t>
  </si>
  <si>
    <t>مسجد /عبدالعزيزالحكير .</t>
  </si>
  <si>
    <t>KFM2020660051579</t>
  </si>
  <si>
    <t>KFM2020660193039</t>
  </si>
  <si>
    <t xml:space="preserve">   مسجد سالم .</t>
  </si>
  <si>
    <t>KFM2120660262680</t>
  </si>
  <si>
    <t xml:space="preserve">   جامع الطويلة أوقاف مرات .</t>
  </si>
  <si>
    <t>KFM2020766040447</t>
  </si>
  <si>
    <t>مسجد الرويشد .</t>
  </si>
  <si>
    <t>KFM2020660198378</t>
  </si>
  <si>
    <t xml:space="preserve">   مسجد سليمان الحصيني .</t>
  </si>
  <si>
    <t>KFM2120660287366</t>
  </si>
  <si>
    <t xml:space="preserve">   مسجدهجرةبدائع ذوي زياد .</t>
  </si>
  <si>
    <t>KFM2020766146025</t>
  </si>
  <si>
    <t xml:space="preserve">   مسجدحى الحروب .</t>
  </si>
  <si>
    <t>SMR2220661002699</t>
  </si>
  <si>
    <t>مسجد      موضى       بن سعيدان .</t>
  </si>
  <si>
    <t>KFM2020660197086</t>
  </si>
  <si>
    <t xml:space="preserve">   جامع      الأرطاوي   الشمالي .</t>
  </si>
  <si>
    <t>KFM2120660265013</t>
  </si>
  <si>
    <t xml:space="preserve">   اوقاف الرين /مسجدالزايديه .</t>
  </si>
  <si>
    <t>AES2020896525027</t>
  </si>
  <si>
    <t xml:space="preserve">   مسجد      حي        النسيم .</t>
  </si>
  <si>
    <t>KFM2020660061154</t>
  </si>
  <si>
    <t xml:space="preserve">   مسجد/ بن تيميه .</t>
  </si>
  <si>
    <t>KFM2020660201533</t>
  </si>
  <si>
    <t>MMF2420601020067</t>
  </si>
  <si>
    <t xml:space="preserve">   مسجد سعد بن أبي وقاص  بمرات .</t>
  </si>
  <si>
    <t>KFM2020766156481</t>
  </si>
  <si>
    <t xml:space="preserve">    مسجد الاوقاف بالغاط .</t>
  </si>
  <si>
    <t>KFM2020766040391</t>
  </si>
  <si>
    <t xml:space="preserve">   مسجد      صالح      الرضيان .</t>
  </si>
  <si>
    <t>KFM2120660268053</t>
  </si>
  <si>
    <t>مسجد دخيل الدخيل .</t>
  </si>
  <si>
    <t>KFM2020760005450</t>
  </si>
  <si>
    <t xml:space="preserve">    مسجدالعباس /عبدالله ابراهيم .</t>
  </si>
  <si>
    <t>LYE2020810035734</t>
  </si>
  <si>
    <t xml:space="preserve">  مسجد عبدالله بن عباس /اوقاف السليل .</t>
  </si>
  <si>
    <t>KFM2120660271518</t>
  </si>
  <si>
    <t xml:space="preserve">   مسجد الشيخعبدالله   ومرافقه .</t>
  </si>
  <si>
    <t>KFM2120660247104</t>
  </si>
  <si>
    <t xml:space="preserve">   مسجد فضيلةالشيخ عبدالعزيز بن باز .</t>
  </si>
  <si>
    <t>KFM2120660300648</t>
  </si>
  <si>
    <t xml:space="preserve">   مسجد غيران العنزي .</t>
  </si>
  <si>
    <t>KFM2020660036522</t>
  </si>
  <si>
    <t xml:space="preserve">   مسجد الاميره جواهر بنت سلطان .</t>
  </si>
  <si>
    <t>KFM2020660230131</t>
  </si>
  <si>
    <t>المسجد الموقت فى  عليا ال  الشيج .</t>
  </si>
  <si>
    <t>KFM2020660023205</t>
  </si>
  <si>
    <t xml:space="preserve">      مسجد جاره .</t>
  </si>
  <si>
    <t>KFM2020766152390</t>
  </si>
  <si>
    <t xml:space="preserve">   مسجد / حي وزارةالبترول .</t>
  </si>
  <si>
    <t>KFM2120660300421</t>
  </si>
  <si>
    <t xml:space="preserve">   مسجدالخلفاء .</t>
  </si>
  <si>
    <t>KFM2020660056962</t>
  </si>
  <si>
    <t xml:space="preserve">      مسجد الشبانات .</t>
  </si>
  <si>
    <t>AES2120896542053</t>
  </si>
  <si>
    <t>مسجد محمد فهيد الدوسري .</t>
  </si>
  <si>
    <t>KFM2020660231495</t>
  </si>
  <si>
    <t xml:space="preserve">   جامع اليوسف بحي القدس .</t>
  </si>
  <si>
    <t>KFM2120660241080</t>
  </si>
  <si>
    <t>KFM2120660272130</t>
  </si>
  <si>
    <t xml:space="preserve">   مسجد البلاع .</t>
  </si>
  <si>
    <t>KFM2020760060645</t>
  </si>
  <si>
    <t xml:space="preserve">   مسجد      منيرة     العريفي .</t>
  </si>
  <si>
    <t>KFM2120660280174</t>
  </si>
  <si>
    <t xml:space="preserve">   مسجد      زايد      القحطاني .</t>
  </si>
  <si>
    <t>AEC2020830532147</t>
  </si>
  <si>
    <t>KFM2020660038796</t>
  </si>
  <si>
    <t>.     مـسجد     الموسى .</t>
  </si>
  <si>
    <t>KFM2020660015415</t>
  </si>
  <si>
    <t xml:space="preserve">   مسجد جامع الفداء .</t>
  </si>
  <si>
    <t>KFM2020660139295</t>
  </si>
  <si>
    <t xml:space="preserve">      مسجد/حسن عبدالهادى .</t>
  </si>
  <si>
    <t>MMF2020800219033</t>
  </si>
  <si>
    <t>مسجد المنتزة بمركز أشيقر .</t>
  </si>
  <si>
    <t>KFM2020760209102</t>
  </si>
  <si>
    <t>KFM2020660197186</t>
  </si>
  <si>
    <t>KFM2020660013725</t>
  </si>
  <si>
    <t xml:space="preserve">    مســــجد  ابراهيم المعجل .</t>
  </si>
  <si>
    <t>KFM2020766128689</t>
  </si>
  <si>
    <t xml:space="preserve">   مسجد هجرس عبدالله   الصخابره .</t>
  </si>
  <si>
    <t>LYE2020810267783</t>
  </si>
  <si>
    <t>مسجد حى  الشفاء الجديد .</t>
  </si>
  <si>
    <t>KFM2020660096069</t>
  </si>
  <si>
    <t xml:space="preserve">   مسجد      عبدالله   //////////// .</t>
  </si>
  <si>
    <t>KFM2020660199731</t>
  </si>
  <si>
    <t xml:space="preserve">   مسجدالامير/عبدالرحمن بن عبدالله .</t>
  </si>
  <si>
    <t>KFM2120660249183</t>
  </si>
  <si>
    <t>KFM2020660190966</t>
  </si>
  <si>
    <t>KFM2020660174750</t>
  </si>
  <si>
    <t xml:space="preserve">   مسجد      ابوبكر    0 .</t>
  </si>
  <si>
    <t>KFM2020760210519</t>
  </si>
  <si>
    <t xml:space="preserve"> مسجد حي بدر أبن تيمية .</t>
  </si>
  <si>
    <t>KFM2020660167663</t>
  </si>
  <si>
    <t xml:space="preserve">   اوقاف الحصاه مسجدالفرعه بخيم .</t>
  </si>
  <si>
    <t>AES2020896532635</t>
  </si>
  <si>
    <t>SMR2320661022935</t>
  </si>
  <si>
    <t xml:space="preserve">   مسجد      سليمان    الثنيان .</t>
  </si>
  <si>
    <t>KFM2020660200603</t>
  </si>
  <si>
    <t xml:space="preserve">   مسجد      شيخ       ابن تيميه .</t>
  </si>
  <si>
    <t>KFM2020760082316</t>
  </si>
  <si>
    <t>KFM2020660132826</t>
  </si>
  <si>
    <t>KFM2020660091688</t>
  </si>
  <si>
    <t xml:space="preserve">    مسجد عبدالله حزام .</t>
  </si>
  <si>
    <t>KFM2020766158252</t>
  </si>
  <si>
    <t>مسجد عمرو بن الجموح .</t>
  </si>
  <si>
    <t>KFM2020760135766</t>
  </si>
  <si>
    <t xml:space="preserve">   اوقاف الرين / مسجدالرضوان .</t>
  </si>
  <si>
    <t>AES2120896571700</t>
  </si>
  <si>
    <t>.مسجدجامع  مزيدالثامر .</t>
  </si>
  <si>
    <t>KFM2020660175038</t>
  </si>
  <si>
    <t>KFM2020660173780</t>
  </si>
  <si>
    <t>KFM2020660130962</t>
  </si>
  <si>
    <t xml:space="preserve">      مسجد الحله الجديده .</t>
  </si>
  <si>
    <t>KFM2020760182365</t>
  </si>
  <si>
    <t>ECC2020810702560</t>
  </si>
  <si>
    <t>مسجد التوحيد بالرفيعه .</t>
  </si>
  <si>
    <t>KFM2020660204488</t>
  </si>
  <si>
    <t xml:space="preserve">   مسجد الحلة الجنوبية .</t>
  </si>
  <si>
    <t>KFM2020766161892</t>
  </si>
  <si>
    <t xml:space="preserve">   مسجد الدواسـر بالـدرعـيـه .</t>
  </si>
  <si>
    <t>GTR2320890740683</t>
  </si>
  <si>
    <t xml:space="preserve">   مسجدالحزم مؤسسةالتنميه التجاريه .</t>
  </si>
  <si>
    <t>KFM2120660256732</t>
  </si>
  <si>
    <t xml:space="preserve">   مسجد      عبدتاعزيز الموسى .</t>
  </si>
  <si>
    <t>KFM2020660188505</t>
  </si>
  <si>
    <t xml:space="preserve">   مسجد عمر بن عبدالعزيز ( ض ،،،ع ) .</t>
  </si>
  <si>
    <t>KFM2020660172371</t>
  </si>
  <si>
    <t>مسجد الامام القرطبي .</t>
  </si>
  <si>
    <t>KFM2020760020900</t>
  </si>
  <si>
    <t>KFM2020660192543</t>
  </si>
  <si>
    <t>KFM2020660058549</t>
  </si>
  <si>
    <t xml:space="preserve">      مسجد المحطه .</t>
  </si>
  <si>
    <t>KFM2020760082919</t>
  </si>
  <si>
    <t>SMR2220661002713</t>
  </si>
  <si>
    <t>KFM2020660198304</t>
  </si>
  <si>
    <t xml:space="preserve">   مسجد على بن ابي طالب .</t>
  </si>
  <si>
    <t>KFM2020660201571</t>
  </si>
  <si>
    <t>KFM2020660046426</t>
  </si>
  <si>
    <t>KFM2020766073454</t>
  </si>
  <si>
    <t xml:space="preserve">       المسجد الجامع بالروضه .</t>
  </si>
  <si>
    <t>KFM2020766085176</t>
  </si>
  <si>
    <t>.  مسجد      بن عثمان .</t>
  </si>
  <si>
    <t>KFM2020660170965</t>
  </si>
  <si>
    <t>مسجد الا زهر .</t>
  </si>
  <si>
    <t>KFM2020660134150</t>
  </si>
  <si>
    <t xml:space="preserve">   مسجد الهاجرى .</t>
  </si>
  <si>
    <t>KFM2020660169817</t>
  </si>
  <si>
    <t xml:space="preserve">   وزاررة الحج والاوقاف .</t>
  </si>
  <si>
    <t>KFM2120660272121</t>
  </si>
  <si>
    <t xml:space="preserve">   اوقاف الرويضه  مسجدالسرداح .</t>
  </si>
  <si>
    <t>KFM2020766039351</t>
  </si>
  <si>
    <t xml:space="preserve">   مسجد ابوبكر الصديق 5/3613</t>
  </si>
  <si>
    <t>KFM2120660299720</t>
  </si>
  <si>
    <t>MMF2420601023932</t>
  </si>
  <si>
    <t>مسجدام  سعود .</t>
  </si>
  <si>
    <t>KFM2020660173466</t>
  </si>
  <si>
    <t xml:space="preserve">   مسجد-مسفر الدوسري باليرموك .</t>
  </si>
  <si>
    <t>KFM2020660232669</t>
  </si>
  <si>
    <t xml:space="preserve">   مسجدحمزه بن عمر .</t>
  </si>
  <si>
    <t>KFM2020766073451</t>
  </si>
  <si>
    <t xml:space="preserve">   مسجدابو حنيفة م851/ رقم (32)عفيف .</t>
  </si>
  <si>
    <t>KFM2120660265128</t>
  </si>
  <si>
    <t xml:space="preserve">   اوقاف الحصاة/مسجد البراحة .</t>
  </si>
  <si>
    <t>AES2320896632413</t>
  </si>
  <si>
    <t xml:space="preserve">   مسجد الجبرين .</t>
  </si>
  <si>
    <t>KFM2020660178132</t>
  </si>
  <si>
    <t>KFM2020660057040</t>
  </si>
  <si>
    <t xml:space="preserve">   مسجد/حي العلوة بالقرين .</t>
  </si>
  <si>
    <t>KFM2020766102060</t>
  </si>
  <si>
    <t xml:space="preserve">   مسجد جنوب حي الملك فيصل .</t>
  </si>
  <si>
    <t>KFM2020660040605</t>
  </si>
  <si>
    <t xml:space="preserve">   مسجدالزبيربن العوام بحي التعاون .</t>
  </si>
  <si>
    <t>KFM2020660173841</t>
  </si>
  <si>
    <t>KFM2020660036435</t>
  </si>
  <si>
    <t>SMR2220661000139</t>
  </si>
  <si>
    <t xml:space="preserve">   مسجد الفوزان .</t>
  </si>
  <si>
    <t>KFM2120660304889</t>
  </si>
  <si>
    <t xml:space="preserve">         الاوقاف / مسجد ال صقر .</t>
  </si>
  <si>
    <t>KFM2020660212358</t>
  </si>
  <si>
    <t xml:space="preserve">   مسجدالامام ابن كثير .</t>
  </si>
  <si>
    <t>KFM2020766128602</t>
  </si>
  <si>
    <t>مسجد عبدالرحمن مطلق الرويس .</t>
  </si>
  <si>
    <t>KFM2020760051355</t>
  </si>
  <si>
    <t xml:space="preserve">   مسجـــــد جلوي ظافر القحطاني .</t>
  </si>
  <si>
    <t>KFM2020766075885</t>
  </si>
  <si>
    <t xml:space="preserve">   الاوقاف/مسجد عبدالله بن كعب .</t>
  </si>
  <si>
    <t>KFM2020760057870</t>
  </si>
  <si>
    <t>KFM2120660281783</t>
  </si>
  <si>
    <t>MMF2320801117649</t>
  </si>
  <si>
    <t>KFM2020660201944</t>
  </si>
  <si>
    <t>KFM2020660197070</t>
  </si>
  <si>
    <t xml:space="preserve">   مسجد الدحام بحي لبن .</t>
  </si>
  <si>
    <t>KFM2020660202304</t>
  </si>
  <si>
    <t xml:space="preserve">   مسجد السالم مخطط المطار الجنو .</t>
  </si>
  <si>
    <t>KFM2020660160311</t>
  </si>
  <si>
    <t>KFM2020760178760</t>
  </si>
  <si>
    <t>SMR2320761031335</t>
  </si>
  <si>
    <t>مسجد سليمان محمد الحمالي .</t>
  </si>
  <si>
    <t>KFM2020766155477</t>
  </si>
  <si>
    <t>KFM2020660058529</t>
  </si>
  <si>
    <t xml:space="preserve">   مسـجد عمر بن الخطاب .</t>
  </si>
  <si>
    <t>KFM2020660209715</t>
  </si>
  <si>
    <t xml:space="preserve">   مسجد البراء بن مالك .</t>
  </si>
  <si>
    <t>KFM2120660271428</t>
  </si>
  <si>
    <t>KFM2020660193620</t>
  </si>
  <si>
    <t xml:space="preserve">   مسجد صنيدح العتيبي .</t>
  </si>
  <si>
    <t>KFM2020660050044</t>
  </si>
  <si>
    <t xml:space="preserve">   مسجد ابن شايع .</t>
  </si>
  <si>
    <t>KFM2020660020413</t>
  </si>
  <si>
    <t>مسجد الامام  على  بن ابى  طالب .</t>
  </si>
  <si>
    <t>KFM2020660189453</t>
  </si>
  <si>
    <t xml:space="preserve">   مسجدالشيخ عبدالله بن عبدان .</t>
  </si>
  <si>
    <t>KFM2020766158204</t>
  </si>
  <si>
    <t>مسجد /التويم .</t>
  </si>
  <si>
    <t>KFM2020660087374</t>
  </si>
  <si>
    <t xml:space="preserve">   مسجد صالح النملة .</t>
  </si>
  <si>
    <t>KFM2020660209427</t>
  </si>
  <si>
    <t>KFM2020660212432</t>
  </si>
  <si>
    <t>مسجد زين العابدين .</t>
  </si>
  <si>
    <t>KFM2020660015222</t>
  </si>
  <si>
    <t xml:space="preserve">   مسجد      عبد العزيزالهزاع .</t>
  </si>
  <si>
    <t>KFM2020660209344</t>
  </si>
  <si>
    <t xml:space="preserve">   ادارة الاوقاف والمساجد بالرياض .</t>
  </si>
  <si>
    <t>KFM2120660299276</t>
  </si>
  <si>
    <t xml:space="preserve">   مسجد محمد الحبيب .</t>
  </si>
  <si>
    <t>KFM2020660211209</t>
  </si>
  <si>
    <t>KFM2020660188987</t>
  </si>
  <si>
    <t xml:space="preserve">   مسجد نادي الشعيب بحريملاء .</t>
  </si>
  <si>
    <t>AEC2020830313869</t>
  </si>
  <si>
    <t xml:space="preserve">   مسجد  ذو النورين .</t>
  </si>
  <si>
    <t>KFM2020660195097</t>
  </si>
  <si>
    <t xml:space="preserve">   مسجد القصب رقم 2 .</t>
  </si>
  <si>
    <t>AES2020896443338</t>
  </si>
  <si>
    <t>KFM2020660061068</t>
  </si>
  <si>
    <t xml:space="preserve">   مسجدالطراديه .</t>
  </si>
  <si>
    <t>KFM2020660034703</t>
  </si>
  <si>
    <t xml:space="preserve">   مسجد لبنان مناحي .</t>
  </si>
  <si>
    <t>KFM2020760210446</t>
  </si>
  <si>
    <t xml:space="preserve">   مسجد / آل وافي .</t>
  </si>
  <si>
    <t>KFM2120660247559</t>
  </si>
  <si>
    <t>KFM2020660012542</t>
  </si>
  <si>
    <t xml:space="preserve">   مسجد/ ناصر محمد بن سعيدان .</t>
  </si>
  <si>
    <t>KFM2020660099815</t>
  </si>
  <si>
    <t xml:space="preserve">      الاوقاف مسجد ام سريحه .</t>
  </si>
  <si>
    <t>SMR2020850048732</t>
  </si>
  <si>
    <t xml:space="preserve">   اوقاف القويعيه - المستويه .</t>
  </si>
  <si>
    <t>AES2020896528491</t>
  </si>
  <si>
    <t xml:space="preserve">    مـسـجدجنوب صناعيه الحوطه القديمه .</t>
  </si>
  <si>
    <t>KFM2020766145820</t>
  </si>
  <si>
    <t xml:space="preserve">   مسجد المانع بأشيقر - مخطط 725 .</t>
  </si>
  <si>
    <t>KFM2020766121676</t>
  </si>
  <si>
    <t>KFM2020660190934</t>
  </si>
  <si>
    <t>مسجد ناصر العمار .</t>
  </si>
  <si>
    <t>KFM2020660171634</t>
  </si>
  <si>
    <t xml:space="preserve">   وزارة     الحج      والمساجد ثاد .</t>
  </si>
  <si>
    <t>KFM2020766161813</t>
  </si>
  <si>
    <t>SMR2320661034026</t>
  </si>
  <si>
    <t xml:space="preserve">   مسجد      سارة      . .</t>
  </si>
  <si>
    <t>KFM2020660060501</t>
  </si>
  <si>
    <t>KFM2020660203707</t>
  </si>
  <si>
    <t xml:space="preserve">   الجامع الا وسط .</t>
  </si>
  <si>
    <t>KFM2020660207357</t>
  </si>
  <si>
    <t xml:space="preserve">   مسجد الخشبى ـ اوقاف القويعيه .</t>
  </si>
  <si>
    <t>AES2020896448355</t>
  </si>
  <si>
    <t xml:space="preserve">   مسجد حي الملقا .</t>
  </si>
  <si>
    <t>KFM2020660104192</t>
  </si>
  <si>
    <t xml:space="preserve">   مسجد      خزام .</t>
  </si>
  <si>
    <t>KFM2020660190225</t>
  </si>
  <si>
    <t>مسجد محمد بن ماجد .</t>
  </si>
  <si>
    <t>KFM2020660053117</t>
  </si>
  <si>
    <t xml:space="preserve">   مسجد      النابية   اوقاف الحصاة .</t>
  </si>
  <si>
    <t>ECC2020820017217</t>
  </si>
  <si>
    <t xml:space="preserve"> مسجد المقبل مسجد العريف .</t>
  </si>
  <si>
    <t>KFM2020660176988</t>
  </si>
  <si>
    <t>مسجد الرفيعة بالحصاة .</t>
  </si>
  <si>
    <t>AES2120896543820</t>
  </si>
  <si>
    <t xml:space="preserve">   مسجد      ابوشيح    حى ابوشيح .</t>
  </si>
  <si>
    <t>KFM2020766162189</t>
  </si>
  <si>
    <t xml:space="preserve">   مسجد حسن الحارثى .</t>
  </si>
  <si>
    <t>KFM2020660160830</t>
  </si>
  <si>
    <t>SMR2220661004608</t>
  </si>
  <si>
    <t xml:space="preserve">   مسجدابن القيم بليلي .</t>
  </si>
  <si>
    <t>KFM2020660169745</t>
  </si>
  <si>
    <t xml:space="preserve">   اوقاف     الزلفي    مغيراء .</t>
  </si>
  <si>
    <t>KFM2120660280317</t>
  </si>
  <si>
    <t xml:space="preserve">      مسجد الهروف .</t>
  </si>
  <si>
    <t>AES2020896281354</t>
  </si>
  <si>
    <t>مسجد عبدالملك  ال  الشيخ .</t>
  </si>
  <si>
    <t>KFM2020660051660</t>
  </si>
  <si>
    <t xml:space="preserve">   مسجد الشيخ محمد عبدالوهاب بالقصب .</t>
  </si>
  <si>
    <t>KFM2020766132841</t>
  </si>
  <si>
    <t xml:space="preserve">   مسجد العباس .</t>
  </si>
  <si>
    <t>MMF2020800219023</t>
  </si>
  <si>
    <t xml:space="preserve">   اوقاف الزاحميه .</t>
  </si>
  <si>
    <t>AES2120896546232</t>
  </si>
  <si>
    <t xml:space="preserve">      مـسـجـد الجنيح بالروضه .</t>
  </si>
  <si>
    <t>KFM2120660279080</t>
  </si>
  <si>
    <t xml:space="preserve">   مسجد العيد الجنوبي .</t>
  </si>
  <si>
    <t>AES2020896370938</t>
  </si>
  <si>
    <t xml:space="preserve">   مسجدفهدعلي الفايز .</t>
  </si>
  <si>
    <t>KFM2020766034106</t>
  </si>
  <si>
    <t>مسجدالرويضة بالسبالة (حلة عبيدالسهو .</t>
  </si>
  <si>
    <t>KFM2020660189416</t>
  </si>
  <si>
    <t>مسجد أبو بكر الصديق .</t>
  </si>
  <si>
    <t>KFM2020760115629</t>
  </si>
  <si>
    <t xml:space="preserve">   مسجد بن دمشق .</t>
  </si>
  <si>
    <t>KFM2020660207927</t>
  </si>
  <si>
    <t>KFM2020760212491</t>
  </si>
  <si>
    <t>SMR2220661004402</t>
  </si>
  <si>
    <t xml:space="preserve">      مسجد/محسن بن ماضى العرجانى .</t>
  </si>
  <si>
    <t>MMF2020800219042</t>
  </si>
  <si>
    <t>KFM2120660241038</t>
  </si>
  <si>
    <t>مسجد حي احد .</t>
  </si>
  <si>
    <t>KFM2020660196783</t>
  </si>
  <si>
    <t>KFM2020660187554</t>
  </si>
  <si>
    <t>KFM2020660007249</t>
  </si>
  <si>
    <t>.      مسجد      جابر .</t>
  </si>
  <si>
    <t>KFM2020660043888</t>
  </si>
  <si>
    <t xml:space="preserve">   اوقاف الدلم- مسجد طارق بن زياد .</t>
  </si>
  <si>
    <t>KFM2020760006682</t>
  </si>
  <si>
    <t xml:space="preserve">   مسجد القفيه .</t>
  </si>
  <si>
    <t>AEC2020830311769</t>
  </si>
  <si>
    <t>مسجد / بلال  بن رباح .</t>
  </si>
  <si>
    <t>KFM2020660052778</t>
  </si>
  <si>
    <t xml:space="preserve">   مسجد/ابراهيم الجميعه .</t>
  </si>
  <si>
    <t>KFM2020660012623</t>
  </si>
  <si>
    <t>KFM2020660171148</t>
  </si>
  <si>
    <t>مسجد الصدر بالحصاه .</t>
  </si>
  <si>
    <t>AEC2020830529318</t>
  </si>
  <si>
    <t xml:space="preserve">       مسجد ابوعشر5 .</t>
  </si>
  <si>
    <t>SMR2220661012439</t>
  </si>
  <si>
    <t>KFM2020660211778</t>
  </si>
  <si>
    <t xml:space="preserve">   مسجدعبدالرحمن بن ابي بكر-المفيجر .</t>
  </si>
  <si>
    <t>AES2020896436512</t>
  </si>
  <si>
    <t>مسجدالاميربندرمحمدبن عبدالرحمن .</t>
  </si>
  <si>
    <t>KFM2120660272761</t>
  </si>
  <si>
    <t xml:space="preserve">    مسجدالمهاجرين .</t>
  </si>
  <si>
    <t>KFM2020766057447</t>
  </si>
  <si>
    <t xml:space="preserve">   مسجد  مستشفي  العام  عفيف      0 .</t>
  </si>
  <si>
    <t>KFM2020660212326</t>
  </si>
  <si>
    <t xml:space="preserve">      جامع الوسطى بالسديرى .</t>
  </si>
  <si>
    <t>AEC2020830538441</t>
  </si>
  <si>
    <t xml:space="preserve">   اوقاف الخرج /مسجد الشوكاني .</t>
  </si>
  <si>
    <t>KFM2020660231486</t>
  </si>
  <si>
    <t>KFM2020660025454</t>
  </si>
  <si>
    <t>LYE2020830251149</t>
  </si>
  <si>
    <t>KFM2020660127604</t>
  </si>
  <si>
    <t xml:space="preserve">      مـسـجـد الابيرق .</t>
  </si>
  <si>
    <t>KFM2020766116434</t>
  </si>
  <si>
    <t>KFM2020660108696</t>
  </si>
  <si>
    <t xml:space="preserve">   مسجد خنشليله بالمنصورة .</t>
  </si>
  <si>
    <t>KFM2120660282927</t>
  </si>
  <si>
    <t xml:space="preserve">  سكن مسجد عبدالعزيز التويجري .</t>
  </si>
  <si>
    <t>KFM2020660226081</t>
  </si>
  <si>
    <t>MMF2020800217453</t>
  </si>
  <si>
    <t xml:space="preserve">    اوقافمسجدعبدالمحسنويفلعائيض القو .</t>
  </si>
  <si>
    <t>AEC2020830580212</t>
  </si>
  <si>
    <t xml:space="preserve">   مسجد حمزه الحمزه .</t>
  </si>
  <si>
    <t>KFM2020660193505</t>
  </si>
  <si>
    <t>KFM2120660260553</t>
  </si>
  <si>
    <t>KFM2020660051677</t>
  </si>
  <si>
    <t xml:space="preserve">     اوقاف القويعية/مسجدسليمان شعف .</t>
  </si>
  <si>
    <t>KFM2020760105703</t>
  </si>
  <si>
    <t>ECC2020820004630</t>
  </si>
  <si>
    <t>SMR2020850119873</t>
  </si>
  <si>
    <t xml:space="preserve">   مسجد      طلحه      عبيد الله .</t>
  </si>
  <si>
    <t>KFM2020660172380</t>
  </si>
  <si>
    <t>KFM2020760212468</t>
  </si>
  <si>
    <t>KFM2020660202879</t>
  </si>
  <si>
    <t>KFM2020660231160</t>
  </si>
  <si>
    <t xml:space="preserve">   مسجد حي الربيع .</t>
  </si>
  <si>
    <t>KFM2020660201148</t>
  </si>
  <si>
    <t xml:space="preserve">   مسجد الامير سلطان بن عبدالعزيز .</t>
  </si>
  <si>
    <t>KFM2120660258404</t>
  </si>
  <si>
    <t>مسجد جامع حي الفواز .</t>
  </si>
  <si>
    <t>KFM2020660051393</t>
  </si>
  <si>
    <t xml:space="preserve">   مسجد/سعود العواد .</t>
  </si>
  <si>
    <t>KFM2020660207322</t>
  </si>
  <si>
    <t xml:space="preserve">   مسجد ام الطلح ـ اوقاف المزاحميه .</t>
  </si>
  <si>
    <t>KFM2020660225483</t>
  </si>
  <si>
    <t>KFM2020660145803</t>
  </si>
  <si>
    <t>جامع جعفر بن أبي طالب .</t>
  </si>
  <si>
    <t>KFM2120660257540</t>
  </si>
  <si>
    <t>AES2020896400892</t>
  </si>
  <si>
    <t xml:space="preserve">   وزارةالشئون الاسلاميه مسجد .</t>
  </si>
  <si>
    <t>KFM2120660248014</t>
  </si>
  <si>
    <t>KFM2120660249219</t>
  </si>
  <si>
    <t xml:space="preserve">   مسجد ال دعيكان .</t>
  </si>
  <si>
    <t>KFM2120660247591</t>
  </si>
  <si>
    <t xml:space="preserve">   مسجدالطوالع .</t>
  </si>
  <si>
    <t>KFM2020760049201</t>
  </si>
  <si>
    <t>KFM2020660115710</t>
  </si>
  <si>
    <t xml:space="preserve">      اوقاف الدواسر/مسجد مبارك عبيد .</t>
  </si>
  <si>
    <t>MMF2020800326418</t>
  </si>
  <si>
    <t>مسجد /عميربن وهب .</t>
  </si>
  <si>
    <t>KFM2020660173144</t>
  </si>
  <si>
    <t xml:space="preserve">   مسجد منيرة السلولي /حي غرناطة .</t>
  </si>
  <si>
    <t>KFM2120660303482</t>
  </si>
  <si>
    <t xml:space="preserve">   مسجد الشيخ  الالباني .</t>
  </si>
  <si>
    <t>KFM2020660057091</t>
  </si>
  <si>
    <t xml:space="preserve">   جامع التقي .</t>
  </si>
  <si>
    <t>KFM2120660236428</t>
  </si>
  <si>
    <t>KFM2120660257873</t>
  </si>
  <si>
    <t>KFM2020660046535</t>
  </si>
  <si>
    <t>AEC2020830231121</t>
  </si>
  <si>
    <t xml:space="preserve">   جامع ماوان .</t>
  </si>
  <si>
    <t>KFM2120660249856</t>
  </si>
  <si>
    <t xml:space="preserve">   فهدحمدالدوسرى/مسجد المساعره .</t>
  </si>
  <si>
    <t>KFM2020660202724</t>
  </si>
  <si>
    <t>وزارةالا وقاف اوقاف ساجر .</t>
  </si>
  <si>
    <t>AEC2020830315287</t>
  </si>
  <si>
    <t>KFM2020660192535</t>
  </si>
  <si>
    <t xml:space="preserve">   مسجد      هادي      العذيي .</t>
  </si>
  <si>
    <t>MMF2420801316700</t>
  </si>
  <si>
    <t>KFM2020660145556</t>
  </si>
  <si>
    <t>KFM2020760058322</t>
  </si>
  <si>
    <t>مسجد محمد عبدالعزيز الربيعة .</t>
  </si>
  <si>
    <t>KFM2120660243000</t>
  </si>
  <si>
    <t xml:space="preserve">    مسجد علي بن أبي طالب .</t>
  </si>
  <si>
    <t>KFM2020766040438</t>
  </si>
  <si>
    <t xml:space="preserve">   مسجد/ عبد العزيز المهوس .</t>
  </si>
  <si>
    <t>ECC2020811094147</t>
  </si>
  <si>
    <t>مساجد الحوطه .</t>
  </si>
  <si>
    <t>ECC2020811028922</t>
  </si>
  <si>
    <t xml:space="preserve">    جــامـع الحلوه (اوقاف القويعيه) .</t>
  </si>
  <si>
    <t>AES2020896333044</t>
  </si>
  <si>
    <t xml:space="preserve">   مسجدهجرةالوسط .</t>
  </si>
  <si>
    <t>AEC2020830565774</t>
  </si>
  <si>
    <t>SMR2320661030362</t>
  </si>
  <si>
    <t>MMF2420801312228</t>
  </si>
  <si>
    <t xml:space="preserve">   مسجد لولوه بالحمراء .</t>
  </si>
  <si>
    <t>KFM2020660058552</t>
  </si>
  <si>
    <t xml:space="preserve">   مسجد/راشداحمدالثنيان .</t>
  </si>
  <si>
    <t>KFM2120660304592</t>
  </si>
  <si>
    <t xml:space="preserve">      جامع مزعل .</t>
  </si>
  <si>
    <t>KFM2020766107121</t>
  </si>
  <si>
    <t>KFM2120660257425</t>
  </si>
  <si>
    <t xml:space="preserve">   مسجد       الناصرية //////////// .</t>
  </si>
  <si>
    <t>SMR2020850081816</t>
  </si>
  <si>
    <t xml:space="preserve">   وزاره الشئون الاسلامية والاوقاف .</t>
  </si>
  <si>
    <t>KFM2020660197986</t>
  </si>
  <si>
    <t>AES2020896527184</t>
  </si>
  <si>
    <t xml:space="preserve">   الاوقاف مسجد السعدون .</t>
  </si>
  <si>
    <t>AES2120896551500</t>
  </si>
  <si>
    <t xml:space="preserve">   مسجد      محمد      الريس .</t>
  </si>
  <si>
    <t>KFM2020660174234</t>
  </si>
  <si>
    <t xml:space="preserve">   جامع تركي السديري بالغاط .</t>
  </si>
  <si>
    <t>KFM2120660287359</t>
  </si>
  <si>
    <t>مسجد فهد بن عشيان .</t>
  </si>
  <si>
    <t>KFM2020660056016</t>
  </si>
  <si>
    <t xml:space="preserve">   مسجد حي البريه .</t>
  </si>
  <si>
    <t>KFM2020760204018</t>
  </si>
  <si>
    <t>مسجدالايمان .</t>
  </si>
  <si>
    <t>KFM2020660203478</t>
  </si>
  <si>
    <t>KFM2020660054382</t>
  </si>
  <si>
    <t xml:space="preserve">   مسجد علي فهد الهزاع . .</t>
  </si>
  <si>
    <t>KFM2020660036395</t>
  </si>
  <si>
    <t>مسجد الدريهمية .</t>
  </si>
  <si>
    <t>KFM2020660051456</t>
  </si>
  <si>
    <t xml:space="preserve">      مسجد المنقاع .</t>
  </si>
  <si>
    <t>KFM2020766167756</t>
  </si>
  <si>
    <t xml:space="preserve">      مسجد السعودى .</t>
  </si>
  <si>
    <t>KFM2020660169771</t>
  </si>
  <si>
    <t xml:space="preserve">   مسجد غرب وزارة الدفاع .</t>
  </si>
  <si>
    <t>KFM2020660156129</t>
  </si>
  <si>
    <t xml:space="preserve">   مسجد      المثناه   الا وقاف .</t>
  </si>
  <si>
    <t>AES2120896609231</t>
  </si>
  <si>
    <t>مسجدالسويدي .</t>
  </si>
  <si>
    <t>KFM2020660199003</t>
  </si>
  <si>
    <t>KFM2020660202141</t>
  </si>
  <si>
    <t xml:space="preserve">     مسـجـد حـي  الـزهــره .</t>
  </si>
  <si>
    <t>KFM2020660232764</t>
  </si>
  <si>
    <t>KFM2020660170861</t>
  </si>
  <si>
    <t>مسجدحى  السويدى  -الزهرة .</t>
  </si>
  <si>
    <t>KFM2020660015358</t>
  </si>
  <si>
    <t xml:space="preserve">   مسجد الحافظ .</t>
  </si>
  <si>
    <t>KFM2020660212283</t>
  </si>
  <si>
    <t>KFM2020760149416</t>
  </si>
  <si>
    <t xml:space="preserve">   مسجد الشاميه .</t>
  </si>
  <si>
    <t>AES2120896585776</t>
  </si>
  <si>
    <t xml:space="preserve">   مسجد المتعب .</t>
  </si>
  <si>
    <t>KFM2020660134422</t>
  </si>
  <si>
    <t>KFM2020660230203</t>
  </si>
  <si>
    <t>KFM2020660212994</t>
  </si>
  <si>
    <t xml:space="preserve">    مسجد .</t>
  </si>
  <si>
    <t>ECC2320831084234</t>
  </si>
  <si>
    <t>KFM2020660061542</t>
  </si>
  <si>
    <t xml:space="preserve">   مسجد القحطاني .</t>
  </si>
  <si>
    <t>KFM2120660271668</t>
  </si>
  <si>
    <t xml:space="preserve">   مسجد / حي الهدى .</t>
  </si>
  <si>
    <t>KFM2120660254459</t>
  </si>
  <si>
    <t xml:space="preserve">      مـسـجـد الصالحيه بالرين .</t>
  </si>
  <si>
    <t>AES2020896459252</t>
  </si>
  <si>
    <t>,   مسجد      العبادله .</t>
  </si>
  <si>
    <t>KFM2020660198524</t>
  </si>
  <si>
    <t xml:space="preserve">   مسجد      محمد      آل محيش .</t>
  </si>
  <si>
    <t>KFM2020660212721</t>
  </si>
  <si>
    <t xml:space="preserve">   مسجد ابن ماجه .</t>
  </si>
  <si>
    <t>KFM2120660268857</t>
  </si>
  <si>
    <t xml:space="preserve">   اوقاف     محافظة    مسجد ال عجيا .</t>
  </si>
  <si>
    <t>KFM2020766005266</t>
  </si>
  <si>
    <t xml:space="preserve">   مسجدقماشه بنت سعود .</t>
  </si>
  <si>
    <t>KFM2020660229306</t>
  </si>
  <si>
    <t xml:space="preserve">   مسجدموضي عبدالمحسن مشاري ال سعود .</t>
  </si>
  <si>
    <t>KFM2020660126690</t>
  </si>
  <si>
    <t xml:space="preserve">   مسجد/عباد بن بشر .</t>
  </si>
  <si>
    <t>KFM2020660211773</t>
  </si>
  <si>
    <t xml:space="preserve">   مسجد حصة الحميدي .</t>
  </si>
  <si>
    <t>KFM2020660210006</t>
  </si>
  <si>
    <t xml:space="preserve">   مسجد حامد فهد الحربي .</t>
  </si>
  <si>
    <t>KFM2020660190952</t>
  </si>
  <si>
    <t xml:space="preserve">   مسجد المعيجل .</t>
  </si>
  <si>
    <t>AES2120896573875</t>
  </si>
  <si>
    <t>KFM2020660196765</t>
  </si>
  <si>
    <t xml:space="preserve">   مسجد بجاد عواض الصفق .</t>
  </si>
  <si>
    <t>KFM2020766132859</t>
  </si>
  <si>
    <t>KFM2020660207186</t>
  </si>
  <si>
    <t>مسجد بن قدامة ( روضة سدير ) .</t>
  </si>
  <si>
    <t>KFM2020766099120</t>
  </si>
  <si>
    <t>مسجد نورة  ابراهيم  الصنيع .</t>
  </si>
  <si>
    <t>KFM2020660044991</t>
  </si>
  <si>
    <t xml:space="preserve">   اوقاف الرين مسجد جامع العناديه .</t>
  </si>
  <si>
    <t>AES2120896601156</t>
  </si>
  <si>
    <t>SMR2220661018109</t>
  </si>
  <si>
    <t>KFM2120660295376</t>
  </si>
  <si>
    <t xml:space="preserve">   سكن مسجد عمر بن الخطاب .</t>
  </si>
  <si>
    <t>MMF2020800250326</t>
  </si>
  <si>
    <t xml:space="preserve">   مسجد رقم 16 .</t>
  </si>
  <si>
    <t>KFM2120660304065</t>
  </si>
  <si>
    <t>KFM2020660177857</t>
  </si>
  <si>
    <t>مسجد /عبدالله  الجارالله .</t>
  </si>
  <si>
    <t>KFM2020660200346</t>
  </si>
  <si>
    <t xml:space="preserve">   المسجد     الشمالي    408 .</t>
  </si>
  <si>
    <t>KFM2020760209696</t>
  </si>
  <si>
    <t xml:space="preserve">   مسجدمخطط 412 .</t>
  </si>
  <si>
    <t>KFM2020766085402</t>
  </si>
  <si>
    <t>مسجد      ال  الشيخ   بالشفاء .</t>
  </si>
  <si>
    <t>KFM2020660054329</t>
  </si>
  <si>
    <t>.  مسجد      ابو هريرة .</t>
  </si>
  <si>
    <t>KFM2020660049572</t>
  </si>
  <si>
    <t>وزارة الشئون مسجد عيدالشيبانى .</t>
  </si>
  <si>
    <t>KFM2020660049573</t>
  </si>
  <si>
    <t xml:space="preserve">   مسجد شرق حي الخليج .</t>
  </si>
  <si>
    <t>KFM2020660190958</t>
  </si>
  <si>
    <t xml:space="preserve">   مسجد عدي بن حاتم رضي الله عنه .</t>
  </si>
  <si>
    <t>KFM2020660232846</t>
  </si>
  <si>
    <t>AEC2020720014772</t>
  </si>
  <si>
    <t>ECC2320831055025</t>
  </si>
  <si>
    <t>KFM2020660199779</t>
  </si>
  <si>
    <t xml:space="preserve">   مسجد الجامع   بلدة المعشبة .</t>
  </si>
  <si>
    <t>SMR2020856136349</t>
  </si>
  <si>
    <t xml:space="preserve"> اوقاف القويعيه/جامع القويلق الشمالي .</t>
  </si>
  <si>
    <t>GTR2420895415150</t>
  </si>
  <si>
    <t>KFM2020660174857</t>
  </si>
  <si>
    <t xml:space="preserve">   مسجدعبدالله العثمان الناصر .</t>
  </si>
  <si>
    <t>KFM2020766161983</t>
  </si>
  <si>
    <t>مسجد الخراشي .</t>
  </si>
  <si>
    <t>KFM2020660052780</t>
  </si>
  <si>
    <t>KFM2120655001473</t>
  </si>
  <si>
    <t>KFM2120660301483</t>
  </si>
  <si>
    <t>مسجدجامع  النسيم .</t>
  </si>
  <si>
    <t>KFM2020660054923</t>
  </si>
  <si>
    <t xml:space="preserve">   مسجد      الظهيرة   . .</t>
  </si>
  <si>
    <t>MMF2020800263078</t>
  </si>
  <si>
    <t>KFM2120660268712</t>
  </si>
  <si>
    <t xml:space="preserve">   مسجد جنوب الصالحيه .</t>
  </si>
  <si>
    <t>KFM2120660287227</t>
  </si>
  <si>
    <t xml:space="preserve">   مسجد والدة الامير/ بدر .</t>
  </si>
  <si>
    <t>KFM2120660258276</t>
  </si>
  <si>
    <t xml:space="preserve">   مسجد الغنيم .</t>
  </si>
  <si>
    <t>KFM2020760006669</t>
  </si>
  <si>
    <t xml:space="preserve">      مسجد المامون .</t>
  </si>
  <si>
    <t>KFM2020760061215</t>
  </si>
  <si>
    <t>KFM2020660139816</t>
  </si>
  <si>
    <t>SMR2020850003650</t>
  </si>
  <si>
    <t>KFM2120660252480</t>
  </si>
  <si>
    <t xml:space="preserve">   مسجد ناصر ابراهيم الزيد .</t>
  </si>
  <si>
    <t>KFM2120660270236</t>
  </si>
  <si>
    <t xml:space="preserve">   مسجد حى الناصريه الجنوبى .</t>
  </si>
  <si>
    <t>KFM2120660249151</t>
  </si>
  <si>
    <t>MMF2020800321908</t>
  </si>
  <si>
    <t>مسجدمحمد بن عبدالله  الشعلان .</t>
  </si>
  <si>
    <t>KFM2020766086359</t>
  </si>
  <si>
    <t xml:space="preserve">   مسجد      عبدالعزيز السنيدي .</t>
  </si>
  <si>
    <t>SMR2220661000488</t>
  </si>
  <si>
    <t xml:space="preserve">   مسجد بحي النظيم .</t>
  </si>
  <si>
    <t>KFM2020660174074</t>
  </si>
  <si>
    <t>KFM2020660053864</t>
  </si>
  <si>
    <t>KFM2120660242019</t>
  </si>
  <si>
    <t>KFM2020660038583</t>
  </si>
  <si>
    <t>KFM2020660212706</t>
  </si>
  <si>
    <t xml:space="preserve">   مسجد أسامه بن زيد .</t>
  </si>
  <si>
    <t>MMF2020800211257</t>
  </si>
  <si>
    <t xml:space="preserve">   مسجد الزنيدى .</t>
  </si>
  <si>
    <t>KFM2020660228175</t>
  </si>
  <si>
    <t>SMR2220661000424</t>
  </si>
  <si>
    <t xml:space="preserve">   مسجد الملحم .</t>
  </si>
  <si>
    <t>AES2120896573939</t>
  </si>
  <si>
    <t>KFM2020760082801</t>
  </si>
  <si>
    <t xml:space="preserve">   مسجد العقيل .</t>
  </si>
  <si>
    <t>KFM2020660039573</t>
  </si>
  <si>
    <t>ﺍﻟﺩﻋﻭﺓ ﻭﺍﻼﺭﺸﺎﺩ .</t>
  </si>
  <si>
    <t>SMR2420761036159</t>
  </si>
  <si>
    <t xml:space="preserve"> مسجد معاذابن جبل بجوارالمعهدالعلمي .</t>
  </si>
  <si>
    <t>KFM2020660227486</t>
  </si>
  <si>
    <t xml:space="preserve">   مسجدالمهنا م 136 .</t>
  </si>
  <si>
    <t>KFM2020766154288</t>
  </si>
  <si>
    <t>مسجد المثنى  بن حارثه .</t>
  </si>
  <si>
    <t>KFM2020660176987</t>
  </si>
  <si>
    <t>مسجد الجامع القديم بمركز حرمه .</t>
  </si>
  <si>
    <t>KFM2020660195849</t>
  </si>
  <si>
    <t>SMR2220661001707</t>
  </si>
  <si>
    <t>KFM2020660173972</t>
  </si>
  <si>
    <t>KFM2020660211312</t>
  </si>
  <si>
    <t>مسجدفهدبن محمدالسلمان .</t>
  </si>
  <si>
    <t>KFM2020660203844</t>
  </si>
  <si>
    <t xml:space="preserve">      مسجد القاضى .</t>
  </si>
  <si>
    <t>AES2020896450684</t>
  </si>
  <si>
    <t xml:space="preserve">      مسجد حى السلمانيه .</t>
  </si>
  <si>
    <t>KFM2020760013899</t>
  </si>
  <si>
    <t xml:space="preserve">   اوقاف القويعيه /مسجدالرحمانيه .</t>
  </si>
  <si>
    <t>AES2020896531628</t>
  </si>
  <si>
    <t xml:space="preserve">   مسجدالشيخ عبدالله ناصرالعمار .</t>
  </si>
  <si>
    <t>KFM2020760029128</t>
  </si>
  <si>
    <t xml:space="preserve">   مسجد جنوب السليمانيه .</t>
  </si>
  <si>
    <t>KFM2020660051095</t>
  </si>
  <si>
    <t>مسجد  ذي  البجادين .</t>
  </si>
  <si>
    <t>KFM2020660019022</t>
  </si>
  <si>
    <t>SMR2020765006018</t>
  </si>
  <si>
    <t xml:space="preserve">   مسجد على بن ابى طالب .</t>
  </si>
  <si>
    <t>KFM2020660209597</t>
  </si>
  <si>
    <t xml:space="preserve">    مسجد ابن تيميه بالحلوة .</t>
  </si>
  <si>
    <t>AES2020896436442</t>
  </si>
  <si>
    <t xml:space="preserve">   مسجد محمد يوسف الشعلان ووالديه .</t>
  </si>
  <si>
    <t>KFM2020766132758</t>
  </si>
  <si>
    <t xml:space="preserve">   مسجد / زيد العليق .</t>
  </si>
  <si>
    <t>KFM2020660188289</t>
  </si>
  <si>
    <t xml:space="preserve">   وزارة الشؤون الاسلاميه مسجدالشنيفي .</t>
  </si>
  <si>
    <t>KFM2020660100154</t>
  </si>
  <si>
    <t xml:space="preserve">   اوقاف الرين /مسجدعلي ابي طالب .</t>
  </si>
  <si>
    <t>KFM2020760229577</t>
  </si>
  <si>
    <t>KFM2020660040806</t>
  </si>
  <si>
    <t xml:space="preserve">      مسجد اسـامةبن زيـد .</t>
  </si>
  <si>
    <t>KFM2120660270810</t>
  </si>
  <si>
    <t xml:space="preserve">   اوقاف المزاحميه/مسجدالعماير .</t>
  </si>
  <si>
    <t>GTR2320890757489</t>
  </si>
  <si>
    <t>SMR2320761033531</t>
  </si>
  <si>
    <t>مسجد حله عجلان .</t>
  </si>
  <si>
    <t>KFM2020660230210</t>
  </si>
  <si>
    <t xml:space="preserve">    مسجدالصحن غرب شقراء .</t>
  </si>
  <si>
    <t>KFM2020766155038</t>
  </si>
  <si>
    <t xml:space="preserve">   مسجد بن عبدالبرالاندلسي .</t>
  </si>
  <si>
    <t>ECC2020810933603</t>
  </si>
  <si>
    <t>KFM2020660177748</t>
  </si>
  <si>
    <t>KFM2120660299543</t>
  </si>
  <si>
    <t xml:space="preserve">   مسـجد الفيحاء .</t>
  </si>
  <si>
    <t>KFM2120660268863</t>
  </si>
  <si>
    <t xml:space="preserve">   مسجدسعد المعمر .</t>
  </si>
  <si>
    <t>KFM2020660201978</t>
  </si>
  <si>
    <t>KFM2120660300105</t>
  </si>
  <si>
    <t>KFM2020660050627</t>
  </si>
  <si>
    <t xml:space="preserve">   مسجد منيره العبدالكريم .</t>
  </si>
  <si>
    <t>KFM2120660281770</t>
  </si>
  <si>
    <t>KFM2020766099449</t>
  </si>
  <si>
    <t>KFM2020660197298</t>
  </si>
  <si>
    <t>مسجد   أبوبكر الصديق .</t>
  </si>
  <si>
    <t>KFM2020660011941</t>
  </si>
  <si>
    <t>KFM2020660230187</t>
  </si>
  <si>
    <t>KFM2020660007871</t>
  </si>
  <si>
    <t xml:space="preserve">   مسجد  عبدالرحمن بن  عوف .</t>
  </si>
  <si>
    <t>KFM2020660038158</t>
  </si>
  <si>
    <t xml:space="preserve">   اوقاف الدواسر/ جامع الزويراء .</t>
  </si>
  <si>
    <t>KFM2020660206060</t>
  </si>
  <si>
    <t>لا وقاف مسجد العبدالمنعم .</t>
  </si>
  <si>
    <t>AEC2020830576354</t>
  </si>
  <si>
    <t>LYE2020830238423</t>
  </si>
  <si>
    <t xml:space="preserve">   مسجد ناصرالراشد .</t>
  </si>
  <si>
    <t>KFM2020660019745</t>
  </si>
  <si>
    <t xml:space="preserve">   اوقاف الرين /مسجدسعدبن معاد .</t>
  </si>
  <si>
    <t>KFM2020660150158</t>
  </si>
  <si>
    <t xml:space="preserve">   مسجد      محمد      التويجري .</t>
  </si>
  <si>
    <t>KFM2020760115635</t>
  </si>
  <si>
    <t xml:space="preserve">      مسجد بالهياثم عبدالله بن سالم .</t>
  </si>
  <si>
    <t>KFM2120660249944</t>
  </si>
  <si>
    <t>مسجدبن عويسان .</t>
  </si>
  <si>
    <t>KFM2020660011934</t>
  </si>
  <si>
    <t>KFM2020660195154</t>
  </si>
  <si>
    <t xml:space="preserve">   مسجد دالقان بالبخة .</t>
  </si>
  <si>
    <t>AES2120896597599</t>
  </si>
  <si>
    <t>KFM2020660037787</t>
  </si>
  <si>
    <t>مسجدحى  السيارى .</t>
  </si>
  <si>
    <t>KFM2020760007173</t>
  </si>
  <si>
    <t xml:space="preserve">   مسجد/حي الزهور بالقرين .</t>
  </si>
  <si>
    <t>ECC2020811054245</t>
  </si>
  <si>
    <t xml:space="preserve">   مسجد      علي       ال الشيخ .</t>
  </si>
  <si>
    <t>KFM2120660266096</t>
  </si>
  <si>
    <t xml:space="preserve">   مسجد الامير محمد بن عبدالعزيز .</t>
  </si>
  <si>
    <t>KFM2020660025595</t>
  </si>
  <si>
    <t xml:space="preserve">   مسجد / عمر بن الخطاب .</t>
  </si>
  <si>
    <t>MMF2020800299680</t>
  </si>
  <si>
    <t>SMR2320661024287</t>
  </si>
  <si>
    <t>KFM2020660192408</t>
  </si>
  <si>
    <t>مسجد الشيخ  فهد بن مقبل .</t>
  </si>
  <si>
    <t>KFM2020660052967</t>
  </si>
  <si>
    <t xml:space="preserve">   مسجد ابوخليل .</t>
  </si>
  <si>
    <t>KFM2120660247492</t>
  </si>
  <si>
    <t>وزاره      الشوون    مسجد اليمامه .</t>
  </si>
  <si>
    <t>KFM2020660039878</t>
  </si>
  <si>
    <t>KFM2020766154308</t>
  </si>
  <si>
    <t xml:space="preserve">   أوقاف القويعية/مسجدهجرة أبومروة .</t>
  </si>
  <si>
    <t>SMR2020850089779</t>
  </si>
  <si>
    <t>KFM2020766163530</t>
  </si>
  <si>
    <t>KFM2020660046528</t>
  </si>
  <si>
    <t xml:space="preserve">   اوقاف الزلفي (مسجدالفرقان) .</t>
  </si>
  <si>
    <t>KFM2120660280296</t>
  </si>
  <si>
    <t xml:space="preserve">   مسجد القرينة .</t>
  </si>
  <si>
    <t>KFM2020660195853</t>
  </si>
  <si>
    <t xml:space="preserve">   مسجد      النقيه    بالافلاج .</t>
  </si>
  <si>
    <t>KFM2020660223686</t>
  </si>
  <si>
    <t xml:space="preserve">   (مسجدالسلام)وزارة الأوقاف والمساجد .</t>
  </si>
  <si>
    <t>KFM2120660241405</t>
  </si>
  <si>
    <t xml:space="preserve">   مسجد عمربنالخطاب بحي الملك فهد .</t>
  </si>
  <si>
    <t>KFM2020660224373</t>
  </si>
  <si>
    <t xml:space="preserve">   مسجد اسواق بن دايل .</t>
  </si>
  <si>
    <t>KFM2020660161665</t>
  </si>
  <si>
    <t xml:space="preserve">   مسجد/محمد عبدالرحمن ابوزيد .</t>
  </si>
  <si>
    <t>MMF2020800017319</t>
  </si>
  <si>
    <t>ECC2020820019867</t>
  </si>
  <si>
    <t xml:space="preserve">   مسجد/ فيحان  سليمان .</t>
  </si>
  <si>
    <t>KFM2020660208378</t>
  </si>
  <si>
    <t>مسجد العتيبي .</t>
  </si>
  <si>
    <t>KFM2020760034342</t>
  </si>
  <si>
    <t xml:space="preserve">   مسجد حسن خليف العنزي .</t>
  </si>
  <si>
    <t>KFM2020660175848</t>
  </si>
  <si>
    <t>.   مسجد      العابسي .</t>
  </si>
  <si>
    <t>KFM2020660087398</t>
  </si>
  <si>
    <t xml:space="preserve">   مسجد      هارون     حي الا ندلس .</t>
  </si>
  <si>
    <t>KFM2020660209348</t>
  </si>
  <si>
    <t xml:space="preserve">   مسجد      مخطط 622  الخطاب .</t>
  </si>
  <si>
    <t>KFM2020760058274</t>
  </si>
  <si>
    <t>KFM2020660057090</t>
  </si>
  <si>
    <t>مسجد المخطط السابع .</t>
  </si>
  <si>
    <t>KFM2020660042347</t>
  </si>
  <si>
    <t xml:space="preserve">   مسجد جامع سوق الغنم .</t>
  </si>
  <si>
    <t>KFM2120660239141</t>
  </si>
  <si>
    <t xml:space="preserve">   مسجد الشيخ عبدالله عبدالرحمن راج .</t>
  </si>
  <si>
    <t>MMF2420601020626</t>
  </si>
  <si>
    <t xml:space="preserve">   اوقاف الحصاة/مسجدام معامل بخيم .</t>
  </si>
  <si>
    <t>MMF2420801307319</t>
  </si>
  <si>
    <t>المسجد المؤقت  بالداخل  المحدود .</t>
  </si>
  <si>
    <t>KFM2020660202681</t>
  </si>
  <si>
    <t xml:space="preserve">    مسجد حي المغرزات .</t>
  </si>
  <si>
    <t>KFM2120660255421</t>
  </si>
  <si>
    <t>MMF2220801090427</t>
  </si>
  <si>
    <t>SMR2220661002152</t>
  </si>
  <si>
    <t>KFM2020660036451</t>
  </si>
  <si>
    <t xml:space="preserve">   مسجدالشيخ/محمد المسعر بمشرفة .</t>
  </si>
  <si>
    <t>AES2120896592775</t>
  </si>
  <si>
    <t xml:space="preserve">   مسجد      منير      العصيمي .</t>
  </si>
  <si>
    <t>MMF2020800077737</t>
  </si>
  <si>
    <t>مسجد /سليمان الجامع .</t>
  </si>
  <si>
    <t>KFM2020660044150</t>
  </si>
  <si>
    <t xml:space="preserve">      مسجد حى رقم 18 .</t>
  </si>
  <si>
    <t>KFM2120760245063</t>
  </si>
  <si>
    <t>KFM2120660259040</t>
  </si>
  <si>
    <t xml:space="preserve">   مسجد ضاحية لبن .</t>
  </si>
  <si>
    <t>KFM2020660198296</t>
  </si>
  <si>
    <t xml:space="preserve">   مسجد حى رقم 17 .</t>
  </si>
  <si>
    <t>KFM2020766054724</t>
  </si>
  <si>
    <t xml:space="preserve">   مسجدعبدالكريمالاحيدب .</t>
  </si>
  <si>
    <t>LYE2020830019563</t>
  </si>
  <si>
    <t xml:space="preserve">   مسجد حي العمائرالشمالي .</t>
  </si>
  <si>
    <t>AES2120896559022</t>
  </si>
  <si>
    <t xml:space="preserve">       مسجد عبلاء الرفيعه .</t>
  </si>
  <si>
    <t>AES2020896463874</t>
  </si>
  <si>
    <t xml:space="preserve">   أوقاف المزحمية/مسجدهجرةالضياغم .</t>
  </si>
  <si>
    <t>KFM2020766154956</t>
  </si>
  <si>
    <t xml:space="preserve">   مسجد ام سلمه - اوقاف القويعيه .</t>
  </si>
  <si>
    <t>AES2020896370934</t>
  </si>
  <si>
    <t>KFM2120660302385</t>
  </si>
  <si>
    <t xml:space="preserve">      اوقاف القويعيه ـ جامع المثناه .</t>
  </si>
  <si>
    <t>KFM2020766077793</t>
  </si>
  <si>
    <t xml:space="preserve">   اوقاف المزاحميه /مسجدالشيخ مترك .</t>
  </si>
  <si>
    <t>KFM2020660175941</t>
  </si>
  <si>
    <t>.   مسجد      البواردي .</t>
  </si>
  <si>
    <t>KFM2020660051491</t>
  </si>
  <si>
    <t>KFM2020660051583</t>
  </si>
  <si>
    <t>مسجد /طامي النصار .</t>
  </si>
  <si>
    <t>KFM2020660053780</t>
  </si>
  <si>
    <t xml:space="preserve">   اوقاف الدلم مسجدعبدالرحمن اليحي .</t>
  </si>
  <si>
    <t>MMF2020800255128</t>
  </si>
  <si>
    <t>SMR2220761016208</t>
  </si>
  <si>
    <t>KFM2020660214082</t>
  </si>
  <si>
    <t>SMR2420861001343</t>
  </si>
  <si>
    <t xml:space="preserve">   مسجدشمال حى الفيحاء .</t>
  </si>
  <si>
    <t>KFM2120660271688</t>
  </si>
  <si>
    <t>مسجد فراج العصيمي بالدوادمي .</t>
  </si>
  <si>
    <t>ECC2020811058835</t>
  </si>
  <si>
    <t>مسجد غذوانه .</t>
  </si>
  <si>
    <t>KFM2020660006672</t>
  </si>
  <si>
    <t xml:space="preserve">   الجامع الجديد بجريسه .</t>
  </si>
  <si>
    <t>SMR2020850115041</t>
  </si>
  <si>
    <t xml:space="preserve">   مسجد الشيخ ابراهيم زيد المزيد .</t>
  </si>
  <si>
    <t>KFM2020660211474</t>
  </si>
  <si>
    <t>SMR2220761003021</t>
  </si>
  <si>
    <t>AEC2020830539463</t>
  </si>
  <si>
    <t xml:space="preserve">   مسجد/ راشدالعتيبي .</t>
  </si>
  <si>
    <t>KFM2020660041707</t>
  </si>
  <si>
    <t>مسجد سكن العمال ببلدية محافظة الدلم .</t>
  </si>
  <si>
    <t>KFM2120660260549</t>
  </si>
  <si>
    <t>KFM2020660013806</t>
  </si>
  <si>
    <t xml:space="preserve">   مسجد القويسه .</t>
  </si>
  <si>
    <t>AES2120896566657</t>
  </si>
  <si>
    <t xml:space="preserve">   مسجد الطواله .</t>
  </si>
  <si>
    <t>AEC2020830576002</t>
  </si>
  <si>
    <t>.    مسجد      عمر بن .</t>
  </si>
  <si>
    <t>SMR2220661011788</t>
  </si>
  <si>
    <t>KFM2020660104895</t>
  </si>
  <si>
    <t xml:space="preserve">   مسجد حى الاندلس .</t>
  </si>
  <si>
    <t>KFM2020660166491</t>
  </si>
  <si>
    <t>مسجدالمسعود/شارع  عسير .</t>
  </si>
  <si>
    <t>KFM2020660038880</t>
  </si>
  <si>
    <t xml:space="preserve">   مسجد      ابوزيد    ابوزيد .</t>
  </si>
  <si>
    <t>KFM2020660204182</t>
  </si>
  <si>
    <t>KFM2020660060130</t>
  </si>
  <si>
    <t xml:space="preserve">   مسجد / معاذ بن جبل .</t>
  </si>
  <si>
    <t>KFM2020660047054</t>
  </si>
  <si>
    <t>مسجد رقم 31 بمخطط 127 بالقصب .</t>
  </si>
  <si>
    <t>AES2020896448925</t>
  </si>
  <si>
    <t>KFM2020660227062</t>
  </si>
  <si>
    <t>KFM2020660202987</t>
  </si>
  <si>
    <t>KFM2020660060505</t>
  </si>
  <si>
    <t xml:space="preserve">   مسجد ال مقرن .</t>
  </si>
  <si>
    <t>KFM2020660231518</t>
  </si>
  <si>
    <t>KFM2020660051674</t>
  </si>
  <si>
    <t>0    مسجد      حي طويق .</t>
  </si>
  <si>
    <t>KFM2020766069767</t>
  </si>
  <si>
    <t xml:space="preserve">   مسجد الشيخ  محمد صالح العثيمين .</t>
  </si>
  <si>
    <t>KFM2020660174322</t>
  </si>
  <si>
    <t xml:space="preserve">   مسجد/حي   الشرف     وزارةالاوقاف .</t>
  </si>
  <si>
    <t>AES2020896453670</t>
  </si>
  <si>
    <t>جامع  بن باز .</t>
  </si>
  <si>
    <t>KFM2020660203548</t>
  </si>
  <si>
    <t xml:space="preserve">   مسجد محمد عبدالله العميل .</t>
  </si>
  <si>
    <t>KFM2020660195969</t>
  </si>
  <si>
    <t>MMF2020800148369</t>
  </si>
  <si>
    <t>مسجد السويدى  الغربى .</t>
  </si>
  <si>
    <t>SMR2220661011116</t>
  </si>
  <si>
    <t>KFM2120660300538</t>
  </si>
  <si>
    <t xml:space="preserve">   مسجدجامع الحـريدى .</t>
  </si>
  <si>
    <t>KFM2020660212945</t>
  </si>
  <si>
    <t xml:space="preserve">   مسجد رقم 2 مخطط 922 بشقراء .</t>
  </si>
  <si>
    <t>AES2020896449895</t>
  </si>
  <si>
    <t>مسجد  حي الشفا .</t>
  </si>
  <si>
    <t>KFM2020660098758</t>
  </si>
  <si>
    <t xml:space="preserve">   جامع العفجه .</t>
  </si>
  <si>
    <t>KFM2120660272879</t>
  </si>
  <si>
    <t>KFM2020660189774</t>
  </si>
  <si>
    <t>KFM2020660153936</t>
  </si>
  <si>
    <t xml:space="preserve">   مدرسة تحفيظ القران بمسجد التوحيد .</t>
  </si>
  <si>
    <t>KFM2020760103035</t>
  </si>
  <si>
    <t xml:space="preserve">   اوقاف المزاحميه / جامع القراره .</t>
  </si>
  <si>
    <t>KFM2020660206888</t>
  </si>
  <si>
    <t xml:space="preserve">     مكتب  اوقاف  مسجد حي  العزيزيه .</t>
  </si>
  <si>
    <t>KFM2020660195705</t>
  </si>
  <si>
    <t>.       مسجد      شعبه .</t>
  </si>
  <si>
    <t>KFM2020660198261</t>
  </si>
  <si>
    <t xml:space="preserve">   مسجد الخليفي .</t>
  </si>
  <si>
    <t>AES2120896616562</t>
  </si>
  <si>
    <t xml:space="preserve">   مسجد حي الدار البيضاء .</t>
  </si>
  <si>
    <t>KFM2020660162722</t>
  </si>
  <si>
    <t xml:space="preserve">   مسجد محمد السحيباني .</t>
  </si>
  <si>
    <t>KFM2020660127231</t>
  </si>
  <si>
    <t xml:space="preserve">   مسجدحي السعاده .</t>
  </si>
  <si>
    <t>KFM2020660031545</t>
  </si>
  <si>
    <t xml:space="preserve">   اوقاف الخرج --مسجد ابن سارحه .</t>
  </si>
  <si>
    <t>KFM2020760011832</t>
  </si>
  <si>
    <t xml:space="preserve">      جامع الرفايع .</t>
  </si>
  <si>
    <t>KFM2020766163490</t>
  </si>
  <si>
    <t xml:space="preserve">   مسجد  صالح ناصر     القريني .</t>
  </si>
  <si>
    <t>KFM2020660209442</t>
  </si>
  <si>
    <t xml:space="preserve">   مسجد  حامع أم سليم .</t>
  </si>
  <si>
    <t>AES2020896468255</t>
  </si>
  <si>
    <t>KFM2020660044558</t>
  </si>
  <si>
    <t xml:space="preserve">   مسجد      استراحة   الاوقاف .</t>
  </si>
  <si>
    <t>AEC2020830313673</t>
  </si>
  <si>
    <t xml:space="preserve">   اوقاف الزلفي مسجدالبرادية .</t>
  </si>
  <si>
    <t>SMR2420761041032</t>
  </si>
  <si>
    <t>ECC2320831055029</t>
  </si>
  <si>
    <t>مسجد / حى  الشفاء .</t>
  </si>
  <si>
    <t>KFM2020660087373</t>
  </si>
  <si>
    <t xml:space="preserve">   مسجد المعذر بام الحمام .</t>
  </si>
  <si>
    <t>KFM2020660173009</t>
  </si>
  <si>
    <t xml:space="preserve">   جــــامــــع الغيلانه .</t>
  </si>
  <si>
    <t>KFM2020660199670</t>
  </si>
  <si>
    <t>وزارةالا وقاف اوقاف عفيف .</t>
  </si>
  <si>
    <t>KFM2020660171100</t>
  </si>
  <si>
    <t xml:space="preserve">   مسجد/سليمان الحديثى .</t>
  </si>
  <si>
    <t>KFM2020660196621</t>
  </si>
  <si>
    <t>KFM2020660006599</t>
  </si>
  <si>
    <t>SMR2220661007889</t>
  </si>
  <si>
    <t xml:space="preserve">   مكتب      الاوقاف    الداخله .</t>
  </si>
  <si>
    <t>SMR2220661006607</t>
  </si>
  <si>
    <t xml:space="preserve">   مسجد      كحله      . .</t>
  </si>
  <si>
    <t>ECC2020810933134</t>
  </si>
  <si>
    <t xml:space="preserve">   مسجدابوبكرالصديق بعرقه .</t>
  </si>
  <si>
    <t>KFM2020660190318</t>
  </si>
  <si>
    <t xml:space="preserve">   مسجد النرجس .</t>
  </si>
  <si>
    <t>KFM2120660257402</t>
  </si>
  <si>
    <t xml:space="preserve">   مسجد/ذعار مطلق المرشدي ( 412)  0 .</t>
  </si>
  <si>
    <t>KFM2020660199678</t>
  </si>
  <si>
    <t xml:space="preserve">   مسجد محمد الفصيم .</t>
  </si>
  <si>
    <t>KFM2020660133783</t>
  </si>
  <si>
    <t xml:space="preserve">   مسجدحى الخزان بالصحنه .</t>
  </si>
  <si>
    <t>MMF2020800255067</t>
  </si>
  <si>
    <t>KFM2020760231840</t>
  </si>
  <si>
    <t xml:space="preserve">      مسجد ال جناح .</t>
  </si>
  <si>
    <t>KFM2020760208620</t>
  </si>
  <si>
    <t xml:space="preserve">   اوقاف الخرج/  مسجد مجاهد ابن جبر .</t>
  </si>
  <si>
    <t>KFM2120660249788</t>
  </si>
  <si>
    <t xml:space="preserve">   مسجد عوض الحربي .</t>
  </si>
  <si>
    <t>KFM2020660134053</t>
  </si>
  <si>
    <t xml:space="preserve">   اوقاف     تمير      حى المستشفى .</t>
  </si>
  <si>
    <t>KFM2020766154354</t>
  </si>
  <si>
    <t>ECC2320831018013</t>
  </si>
  <si>
    <t>KFM2020660170632</t>
  </si>
  <si>
    <t>KFM2020660034141</t>
  </si>
  <si>
    <t xml:space="preserve">   مسجدالصناعيةالقديمة .</t>
  </si>
  <si>
    <t>KFM2020660057324</t>
  </si>
  <si>
    <t xml:space="preserve">   مسجدم651 .</t>
  </si>
  <si>
    <t>KFM2020760058264</t>
  </si>
  <si>
    <t xml:space="preserve">  QRINA MOSQا      مسجد دخينه بالقرينه .</t>
  </si>
  <si>
    <t>KFM2020760160144</t>
  </si>
  <si>
    <t>KFM2020660056258</t>
  </si>
  <si>
    <t>KFM2020660043633</t>
  </si>
  <si>
    <t>AES2020896527122</t>
  </si>
  <si>
    <t xml:space="preserve">   جامع  عجاج .</t>
  </si>
  <si>
    <t>KFM2020766162413</t>
  </si>
  <si>
    <t>KFM2020660154707</t>
  </si>
  <si>
    <t xml:space="preserve">   مسجد مؤقت من ابلك رقم 40 .</t>
  </si>
  <si>
    <t>KFM2120660304904</t>
  </si>
  <si>
    <t>AES2120896561755</t>
  </si>
  <si>
    <t xml:space="preserve">   مسجد      عبدالله   العقلا .</t>
  </si>
  <si>
    <t>KFM2020660207877</t>
  </si>
  <si>
    <t>مسجد      فيصل       اثنين .</t>
  </si>
  <si>
    <t>KFM2020660015207</t>
  </si>
  <si>
    <t xml:space="preserve">   مسجد سعيد بن زيد 28 .</t>
  </si>
  <si>
    <t>KFM2020760020412</t>
  </si>
  <si>
    <t>KFM2020660135771</t>
  </si>
  <si>
    <t xml:space="preserve">   مسجد/السبيعي .</t>
  </si>
  <si>
    <t>KFM2020660208977</t>
  </si>
  <si>
    <t xml:space="preserve">           مسجد   حي   المروج .</t>
  </si>
  <si>
    <t>KFM2020660173637</t>
  </si>
  <si>
    <t>KFM2020660043882</t>
  </si>
  <si>
    <t>DZG2020890013640</t>
  </si>
  <si>
    <t>مسجد الفايز .</t>
  </si>
  <si>
    <t>KFM2020660011891</t>
  </si>
  <si>
    <t>.  مسجد      الدريهمية .</t>
  </si>
  <si>
    <t>KFM2020660051452</t>
  </si>
  <si>
    <t xml:space="preserve">   مسجد محامة المزيد .</t>
  </si>
  <si>
    <t>AES2120896535667</t>
  </si>
  <si>
    <t xml:space="preserve">   مسجد/سعدمحمدعبدالعزيزبن معمر .</t>
  </si>
  <si>
    <t>KFM2020760231473</t>
  </si>
  <si>
    <t>SMR2220661005709</t>
  </si>
  <si>
    <t xml:space="preserve">   مسجد بدر  البدر .</t>
  </si>
  <si>
    <t>MMF2020800295264</t>
  </si>
  <si>
    <t>KFM2020660060800</t>
  </si>
  <si>
    <t>مسجدالشيخ  محمدابراهيم  ال  الشيخ .</t>
  </si>
  <si>
    <t>KFM2020760011945</t>
  </si>
  <si>
    <t xml:space="preserve">   مسجد      منيره     الرويس .</t>
  </si>
  <si>
    <t>KFM2020660210720</t>
  </si>
  <si>
    <t>SMR2320661022921</t>
  </si>
  <si>
    <t xml:space="preserve">    مسجد  شمال  حى ام عنيق .</t>
  </si>
  <si>
    <t>KFM2020660211562</t>
  </si>
  <si>
    <t>ECC2320831021976</t>
  </si>
  <si>
    <t xml:space="preserve">  جامع/الاميرعبدالعزيزبن فهد ال سعود .</t>
  </si>
  <si>
    <t>AES2120896571764</t>
  </si>
  <si>
    <t>KFM2020660040821</t>
  </si>
  <si>
    <t xml:space="preserve">   مسجد صلاح الدين الايوبى .</t>
  </si>
  <si>
    <t>KFM2020660228478</t>
  </si>
  <si>
    <t xml:space="preserve">   المسجد    الجنوبى   الجنوبى بالر .</t>
  </si>
  <si>
    <t>KFM2120660279153</t>
  </si>
  <si>
    <t>مسجد/حي الشفا .</t>
  </si>
  <si>
    <t>KFM2020660152996</t>
  </si>
  <si>
    <t>KFM2020660177039</t>
  </si>
  <si>
    <t xml:space="preserve">   مسجد  نايف  دعيج .</t>
  </si>
  <si>
    <t>KFM2020660045376</t>
  </si>
  <si>
    <t xml:space="preserve">   وزارةالاوقاف -مسجد محمد المهيدب .</t>
  </si>
  <si>
    <t>KFM2020660037650</t>
  </si>
  <si>
    <t>KFM2020660037834</t>
  </si>
  <si>
    <t xml:space="preserve">   مـسـجـد العليا   بالرين .</t>
  </si>
  <si>
    <t>AES2020896216053</t>
  </si>
  <si>
    <t>KFM2020660202835</t>
  </si>
  <si>
    <t>مسجد ابى  بكر الصديق .</t>
  </si>
  <si>
    <t>KFM2020660037779</t>
  </si>
  <si>
    <t>KFM2120660238366</t>
  </si>
  <si>
    <t>KFM2020660190137</t>
  </si>
  <si>
    <t xml:space="preserve">   مسجدحسن السهلي وسكن امام ومؤذن .</t>
  </si>
  <si>
    <t>KFM2120660258318</t>
  </si>
  <si>
    <t>KFM2120660256158</t>
  </si>
  <si>
    <t xml:space="preserve">   جامع      ابرحية    الجلة .</t>
  </si>
  <si>
    <t>SMR2220661016706</t>
  </si>
  <si>
    <t>KFM2020660104177</t>
  </si>
  <si>
    <t>KFM2020660162793</t>
  </si>
  <si>
    <t>KFM2020660211314</t>
  </si>
  <si>
    <t>SMR2220761015247</t>
  </si>
  <si>
    <t xml:space="preserve">   مسجد شرق الغرابى .</t>
  </si>
  <si>
    <t>KFM2120660282509</t>
  </si>
  <si>
    <t>مسجد النور .</t>
  </si>
  <si>
    <t>KFM2020660099033</t>
  </si>
  <si>
    <t xml:space="preserve">   مسجد/ جامع البرود .</t>
  </si>
  <si>
    <t>KFM2020766085505</t>
  </si>
  <si>
    <t xml:space="preserve">   مسجد عمر بن الخطاب رضي الله عنه .</t>
  </si>
  <si>
    <t>KFM2020660162305</t>
  </si>
  <si>
    <t>AES2020896523796</t>
  </si>
  <si>
    <t xml:space="preserve">   مسجد / البر و الاحسان .</t>
  </si>
  <si>
    <t>KFM2020660209138</t>
  </si>
  <si>
    <t xml:space="preserve">   مسجد حي الجزيرة .</t>
  </si>
  <si>
    <t>KFM2120660271670</t>
  </si>
  <si>
    <t>KFM2120660287337</t>
  </si>
  <si>
    <t>KFM2020660034607</t>
  </si>
  <si>
    <t xml:space="preserve">   مسجد حماد الثقفي .</t>
  </si>
  <si>
    <t>KFM2020660162755</t>
  </si>
  <si>
    <t>KFM2120660274237</t>
  </si>
  <si>
    <t>جامع ابوبكرالصديق .</t>
  </si>
  <si>
    <t>KFM2020660177876</t>
  </si>
  <si>
    <t xml:space="preserve">   جامع / أبن عثيمين .</t>
  </si>
  <si>
    <t>KFM2020760135961</t>
  </si>
  <si>
    <t>مسجد الشيخ سلايمان السليمان .</t>
  </si>
  <si>
    <t>MMF2020800147754</t>
  </si>
  <si>
    <t>KFM2020660211281</t>
  </si>
  <si>
    <t>مسجد رقم 10 مخطط 906 التأهيل .</t>
  </si>
  <si>
    <t>AES2020896444891</t>
  </si>
  <si>
    <t xml:space="preserve">   مسجد      المطوع    بن سعد الجبر .</t>
  </si>
  <si>
    <t>AES2020896061364</t>
  </si>
  <si>
    <t xml:space="preserve">   مسجد فالح السبيعي .</t>
  </si>
  <si>
    <t>KFM2020660041251</t>
  </si>
  <si>
    <t>KFM2020660099022</t>
  </si>
  <si>
    <t xml:space="preserve">   مسجد برجس تركي العمر بالغاط .</t>
  </si>
  <si>
    <t>AES2020896210228</t>
  </si>
  <si>
    <t xml:space="preserve">    اوقاف الحصاة/مسجدهجرة المستجدة .</t>
  </si>
  <si>
    <t>SMR2020856147011</t>
  </si>
  <si>
    <t>KFM2020660133318</t>
  </si>
  <si>
    <t>SMR2220761016782</t>
  </si>
  <si>
    <t xml:space="preserve">      مسجد/حسين محمدالحسن .</t>
  </si>
  <si>
    <t>SMR2220661000522</t>
  </si>
  <si>
    <t xml:space="preserve">   مسجد  جامع  قرية الصميماء ثرب  0 .</t>
  </si>
  <si>
    <t>KFM2120660265062</t>
  </si>
  <si>
    <t xml:space="preserve">     مسجد      صالحية الكراشمة .</t>
  </si>
  <si>
    <t>SMR2020850102558</t>
  </si>
  <si>
    <t xml:space="preserve">   المسجد التابع للوزارة .</t>
  </si>
  <si>
    <t>SMR2220761002196</t>
  </si>
  <si>
    <t>KFM2020660037641</t>
  </si>
  <si>
    <t>AES2020896281223</t>
  </si>
  <si>
    <t xml:space="preserve">      مـسـجـد ابيرقه (الاوقاف) .</t>
  </si>
  <si>
    <t>AES2120896575306</t>
  </si>
  <si>
    <t>KFM2020660042454</t>
  </si>
  <si>
    <t xml:space="preserve">   مسجد      شجاع      السهلي .</t>
  </si>
  <si>
    <t>KFM2020760153415</t>
  </si>
  <si>
    <t xml:space="preserve">   مسـجد حى المروج .</t>
  </si>
  <si>
    <t>KFM2020660173701</t>
  </si>
  <si>
    <t>KFM2020660025822</t>
  </si>
  <si>
    <t xml:space="preserve">   اوقاف     القويعيه  الملك فيصل .</t>
  </si>
  <si>
    <t>KFM2020660208179</t>
  </si>
  <si>
    <t>LYE2020830014521</t>
  </si>
  <si>
    <t xml:space="preserve">   جامع      الا مير    محمد بن تركي .</t>
  </si>
  <si>
    <t>KFM2020660209316</t>
  </si>
  <si>
    <t xml:space="preserve">  مسجد وزارةالشؤون الاسلامية و الاوقاف .</t>
  </si>
  <si>
    <t>KFM2020660197147</t>
  </si>
  <si>
    <t xml:space="preserve"> مسجد/الاميرفيصل بن سلطان بن عبدالعزي .</t>
  </si>
  <si>
    <t>KFM2120660246201</t>
  </si>
  <si>
    <t>AEC2020830011268</t>
  </si>
  <si>
    <t>جامع غرب  السويدي .</t>
  </si>
  <si>
    <t>KFM2020660203482</t>
  </si>
  <si>
    <t xml:space="preserve">   مسجد الدرعيه .</t>
  </si>
  <si>
    <t>KFM2020660027811</t>
  </si>
  <si>
    <t>SMR2220661007625</t>
  </si>
  <si>
    <t>مسجد البديع .</t>
  </si>
  <si>
    <t>KFM2020660192593</t>
  </si>
  <si>
    <t xml:space="preserve">   مسجدالجامع بجنوبية سدير .</t>
  </si>
  <si>
    <t>KFM2020660210731</t>
  </si>
  <si>
    <t xml:space="preserve">   اوقاف الزلفي مسجدكعب بن مالك .</t>
  </si>
  <si>
    <t>KFM2020766147184</t>
  </si>
  <si>
    <t xml:space="preserve">   مسجد/ سمره بن جندب .</t>
  </si>
  <si>
    <t>KFM2020660230167</t>
  </si>
  <si>
    <t xml:space="preserve">   مسجد الفالح .</t>
  </si>
  <si>
    <t>KFM2020660039570</t>
  </si>
  <si>
    <t>KFM2020660150004</t>
  </si>
  <si>
    <t>مسجدصالح  عبدالعزيزصفيان .</t>
  </si>
  <si>
    <t>KFM2020660087453</t>
  </si>
  <si>
    <t xml:space="preserve">   مسجد      النزهه    . .</t>
  </si>
  <si>
    <t>KFM2020766102126</t>
  </si>
  <si>
    <t>KFM2020660191656</t>
  </si>
  <si>
    <t xml:space="preserve">   مسجد      عبدالعزيز بمصده .</t>
  </si>
  <si>
    <t>MMF2020800247422</t>
  </si>
  <si>
    <t xml:space="preserve">      مسجد/ العامر .</t>
  </si>
  <si>
    <t>KFM2020660199252</t>
  </si>
  <si>
    <t xml:space="preserve">   اوقاف الرين /مسجدالعيينه بصماخ .</t>
  </si>
  <si>
    <t>AEC2020830267265</t>
  </si>
  <si>
    <t>SMR2220661002521</t>
  </si>
  <si>
    <t xml:space="preserve">      مسجد/ فرج بن ناهض .</t>
  </si>
  <si>
    <t>KFM2020660207863</t>
  </si>
  <si>
    <t xml:space="preserve">      جــامـع خيم بالحصاه .</t>
  </si>
  <si>
    <t>KFM2020766154940</t>
  </si>
  <si>
    <t xml:space="preserve">   مسجد      السليس    //////////// .</t>
  </si>
  <si>
    <t>KFM2020660189756</t>
  </si>
  <si>
    <t xml:space="preserve">   مسجد  مخطط  861 ق ( 20 ) عفيف  0 .</t>
  </si>
  <si>
    <t>MMF2420701010113</t>
  </si>
  <si>
    <t xml:space="preserve">   مسجد/     الشويميه  /////// .</t>
  </si>
  <si>
    <t>AES2020896471461</t>
  </si>
  <si>
    <t xml:space="preserve"> أوقاف القويعيه - مسجدالرقميه بدساس .</t>
  </si>
  <si>
    <t>AES2120896575115</t>
  </si>
  <si>
    <t xml:space="preserve">      مسجد داحس /الجامع .</t>
  </si>
  <si>
    <t>KFM2020760136604</t>
  </si>
  <si>
    <t>KFM2120660285120</t>
  </si>
  <si>
    <t xml:space="preserve">      مسجد الاوسط .</t>
  </si>
  <si>
    <t>KFM2020766128630</t>
  </si>
  <si>
    <t xml:space="preserve">   مسجد التقى (اوقاف الزلفي). .</t>
  </si>
  <si>
    <t>KFM2020660210574</t>
  </si>
  <si>
    <t xml:space="preserve">   مسجدعبدالله الختلان .</t>
  </si>
  <si>
    <t>ECC2020811031357</t>
  </si>
  <si>
    <t xml:space="preserve">   مسجد السويدي .</t>
  </si>
  <si>
    <t>LYE2020810475699</t>
  </si>
  <si>
    <t>مسجد فهد صالح .</t>
  </si>
  <si>
    <t>MMF2320801108195</t>
  </si>
  <si>
    <t xml:space="preserve">   مسجد الامام مالك .</t>
  </si>
  <si>
    <t>KFM2120660264316</t>
  </si>
  <si>
    <t xml:space="preserve">   مسجدعبدالرحمن بن عوف .</t>
  </si>
  <si>
    <t>KFM2020660162795</t>
  </si>
  <si>
    <t>.  مسجد      الثليماء .</t>
  </si>
  <si>
    <t>KFM2020660042380</t>
  </si>
  <si>
    <t xml:space="preserve">   مسجد منصور الغربى .</t>
  </si>
  <si>
    <t>KFM2020660188221</t>
  </si>
  <si>
    <t xml:space="preserve">   مسجد      بن دهره   مسجد بن دهره .</t>
  </si>
  <si>
    <t>KFM2020766065441</t>
  </si>
  <si>
    <t xml:space="preserve">   مسجد البواردى .</t>
  </si>
  <si>
    <t>KFM2020766085767</t>
  </si>
  <si>
    <t>KFM2120655004267</t>
  </si>
  <si>
    <t>KFM2020660043470</t>
  </si>
  <si>
    <t xml:space="preserve">   وزارة الشئؤن الاسلاميه مسجد الدار .</t>
  </si>
  <si>
    <t>KFM2020660162304</t>
  </si>
  <si>
    <t xml:space="preserve">   مسجد حي التعاون .</t>
  </si>
  <si>
    <t>KFM2020660167122</t>
  </si>
  <si>
    <t>مسجد حمد الفريان .</t>
  </si>
  <si>
    <t>SMR2020850042404</t>
  </si>
  <si>
    <t xml:space="preserve">   جامع البرود الجديد .</t>
  </si>
  <si>
    <t>KFM2020660202854</t>
  </si>
  <si>
    <t>جامع خادم  الحرمين الشريفين .</t>
  </si>
  <si>
    <t>KFM2020660225623</t>
  </si>
  <si>
    <t xml:space="preserve">   الاوقاف / مسجد سمحا / نعجان .</t>
  </si>
  <si>
    <t>KFM2020760005379</t>
  </si>
  <si>
    <t xml:space="preserve">   مسجد الأنصار بالبطين الجنوبي .</t>
  </si>
  <si>
    <t>KFM2020766146148</t>
  </si>
  <si>
    <t>مسجد بحي بدر .</t>
  </si>
  <si>
    <t>KFM2020660200463</t>
  </si>
  <si>
    <t>مسجد المخطط الخامس .</t>
  </si>
  <si>
    <t>KFM2020660056081</t>
  </si>
  <si>
    <t>مسجد      ضاحية      سعد بن معاذ .</t>
  </si>
  <si>
    <t>KFM2020660203468</t>
  </si>
  <si>
    <t>KFM2020660177121</t>
  </si>
  <si>
    <t>مسجد جعفر الطيار .</t>
  </si>
  <si>
    <t>KFM2020660196684</t>
  </si>
  <si>
    <t xml:space="preserve">      مسجد  بحي حطين .</t>
  </si>
  <si>
    <t>KFM2020660187960</t>
  </si>
  <si>
    <t>KFM2120660273252</t>
  </si>
  <si>
    <t xml:space="preserve">      مسجد الناصر الشرقى .</t>
  </si>
  <si>
    <t>KFM2020660169737</t>
  </si>
  <si>
    <t>KFM2020660205874</t>
  </si>
  <si>
    <t>KFM2120660247994</t>
  </si>
  <si>
    <t xml:space="preserve">      مسجد سعيدان العتيبى .</t>
  </si>
  <si>
    <t>KFM2020660229236</t>
  </si>
  <si>
    <t>KFM2020660018862</t>
  </si>
  <si>
    <t xml:space="preserve">    مسجد ال بن علي .</t>
  </si>
  <si>
    <t>KFM2020660172291</t>
  </si>
  <si>
    <t xml:space="preserve">   مسجد  جامع  المجهولية ك 20     0 .</t>
  </si>
  <si>
    <t>KFM2020660171065</t>
  </si>
  <si>
    <t xml:space="preserve">   مسجد/ صالح راشد الفنيس .</t>
  </si>
  <si>
    <t>KFM2020766077691</t>
  </si>
  <si>
    <t>SMR2320661034671</t>
  </si>
  <si>
    <t xml:space="preserve">   اوقاف الخرج --مسجد راشد المضياني .</t>
  </si>
  <si>
    <t>KFM2020660211772</t>
  </si>
  <si>
    <t>KFM2020660115718</t>
  </si>
  <si>
    <t>KFM2020660200465</t>
  </si>
  <si>
    <t xml:space="preserve">    اوقاف الدواسر/مسجد عبيد ال يوسف .</t>
  </si>
  <si>
    <t>KFM2020760210211</t>
  </si>
  <si>
    <t xml:space="preserve">   اوقاف الخرج / مسجد ال مرزوق .</t>
  </si>
  <si>
    <t>KFM2020760062862</t>
  </si>
  <si>
    <t xml:space="preserve">  وزارةالشئون الاسلامية والاوقاف(مسجد) .</t>
  </si>
  <si>
    <t>KFM2120660257801</t>
  </si>
  <si>
    <t>KFM2120660276281</t>
  </si>
  <si>
    <t>KFM2020660223689</t>
  </si>
  <si>
    <t>KFM2020660195746</t>
  </si>
  <si>
    <t>مسجد /لقمان بن الحكيم .</t>
  </si>
  <si>
    <t>KFM2020660177106</t>
  </si>
  <si>
    <t>مسجد عثمان بن عفان .</t>
  </si>
  <si>
    <t>KFM2020660167691</t>
  </si>
  <si>
    <t>SMR2020850043004</t>
  </si>
  <si>
    <t xml:space="preserve">   مسجد الليث بن سعد رضي الله عنه .</t>
  </si>
  <si>
    <t>KFM2020660187943</t>
  </si>
  <si>
    <t>مسجد الا حسان .</t>
  </si>
  <si>
    <t>KFM2120660300483</t>
  </si>
  <si>
    <t>AES2120896574624</t>
  </si>
  <si>
    <t xml:space="preserve">   ادارة اوقاف المجمعه / مسجد بخت .</t>
  </si>
  <si>
    <t>AES2120896552390</t>
  </si>
  <si>
    <t xml:space="preserve">   مسجد بن فريان بحي الشرفيه .</t>
  </si>
  <si>
    <t>KFM2120660252379</t>
  </si>
  <si>
    <t>2  مسجد الدخل  المحدود فئه  ج بلك .</t>
  </si>
  <si>
    <t>KFM2020660053774</t>
  </si>
  <si>
    <t>KFM2020660191739</t>
  </si>
  <si>
    <t>AES2020896447809</t>
  </si>
  <si>
    <t xml:space="preserve">   مسجد ال مجفل برماح .</t>
  </si>
  <si>
    <t>AES2020896435009</t>
  </si>
  <si>
    <t xml:space="preserve">   اوقاف السليل/مسجد ابوبكرالصديق .</t>
  </si>
  <si>
    <t>ECC2020820004706</t>
  </si>
  <si>
    <t xml:space="preserve">   مسجد      ----------البدايع .</t>
  </si>
  <si>
    <t>KFM2020766086239</t>
  </si>
  <si>
    <t xml:space="preserve">   مسجد عفريه - اوقاف المزاحميه .</t>
  </si>
  <si>
    <t>KFM2020766066292</t>
  </si>
  <si>
    <t>مسجد الاستقامة بثرمداء .</t>
  </si>
  <si>
    <t>KFM2020766161938</t>
  </si>
  <si>
    <t xml:space="preserve">    مسجد الصيقيريه/عبدالعزيزالفواز .</t>
  </si>
  <si>
    <t>AES2120896543949</t>
  </si>
  <si>
    <t>.   مسجد      معاذ بن .</t>
  </si>
  <si>
    <t>KFM2020660042258</t>
  </si>
  <si>
    <t xml:space="preserve">   اوقاف القويعية مسجد ام حرمل .</t>
  </si>
  <si>
    <t>AES2120896546361</t>
  </si>
  <si>
    <t>KFM2120660270869</t>
  </si>
  <si>
    <t>KFM2020660190355</t>
  </si>
  <si>
    <t xml:space="preserve">   مسجد      مرضي      آل جريذي .</t>
  </si>
  <si>
    <t>AES2020896072640</t>
  </si>
  <si>
    <t>مسجدالامير/فهد بن سعد .</t>
  </si>
  <si>
    <t>KFM2020660014140</t>
  </si>
  <si>
    <t>KFM2020660090733</t>
  </si>
  <si>
    <t xml:space="preserve">   وزارة     الحج      ثادق .</t>
  </si>
  <si>
    <t>KFM2020766165184</t>
  </si>
  <si>
    <t>مسجد العطير .</t>
  </si>
  <si>
    <t>KFM2120660300568</t>
  </si>
  <si>
    <t>KFM2020660197182</t>
  </si>
  <si>
    <t xml:space="preserve">   مسجد جامع قرية محامة العقالية  0 .</t>
  </si>
  <si>
    <t>KFM2020766084586</t>
  </si>
  <si>
    <t xml:space="preserve">   مسجد سليمان بن عثمان السبت .</t>
  </si>
  <si>
    <t>KFM2020660031620</t>
  </si>
  <si>
    <t xml:space="preserve">   مسجدالمطيري ومرافقه بحي الصحافه .</t>
  </si>
  <si>
    <t>KFM2020660135562</t>
  </si>
  <si>
    <t xml:space="preserve">      اوقاف الدواسر/ مسجد المخطط 3 .</t>
  </si>
  <si>
    <t>KFM2020660206008</t>
  </si>
  <si>
    <t xml:space="preserve">      الاوقاف (المسجد الاجمامع التبر .</t>
  </si>
  <si>
    <t>KFM2020660176512</t>
  </si>
  <si>
    <t>SMR2220661010919</t>
  </si>
  <si>
    <t xml:space="preserve">    مسجد رقم(2)مخطط(28)في القصب .</t>
  </si>
  <si>
    <t>KFM2020766156329</t>
  </si>
  <si>
    <t xml:space="preserve">   مسجد السهول .</t>
  </si>
  <si>
    <t>KFM2020660061505</t>
  </si>
  <si>
    <t xml:space="preserve">   وزارةالشؤون الاسلامية/مسجدالجاسر .</t>
  </si>
  <si>
    <t>KFM2020660187989</t>
  </si>
  <si>
    <t>ﻫﻴﺌﺓﺍﻟﻤﺩﻥ ﺍﻟﺼﻨﺎﻋﻴﺓ ﻀﻭﺍﺤﻲ ﺍﻟﺭﻴﺎﺽ .</t>
  </si>
  <si>
    <t>ECC2420831023882</t>
  </si>
  <si>
    <t xml:space="preserve">      اوقاف الدواسر/مسجد العباسيه .</t>
  </si>
  <si>
    <t>MMF2020800310624</t>
  </si>
  <si>
    <t>KFM2020660223578</t>
  </si>
  <si>
    <t xml:space="preserve">   مسجد      عسيله     مويسل .</t>
  </si>
  <si>
    <t>SMR2020856076013</t>
  </si>
  <si>
    <t xml:space="preserve">   مسجد/عبدالرحمن عايض  السعدوني .</t>
  </si>
  <si>
    <t>AES2120896571813</t>
  </si>
  <si>
    <t xml:space="preserve">   مسجد      الجامع    سدير .</t>
  </si>
  <si>
    <t>KFM2020660210598</t>
  </si>
  <si>
    <t xml:space="preserve">   اوقاف القويعيه/مسجدالضريب الشرقي .</t>
  </si>
  <si>
    <t>KFM2020660050099</t>
  </si>
  <si>
    <t>المسجد الموقت بحى  الاميرمشعل .</t>
  </si>
  <si>
    <t>KFM2020660175011</t>
  </si>
  <si>
    <t>مسجدالاميرخالدبن سعود .</t>
  </si>
  <si>
    <t>KFM2020660045039</t>
  </si>
  <si>
    <t>KFM2020660036512</t>
  </si>
  <si>
    <t xml:space="preserve">   جامع التميمي بالمسمى .</t>
  </si>
  <si>
    <t>KFM2020660199997</t>
  </si>
  <si>
    <t xml:space="preserve">   مسجد      عبدالعزيز التركي .</t>
  </si>
  <si>
    <t>KFM2120660262576</t>
  </si>
  <si>
    <t xml:space="preserve">   اوفاف الخرج / مسعرغالب الحربي .</t>
  </si>
  <si>
    <t>KFM2020660212379</t>
  </si>
  <si>
    <t>KFM2020660126315</t>
  </si>
  <si>
    <t xml:space="preserve">   مسجد      الشيخ     الحمود وسيله .</t>
  </si>
  <si>
    <t>KFM2020660228282</t>
  </si>
  <si>
    <t xml:space="preserve">   فهيد سعيد عوير / مسجد اهلي .</t>
  </si>
  <si>
    <t>AES2020896463117</t>
  </si>
  <si>
    <t xml:space="preserve">   مسجد/المنيفيه .</t>
  </si>
  <si>
    <t>KFM2020660169633</t>
  </si>
  <si>
    <t>KFM2020660167853</t>
  </si>
  <si>
    <t xml:space="preserve">   مسجد الرفيعه .</t>
  </si>
  <si>
    <t>KFM2020660230868</t>
  </si>
  <si>
    <t>KFM2020660189973</t>
  </si>
  <si>
    <t xml:space="preserve">   اوقاف     الرين جامعبالرين .</t>
  </si>
  <si>
    <t>AES2120896615591</t>
  </si>
  <si>
    <t xml:space="preserve">   وزارةالشئون الاسلاميه/مسجد العمرين .</t>
  </si>
  <si>
    <t>KFM2120660248254</t>
  </si>
  <si>
    <t>مسجد      عبدالمحسن بن سعيد .</t>
  </si>
  <si>
    <t>KFM2020660171850</t>
  </si>
  <si>
    <t xml:space="preserve">   مسجد      عبدالله   المقبل .</t>
  </si>
  <si>
    <t>KFM2020760168161</t>
  </si>
  <si>
    <t>KFM2020760155705</t>
  </si>
  <si>
    <t>KFM2020660187965</t>
  </si>
  <si>
    <t>مسجد حى  السويدى .</t>
  </si>
  <si>
    <t>KFM2020660152897</t>
  </si>
  <si>
    <t xml:space="preserve">   مسجد      العماير   المشاعله .</t>
  </si>
  <si>
    <t>KFM2020766075851</t>
  </si>
  <si>
    <t>KFM2020660058416</t>
  </si>
  <si>
    <t>MMF2420801312927</t>
  </si>
  <si>
    <t>KFM2120660249238</t>
  </si>
  <si>
    <t>مسجد      .         الثنيان .</t>
  </si>
  <si>
    <t>KFM2020660019104</t>
  </si>
  <si>
    <t>SMR2220661007727</t>
  </si>
  <si>
    <t>KFM2120655002474</t>
  </si>
  <si>
    <t>SMR2420661038764</t>
  </si>
  <si>
    <t>KFM2020660126823</t>
  </si>
  <si>
    <t xml:space="preserve">   مسجد      عايض      النخيش .</t>
  </si>
  <si>
    <t>KFM2020760084911</t>
  </si>
  <si>
    <t>ECC2020810876623</t>
  </si>
  <si>
    <t xml:space="preserve">   مسجد حلة /فهد بن سعود .</t>
  </si>
  <si>
    <t>KFM2120660246605</t>
  </si>
  <si>
    <t>DZG2020850051712</t>
  </si>
  <si>
    <t xml:space="preserve">   مسجد ابراهيم العتيبى .</t>
  </si>
  <si>
    <t>KFM2020660007041</t>
  </si>
  <si>
    <t>AEC2020830257251</t>
  </si>
  <si>
    <t>KFM2020660042293</t>
  </si>
  <si>
    <t xml:space="preserve">   ادارة الاوقاف والمساجد والدعوه .</t>
  </si>
  <si>
    <t>MMF2020800260056</t>
  </si>
  <si>
    <t>مسجد على  بن برغشى .</t>
  </si>
  <si>
    <t>KFM2020660054996</t>
  </si>
  <si>
    <t>AES2120896537194</t>
  </si>
  <si>
    <t xml:space="preserve">   مسجد      الفطيماني والمؤذن .</t>
  </si>
  <si>
    <t>KFM2020660104269</t>
  </si>
  <si>
    <t>مسجد عبدالله بن الزبير .</t>
  </si>
  <si>
    <t>MMF2020800265526</t>
  </si>
  <si>
    <t>KFM2020660187651</t>
  </si>
  <si>
    <t>KFM2020660057870</t>
  </si>
  <si>
    <t xml:space="preserve">    مسجد /عبدالله بن عمـــر .</t>
  </si>
  <si>
    <t>KFM2020660205909</t>
  </si>
  <si>
    <t>KFM2020766167865</t>
  </si>
  <si>
    <t xml:space="preserve">   مسجد حى العين بمحافظة ضرماء .</t>
  </si>
  <si>
    <t>KFM2020660191405</t>
  </si>
  <si>
    <t>KFM2020766096048</t>
  </si>
  <si>
    <t>AES2120896612303</t>
  </si>
  <si>
    <t>KFM2020660031801</t>
  </si>
  <si>
    <t>مسجد      غازي       المقاطي .</t>
  </si>
  <si>
    <t>KFM2020660051394</t>
  </si>
  <si>
    <t>ECC2020811002275</t>
  </si>
  <si>
    <t>KFM2120660240849</t>
  </si>
  <si>
    <t xml:space="preserve">   اوقاف     حوطة سدير الصناعيه .</t>
  </si>
  <si>
    <t>SMR2020856120639</t>
  </si>
  <si>
    <t xml:space="preserve">   مسجد      الخريجي   بعروى .</t>
  </si>
  <si>
    <t>KFM2120660238396</t>
  </si>
  <si>
    <t>مسجد حارة  عبدالله  ال  سعود .</t>
  </si>
  <si>
    <t>KFM2020660203689</t>
  </si>
  <si>
    <t>مسجد  /حمزة  بن عبدالمطلب .</t>
  </si>
  <si>
    <t>KFM2020660044118</t>
  </si>
  <si>
    <t>مسجد      محمد      خميس .</t>
  </si>
  <si>
    <t>KFM2020660198391</t>
  </si>
  <si>
    <t xml:space="preserve">   مسجد عبدالرحمن الشاعر .</t>
  </si>
  <si>
    <t>KFM2020660053526</t>
  </si>
  <si>
    <t xml:space="preserve">   مسجد  صالح العجروش .</t>
  </si>
  <si>
    <t>KFM2020660234194</t>
  </si>
  <si>
    <t xml:space="preserve">   مسجد/ عمر بن الخطاب .</t>
  </si>
  <si>
    <t>KFM2020660057043</t>
  </si>
  <si>
    <t xml:space="preserve">   مسجد      الخزان    بالقرينيه .</t>
  </si>
  <si>
    <t>KFM2020660209341</t>
  </si>
  <si>
    <t>KFM2020660209897</t>
  </si>
  <si>
    <t>KFM2120660264437</t>
  </si>
  <si>
    <t xml:space="preserve">   مسجد حي المرقب .</t>
  </si>
  <si>
    <t>KFM2020660006151</t>
  </si>
  <si>
    <t xml:space="preserve">   مسجد حي ظهرة الحائر .</t>
  </si>
  <si>
    <t>KFM2020766171752</t>
  </si>
  <si>
    <t>مسجدالامير عبدالرحمن عبدالله .</t>
  </si>
  <si>
    <t>KFM2020660201627</t>
  </si>
  <si>
    <t>SMR2420661037939</t>
  </si>
  <si>
    <t xml:space="preserve">   مسجد حى النهضه .</t>
  </si>
  <si>
    <t>AES2120896590126</t>
  </si>
  <si>
    <t>KFM2020766134708</t>
  </si>
  <si>
    <t>KFM2020660104279</t>
  </si>
  <si>
    <t xml:space="preserve">   مسجد مناحي بن سحمي المصارير با .</t>
  </si>
  <si>
    <t>MMF2020800092656</t>
  </si>
  <si>
    <t xml:space="preserve">   مسجد      أدارة     الأ سلا مية .</t>
  </si>
  <si>
    <t>SMR2320761021518</t>
  </si>
  <si>
    <t>KFM2020660214084</t>
  </si>
  <si>
    <t>SMR2220661002784</t>
  </si>
  <si>
    <t>AES2020896062615</t>
  </si>
  <si>
    <t xml:space="preserve">   مسجدالامام النووي .</t>
  </si>
  <si>
    <t>KFM2020660153852</t>
  </si>
  <si>
    <t>AES2120896547078</t>
  </si>
  <si>
    <t xml:space="preserve">   مسجد عبدالله الزومان .</t>
  </si>
  <si>
    <t>KFM2020860114195</t>
  </si>
  <si>
    <t>SMR2320661034684</t>
  </si>
  <si>
    <t xml:space="preserve">   مسجد / عبدالعزيز القعيط .</t>
  </si>
  <si>
    <t>KFM2020660233226</t>
  </si>
  <si>
    <t xml:space="preserve">   مسجد ابي حنيفه  النعمان .</t>
  </si>
  <si>
    <t>KFM2020660162197</t>
  </si>
  <si>
    <t xml:space="preserve">   مسجد      بدريه     الحماد .</t>
  </si>
  <si>
    <t>KFM2020660026329</t>
  </si>
  <si>
    <t xml:space="preserve">   مسجدجامع السر .</t>
  </si>
  <si>
    <t>KFM2120660273366</t>
  </si>
  <si>
    <t xml:space="preserve">   مسجد قراش  بن سرور .</t>
  </si>
  <si>
    <t>KFM2120660303773</t>
  </si>
  <si>
    <t>KFM2120660267416</t>
  </si>
  <si>
    <t>SMR2220661006762</t>
  </si>
  <si>
    <t xml:space="preserve">      مسجد/ الصديق .</t>
  </si>
  <si>
    <t>KFM2020760049668</t>
  </si>
  <si>
    <t>مسجد حى  الزهيرى .</t>
  </si>
  <si>
    <t>KFM2020660191168</t>
  </si>
  <si>
    <t xml:space="preserve">   مسجد/بندربن عبدالعزيز .</t>
  </si>
  <si>
    <t>KFM2020660189542</t>
  </si>
  <si>
    <t xml:space="preserve">   اوقاف الرين /مسجدالشراعين بالرين .</t>
  </si>
  <si>
    <t>AES2120896546648</t>
  </si>
  <si>
    <t>KFM2020660057811</t>
  </si>
  <si>
    <t xml:space="preserve">  MOSQUE  ا   مسجد / عبدالعزيز الحرقان .</t>
  </si>
  <si>
    <t>KFM2020760207752</t>
  </si>
  <si>
    <t xml:space="preserve">   مسجد الوقف بالقرائن / مخطط 449 .</t>
  </si>
  <si>
    <t>KFM2020660200712</t>
  </si>
  <si>
    <t xml:space="preserve">   مسجدال حميان /الاوقاف والمساجد .</t>
  </si>
  <si>
    <t>KFM2020660223659</t>
  </si>
  <si>
    <t>KFM2120660274727</t>
  </si>
  <si>
    <t xml:space="preserve">   مسجد      النور     / .</t>
  </si>
  <si>
    <t>KFM2020660054774</t>
  </si>
  <si>
    <t>KFM2020660200467</t>
  </si>
  <si>
    <t xml:space="preserve">   مسجد      محمد      قصور المقبل .</t>
  </si>
  <si>
    <t>AES2020896319578</t>
  </si>
  <si>
    <t>KFM2020660104872</t>
  </si>
  <si>
    <t xml:space="preserve">   اوقافحوطةسديرجامع العطارالجديد .</t>
  </si>
  <si>
    <t>KFM2020660050210</t>
  </si>
  <si>
    <t xml:space="preserve">   مسجد حمدان العتيبي .</t>
  </si>
  <si>
    <t>KFM2020660054515</t>
  </si>
  <si>
    <t xml:space="preserve">   اوقاف ومساجد/ مسجد الفاروق .</t>
  </si>
  <si>
    <t>KFM2020766165924</t>
  </si>
  <si>
    <t>KFM2020660192932</t>
  </si>
  <si>
    <t xml:space="preserve">   مسجد عبدالعزيز الضبيعي .</t>
  </si>
  <si>
    <t>KFM2120660301485</t>
  </si>
  <si>
    <t xml:space="preserve">   مسجد/     حي الماضي //// .</t>
  </si>
  <si>
    <t>KFM2020766106774</t>
  </si>
  <si>
    <t>مسجد      عبدالرحمن الحميد .</t>
  </si>
  <si>
    <t>KFM2020660203805</t>
  </si>
  <si>
    <t xml:space="preserve">       مسجد مخطط 310 .</t>
  </si>
  <si>
    <t>KFM2020766099453</t>
  </si>
  <si>
    <t xml:space="preserve">   مسجد - سعدعبدالرحمن الزير .</t>
  </si>
  <si>
    <t>KFM2020660209440</t>
  </si>
  <si>
    <t xml:space="preserve">   مسـجـد جامع العباسي .</t>
  </si>
  <si>
    <t>KFM2020760204010</t>
  </si>
  <si>
    <t xml:space="preserve">   اوقاف الرين /مسجدالسرحي .</t>
  </si>
  <si>
    <t>KFM2020766087135</t>
  </si>
  <si>
    <t xml:space="preserve">      مسجد السعوديه .</t>
  </si>
  <si>
    <t>MMF2020800255055</t>
  </si>
  <si>
    <t>MMF2420601020048</t>
  </si>
  <si>
    <t>KFM2020660187587</t>
  </si>
  <si>
    <t>مسجد عبدالله الصالح .</t>
  </si>
  <si>
    <t>KFM2020660193174</t>
  </si>
  <si>
    <t xml:space="preserve">   مسجد الخليج .</t>
  </si>
  <si>
    <t>KFM2020660190973</t>
  </si>
  <si>
    <t>SMR2220661007608</t>
  </si>
  <si>
    <t>مسجد عمربن عبدالعزيز .</t>
  </si>
  <si>
    <t>KFM2020660203490</t>
  </si>
  <si>
    <t>مسجد الفاخريه .</t>
  </si>
  <si>
    <t>KFM2020660171795</t>
  </si>
  <si>
    <t xml:space="preserve">   مسجد الحامد .</t>
  </si>
  <si>
    <t>KFM2020760041832</t>
  </si>
  <si>
    <t xml:space="preserve">   مسجد محمد بن عبدالله بن سعيدان .</t>
  </si>
  <si>
    <t>KFM2020660191857</t>
  </si>
  <si>
    <t xml:space="preserve">      مسجد/حى الرفاع بالسليمانيه .</t>
  </si>
  <si>
    <t>KFM2020760009769</t>
  </si>
  <si>
    <t>مسجد رقم 7 بندر العنقري بثرمداء .</t>
  </si>
  <si>
    <t>AES2020896448746</t>
  </si>
  <si>
    <t>KFM2020760207898</t>
  </si>
  <si>
    <t xml:space="preserve">   مسجد حي الجنادرية .</t>
  </si>
  <si>
    <t>KFM2020660190957</t>
  </si>
  <si>
    <t xml:space="preserve">    مسجد  هجرة  مطربة .</t>
  </si>
  <si>
    <t>KFM2020766098714</t>
  </si>
  <si>
    <t xml:space="preserve">   مسجدالجماعين/ اوقـاف الدواسر .</t>
  </si>
  <si>
    <t>KFM2120660273329</t>
  </si>
  <si>
    <t xml:space="preserve">   مسجدوالدةالشيخ عبدالعزيزالبراهيم .</t>
  </si>
  <si>
    <t>KFM2020766099510</t>
  </si>
  <si>
    <t>KFM2120660242771</t>
  </si>
  <si>
    <t xml:space="preserve">     مســــجد  الموافقه بالحريق .</t>
  </si>
  <si>
    <t>SMR2020850069421</t>
  </si>
  <si>
    <t xml:space="preserve">   مسجد الصحابة بحي اشبيليا .</t>
  </si>
  <si>
    <t>KFM2020660191026</t>
  </si>
  <si>
    <t>KFM2020660202934</t>
  </si>
  <si>
    <t>مسجد وضحى  السهلي .</t>
  </si>
  <si>
    <t>KFM2020660098910</t>
  </si>
  <si>
    <t>مسجد الناصر .</t>
  </si>
  <si>
    <t>KFM2020660162232</t>
  </si>
  <si>
    <t xml:space="preserve">   مسجدتميم بن اوس .</t>
  </si>
  <si>
    <t>KFM2020660228171</t>
  </si>
  <si>
    <t>KFM2020660165396</t>
  </si>
  <si>
    <t>KFM2020660177028</t>
  </si>
  <si>
    <t>KFM2020660012608</t>
  </si>
  <si>
    <t xml:space="preserve">   مسجد الصالحين .</t>
  </si>
  <si>
    <t>KFM2120660251596</t>
  </si>
  <si>
    <t>00    مسجد      الوسيطى .</t>
  </si>
  <si>
    <t>KFM2020660171691</t>
  </si>
  <si>
    <t>اوقاف ومساجد رماح .</t>
  </si>
  <si>
    <t>KFM2020766125811</t>
  </si>
  <si>
    <t xml:space="preserve">   مسجد العثيم .</t>
  </si>
  <si>
    <t>KFM2020660211065</t>
  </si>
  <si>
    <t>KFM2120660262530</t>
  </si>
  <si>
    <t>2072 مسجدحي الشفامخطط .</t>
  </si>
  <si>
    <t>KFM2020660013727</t>
  </si>
  <si>
    <t xml:space="preserve">   مسجد الريشيه الجامع .</t>
  </si>
  <si>
    <t>AES2020896451509</t>
  </si>
  <si>
    <t xml:space="preserve">   اوقاف الدلم / مسجد سعود السويلم .</t>
  </si>
  <si>
    <t>KFM2020760214536</t>
  </si>
  <si>
    <t>مسجد النور الموقت .</t>
  </si>
  <si>
    <t>KFM2020660043914</t>
  </si>
  <si>
    <t>مسجد رقم واحد حي الاسكان .</t>
  </si>
  <si>
    <t>KFM2020660177602</t>
  </si>
  <si>
    <t xml:space="preserve">   اوقاف الرين .</t>
  </si>
  <si>
    <t>AES2020896370599</t>
  </si>
  <si>
    <t xml:space="preserve">   مسجد العيد بالسلاميه .</t>
  </si>
  <si>
    <t>LYE2020810588057</t>
  </si>
  <si>
    <t>KFM2020660012906</t>
  </si>
  <si>
    <t>وزارة الشئون الاسلامية  مسجد الضعيان .</t>
  </si>
  <si>
    <t>KFM2020660175020</t>
  </si>
  <si>
    <t>AES2020896279125</t>
  </si>
  <si>
    <t xml:space="preserve">   مسجد  الحى  الجنوبى  بمصده .</t>
  </si>
  <si>
    <t>LYE2020810023144</t>
  </si>
  <si>
    <t>KFM2020660232977</t>
  </si>
  <si>
    <t xml:space="preserve">   اوقاف الزلفي مسجدالحارث بن انس .</t>
  </si>
  <si>
    <t>AES2120896564291</t>
  </si>
  <si>
    <t xml:space="preserve">   مسجد شيخة بنت عبدالرحمن(م103ب) .</t>
  </si>
  <si>
    <t>KFM2020660205802</t>
  </si>
  <si>
    <t xml:space="preserve">   مسجد طريق سمنان .</t>
  </si>
  <si>
    <t>AES2120896592446</t>
  </si>
  <si>
    <t xml:space="preserve">   مسجد النصـــيان .</t>
  </si>
  <si>
    <t>KFM2020660056666</t>
  </si>
  <si>
    <t xml:space="preserve">   اوقاف الدلم / مسجد زيد بن حارثة .</t>
  </si>
  <si>
    <t>KFM2020660170520</t>
  </si>
  <si>
    <t>KFM2020660007961</t>
  </si>
  <si>
    <t xml:space="preserve">   مسجد/     الخزان    د .</t>
  </si>
  <si>
    <t>MMF2020800321801</t>
  </si>
  <si>
    <t>النزهة مسجد رقم 7 مخطط 972أ .</t>
  </si>
  <si>
    <t>AES2020896524961</t>
  </si>
  <si>
    <t xml:space="preserve">   اوقاف     الرين     السلا م .</t>
  </si>
  <si>
    <t>KFM2020766155778</t>
  </si>
  <si>
    <t xml:space="preserve">   مسجد بحي العزيزيه .</t>
  </si>
  <si>
    <t>KFM2120660300647</t>
  </si>
  <si>
    <t xml:space="preserve">   مسجد أبو جلال .</t>
  </si>
  <si>
    <t>AES2020896446683</t>
  </si>
  <si>
    <t xml:space="preserve">    مسجد الخبيب .</t>
  </si>
  <si>
    <t>KFM2020760015274</t>
  </si>
  <si>
    <t>KFM2020660172389</t>
  </si>
  <si>
    <t>مسجد هيا العساف .</t>
  </si>
  <si>
    <t>KFM2020660177025</t>
  </si>
  <si>
    <t xml:space="preserve">   مسجد المسبر الجنوبى .</t>
  </si>
  <si>
    <t>AEC2020830565772</t>
  </si>
  <si>
    <t xml:space="preserve">   مسجد النتيقه الجديد .</t>
  </si>
  <si>
    <t>KFM2020660230861</t>
  </si>
  <si>
    <t xml:space="preserve">   مسجد/ لطيفه .</t>
  </si>
  <si>
    <t>KFM2020660025451</t>
  </si>
  <si>
    <t xml:space="preserve">    ادارةاوقافمسجدعاىض مسفرالعرجاني .</t>
  </si>
  <si>
    <t>AES2020896413983</t>
  </si>
  <si>
    <t>KFM2020660098750</t>
  </si>
  <si>
    <t xml:space="preserve">   مسجدالشيخ/عبدالله الغديان .</t>
  </si>
  <si>
    <t>KFM2020660200588</t>
  </si>
  <si>
    <t xml:space="preserve">   مسجد موسى بن نصير ( حي بغلف ) .</t>
  </si>
  <si>
    <t>KFM2020660047149</t>
  </si>
  <si>
    <t xml:space="preserve">   اوقاف القويعيه/مسجدمسفرعريج .</t>
  </si>
  <si>
    <t>AES2020896460470</t>
  </si>
  <si>
    <t xml:space="preserve">   مسجدعبدالله الدخيل .</t>
  </si>
  <si>
    <t>KFM2120660299678</t>
  </si>
  <si>
    <t xml:space="preserve">   اوقاف القويعيه مسجدام طلح .</t>
  </si>
  <si>
    <t>SMR2020850089725</t>
  </si>
  <si>
    <t xml:space="preserve">   جامع عمر بن الخطاب بأثيثيه .</t>
  </si>
  <si>
    <t>KFM2020660210508</t>
  </si>
  <si>
    <t xml:space="preserve">   مسجد      الجرفية   ///// .</t>
  </si>
  <si>
    <t>ECC2020811047392</t>
  </si>
  <si>
    <t xml:space="preserve">   مسجد حذيفه بن اليمان .</t>
  </si>
  <si>
    <t>KFM2020660056997</t>
  </si>
  <si>
    <t xml:space="preserve">   مسجد      عبدالعزيز المقبل .</t>
  </si>
  <si>
    <t>AEC2020830549049</t>
  </si>
  <si>
    <t xml:space="preserve">   مسجد عبدالعزيز الراجحي .</t>
  </si>
  <si>
    <t>KFM2020660190478</t>
  </si>
  <si>
    <t>KFM2020660175002</t>
  </si>
  <si>
    <t xml:space="preserve">      مسجدالراجحيه .</t>
  </si>
  <si>
    <t>KFM2020760115092</t>
  </si>
  <si>
    <t xml:space="preserve">   مسجد النعيم .</t>
  </si>
  <si>
    <t>KFM2120660253129</t>
  </si>
  <si>
    <t xml:space="preserve">   اوقاف الزلفي(مسجدعميربن الحمام) .</t>
  </si>
  <si>
    <t>AES2120896544795</t>
  </si>
  <si>
    <t>مسجد الشيخ  محمد بن عثيمين رحمة الله .</t>
  </si>
  <si>
    <t>KFM2020660060648</t>
  </si>
  <si>
    <t>مسجد/سموالاميرمحمدبن سعودالكبير .</t>
  </si>
  <si>
    <t>SMR2220661017929</t>
  </si>
  <si>
    <t xml:space="preserve">   مسجد حمد عبدالله ابابطين .</t>
  </si>
  <si>
    <t>KFM2020660172799</t>
  </si>
  <si>
    <t xml:space="preserve">   اوقاف الرين جامع المغيدر .</t>
  </si>
  <si>
    <t>AES2120896574558</t>
  </si>
  <si>
    <t xml:space="preserve">   مسجد      ابن       طياش .</t>
  </si>
  <si>
    <t>KFM2020660057970</t>
  </si>
  <si>
    <t>KFM2020660038870</t>
  </si>
  <si>
    <t>KFM2020660130965</t>
  </si>
  <si>
    <t>مسجد بحي البديعه .</t>
  </si>
  <si>
    <t>KFM2020660051582</t>
  </si>
  <si>
    <t xml:space="preserve">   مسجدالشيخ محمد ناصرالدين الالباني .</t>
  </si>
  <si>
    <t>KFM2020660162713</t>
  </si>
  <si>
    <t xml:space="preserve">      مسجد العيون /عبداللهالسحيبانى .</t>
  </si>
  <si>
    <t>MMF2020800218822</t>
  </si>
  <si>
    <t xml:space="preserve">   وزارة     الشئون    والاواقاف .</t>
  </si>
  <si>
    <t>KFM2020660211316</t>
  </si>
  <si>
    <t xml:space="preserve">        مسجد   رقم61   قطعه 61 .</t>
  </si>
  <si>
    <t>LYE2020810141932</t>
  </si>
  <si>
    <t>MMF2020800319405</t>
  </si>
  <si>
    <t xml:space="preserve">   اوقاف الخرج/مسجدالنابيه .</t>
  </si>
  <si>
    <t>KFM2020660210920</t>
  </si>
  <si>
    <t xml:space="preserve">   مسجدجامع الكردى .</t>
  </si>
  <si>
    <t>KFM2020660227151</t>
  </si>
  <si>
    <t xml:space="preserve">   مسجد عبدالرحمن العصيمي .</t>
  </si>
  <si>
    <t>KFM2120660280309</t>
  </si>
  <si>
    <t xml:space="preserve">   مسجد=نوره عبدالرحمن الشيخ .</t>
  </si>
  <si>
    <t>KFM2020660213480</t>
  </si>
  <si>
    <t>KFM2120660249326</t>
  </si>
  <si>
    <t xml:space="preserve">   مسجد/ عواض  شجاع العتيبي .</t>
  </si>
  <si>
    <t>AES2020896363399</t>
  </si>
  <si>
    <t xml:space="preserve">      مـسـجـد الجعيثن بالتويم .</t>
  </si>
  <si>
    <t>AES2020896450683</t>
  </si>
  <si>
    <t>7  المسجد رقم .</t>
  </si>
  <si>
    <t>KFM2020660011900</t>
  </si>
  <si>
    <t xml:space="preserve">   مسجد(12) محمد ابراهيم العياف .</t>
  </si>
  <si>
    <t>KFM2120660271618</t>
  </si>
  <si>
    <t xml:space="preserve">      مسجد الحطاب .</t>
  </si>
  <si>
    <t>AES2020896319608</t>
  </si>
  <si>
    <t xml:space="preserve">   مسجدالا مام مسلم .</t>
  </si>
  <si>
    <t>KFM2020760012161</t>
  </si>
  <si>
    <t xml:space="preserve"> مسجدالشيخ عبدالله عبدالعزيزالحبيشى .</t>
  </si>
  <si>
    <t>ECC2420831014926</t>
  </si>
  <si>
    <t xml:space="preserve">   مسجد مخطط 3065  مؤسسةنجمة المدان .</t>
  </si>
  <si>
    <t>KFM2120660282058</t>
  </si>
  <si>
    <t xml:space="preserve">   مسجد حى الزلفى .</t>
  </si>
  <si>
    <t>KFM2120660274178</t>
  </si>
  <si>
    <t xml:space="preserve">   مسجد الدويخ في الصاهدبمصدة .</t>
  </si>
  <si>
    <t>MMF2020800247442</t>
  </si>
  <si>
    <t xml:space="preserve">   مسجد الاحيمر .</t>
  </si>
  <si>
    <t>KFM2020660234222</t>
  </si>
  <si>
    <t xml:space="preserve">   (مسجدحىبدر)أوقاف حوطةسدير .</t>
  </si>
  <si>
    <t>AES2120896552000</t>
  </si>
  <si>
    <t>مسجد بدر بالسويدى .</t>
  </si>
  <si>
    <t>KFM2020660013290</t>
  </si>
  <si>
    <t>SMR2320661033418</t>
  </si>
  <si>
    <t xml:space="preserve">   مسجد أحمدالعمير .</t>
  </si>
  <si>
    <t>KFM2120660236112</t>
  </si>
  <si>
    <t xml:space="preserve">   مسجد القحاطين .</t>
  </si>
  <si>
    <t>MMF2020800148154</t>
  </si>
  <si>
    <t xml:space="preserve">      مسجد انس ابن معاذ .</t>
  </si>
  <si>
    <t>ECC2020811050273</t>
  </si>
  <si>
    <t>مسجدسعودعبدالله  العريفى .</t>
  </si>
  <si>
    <t>MMF2020800013552</t>
  </si>
  <si>
    <t>KFM2020660104918</t>
  </si>
  <si>
    <t xml:space="preserve">   مسجد عمر بن عبدالعزيزآل الشيخ .</t>
  </si>
  <si>
    <t>KFM2020660056875</t>
  </si>
  <si>
    <t xml:space="preserve">   مسجد الفيحاء .</t>
  </si>
  <si>
    <t>KFM2120660295058</t>
  </si>
  <si>
    <t>KFM2020660041920</t>
  </si>
  <si>
    <t xml:space="preserve">   مسجد الدار الخضراء .</t>
  </si>
  <si>
    <t>KFM2120660287277</t>
  </si>
  <si>
    <t xml:space="preserve">   مسجد      .         المعمورة .</t>
  </si>
  <si>
    <t>LYE2020810014356</t>
  </si>
  <si>
    <t>SMR2220661003050</t>
  </si>
  <si>
    <t>KFM2020660202303</t>
  </si>
  <si>
    <t xml:space="preserve">   مسجد أم عبدالعزيز .</t>
  </si>
  <si>
    <t>KFM2020660127740</t>
  </si>
  <si>
    <t xml:space="preserve">   مسجد      النابيه   الرفايع .</t>
  </si>
  <si>
    <t>AEC2020830309305</t>
  </si>
  <si>
    <t>GTR2420895401547</t>
  </si>
  <si>
    <t>KFM2020760235668</t>
  </si>
  <si>
    <t xml:space="preserve">   ادارةالا وقاف والمساجدمسجدرقم4 .</t>
  </si>
  <si>
    <t>AEC2020830324881</t>
  </si>
  <si>
    <t xml:space="preserve">   اوقاف الدواسر/مسجدفيحانبالنوي .</t>
  </si>
  <si>
    <t>MMF2420801315746</t>
  </si>
  <si>
    <t>MMF2420601026026</t>
  </si>
  <si>
    <t>DZG2020850053978</t>
  </si>
  <si>
    <t xml:space="preserve">   مسجد      حمد       الشبانة .</t>
  </si>
  <si>
    <t>KFM2020760161587</t>
  </si>
  <si>
    <t>KFM2120660302489</t>
  </si>
  <si>
    <t xml:space="preserve">   مسجد القويفلي .</t>
  </si>
  <si>
    <t>KFM2020660228497</t>
  </si>
  <si>
    <t>مسجد انس  بن مالك .</t>
  </si>
  <si>
    <t>KFM2020660013877</t>
  </si>
  <si>
    <t xml:space="preserve">   مسجد أبي ذر الغفاري .</t>
  </si>
  <si>
    <t>KFM2020660167795</t>
  </si>
  <si>
    <t xml:space="preserve">   مسجد الوالدين .</t>
  </si>
  <si>
    <t>KFM2020660162728</t>
  </si>
  <si>
    <t xml:space="preserve">    الاوقاف والمساجد(مسجدالعجلانيه) .</t>
  </si>
  <si>
    <t>KFM2020766096122</t>
  </si>
  <si>
    <t>مسجد      حي        نمار .</t>
  </si>
  <si>
    <t>KFM2020660054308</t>
  </si>
  <si>
    <t xml:space="preserve">   مسجد      الجامع    الخيري .</t>
  </si>
  <si>
    <t>KFM2020660155940</t>
  </si>
  <si>
    <t xml:space="preserve">   مسجد / الامير سلطان .</t>
  </si>
  <si>
    <t>KFM2120660272366</t>
  </si>
  <si>
    <t>MMF2020800195206</t>
  </si>
  <si>
    <t xml:space="preserve">    مسجد      الطريقي   أشبيلية .</t>
  </si>
  <si>
    <t>KFM2020660139730</t>
  </si>
  <si>
    <t>KFM2020660057919</t>
  </si>
  <si>
    <t xml:space="preserve">   مسجد عبدالرحمن الحقباني /الدلم .</t>
  </si>
  <si>
    <t>KFM2020760022909</t>
  </si>
  <si>
    <t>KFM2020660198474</t>
  </si>
  <si>
    <t>MMF2420801309220</t>
  </si>
  <si>
    <t>KFM2020660098958</t>
  </si>
  <si>
    <t>ECC2420841079718</t>
  </si>
  <si>
    <t xml:space="preserve">   مسجد/مشرف بالخبه    الا سلا ميه .</t>
  </si>
  <si>
    <t>AES2120896592612</t>
  </si>
  <si>
    <t>KFM2020660042453</t>
  </si>
  <si>
    <t>وقاف الخرج /مسجد سلمان العثمان .</t>
  </si>
  <si>
    <t>MMF2020800219155</t>
  </si>
  <si>
    <t>مسجد الشفا .</t>
  </si>
  <si>
    <t>KFM2020660168408</t>
  </si>
  <si>
    <t xml:space="preserve">   مسجدالاميرمشعل بن عبدالعزيز .</t>
  </si>
  <si>
    <t>SMR2020850026484</t>
  </si>
  <si>
    <t xml:space="preserve">   ادارةاوقاف(مسجدالا مام مسلم حي ال .</t>
  </si>
  <si>
    <t>KFM2020660170209</t>
  </si>
  <si>
    <t xml:space="preserve">   مسجدالامير/عبدالرحمن بن عبدالعزيز .</t>
  </si>
  <si>
    <t>KFM2020660057406</t>
  </si>
  <si>
    <t>مسجد زهرة  البديعة  /حي البديعة .</t>
  </si>
  <si>
    <t>KFM2020660023710</t>
  </si>
  <si>
    <t xml:space="preserve">   اوقاف الدواسر/جامع سوق النويعمة .</t>
  </si>
  <si>
    <t>KFM2020660174594</t>
  </si>
  <si>
    <t xml:space="preserve">      مسجد ابن تيميه .</t>
  </si>
  <si>
    <t>KFM2120660246081</t>
  </si>
  <si>
    <t>KFM2020660198405</t>
  </si>
  <si>
    <t xml:space="preserve">   مسجدالسيح/اوقاف الزلفى .</t>
  </si>
  <si>
    <t>KFM2120660262681</t>
  </si>
  <si>
    <t xml:space="preserve">   مسجد الراشد .</t>
  </si>
  <si>
    <t>KFM2120660301490</t>
  </si>
  <si>
    <t>KFM2020660174817</t>
  </si>
  <si>
    <t xml:space="preserve">   مسجدالروضه الجنوبي .</t>
  </si>
  <si>
    <t>AES2020896447792</t>
  </si>
  <si>
    <t xml:space="preserve">   مسجدحي الازدهارومرافقه .</t>
  </si>
  <si>
    <t>KFM2020660169480</t>
  </si>
  <si>
    <t xml:space="preserve">   جامــع أم جديــد .</t>
  </si>
  <si>
    <t>AES2120896610805</t>
  </si>
  <si>
    <t>KFM2020660172091</t>
  </si>
  <si>
    <t xml:space="preserve">   مسجد الامير /نواف بن فيصل بن فهد .</t>
  </si>
  <si>
    <t>KFM2120660240914</t>
  </si>
  <si>
    <t xml:space="preserve">   مسجد الزهراء  بحي التعاون .</t>
  </si>
  <si>
    <t>KFM2020660160611</t>
  </si>
  <si>
    <t xml:space="preserve">   مسجد المشاعله بالصالحيه .</t>
  </si>
  <si>
    <t>KFM2120660282658</t>
  </si>
  <si>
    <t>مسجد      بجاد حلة   العماج .</t>
  </si>
  <si>
    <t>KFM2020660201740</t>
  </si>
  <si>
    <t>KFM2020660175257</t>
  </si>
  <si>
    <t>KFM2020766086202</t>
  </si>
  <si>
    <t>SMR2220761016781</t>
  </si>
  <si>
    <t>SMR2120765020708</t>
  </si>
  <si>
    <t xml:space="preserve">   مسجد / سليمان بن يسار .</t>
  </si>
  <si>
    <t>KFM2020760007430</t>
  </si>
  <si>
    <t>SMR2020765006381</t>
  </si>
  <si>
    <t xml:space="preserve">   مسجد حي الربيع وسكن الامام والمؤذ .</t>
  </si>
  <si>
    <t>KFM2120660264381</t>
  </si>
  <si>
    <t xml:space="preserve">   مسجد قرطبه .</t>
  </si>
  <si>
    <t>KFM2020660170709</t>
  </si>
  <si>
    <t>مسجد   /   علي بن ابي طالب .</t>
  </si>
  <si>
    <t>KFM2020660045098</t>
  </si>
  <si>
    <t xml:space="preserve">   مسجد محمدالمجحد .</t>
  </si>
  <si>
    <t>KFM2020760115408</t>
  </si>
  <si>
    <t xml:space="preserve">   مسجدجامع الشلاوي .</t>
  </si>
  <si>
    <t>SMR2320661021438</t>
  </si>
  <si>
    <t xml:space="preserve">   مسجدعلىابن ابىطالب .</t>
  </si>
  <si>
    <t>KFM2020660212674</t>
  </si>
  <si>
    <t xml:space="preserve">   اوقاف الدلم/ مسجد سعد الدريهم .</t>
  </si>
  <si>
    <t>KFM2020660169736</t>
  </si>
  <si>
    <t xml:space="preserve">   مسجدمالك بن سعد .</t>
  </si>
  <si>
    <t>AES2020896469247</t>
  </si>
  <si>
    <t>GTR2320892220639</t>
  </si>
  <si>
    <t>ECC2020811063262</t>
  </si>
  <si>
    <t xml:space="preserve">      مـسـجـد زيدحسين بن حواش .</t>
  </si>
  <si>
    <t>AES2020896462916</t>
  </si>
  <si>
    <t xml:space="preserve">   مسجد أم رضمه .</t>
  </si>
  <si>
    <t>SMR2220761015036</t>
  </si>
  <si>
    <t>KFM2020660191589</t>
  </si>
  <si>
    <t>KFM2020660190207</t>
  </si>
  <si>
    <t>KFM2020766133992</t>
  </si>
  <si>
    <t>KFM2020660025743</t>
  </si>
  <si>
    <t>KFM2020660053775</t>
  </si>
  <si>
    <t xml:space="preserve">   مسجد مصعب بن عمير .</t>
  </si>
  <si>
    <t>KFM2020660036618</t>
  </si>
  <si>
    <t>KFM2020760131612</t>
  </si>
  <si>
    <t xml:space="preserve">   مسجد      السعدون   ا .</t>
  </si>
  <si>
    <t>KFM2020766040469</t>
  </si>
  <si>
    <t xml:space="preserve">   مسجدسعودبن دريب ومرافقه .</t>
  </si>
  <si>
    <t>KFM2020660019831</t>
  </si>
  <si>
    <t xml:space="preserve">      مسجد/حمود ناصر الجهيمى .</t>
  </si>
  <si>
    <t>KFM2020766152309</t>
  </si>
  <si>
    <t>جامع خبيب بن عدي بثرمداء .</t>
  </si>
  <si>
    <t>KFM2120660250101</t>
  </si>
  <si>
    <t xml:space="preserve">   مكتب الاوقاف بتميرمسجدالمخطط 680 .</t>
  </si>
  <si>
    <t>KFM2020766095272</t>
  </si>
  <si>
    <t xml:space="preserve">   مسجد وسكن حابس  المطيري .</t>
  </si>
  <si>
    <t>KFM2020660174415</t>
  </si>
  <si>
    <t xml:space="preserve">   مسجدسليمان الرضيان .</t>
  </si>
  <si>
    <t>KFM2020660191409</t>
  </si>
  <si>
    <t xml:space="preserve">      مسجد القنديله .</t>
  </si>
  <si>
    <t>AES2020896056216</t>
  </si>
  <si>
    <t xml:space="preserve">   مسجد حارة بن غنام .</t>
  </si>
  <si>
    <t>KFM2120660281700</t>
  </si>
  <si>
    <t>KFM2020660204018</t>
  </si>
  <si>
    <t xml:space="preserve">   مسجدام الحمام الغربى .</t>
  </si>
  <si>
    <t>KFM2020760203550</t>
  </si>
  <si>
    <t xml:space="preserve">   مسجد / محمد الهاجرى .</t>
  </si>
  <si>
    <t>KFM2020660031375</t>
  </si>
  <si>
    <t xml:space="preserve">   مسجد حى المنح .</t>
  </si>
  <si>
    <t>KFM2120660299847</t>
  </si>
  <si>
    <t>KFM2120660251566</t>
  </si>
  <si>
    <t xml:space="preserve">   مسجد كيلو 3 بالنسيم(مسجد التوحيد .</t>
  </si>
  <si>
    <t>KFM2120660239331</t>
  </si>
  <si>
    <t xml:space="preserve">   مسجد شرق ارطاوي المطران .</t>
  </si>
  <si>
    <t>KFM2020660208454</t>
  </si>
  <si>
    <t>KFM2020660052750</t>
  </si>
  <si>
    <t>KFM2020660143089</t>
  </si>
  <si>
    <t xml:space="preserve">   مسجدالدارالبيضاء/عبداللة النصـار .</t>
  </si>
  <si>
    <t>KFM2020660162220</t>
  </si>
  <si>
    <t xml:space="preserve">   مسجدالقضيبى بالمرقب .</t>
  </si>
  <si>
    <t>KFM2120660242101</t>
  </si>
  <si>
    <t xml:space="preserve">    مسجدالحميدان .</t>
  </si>
  <si>
    <t>AES2020896526735</t>
  </si>
  <si>
    <t xml:space="preserve">   مسجدام عبدالله الصانع .</t>
  </si>
  <si>
    <t>KFM2020660202358</t>
  </si>
  <si>
    <t xml:space="preserve">   مسجد      لولوه     الشايع .</t>
  </si>
  <si>
    <t>KFM2020766040475</t>
  </si>
  <si>
    <t>KFM2120660271145</t>
  </si>
  <si>
    <t xml:space="preserve">   مسجد بن بطاح والبراريق .</t>
  </si>
  <si>
    <t>KFM2020660200544</t>
  </si>
  <si>
    <t xml:space="preserve">   اوقاف الخرج /مسجد المستديره .</t>
  </si>
  <si>
    <t>KFM2020660176078</t>
  </si>
  <si>
    <t>KFM2020760212347</t>
  </si>
  <si>
    <t>AEC2020830237536</t>
  </si>
  <si>
    <t xml:space="preserve">   مسجد خالد بن الوليد الرويضه .</t>
  </si>
  <si>
    <t>AES2020896464286</t>
  </si>
  <si>
    <t>---مسجد المصانع .</t>
  </si>
  <si>
    <t>KFM2020760008522</t>
  </si>
  <si>
    <t xml:space="preserve">   ادارةاوقاف(مسجدال بريكان بالا حمر .</t>
  </si>
  <si>
    <t>KFM2020660223692</t>
  </si>
  <si>
    <t>مسجد ابو عبيدة  الجراح .</t>
  </si>
  <si>
    <t>KFM2020660023310</t>
  </si>
  <si>
    <t>مسجد محمد بن زيد .</t>
  </si>
  <si>
    <t>KFM2020660096673</t>
  </si>
  <si>
    <t>MMF2420801307596</t>
  </si>
  <si>
    <t>SMR2220661000195</t>
  </si>
  <si>
    <t>KFM2020660161239</t>
  </si>
  <si>
    <t xml:space="preserve">      الاوقاف مسجد الرفيعه بعنان .</t>
  </si>
  <si>
    <t>AES2120896544620</t>
  </si>
  <si>
    <t>KFM2120660272146</t>
  </si>
  <si>
    <t>مسجد محمد السلمان اليحى .</t>
  </si>
  <si>
    <t>KFM2020660198312</t>
  </si>
  <si>
    <t xml:space="preserve">   مسجد  الحلاجيه .</t>
  </si>
  <si>
    <t>AES2020896447708</t>
  </si>
  <si>
    <t>مسجد الصهيب الجديد             . .</t>
  </si>
  <si>
    <t>KFM2020766093713</t>
  </si>
  <si>
    <t xml:space="preserve">   اوقاف السليل / مسجدالحزم الجنوبي .</t>
  </si>
  <si>
    <t>KFM2020766165799</t>
  </si>
  <si>
    <t>KFM2020660202460</t>
  </si>
  <si>
    <t xml:space="preserve">   مسجد/     الجحفه    //////// .</t>
  </si>
  <si>
    <t>KFM2120660252073</t>
  </si>
  <si>
    <t>SMR2420868040613</t>
  </si>
  <si>
    <t xml:space="preserve">    مسجد الحزم بالمشاش .</t>
  </si>
  <si>
    <t>AES2020896525314</t>
  </si>
  <si>
    <t xml:space="preserve">    مسجد جامع الفرشه .</t>
  </si>
  <si>
    <t>KFM2020766163276</t>
  </si>
  <si>
    <t xml:space="preserve">   مسجد أحمد بن حنبل .</t>
  </si>
  <si>
    <t>KFM2120660237145</t>
  </si>
  <si>
    <t xml:space="preserve">   مسجد شلاح (حماد) .</t>
  </si>
  <si>
    <t>AES2020896527981</t>
  </si>
  <si>
    <t>AES2120896590859</t>
  </si>
  <si>
    <t xml:space="preserve">   مسجد/بجاد سلطان خلف العتيبي .</t>
  </si>
  <si>
    <t>AES2020896377700</t>
  </si>
  <si>
    <t xml:space="preserve">   مسجدأوس  بن أوس  الثقفي .</t>
  </si>
  <si>
    <t>KFM2020660162167</t>
  </si>
  <si>
    <t xml:space="preserve">     مسجدحي الوادي .</t>
  </si>
  <si>
    <t>KFM2020660213593</t>
  </si>
  <si>
    <t>مسجد حى  الزهرة .</t>
  </si>
  <si>
    <t>KFM2020660096657</t>
  </si>
  <si>
    <t>KFM2020660037778</t>
  </si>
  <si>
    <t xml:space="preserve">   اوقاف القويعيه/جامع الرين القديم .</t>
  </si>
  <si>
    <t>SMR2320661020690</t>
  </si>
  <si>
    <t>مسجد  السلامة .</t>
  </si>
  <si>
    <t>KFM2020660045029</t>
  </si>
  <si>
    <t xml:space="preserve">   مسجد مناحي السبيعي .</t>
  </si>
  <si>
    <t>KFM2020660127232</t>
  </si>
  <si>
    <t xml:space="preserve">   مسجد فهد المسند .</t>
  </si>
  <si>
    <t>KFM2020660174884</t>
  </si>
  <si>
    <t>AES2020896161859</t>
  </si>
  <si>
    <t>مسجد      حي الفواز .</t>
  </si>
  <si>
    <t>KFM2020660034145</t>
  </si>
  <si>
    <t xml:space="preserve">   مسجد/ نايف  المهيدلي .</t>
  </si>
  <si>
    <t>AES2020896446119</t>
  </si>
  <si>
    <t xml:space="preserve">   مسجد محمد العبداللطيف .</t>
  </si>
  <si>
    <t>KFM2120660257830</t>
  </si>
  <si>
    <t xml:space="preserve">   مسجد وليد السبيعي .</t>
  </si>
  <si>
    <t>KFM2020766153179</t>
  </si>
  <si>
    <t xml:space="preserve">   مسجد معيضى العتيبى .</t>
  </si>
  <si>
    <t>KFM2020660178213</t>
  </si>
  <si>
    <t xml:space="preserve">   مسجد البرقيه .</t>
  </si>
  <si>
    <t>KFM2120660262704</t>
  </si>
  <si>
    <t xml:space="preserve">   مسجد أهالي الكيلو الخامس .</t>
  </si>
  <si>
    <t>KFM2020660057088</t>
  </si>
  <si>
    <t xml:space="preserve">   مسجد علي راكان العتيبي .</t>
  </si>
  <si>
    <t>KFM2020660012571</t>
  </si>
  <si>
    <t>مسجد الحزم  وزاره  الشئون الاسلاميه .</t>
  </si>
  <si>
    <t>KFM2020660174991</t>
  </si>
  <si>
    <t xml:space="preserve">   مسجد سعد مبارك الغنام .</t>
  </si>
  <si>
    <t>KFM2120660299069</t>
  </si>
  <si>
    <t>LYE2020830242005</t>
  </si>
  <si>
    <t xml:space="preserve">   مسجد عبدالله بن حميد .</t>
  </si>
  <si>
    <t>KFM2020660201536</t>
  </si>
  <si>
    <t xml:space="preserve">   مسجد الشعبه .</t>
  </si>
  <si>
    <t>KFM2020660039558</t>
  </si>
  <si>
    <t>مسجد  /   ال  ياسر .</t>
  </si>
  <si>
    <t>KFM2020660013835</t>
  </si>
  <si>
    <t>SMR2020850035192</t>
  </si>
  <si>
    <t xml:space="preserve">   مسـجد نبعـة .</t>
  </si>
  <si>
    <t>MMF2020800148211</t>
  </si>
  <si>
    <t xml:space="preserve">   اوقاف القويعيه مسجدام حزم .</t>
  </si>
  <si>
    <t>SMR2020856072298</t>
  </si>
  <si>
    <t xml:space="preserve">   مسجد سلطان العبدالرزاق .</t>
  </si>
  <si>
    <t>SMR2320661021216</t>
  </si>
  <si>
    <t xml:space="preserve">     مسجد محمد الصبيح .</t>
  </si>
  <si>
    <t>KFM2020660195743</t>
  </si>
  <si>
    <t>KFM2020660175013</t>
  </si>
  <si>
    <t>KFM2120660300812</t>
  </si>
  <si>
    <t>LYE2020810584374</t>
  </si>
  <si>
    <t>SMR2220661004443</t>
  </si>
  <si>
    <t>مسجد بن خضير .</t>
  </si>
  <si>
    <t>KFM2020660054905</t>
  </si>
  <si>
    <t xml:space="preserve">   مسجد عبدالعزيز العتيق .</t>
  </si>
  <si>
    <t>KFM2020660036447</t>
  </si>
  <si>
    <t>KFM2120660235659</t>
  </si>
  <si>
    <t xml:space="preserve">   مسجدابراهيم التميمي .</t>
  </si>
  <si>
    <t>KFM2020660170759</t>
  </si>
  <si>
    <t>AEC2020830507892</t>
  </si>
  <si>
    <t>KFM2020660165854</t>
  </si>
  <si>
    <t>مسجد الحمدان .</t>
  </si>
  <si>
    <t>KFM2020660042250</t>
  </si>
  <si>
    <t xml:space="preserve">   مسجد فهد عبدالله العويضه .</t>
  </si>
  <si>
    <t>KFM2120660241092</t>
  </si>
  <si>
    <t xml:space="preserve">   مكتب اوقافحوطة سدير الداخله .</t>
  </si>
  <si>
    <t>KFM2020766062286</t>
  </si>
  <si>
    <t xml:space="preserve">   مسجد عبدالرحمن الثنيان .</t>
  </si>
  <si>
    <t>KFM2120660256894</t>
  </si>
  <si>
    <t>KFM2020660213570</t>
  </si>
  <si>
    <t>مسجد / حمد المغيره .</t>
  </si>
  <si>
    <t>KFM2020660039990</t>
  </si>
  <si>
    <t xml:space="preserve">   مسجد الزهرة الجنوبي بالجلة .</t>
  </si>
  <si>
    <t>AES2020896471690</t>
  </si>
  <si>
    <t xml:space="preserve">   مسجد الامام النووي .</t>
  </si>
  <si>
    <t>KFM2120660270799</t>
  </si>
  <si>
    <t>KFM2020660171727</t>
  </si>
  <si>
    <t xml:space="preserve">   مسجد عبدالله بن ظافر .</t>
  </si>
  <si>
    <t>KFM2020660057054</t>
  </si>
  <si>
    <t xml:space="preserve">   وزارة الشئون الاسلاميه .</t>
  </si>
  <si>
    <t>KFM2020766146081</t>
  </si>
  <si>
    <t>KFM2020660177907</t>
  </si>
  <si>
    <t>KFM2020660083696</t>
  </si>
  <si>
    <t xml:space="preserve">      مسجد بن تويم .</t>
  </si>
  <si>
    <t>AES2020896450737</t>
  </si>
  <si>
    <t>KFM2020660170822</t>
  </si>
  <si>
    <t xml:space="preserve">   مسجد حي الملك عبدالعزيز .</t>
  </si>
  <si>
    <t>KFM2020660209339</t>
  </si>
  <si>
    <t xml:space="preserve">   مسجد مشرفه .</t>
  </si>
  <si>
    <t>KFM2020766099570</t>
  </si>
  <si>
    <t>KFM2020660167763</t>
  </si>
  <si>
    <t xml:space="preserve">   اوقاف الحصاة/مسجدبرزان .</t>
  </si>
  <si>
    <t>AES2020896462734</t>
  </si>
  <si>
    <t>مسجد الدريهميه  شرق  شبرا .</t>
  </si>
  <si>
    <t>KFM2020660051459</t>
  </si>
  <si>
    <t>مسجد بحي الدار البيضاء .</t>
  </si>
  <si>
    <t>KFM2020660163522</t>
  </si>
  <si>
    <t xml:space="preserve">   مسجد ال جروان .</t>
  </si>
  <si>
    <t>KFM2020660206116</t>
  </si>
  <si>
    <t>KFM2020660174995</t>
  </si>
  <si>
    <t>KFM2020660038582</t>
  </si>
  <si>
    <t>AES2020896362631</t>
  </si>
  <si>
    <t xml:space="preserve">   مسجد  جامع  العجلية .</t>
  </si>
  <si>
    <t>KFM2120655005158</t>
  </si>
  <si>
    <t xml:space="preserve">   مسجد/عثمان أبن عفان .</t>
  </si>
  <si>
    <t>AES2120896565870</t>
  </si>
  <si>
    <t xml:space="preserve">   وزارة الشؤن الاسلاميه- مسجدال تويم .</t>
  </si>
  <si>
    <t>KFM2020760229603</t>
  </si>
  <si>
    <t>KFM2020660104880</t>
  </si>
  <si>
    <t xml:space="preserve">      مسجدالمبوغم/اوقاف المزاحميه .</t>
  </si>
  <si>
    <t>KFM2020766065366</t>
  </si>
  <si>
    <t>KFM2020766167821</t>
  </si>
  <si>
    <t xml:space="preserve">   مسجد عبدالله الراجحي .</t>
  </si>
  <si>
    <t>KFM2120660299588</t>
  </si>
  <si>
    <t xml:space="preserve">   مسجد والدة أحمد الشايع .</t>
  </si>
  <si>
    <t>KFM2120660262145</t>
  </si>
  <si>
    <t>مسجد      جامع      التقوى .</t>
  </si>
  <si>
    <t>KFM2020660060707</t>
  </si>
  <si>
    <t>KFM2020660167664</t>
  </si>
  <si>
    <t>KFM2020760203041</t>
  </si>
  <si>
    <t xml:space="preserve">   مسجد      ال شايع   بصبحاء .</t>
  </si>
  <si>
    <t>MMF2220801085448</t>
  </si>
  <si>
    <t>KFM2120660253469</t>
  </si>
  <si>
    <t xml:space="preserve">   مسجد هادي الرشيد .</t>
  </si>
  <si>
    <t>KFM2020660040613</t>
  </si>
  <si>
    <t xml:space="preserve">   مسجد الحزم .</t>
  </si>
  <si>
    <t>KFM2020660177905</t>
  </si>
  <si>
    <t>مسجد الشنفرى .</t>
  </si>
  <si>
    <t>KFM2020660006598</t>
  </si>
  <si>
    <t xml:space="preserve">   مسجد قاسم أحمد .</t>
  </si>
  <si>
    <t>KFM2020660191787</t>
  </si>
  <si>
    <t xml:space="preserve">   مسجد/الجامع الجديد .</t>
  </si>
  <si>
    <t>KFM2020766154269</t>
  </si>
  <si>
    <t>KFM2020660046558</t>
  </si>
  <si>
    <t>00      مسجدحي    الحزم .</t>
  </si>
  <si>
    <t>KFM2020660022915</t>
  </si>
  <si>
    <t xml:space="preserve">   مسجد فهد سعود السهلي .</t>
  </si>
  <si>
    <t>KFM2020660025594</t>
  </si>
  <si>
    <t>KFM2120660249218</t>
  </si>
  <si>
    <t xml:space="preserve">   مسجد      وليد      السلولي .</t>
  </si>
  <si>
    <t>KFM2020660225591</t>
  </si>
  <si>
    <t xml:space="preserve">   مسجدعبدالعزيزالعقيلى .</t>
  </si>
  <si>
    <t>KFM2020660187718</t>
  </si>
  <si>
    <t xml:space="preserve">   مسجد اللغف .</t>
  </si>
  <si>
    <t>AES2120896592442</t>
  </si>
  <si>
    <t>مسجد رجاء بن حيوه .</t>
  </si>
  <si>
    <t>KFM2120660243001</t>
  </si>
  <si>
    <t xml:space="preserve">   مسجد      مخطط ج 139حلبان .</t>
  </si>
  <si>
    <t>KFM2020760185774</t>
  </si>
  <si>
    <t>3611 مسجدالعريجاء الغربيه  مخطط .</t>
  </si>
  <si>
    <t>KFM2020660023502</t>
  </si>
  <si>
    <t>KFM2020660057909</t>
  </si>
  <si>
    <t>KFM2020660008704</t>
  </si>
  <si>
    <t xml:space="preserve">      مسجد عبدالله الجمعى .</t>
  </si>
  <si>
    <t>SMR2220661004678</t>
  </si>
  <si>
    <t>KFM2020660054932</t>
  </si>
  <si>
    <t>KFM2020660212032</t>
  </si>
  <si>
    <t xml:space="preserve">   مسجد وسكن الا مام والمؤذن .</t>
  </si>
  <si>
    <t>KFM2020660192605</t>
  </si>
  <si>
    <t xml:space="preserve">   اوقاف الدلم / مسجدهجرة العقيمي .</t>
  </si>
  <si>
    <t>KFM2020760183432</t>
  </si>
  <si>
    <t xml:space="preserve">   مسجد النايفه .</t>
  </si>
  <si>
    <t>KFM2120660257184</t>
  </si>
  <si>
    <t>KFM2020660043967</t>
  </si>
  <si>
    <t xml:space="preserve">      مسجد غزاى طحى .</t>
  </si>
  <si>
    <t>KFM2120660299594</t>
  </si>
  <si>
    <t>KFM2120660283124</t>
  </si>
  <si>
    <t>KFM2020660053534</t>
  </si>
  <si>
    <t xml:space="preserve">               مسجد المثنى بن حارثه .</t>
  </si>
  <si>
    <t>KFM2120660257175</t>
  </si>
  <si>
    <t>AES2120896552165</t>
  </si>
  <si>
    <t xml:space="preserve">      الاوقاف (مسجد فالح فعاسا) .</t>
  </si>
  <si>
    <t>AES2020896453939</t>
  </si>
  <si>
    <t>مسجد العمران و المهناء .</t>
  </si>
  <si>
    <t>KFM2020660134144</t>
  </si>
  <si>
    <t xml:space="preserve">   مسجد الشرفيه الغربي .</t>
  </si>
  <si>
    <t>KFM2020660174068</t>
  </si>
  <si>
    <t>MMF2020800309303</t>
  </si>
  <si>
    <t>KFM2020660204003</t>
  </si>
  <si>
    <t>KFM2020660015363</t>
  </si>
  <si>
    <t xml:space="preserve">   أوقاف الاوقاف-مسجدأم آثله .</t>
  </si>
  <si>
    <t>AES2020896461009</t>
  </si>
  <si>
    <t xml:space="preserve">  اوقاف القويعيه/مسجد عشيران الغربي .</t>
  </si>
  <si>
    <t>AEC2020830529041</t>
  </si>
  <si>
    <t xml:space="preserve">   مسجد الضويان .</t>
  </si>
  <si>
    <t>AES2020896531878</t>
  </si>
  <si>
    <t>مسجد رقم اثنين حي الاسكان .</t>
  </si>
  <si>
    <t>KFM2020660177592</t>
  </si>
  <si>
    <t xml:space="preserve">   مسجد محمد أحمد المسعر .</t>
  </si>
  <si>
    <t>AES2120896538210</t>
  </si>
  <si>
    <t>مسجدالامام  ابن الصلاح .</t>
  </si>
  <si>
    <t>KFM2020660038575</t>
  </si>
  <si>
    <t>KFM2120660282710</t>
  </si>
  <si>
    <t>مسجد  شيخ  الاسلام  بن تيميه .</t>
  </si>
  <si>
    <t>KFM2020660023707</t>
  </si>
  <si>
    <t>SMR2220761004210</t>
  </si>
  <si>
    <t>MMF2020800291997</t>
  </si>
  <si>
    <t xml:space="preserve">   مسجد/ محمد فالح القحطاني .</t>
  </si>
  <si>
    <t>AEC2020830566352</t>
  </si>
  <si>
    <t>مسجد حارة  عبدالرحمن بن عبدالله .</t>
  </si>
  <si>
    <t>KFM2020660052968</t>
  </si>
  <si>
    <t>AES2020896464900</t>
  </si>
  <si>
    <t xml:space="preserve">   مسجد بلال .</t>
  </si>
  <si>
    <t>KFM2020660201188</t>
  </si>
  <si>
    <t>KFM2020660057977</t>
  </si>
  <si>
    <t xml:space="preserve">   مسجد عبدالعزيز العتي بظهرة لبن .</t>
  </si>
  <si>
    <t>KFM2020660192542</t>
  </si>
  <si>
    <t>KFM2020660198056</t>
  </si>
  <si>
    <t xml:space="preserve">   مـسـجـد جربوع سعدالضعيف القحطانى .</t>
  </si>
  <si>
    <t>AEC2020830322384</t>
  </si>
  <si>
    <t xml:space="preserve">   مسجد/عبدالله مساعد القطيان .</t>
  </si>
  <si>
    <t>KFM2020760232962</t>
  </si>
  <si>
    <t>MMF2020800255179</t>
  </si>
  <si>
    <t>MMF2020800211234</t>
  </si>
  <si>
    <t>مسجد / سعيد قيدول  المالكي .</t>
  </si>
  <si>
    <t>KFM2020660198352</t>
  </si>
  <si>
    <t xml:space="preserve">     اوقاف المزاحميه / جامع العزيزي .</t>
  </si>
  <si>
    <t>KFM2020660200307</t>
  </si>
  <si>
    <t xml:space="preserve">   اوقاف المزاحميه مسجد صهيدالقرارة .</t>
  </si>
  <si>
    <t>AEC2020830575288</t>
  </si>
  <si>
    <t xml:space="preserve">   مسجد      اسامة     زيد .</t>
  </si>
  <si>
    <t>KFM2020660161309</t>
  </si>
  <si>
    <t>ECC2020811054885</t>
  </si>
  <si>
    <t>KFM2020660211391</t>
  </si>
  <si>
    <t xml:space="preserve">   مسجد الجمالين .</t>
  </si>
  <si>
    <t>KFM2020660150144</t>
  </si>
  <si>
    <t xml:space="preserve">   مسجد النويمي .</t>
  </si>
  <si>
    <t>KFM2020660196931</t>
  </si>
  <si>
    <t>KFM2020760211499</t>
  </si>
  <si>
    <t xml:space="preserve">   مسجد      ال مشعى   بالافلاج .</t>
  </si>
  <si>
    <t>LYE2020810260447</t>
  </si>
  <si>
    <t xml:space="preserve">         مسجد ـ محمد مبارك الجبيرى .</t>
  </si>
  <si>
    <t>MMF2420701016218</t>
  </si>
  <si>
    <t xml:space="preserve"> مسجد الشهداء .</t>
  </si>
  <si>
    <t>KFM2120660272831</t>
  </si>
  <si>
    <t xml:space="preserve">   مسجدحى الاندلس .</t>
  </si>
  <si>
    <t>KFM2020660040604</t>
  </si>
  <si>
    <t xml:space="preserve">   الاوقاف مسجد محمد الفاتح .</t>
  </si>
  <si>
    <t>KFM2120660260542</t>
  </si>
  <si>
    <t xml:space="preserve">   ادارة     الأوقاف    ثادق .</t>
  </si>
  <si>
    <t>ECC2020811124291</t>
  </si>
  <si>
    <t>KFM2120660248193</t>
  </si>
  <si>
    <t>MMF2020800147793</t>
  </si>
  <si>
    <t xml:space="preserve">   مسجد ناصر الراجحى .</t>
  </si>
  <si>
    <t>KFM2020660131997</t>
  </si>
  <si>
    <t>مسجد سمو الامير مقرن .</t>
  </si>
  <si>
    <t>KFM2020660189411</t>
  </si>
  <si>
    <t xml:space="preserve">   مسجد المنتزة الجديد .</t>
  </si>
  <si>
    <t>KFM2020660207871</t>
  </si>
  <si>
    <t xml:space="preserve">   مسجد  شمال الحفيره .</t>
  </si>
  <si>
    <t>SMR2020850119994</t>
  </si>
  <si>
    <t xml:space="preserve">   مسجد/الهويريني بحي النسيم الغربي .</t>
  </si>
  <si>
    <t>KFM2020660042053</t>
  </si>
  <si>
    <t xml:space="preserve">   مسجد  البرزه .</t>
  </si>
  <si>
    <t>KFM2020660189694</t>
  </si>
  <si>
    <t>KFM2020766158919</t>
  </si>
  <si>
    <t>SMR2420761040140</t>
  </si>
  <si>
    <t xml:space="preserve">    مسجد/ نايف سلطان .</t>
  </si>
  <si>
    <t>AES2020896450478</t>
  </si>
  <si>
    <t>KFM2020660207697</t>
  </si>
  <si>
    <t xml:space="preserve">   مسجد الضيافة بحي الوشام .</t>
  </si>
  <si>
    <t>KFM2120760243803</t>
  </si>
  <si>
    <t>مسجد الجميح .</t>
  </si>
  <si>
    <t>KFM2020660056086</t>
  </si>
  <si>
    <t xml:space="preserve">   اوقاف القويعيه /مسجدالرفائع .</t>
  </si>
  <si>
    <t>AES2020896162317</t>
  </si>
  <si>
    <t xml:space="preserve">    اوقاف المجمعة جامع الشحمة .</t>
  </si>
  <si>
    <t>KFM2020766154355</t>
  </si>
  <si>
    <t xml:space="preserve">   مسجد (حي اشبيليا) .</t>
  </si>
  <si>
    <t>KFM2020660053547</t>
  </si>
  <si>
    <t xml:space="preserve">   اوقاف     القويعيه  العفجه .</t>
  </si>
  <si>
    <t>AES2020896161736</t>
  </si>
  <si>
    <t xml:space="preserve">   مسجد / جامع الحسن البصري .</t>
  </si>
  <si>
    <t>KFM2020660228474</t>
  </si>
  <si>
    <t>مسجد عباس .</t>
  </si>
  <si>
    <t>KFM2020660056059</t>
  </si>
  <si>
    <t xml:space="preserve">   مسجد عبدالرحمن بن حمدان .</t>
  </si>
  <si>
    <t>KFM2120660257371</t>
  </si>
  <si>
    <t>مسجد الامير سلطان بن سليمان .</t>
  </si>
  <si>
    <t>KFM2020660167694</t>
  </si>
  <si>
    <t xml:space="preserve">   مسجدحارة اهل الزلفى .</t>
  </si>
  <si>
    <t>KFM2120660251604</t>
  </si>
  <si>
    <t>جزاء محسن الحربي .</t>
  </si>
  <si>
    <t>ECC2020811054845</t>
  </si>
  <si>
    <t xml:space="preserve">   مسجد      رقم  9    مخطط913 .</t>
  </si>
  <si>
    <t>LYE2020810122949</t>
  </si>
  <si>
    <t>مسجد عبدالرحمن الخرعان .</t>
  </si>
  <si>
    <t>KFM2020660152992</t>
  </si>
  <si>
    <t>KFM2020660174385</t>
  </si>
  <si>
    <t xml:space="preserve">   مسجد بن عثيمين .</t>
  </si>
  <si>
    <t>KFM2020660174533</t>
  </si>
  <si>
    <t xml:space="preserve">         مسجد ام صولات .</t>
  </si>
  <si>
    <t>KFM2020766167187</t>
  </si>
  <si>
    <t xml:space="preserve">       مسجد بعيثرانه بسنام .</t>
  </si>
  <si>
    <t>SMR2420868027037</t>
  </si>
  <si>
    <t xml:space="preserve">   مسحد      الاميره    السديريه .</t>
  </si>
  <si>
    <t>KFM2020660203625</t>
  </si>
  <si>
    <t>KFM2020660171784</t>
  </si>
  <si>
    <t>LYE2020830251408</t>
  </si>
  <si>
    <t xml:space="preserve">   مسـجد اسـواق الماشـيه .</t>
  </si>
  <si>
    <t>KFM2120660304625</t>
  </si>
  <si>
    <t>ECC2020810859962</t>
  </si>
  <si>
    <t xml:space="preserve">   مسجد/الدحيم .</t>
  </si>
  <si>
    <t>KFM2020766128592</t>
  </si>
  <si>
    <t xml:space="preserve">   مسجد      السيباني  في السيباني .</t>
  </si>
  <si>
    <t>AES2020896527403</t>
  </si>
  <si>
    <t>KFM2020660027822</t>
  </si>
  <si>
    <t>وزاره      الشئون    مسجد الدريهم .</t>
  </si>
  <si>
    <t>KFM2020660098780</t>
  </si>
  <si>
    <t xml:space="preserve">   مسجد حي النسيم. .</t>
  </si>
  <si>
    <t>KFM2120660237153</t>
  </si>
  <si>
    <t xml:space="preserve">   مسجد السلامه .</t>
  </si>
  <si>
    <t>KFM2120660273707</t>
  </si>
  <si>
    <t>جامع  السلوم .</t>
  </si>
  <si>
    <t>KFM2120660292274</t>
  </si>
  <si>
    <t>MMF2020800104708</t>
  </si>
  <si>
    <t>مسجد اويس القرني .</t>
  </si>
  <si>
    <t>KFM2020760136120</t>
  </si>
  <si>
    <t xml:space="preserve">   أوقاف القويعيه/مسجد خديجة .</t>
  </si>
  <si>
    <t>KFM2020660229552</t>
  </si>
  <si>
    <t>مسجد المحسن خلف بلدية الدوادمي .</t>
  </si>
  <si>
    <t>KFM2020660189751</t>
  </si>
  <si>
    <t>KFM2120660254626</t>
  </si>
  <si>
    <t xml:space="preserve">   اوقاف القويعيه /مسجدالناصريه .</t>
  </si>
  <si>
    <t>SMR2020850089655</t>
  </si>
  <si>
    <t xml:space="preserve">   مسجد المزرعة بالنغيق .</t>
  </si>
  <si>
    <t>ECC2020810934209</t>
  </si>
  <si>
    <t xml:space="preserve">   مسجدحديقه الحيوان/سعودبن فهد .</t>
  </si>
  <si>
    <t>KFM2020660210763</t>
  </si>
  <si>
    <t xml:space="preserve">      مسجد حسان بن ثابت .</t>
  </si>
  <si>
    <t>KFM2020766121709</t>
  </si>
  <si>
    <t xml:space="preserve">   اوقاف الدواسر/مسجد ال قطيم .</t>
  </si>
  <si>
    <t>KFM2020660174680</t>
  </si>
  <si>
    <t>AEC2020830108373</t>
  </si>
  <si>
    <t xml:space="preserve">   جامع      الشواة .</t>
  </si>
  <si>
    <t>KFM2020760227481</t>
  </si>
  <si>
    <t xml:space="preserve">   مسجد البعيثه .</t>
  </si>
  <si>
    <t>SMR2420768000877</t>
  </si>
  <si>
    <t xml:space="preserve">      مسجد العامريه بمليح .</t>
  </si>
  <si>
    <t>AES2020896417957</t>
  </si>
  <si>
    <t xml:space="preserve">   مسـجد الشـيخ محمـد بن عبدالوهاب .</t>
  </si>
  <si>
    <t>KFM2120660251354</t>
  </si>
  <si>
    <t xml:space="preserve">   مسجد      ناصر      رقم 8 الصقور .</t>
  </si>
  <si>
    <t>KFM2020660203701</t>
  </si>
  <si>
    <t>KFM2020766090347</t>
  </si>
  <si>
    <t>.  مسجد      العبيدان .</t>
  </si>
  <si>
    <t>KFM2020660051479</t>
  </si>
  <si>
    <t>مسجد موسى  بن نصير .</t>
  </si>
  <si>
    <t>KFM2020660191088</t>
  </si>
  <si>
    <t xml:space="preserve">   مسجد التركى .</t>
  </si>
  <si>
    <t>KFM2020660047755</t>
  </si>
  <si>
    <t>مسجد العوده .</t>
  </si>
  <si>
    <t>KFM2020660192538</t>
  </si>
  <si>
    <t xml:space="preserve">   مسجد حله الاحرار .</t>
  </si>
  <si>
    <t>KFM2120660241528</t>
  </si>
  <si>
    <t>KFM2020760239663</t>
  </si>
  <si>
    <t xml:space="preserve">      مسجدالآمام فيصل بن تركي .</t>
  </si>
  <si>
    <t>KFM2020660191496</t>
  </si>
  <si>
    <t>مسجد محمد المسلام بالحلوة .</t>
  </si>
  <si>
    <t>AES2020896419960</t>
  </si>
  <si>
    <t>KFM2120660241513</t>
  </si>
  <si>
    <t xml:space="preserve">   مسجد الجنوبيه .</t>
  </si>
  <si>
    <t>KFM2020660210700</t>
  </si>
  <si>
    <t>مسجد صالح  بن ابراهيم بن قباع .</t>
  </si>
  <si>
    <t>KFM2020760035533</t>
  </si>
  <si>
    <t>AES2120896537176</t>
  </si>
  <si>
    <t>KFM2020660045409</t>
  </si>
  <si>
    <t>وقاف القويعيه .</t>
  </si>
  <si>
    <t>KFM2120660240457</t>
  </si>
  <si>
    <t xml:space="preserve">   مسجد البديع .</t>
  </si>
  <si>
    <t>KFM2020660200150</t>
  </si>
  <si>
    <t>مسجد البخارى .</t>
  </si>
  <si>
    <t>KFM2020660196733</t>
  </si>
  <si>
    <t xml:space="preserve">      مسجد الخفين البديع .</t>
  </si>
  <si>
    <t>MMF2020800255102</t>
  </si>
  <si>
    <t>KFM2020660197489</t>
  </si>
  <si>
    <t>KFM2120660292295</t>
  </si>
  <si>
    <t>KFM2020660047181</t>
  </si>
  <si>
    <t xml:space="preserve">   جامع الحجر بالفيضه .</t>
  </si>
  <si>
    <t>KFM2020660204368</t>
  </si>
  <si>
    <t xml:space="preserve">   مسجد مخطط ال محمد/اوقاف السليل .</t>
  </si>
  <si>
    <t>AES2020896045938</t>
  </si>
  <si>
    <t xml:space="preserve">     اوقاف الرين/مسجدالفياح بعنان .</t>
  </si>
  <si>
    <t>AES2020896158398</t>
  </si>
  <si>
    <t xml:space="preserve"> مسجد حمود دهام الدعجاني .</t>
  </si>
  <si>
    <t>SMR2120765021025</t>
  </si>
  <si>
    <t xml:space="preserve">   مسجد      محمد      السبيعي .</t>
  </si>
  <si>
    <t>KFM2020660041853</t>
  </si>
  <si>
    <t xml:space="preserve">   مسجدالصغير .</t>
  </si>
  <si>
    <t>KFM2120660276194</t>
  </si>
  <si>
    <t>KFM2020660190839</t>
  </si>
  <si>
    <t>MMF2420601025272</t>
  </si>
  <si>
    <t>KFM2120660262509</t>
  </si>
  <si>
    <t>KFM2020660193484</t>
  </si>
  <si>
    <t>AEC2020830281168</t>
  </si>
  <si>
    <t>0مسجد      حي العريجا .</t>
  </si>
  <si>
    <t>KFM2020760203651</t>
  </si>
  <si>
    <t>AES2020896531486</t>
  </si>
  <si>
    <t>مسجد    الغشيان .</t>
  </si>
  <si>
    <t>KFM2020660177034</t>
  </si>
  <si>
    <t xml:space="preserve">   مسجدوالد عبدالله عبدالكريم لبصير .</t>
  </si>
  <si>
    <t>KFM2120660299138</t>
  </si>
  <si>
    <t xml:space="preserve">   مسجدالعبدالكريم .</t>
  </si>
  <si>
    <t>KFM2020660214095</t>
  </si>
  <si>
    <t>KFM2020660040606</t>
  </si>
  <si>
    <t xml:space="preserve">   جامع أبوبكر الصديق بثرمداء .</t>
  </si>
  <si>
    <t>KFM2120660251111</t>
  </si>
  <si>
    <t xml:space="preserve">   مسجد محمدبن عبدالله العمار .</t>
  </si>
  <si>
    <t>KFM2020660195854</t>
  </si>
  <si>
    <t>المسجد الموقت فى  المخطط .</t>
  </si>
  <si>
    <t>SMR2220661006745</t>
  </si>
  <si>
    <t>مسجد /جامع المخطط السادس .</t>
  </si>
  <si>
    <t>KFM2020660201710</t>
  </si>
  <si>
    <t>.    مسجد      الخضير .</t>
  </si>
  <si>
    <t>KFM2020660115773</t>
  </si>
  <si>
    <t>مسجد مخطط 478 بجوار محطة مدينة . .</t>
  </si>
  <si>
    <t>AEC2020830312484</t>
  </si>
  <si>
    <t xml:space="preserve">   مسجد المفيريج .</t>
  </si>
  <si>
    <t>KFM2020660087754</t>
  </si>
  <si>
    <t xml:space="preserve">    مسجد الجدعان .</t>
  </si>
  <si>
    <t>KFM2020660127762</t>
  </si>
  <si>
    <t>KFM2120660275747</t>
  </si>
  <si>
    <t xml:space="preserve">   جامع الغرابى .</t>
  </si>
  <si>
    <t>KFM2120660246648</t>
  </si>
  <si>
    <t>KFM2120660304169</t>
  </si>
  <si>
    <t>KFM2020660175005</t>
  </si>
  <si>
    <t>KFM2020760200687</t>
  </si>
  <si>
    <t xml:space="preserve">   مسجدمنصور الجبير    . .</t>
  </si>
  <si>
    <t>MMF2020800017364</t>
  </si>
  <si>
    <t xml:space="preserve">   مسجد الامام محمد بن سعود .</t>
  </si>
  <si>
    <t>KFM2120660257179</t>
  </si>
  <si>
    <t xml:space="preserve">   مسجدثابت بن الدحداح .</t>
  </si>
  <si>
    <t>AES2120896543351</t>
  </si>
  <si>
    <t xml:space="preserve">   جامع النويعمه /اوقاف الدواســ .</t>
  </si>
  <si>
    <t>KFM2020660177897</t>
  </si>
  <si>
    <t>مسجدالتويم .</t>
  </si>
  <si>
    <t>KFM2020660055007</t>
  </si>
  <si>
    <t>KFM2120660299307</t>
  </si>
  <si>
    <t xml:space="preserve">      جامع عليان .</t>
  </si>
  <si>
    <t>AES2120896609966</t>
  </si>
  <si>
    <t xml:space="preserve">   جامع      الصاهد    سعد ماضي .</t>
  </si>
  <si>
    <t>KFM2020660204103</t>
  </si>
  <si>
    <t xml:space="preserve">   مسجد الشيخ صالح البليهي 5/3318</t>
  </si>
  <si>
    <t>KFM2020660034634</t>
  </si>
  <si>
    <t xml:space="preserve">   مسجد الحنو .</t>
  </si>
  <si>
    <t>AES2120896565461</t>
  </si>
  <si>
    <t>مسجد      ال  حمود   نمار .</t>
  </si>
  <si>
    <t>KFM2020660054301</t>
  </si>
  <si>
    <t>KFM2020660152997</t>
  </si>
  <si>
    <t xml:space="preserve">   مسجد بن سلطان .</t>
  </si>
  <si>
    <t>ECC2020810998532</t>
  </si>
  <si>
    <t>SMR2220661002767</t>
  </si>
  <si>
    <t xml:space="preserve">   مسجدسعودالدوسري .</t>
  </si>
  <si>
    <t>KFM2120660299073</t>
  </si>
  <si>
    <t>SMR2220661007005</t>
  </si>
  <si>
    <t xml:space="preserve">   مسجد منور القاسم . .</t>
  </si>
  <si>
    <t>KFM2020660037489</t>
  </si>
  <si>
    <t xml:space="preserve">   مـسـجـدالحميضى بالمخطط 366 .</t>
  </si>
  <si>
    <t>KFM2020760212547</t>
  </si>
  <si>
    <t xml:space="preserve">   مسجدعبدالعزيزالجهيمى .</t>
  </si>
  <si>
    <t>KFM2020660211459</t>
  </si>
  <si>
    <t xml:space="preserve">    مسجدبكربن جبل .</t>
  </si>
  <si>
    <t>AES2120896571677</t>
  </si>
  <si>
    <t xml:space="preserve">   مسجد  الركيان بساجر .</t>
  </si>
  <si>
    <t>KFM2020766077763</t>
  </si>
  <si>
    <t>KFM2020760178863</t>
  </si>
  <si>
    <t xml:space="preserve">   مسجد      التقوى    . .</t>
  </si>
  <si>
    <t>KFM2020660127483</t>
  </si>
  <si>
    <t>KFM2020766067732</t>
  </si>
  <si>
    <t>مسجدالعريجاء .</t>
  </si>
  <si>
    <t>KFM2020660054390</t>
  </si>
  <si>
    <t>KFM2120655001342</t>
  </si>
  <si>
    <t>MMF2420601024401</t>
  </si>
  <si>
    <t>AEC2020830205299</t>
  </si>
  <si>
    <t>KFM2020760208852</t>
  </si>
  <si>
    <t xml:space="preserve">   مسجد      سعيد      رزقان .</t>
  </si>
  <si>
    <t>MMF2020800310800</t>
  </si>
  <si>
    <t>KFM2120655004601</t>
  </si>
  <si>
    <t>جامع الفيصلية .</t>
  </si>
  <si>
    <t>AEC2020830326015</t>
  </si>
  <si>
    <t>MMF2020800017036</t>
  </si>
  <si>
    <t>AEC2020830541093</t>
  </si>
  <si>
    <t>مسجد الزهرانى .</t>
  </si>
  <si>
    <t>KFM2020660015372</t>
  </si>
  <si>
    <t>AES2120896566523</t>
  </si>
  <si>
    <t xml:space="preserve">   مسجد      ال سالم   بالنايفية .</t>
  </si>
  <si>
    <t>AEC2020720003329</t>
  </si>
  <si>
    <t>KFM2020660056791</t>
  </si>
  <si>
    <t xml:space="preserve">   المسجدالجامعبالداهنه .</t>
  </si>
  <si>
    <t>KFM2020660200542</t>
  </si>
  <si>
    <t>KFM2020660202676</t>
  </si>
  <si>
    <t xml:space="preserve">   مسجد /صلف بعرجاء .</t>
  </si>
  <si>
    <t>SMR2020856106421</t>
  </si>
  <si>
    <t>مسجد عبد الرحمن الصفيان .</t>
  </si>
  <si>
    <t>KFM2020660044159</t>
  </si>
  <si>
    <t xml:space="preserve">   مسجد      عبدالله الحزيمي .</t>
  </si>
  <si>
    <t>KFM2020660061498</t>
  </si>
  <si>
    <t xml:space="preserve">   مسجد طالعه الجاسر بالغاط .</t>
  </si>
  <si>
    <t>SMR2020856096087</t>
  </si>
  <si>
    <t>SMR2220661002446</t>
  </si>
  <si>
    <t xml:space="preserve">   مسجدصلا ح الدين الا يوبي(م.مشعل زن .</t>
  </si>
  <si>
    <t>KFM2020660170231</t>
  </si>
  <si>
    <t xml:space="preserve">   جامع المنح الصريحة .</t>
  </si>
  <si>
    <t>KFM2020660177173</t>
  </si>
  <si>
    <t xml:space="preserve">   مسجدالحمضه اوقاف المزحمية .</t>
  </si>
  <si>
    <t>AES2020896384474</t>
  </si>
  <si>
    <t>KFM2020660206924</t>
  </si>
  <si>
    <t xml:space="preserve">   مسجد      ناصر      القريني .</t>
  </si>
  <si>
    <t>KFM2120660257046</t>
  </si>
  <si>
    <t>ECC2420831017653</t>
  </si>
  <si>
    <t xml:space="preserve">      مسجد الدمثى الجديد .</t>
  </si>
  <si>
    <t>AES2120896566238</t>
  </si>
  <si>
    <t>مسجد سراء المقحم</t>
  </si>
  <si>
    <t>DZG2020850056406</t>
  </si>
  <si>
    <t>KFM2020660174965</t>
  </si>
  <si>
    <t>مسجد منفوحه  القديمه .</t>
  </si>
  <si>
    <t>KFM2020660191419</t>
  </si>
  <si>
    <t>وزارةالأ وقاف اوقاف نفي .</t>
  </si>
  <si>
    <t>AES2020896025955</t>
  </si>
  <si>
    <t xml:space="preserve">       جامع السكران الجديد .</t>
  </si>
  <si>
    <t>KFM2020660153693</t>
  </si>
  <si>
    <t xml:space="preserve">   مسجدخالدبن الوليد .</t>
  </si>
  <si>
    <t>KFM2120660267456</t>
  </si>
  <si>
    <t xml:space="preserve">   اوقاف الخرج /مسجد الحكم بن هشام .</t>
  </si>
  <si>
    <t>KFM2020660230216</t>
  </si>
  <si>
    <t xml:space="preserve">   مسجدمحمد بن واسع .</t>
  </si>
  <si>
    <t>KFM2020660042632</t>
  </si>
  <si>
    <t xml:space="preserve">    جــامـع برودان (اوقاف القويعيه) .</t>
  </si>
  <si>
    <t>AES2020896460837</t>
  </si>
  <si>
    <t xml:space="preserve">   مسجد/مقبولمقبل      العتيبي .</t>
  </si>
  <si>
    <t>AES2120896537789</t>
  </si>
  <si>
    <t>AES2120896575089</t>
  </si>
  <si>
    <t xml:space="preserve">   مسجد      الموسي    م .</t>
  </si>
  <si>
    <t>ECC2020811046162</t>
  </si>
  <si>
    <t xml:space="preserve">   مسجد الصلاح .</t>
  </si>
  <si>
    <t>KFM2020660057085</t>
  </si>
  <si>
    <t xml:space="preserve">       مسجد ابن غشيان بالدرعيه .</t>
  </si>
  <si>
    <t>ECC2020810700149</t>
  </si>
  <si>
    <t>KFM2120660246977</t>
  </si>
  <si>
    <t xml:space="preserve">   مسجد/مسلى حمدى الرشيدى .</t>
  </si>
  <si>
    <t>KFM2020861124982</t>
  </si>
  <si>
    <t xml:space="preserve">      جامع بيضاء فثيل .</t>
  </si>
  <si>
    <t>AES2020896454093</t>
  </si>
  <si>
    <t>KFM2020660049549</t>
  </si>
  <si>
    <t xml:space="preserve">      اوقاف الزلفى/مسجد الدريويش .</t>
  </si>
  <si>
    <t>AES2120896592288</t>
  </si>
  <si>
    <t xml:space="preserve">   مسجد موفق الميدانى .</t>
  </si>
  <si>
    <t>KFM2020660163016</t>
  </si>
  <si>
    <t xml:space="preserve">   وزارةالشئونالاسلاميةمسجدابوبكر .</t>
  </si>
  <si>
    <t>KFM2020660197199</t>
  </si>
  <si>
    <t xml:space="preserve">    مسجد عثمان بن عفان بثرمداء .</t>
  </si>
  <si>
    <t>KFM2120660251114</t>
  </si>
  <si>
    <t xml:space="preserve">   اوقاف     القويعية  الجريب .</t>
  </si>
  <si>
    <t>AES2020896030215</t>
  </si>
  <si>
    <t>KFM2020660034129</t>
  </si>
  <si>
    <t xml:space="preserve">   مسجدالجزيره .</t>
  </si>
  <si>
    <t>KFM2020660035623</t>
  </si>
  <si>
    <t>مسجد جامع سلطانة  الجنوبي .</t>
  </si>
  <si>
    <t>KFM2020660056140</t>
  </si>
  <si>
    <t xml:space="preserve">   مسجد/محمد مرزوق الرويس .</t>
  </si>
  <si>
    <t>AES2120896613289</t>
  </si>
  <si>
    <t>مسجد عمر بن الخطاب بثرمداء .</t>
  </si>
  <si>
    <t>KFM2120660257546</t>
  </si>
  <si>
    <t xml:space="preserve">   مسجد رقم 1مخطط423 .</t>
  </si>
  <si>
    <t>KFM2020760203695</t>
  </si>
  <si>
    <t xml:space="preserve">   مسجد/ثنيان فهد الثنيان .</t>
  </si>
  <si>
    <t>KFM2020660173414</t>
  </si>
  <si>
    <t>KFM2020660043947</t>
  </si>
  <si>
    <t xml:space="preserve">   مسجد حى لبن  الغربى .</t>
  </si>
  <si>
    <t>KFM2020660201438</t>
  </si>
  <si>
    <t>KFM2020660191303</t>
  </si>
  <si>
    <t xml:space="preserve">   مسجد حارة العنوز .</t>
  </si>
  <si>
    <t>KFM2120660267544</t>
  </si>
  <si>
    <t>KFM2020660162164</t>
  </si>
  <si>
    <t>مسجد رقم 4 مخطط 518 .</t>
  </si>
  <si>
    <t>KFM2020766154181</t>
  </si>
  <si>
    <t>KFM2020660007053</t>
  </si>
  <si>
    <t>KFM2020660133786</t>
  </si>
  <si>
    <t xml:space="preserve">      مسجد الشهوانى بحريملاء .</t>
  </si>
  <si>
    <t>AEC2020830319026</t>
  </si>
  <si>
    <t>وزارة الشئون الاسلامية مسجدنورة الشيخ .</t>
  </si>
  <si>
    <t>KFM2020660015285</t>
  </si>
  <si>
    <t>مسجد الاميرة  منيرة  بنت  عبدالرحمن .</t>
  </si>
  <si>
    <t>KFM2020660173174</t>
  </si>
  <si>
    <t>مسجد      عبداللطيف  حي البديعه .</t>
  </si>
  <si>
    <t>KFM2020660053870</t>
  </si>
  <si>
    <t>AEC2020830283664</t>
  </si>
  <si>
    <t xml:space="preserve">   مسجد/الحميدي العنزي .</t>
  </si>
  <si>
    <t>AES2120896571832</t>
  </si>
  <si>
    <t xml:space="preserve">   مسجد      العزيزية  الدوادمى .</t>
  </si>
  <si>
    <t>KFM2020660212236</t>
  </si>
  <si>
    <t>مسجد العذل  الثانى .</t>
  </si>
  <si>
    <t>KFM2020660176983</t>
  </si>
  <si>
    <t xml:space="preserve">   مسجد آل سليمان .</t>
  </si>
  <si>
    <t>KFM2020660047187</t>
  </si>
  <si>
    <t>SMR2020850038827</t>
  </si>
  <si>
    <t>KFM2020766158917</t>
  </si>
  <si>
    <t>فرع الا وقاف بحوطه سدير .</t>
  </si>
  <si>
    <t>AES2120896564611</t>
  </si>
  <si>
    <t xml:space="preserve">      مسجد رفايع الشعراء .</t>
  </si>
  <si>
    <t>SMR2020850119049</t>
  </si>
  <si>
    <t>AEC2020830243340</t>
  </si>
  <si>
    <t>KFM2020660098911</t>
  </si>
  <si>
    <t xml:space="preserve">   مسجد الضليعه .</t>
  </si>
  <si>
    <t>ECC2020811115721</t>
  </si>
  <si>
    <t>AEC2020830312040</t>
  </si>
  <si>
    <t xml:space="preserve">   مسجد مستشفى البجاديةالعام .</t>
  </si>
  <si>
    <t>AES2020896450941</t>
  </si>
  <si>
    <t xml:space="preserve">   جامع  سعد  بن معاذ .</t>
  </si>
  <si>
    <t>KFM2120660248285</t>
  </si>
  <si>
    <t xml:space="preserve">   مسجد      الحزم     الثالث .</t>
  </si>
  <si>
    <t>KFM2020660232733</t>
  </si>
  <si>
    <t>مسجد      هياء      السحيم .</t>
  </si>
  <si>
    <t>KFM2020660198308</t>
  </si>
  <si>
    <t>KFM2020660144710</t>
  </si>
  <si>
    <t>KFM2020760145863</t>
  </si>
  <si>
    <t>GTR2320890753055</t>
  </si>
  <si>
    <t xml:space="preserve"> مسجد صحارى بلسى /خلف فندق صلاح الدين .</t>
  </si>
  <si>
    <t>KFM2020660206964</t>
  </si>
  <si>
    <t xml:space="preserve">   مسجد زيد بن الخطاب .</t>
  </si>
  <si>
    <t>KFM2020660054723</t>
  </si>
  <si>
    <t>مسجد الامير عبدالعزيز بن تركى .</t>
  </si>
  <si>
    <t>KFM2020660177103</t>
  </si>
  <si>
    <t xml:space="preserve">   مسجد الحروب بالعزيزيه .</t>
  </si>
  <si>
    <t>KFM2120660274683</t>
  </si>
  <si>
    <t xml:space="preserve">   اوقاف القويعية/مسجدعبداللةبن عمر .</t>
  </si>
  <si>
    <t>KFM2020660137553</t>
  </si>
  <si>
    <t xml:space="preserve">   مسجدالعبداللطيف .</t>
  </si>
  <si>
    <t>AEC2020830291772</t>
  </si>
  <si>
    <t xml:space="preserve">   مسجدجامعحراضه .</t>
  </si>
  <si>
    <t>MMF2420701008287</t>
  </si>
  <si>
    <t xml:space="preserve">   مسجد      المصخ     رماح .</t>
  </si>
  <si>
    <t>KFM2120655004250</t>
  </si>
  <si>
    <t xml:space="preserve">   مسجد/عبدالله بن رواحه .</t>
  </si>
  <si>
    <t>KFM2020660212223</t>
  </si>
  <si>
    <t>مسجدالاميرسعودفهدبن عبدالعزيز .</t>
  </si>
  <si>
    <t>KFM2020660202718</t>
  </si>
  <si>
    <t xml:space="preserve">   مسجد حى شرق صلاح الدين .</t>
  </si>
  <si>
    <t>KFM2020660169611</t>
  </si>
  <si>
    <t xml:space="preserve">  اوقاف تمير/مسجدالخالديةرقم 3م 375 .</t>
  </si>
  <si>
    <t>AES2120896547488</t>
  </si>
  <si>
    <t xml:space="preserve">    مسجد الرحيمي .</t>
  </si>
  <si>
    <t>KFM2020766082225</t>
  </si>
  <si>
    <t>SMR2320661022736</t>
  </si>
  <si>
    <t>مسجد/الا ميرة هيا بنت  عبدالعزيز .</t>
  </si>
  <si>
    <t>KFM2020660023420</t>
  </si>
  <si>
    <t xml:space="preserve">   مسجد ساطي بن غازي السعير .</t>
  </si>
  <si>
    <t>KFM2020760155843</t>
  </si>
  <si>
    <t xml:space="preserve">   وزارةالحج والأوقاف بثادق .</t>
  </si>
  <si>
    <t>KFM2120660272184</t>
  </si>
  <si>
    <t xml:space="preserve">   مسجد مصعب بن عمير بمرات .</t>
  </si>
  <si>
    <t>KFM2120660242952</t>
  </si>
  <si>
    <t>SMR2420661036124</t>
  </si>
  <si>
    <t>مسجد بن دغيثر .</t>
  </si>
  <si>
    <t>KFM2020660201628</t>
  </si>
  <si>
    <t>AES2120896581417</t>
  </si>
  <si>
    <t xml:space="preserve">   مسجد / محمد بن عبدالوهاب .</t>
  </si>
  <si>
    <t>KFM2020660174659</t>
  </si>
  <si>
    <t xml:space="preserve">   مسجد محمد الاحمد الاصفر .</t>
  </si>
  <si>
    <t>KFM2020766128702</t>
  </si>
  <si>
    <t xml:space="preserve">   مسجد منيره بنت سعودابن جوخه .</t>
  </si>
  <si>
    <t>KFM2020660212477</t>
  </si>
  <si>
    <t xml:space="preserve">   مسجد شمال غرب العاب الحكير .</t>
  </si>
  <si>
    <t>KFM2120660299219</t>
  </si>
  <si>
    <t>مسجد شمال  ام  سليم .</t>
  </si>
  <si>
    <t>SMR2020850029611</t>
  </si>
  <si>
    <t xml:space="preserve">   مسـجـد/ مـالك بن دينـار .</t>
  </si>
  <si>
    <t>KFM2120660302774</t>
  </si>
  <si>
    <t xml:space="preserve">     مسجد الترمذي .</t>
  </si>
  <si>
    <t>KFM2020660193294</t>
  </si>
  <si>
    <t>MMF2420801338588</t>
  </si>
  <si>
    <t xml:space="preserve">   مسجدغرب وزارة الدفاع .</t>
  </si>
  <si>
    <t>KFM2020660189289</t>
  </si>
  <si>
    <t xml:space="preserve">   اوقاف المزاحميه /مسجدهجرةدلقان .</t>
  </si>
  <si>
    <t>AES2020896535516</t>
  </si>
  <si>
    <t>SMR2420868021160</t>
  </si>
  <si>
    <t>مسجد فيصل بن مطلق .</t>
  </si>
  <si>
    <t>KFM2020660150014</t>
  </si>
  <si>
    <t>KFM2120660256840</t>
  </si>
  <si>
    <t xml:space="preserve">   مسجد حسن بن مبارك الجريسي .</t>
  </si>
  <si>
    <t>KFM2020660051218</t>
  </si>
  <si>
    <t xml:space="preserve">   مسجد      ابوهريرة  بالافلاج .</t>
  </si>
  <si>
    <t>KFM2120660252706</t>
  </si>
  <si>
    <t xml:space="preserve">   مسجد ماجد بعيجان بالارطاوية .</t>
  </si>
  <si>
    <t>AES2020896529766</t>
  </si>
  <si>
    <t xml:space="preserve">   مسجد السـدحان .</t>
  </si>
  <si>
    <t>KFM2020660162981</t>
  </si>
  <si>
    <t>KFM2020760211455</t>
  </si>
  <si>
    <t>6632 مسجد مخطط .</t>
  </si>
  <si>
    <t>KFM2020760210766</t>
  </si>
  <si>
    <t>KFM2020660190915</t>
  </si>
  <si>
    <t xml:space="preserve">   مسجدالميدان بالـدرعـيـه .</t>
  </si>
  <si>
    <t>KFM2020660191329</t>
  </si>
  <si>
    <t xml:space="preserve">   مسجد  جامع قرية  الحامدية ثرب  0 .</t>
  </si>
  <si>
    <t>KFM2120660265061</t>
  </si>
  <si>
    <t>KFM2120660304641</t>
  </si>
  <si>
    <t xml:space="preserve">   مسجد  جامع غبيراء العام .</t>
  </si>
  <si>
    <t>KFM2120660247960</t>
  </si>
  <si>
    <t>KFM2020660095900</t>
  </si>
  <si>
    <t xml:space="preserve">   مسجد حمد عبدالرحمن العبرة .</t>
  </si>
  <si>
    <t>KFM2020660035152</t>
  </si>
  <si>
    <t xml:space="preserve">   مسجد/ عبدالعزيز الجريوي .</t>
  </si>
  <si>
    <t>KFM2020660196017</t>
  </si>
  <si>
    <t xml:space="preserve">   مسجد ابانمي .</t>
  </si>
  <si>
    <t>KFM2020660030502</t>
  </si>
  <si>
    <t>مسجد ابوهيب .</t>
  </si>
  <si>
    <t>KFM2020660051635</t>
  </si>
  <si>
    <t xml:space="preserve">   مسجد      مخطط      مشرع مزيد .</t>
  </si>
  <si>
    <t>LYE2020810047002</t>
  </si>
  <si>
    <t xml:space="preserve">      مـسـجـد ناصرعبدالعزيزالقويرى .</t>
  </si>
  <si>
    <t>AEC2020830545735</t>
  </si>
  <si>
    <t xml:space="preserve">   مسجد حي زعفرانه الجامع .</t>
  </si>
  <si>
    <t>AES2120896538340</t>
  </si>
  <si>
    <t>SMR2020850099556</t>
  </si>
  <si>
    <t>KFM2020660043883</t>
  </si>
  <si>
    <t xml:space="preserve">    مسجد الشهداء .</t>
  </si>
  <si>
    <t>KFM2020660134060</t>
  </si>
  <si>
    <t xml:space="preserve">   مسجد مهديه بعرقه .</t>
  </si>
  <si>
    <t>MMF2020800178245</t>
  </si>
  <si>
    <t>مسجدالرويتع / حي اليمامة .</t>
  </si>
  <si>
    <t>KFM2020660204005</t>
  </si>
  <si>
    <t xml:space="preserve">   مســـجد ال حـجــاب .</t>
  </si>
  <si>
    <t>KFM2020760073945</t>
  </si>
  <si>
    <t xml:space="preserve">    اوقاف الدواسر/مسجد محمد بن علوش .</t>
  </si>
  <si>
    <t>KFM2120660247670</t>
  </si>
  <si>
    <t>مسجد القعقاع بن عمر (57) .</t>
  </si>
  <si>
    <t>KFM2020760004925</t>
  </si>
  <si>
    <t xml:space="preserve">   مسجدسلمان الفارسى .</t>
  </si>
  <si>
    <t>KFM2020660190688</t>
  </si>
  <si>
    <t xml:space="preserve">   مسجد الاحمد بالعزيزيه .</t>
  </si>
  <si>
    <t>KFM2120660264098</t>
  </si>
  <si>
    <t xml:space="preserve">   مسجد / سوق الابل .</t>
  </si>
  <si>
    <t>KFM2020660205999</t>
  </si>
  <si>
    <t>مسجد جامع الملك  سعود .</t>
  </si>
  <si>
    <t>KFM2020660015288</t>
  </si>
  <si>
    <t>MMF2020800235380</t>
  </si>
  <si>
    <t>KFM2020660127735</t>
  </si>
  <si>
    <t xml:space="preserve">   اوقاف لمزاحميه /مسجدالفلاح .</t>
  </si>
  <si>
    <t>AEC2020830305888</t>
  </si>
  <si>
    <t xml:space="preserve">   مسجد      السحيم    . .</t>
  </si>
  <si>
    <t>KFM2020660173061</t>
  </si>
  <si>
    <t xml:space="preserve">   مسجد       عليان     المرشدي .</t>
  </si>
  <si>
    <t>AES2020896462768</t>
  </si>
  <si>
    <t>SMR2020765004020</t>
  </si>
  <si>
    <t xml:space="preserve">   مسجد المونسية .</t>
  </si>
  <si>
    <t>KFM2020660191634</t>
  </si>
  <si>
    <t xml:space="preserve">      مسجد / ال روق .</t>
  </si>
  <si>
    <t>KFM2020760160981</t>
  </si>
  <si>
    <t>KFM2120660304059</t>
  </si>
  <si>
    <t xml:space="preserve">   مسجد/محمدسعدالزمامي .</t>
  </si>
  <si>
    <t>AES2120896544239</t>
  </si>
  <si>
    <t>KFM2020660014999</t>
  </si>
  <si>
    <t>KFM2020660036539</t>
  </si>
  <si>
    <t>MMF2020800299429</t>
  </si>
  <si>
    <t>MMF2420601026025</t>
  </si>
  <si>
    <t xml:space="preserve">      مـسـجـد جزالا الجديد(الاوقاف) .</t>
  </si>
  <si>
    <t>AES2020896036673</t>
  </si>
  <si>
    <t xml:space="preserve">   مسجد الهفوف ـ اوقاف القويعيه .</t>
  </si>
  <si>
    <t>AES2120896539692</t>
  </si>
  <si>
    <t>KFM2020660142190</t>
  </si>
  <si>
    <t>KFM2120660303248</t>
  </si>
  <si>
    <t xml:space="preserve">   اوقاف مرات مسجدحي واسط جنوب لبخه .</t>
  </si>
  <si>
    <t>KFM2020766122226</t>
  </si>
  <si>
    <t xml:space="preserve">    مسجدحارثه النعمان .</t>
  </si>
  <si>
    <t>KFM2120660281583</t>
  </si>
  <si>
    <t>مسجد ابن عصمان العريفى .</t>
  </si>
  <si>
    <t>KFM2020660013837</t>
  </si>
  <si>
    <t>مسجدحى  النسيج .</t>
  </si>
  <si>
    <t>KFM2020660039879</t>
  </si>
  <si>
    <t xml:space="preserve">   مسجد حي الملك عبدالله .</t>
  </si>
  <si>
    <t>KFM2120660300437</t>
  </si>
  <si>
    <t xml:space="preserve">   جامع نخيلان .</t>
  </si>
  <si>
    <t>KFM2020660229566</t>
  </si>
  <si>
    <t xml:space="preserve">   الاوقاف والمساجد بالقصب .</t>
  </si>
  <si>
    <t>KFM2020766132863</t>
  </si>
  <si>
    <t>KFM2020766077112</t>
  </si>
  <si>
    <t xml:space="preserve">   أوقاف الزلفي مسجدأسامه بن شريك .</t>
  </si>
  <si>
    <t>KFM2020766057489</t>
  </si>
  <si>
    <t>KFM2020760203046</t>
  </si>
  <si>
    <t xml:space="preserve">   أوقاف القويعيه/مسجد الا يمان .</t>
  </si>
  <si>
    <t>KFM2020760184537</t>
  </si>
  <si>
    <t>مسجد الاميرهذلول      مع مدرسة .</t>
  </si>
  <si>
    <t>KFM2020660098973</t>
  </si>
  <si>
    <t xml:space="preserve">   مسجد       عمر بن    الخطاب .</t>
  </si>
  <si>
    <t>KFM2020660223930</t>
  </si>
  <si>
    <t xml:space="preserve">   مسجدعبدالله الخليفي بالحلوه .</t>
  </si>
  <si>
    <t>KFM2020766167324</t>
  </si>
  <si>
    <t xml:space="preserve">   اوقاف المزاحميه/مسجد الجريبانيه .</t>
  </si>
  <si>
    <t>AEC2020830533084</t>
  </si>
  <si>
    <t xml:space="preserve">   مسجد رقم 4 بمخطط 152بالمزاحميه .</t>
  </si>
  <si>
    <t>AES2020896461883</t>
  </si>
  <si>
    <t>KFM2020760135904</t>
  </si>
  <si>
    <t xml:space="preserve">   مسجد حي المناخ .</t>
  </si>
  <si>
    <t>KFM2120660282044</t>
  </si>
  <si>
    <t xml:space="preserve">   مسجد   مخطط   412   عفيف       0 .</t>
  </si>
  <si>
    <t>KFM2120660264987</t>
  </si>
  <si>
    <t>ECC2020811092307</t>
  </si>
  <si>
    <t>KFM2120660283967</t>
  </si>
  <si>
    <t xml:space="preserve">   مسجد الجمعية التعاونية .</t>
  </si>
  <si>
    <t>KFM2120660247983</t>
  </si>
  <si>
    <t xml:space="preserve">   جامع الثوير .</t>
  </si>
  <si>
    <t>KFM2020766161989</t>
  </si>
  <si>
    <t xml:space="preserve">   مسجدرقم(6) مخطط 906بشقراء .</t>
  </si>
  <si>
    <t>KFM2020766159942</t>
  </si>
  <si>
    <t xml:space="preserve">   مسجد/عبدالله بن سالم بالهياثم .</t>
  </si>
  <si>
    <t>MMF2020800094763</t>
  </si>
  <si>
    <t xml:space="preserve">   مسجد  مالك  بن  انس            0 .</t>
  </si>
  <si>
    <t>KFM2020660176222</t>
  </si>
  <si>
    <t xml:space="preserve">   مسجدأصحاب الشجرة. .</t>
  </si>
  <si>
    <t>KFM2020660060136</t>
  </si>
  <si>
    <t xml:space="preserve">   مسجد راجح بوصى .</t>
  </si>
  <si>
    <t>KFM2120660281962</t>
  </si>
  <si>
    <t xml:space="preserve">   مسجد محمد يونس  الشريف .</t>
  </si>
  <si>
    <t>KFM2120660282549</t>
  </si>
  <si>
    <t xml:space="preserve">   مسجدالراجحي .</t>
  </si>
  <si>
    <t>KFM2020860085363</t>
  </si>
  <si>
    <t xml:space="preserve">   مسجد العقيلي .</t>
  </si>
  <si>
    <t>KFM2020660108700</t>
  </si>
  <si>
    <t>KFM2020660043918</t>
  </si>
  <si>
    <t xml:space="preserve">   مسجد      عبد الرحمنبمشرفه .</t>
  </si>
  <si>
    <t>AES2120896592660</t>
  </si>
  <si>
    <t>KFM2020660212775</t>
  </si>
  <si>
    <t>جامع  حسان بن ثابت .</t>
  </si>
  <si>
    <t>KFM2020660053869</t>
  </si>
  <si>
    <t>مسجدالقحاطين .</t>
  </si>
  <si>
    <t>KFM2020660044154</t>
  </si>
  <si>
    <t>مسجد فهد الع .</t>
  </si>
  <si>
    <t>KFM2020660200450</t>
  </si>
  <si>
    <t>KFM2020660173945</t>
  </si>
  <si>
    <t>مسجد      حمد       الصعيب .</t>
  </si>
  <si>
    <t>KFM2020660208116</t>
  </si>
  <si>
    <t xml:space="preserve">   مسجد بن جرمان .</t>
  </si>
  <si>
    <t>KFM2020660208685</t>
  </si>
  <si>
    <t xml:space="preserve">   مسجد العريدير .</t>
  </si>
  <si>
    <t>KFM2020760113015</t>
  </si>
  <si>
    <t xml:space="preserve">   مسجد سديره .</t>
  </si>
  <si>
    <t>SMR2120765011844</t>
  </si>
  <si>
    <t>KFM2120655004053</t>
  </si>
  <si>
    <t>المسجد الموقت بالعريجا .</t>
  </si>
  <si>
    <t>KFM2020660203505</t>
  </si>
  <si>
    <t xml:space="preserve">   مسجد شمال غرب الصحنة .</t>
  </si>
  <si>
    <t>KFM2020660223891</t>
  </si>
  <si>
    <t>KFM2120660272215</t>
  </si>
  <si>
    <t xml:space="preserve">   مسجد حمودالدويش .</t>
  </si>
  <si>
    <t>AES2020896469368</t>
  </si>
  <si>
    <t>مسجد حي الدخل  المحدود .</t>
  </si>
  <si>
    <t>KFM2020660083703</t>
  </si>
  <si>
    <t>KFM2020760202539</t>
  </si>
  <si>
    <t xml:space="preserve">   مسجد سعد بن عباده .</t>
  </si>
  <si>
    <t>KFM2020660191817</t>
  </si>
  <si>
    <t>KFM2020660190536</t>
  </si>
  <si>
    <t>SMR2220661005890</t>
  </si>
  <si>
    <t xml:space="preserve">   مسجد عبدالله العريني .</t>
  </si>
  <si>
    <t>KFM2020660025580</t>
  </si>
  <si>
    <t>مسجد محمد الشعيبى .</t>
  </si>
  <si>
    <t>KFM2020660096481</t>
  </si>
  <si>
    <t xml:space="preserve">   المسجد الجامع بالصوح .</t>
  </si>
  <si>
    <t>AES2020896448459</t>
  </si>
  <si>
    <t>KFM2020760010093</t>
  </si>
  <si>
    <t>KFM2020660104182</t>
  </si>
  <si>
    <t xml:space="preserve">   مسـجد العلاء الحضرمي .</t>
  </si>
  <si>
    <t>KFM2120660299133</t>
  </si>
  <si>
    <t>KFM2020766161992</t>
  </si>
  <si>
    <t>SMR2220621001914</t>
  </si>
  <si>
    <t xml:space="preserve">   مسجدأبودجانه .</t>
  </si>
  <si>
    <t>AES2120896573344</t>
  </si>
  <si>
    <t>KFM2020766167161</t>
  </si>
  <si>
    <t>مسجد الثقفي .</t>
  </si>
  <si>
    <t>KFM2020660035610</t>
  </si>
  <si>
    <t>KFM2120660271687</t>
  </si>
  <si>
    <t>KFM2020660049550</t>
  </si>
  <si>
    <t>مسجد الامير/خالد سعد بن محمد .</t>
  </si>
  <si>
    <t>KFM2020660023513</t>
  </si>
  <si>
    <t>KFM2020660230183</t>
  </si>
  <si>
    <t xml:space="preserve">   مسجدعثمان بن عفان .</t>
  </si>
  <si>
    <t>KFM2020766165991</t>
  </si>
  <si>
    <t xml:space="preserve">   مسـجـد احمد بن عبدالله الطبري .</t>
  </si>
  <si>
    <t>KFM2120660299135</t>
  </si>
  <si>
    <t xml:space="preserve">   مسجد العليا .</t>
  </si>
  <si>
    <t>AES2020896446741</t>
  </si>
  <si>
    <t xml:space="preserve">   مسجد/صنيتان قاعد نوير .</t>
  </si>
  <si>
    <t>SMR2020850076358</t>
  </si>
  <si>
    <t>.  مسجد      ابن ماجد .</t>
  </si>
  <si>
    <t>KFM2020660096738</t>
  </si>
  <si>
    <t xml:space="preserve">     المسجد القبلى بسويدان .</t>
  </si>
  <si>
    <t>AES2120896543563</t>
  </si>
  <si>
    <t xml:space="preserve">   مسجدشارع صيته .</t>
  </si>
  <si>
    <t>KFM2020760056372</t>
  </si>
  <si>
    <t>KFM2020660204441</t>
  </si>
  <si>
    <t xml:space="preserve">   جامع      ام طلحه   صماخ .</t>
  </si>
  <si>
    <t>KFM2020766154997</t>
  </si>
  <si>
    <t xml:space="preserve">   مسجد حاره جازع /اوقاف الدواسر .</t>
  </si>
  <si>
    <t>MMF2020800299643</t>
  </si>
  <si>
    <t xml:space="preserve">   مسجد/ الوسيطى  بمصـدة .</t>
  </si>
  <si>
    <t>LYE2020810005646</t>
  </si>
  <si>
    <t xml:space="preserve">   مسجدالسدحان .</t>
  </si>
  <si>
    <t>KFM2020660192646</t>
  </si>
  <si>
    <t xml:space="preserve">   مسجدعماربن ياسربحي الملقا .</t>
  </si>
  <si>
    <t>KFM2020660192318</t>
  </si>
  <si>
    <t xml:space="preserve">   مسجد.الحزم(السعيدان). .</t>
  </si>
  <si>
    <t>KFM2020766098652</t>
  </si>
  <si>
    <t>KFM2020760168287</t>
  </si>
  <si>
    <t xml:space="preserve">   مسجد والدةالاميرمحمدبن نواف .</t>
  </si>
  <si>
    <t>KFM2020660201410</t>
  </si>
  <si>
    <t>KFM2020660203727</t>
  </si>
  <si>
    <t xml:space="preserve">   أوقاف     ومساجد    مسجد المعيوف .</t>
  </si>
  <si>
    <t>KFM2120660271508</t>
  </si>
  <si>
    <t xml:space="preserve">   مسجد الهدلق .</t>
  </si>
  <si>
    <t>KFM2020660027682</t>
  </si>
  <si>
    <t xml:space="preserve">     مسجد فيضة الحنيه .</t>
  </si>
  <si>
    <t>AES2020896466577</t>
  </si>
  <si>
    <t xml:space="preserve">   مسجد/عبدالله بن عباس .</t>
  </si>
  <si>
    <t>KFM2120660260654</t>
  </si>
  <si>
    <t xml:space="preserve"> مسجد الفردوس .</t>
  </si>
  <si>
    <t>DZG2020890026865</t>
  </si>
  <si>
    <t>ECC2420841052481</t>
  </si>
  <si>
    <t>KFM2020660160669</t>
  </si>
  <si>
    <t>MMF2020800017094</t>
  </si>
  <si>
    <t xml:space="preserve">   اوقاف الزلفي مسجدالعصيمي .</t>
  </si>
  <si>
    <t>KFM2020660201532</t>
  </si>
  <si>
    <t>مسجد حسان بن ثابت .</t>
  </si>
  <si>
    <t>MMF2020800299734</t>
  </si>
  <si>
    <t xml:space="preserve">   مسجد      الشهيل    حي طريف .</t>
  </si>
  <si>
    <t>KFM2020660203904</t>
  </si>
  <si>
    <t>KFM2020660193062</t>
  </si>
  <si>
    <t xml:space="preserve">   فرع       الاوقاف    جعفر المنصور .</t>
  </si>
  <si>
    <t>KFM2020660168537</t>
  </si>
  <si>
    <t xml:space="preserve">      جامع عمر بن الخطاب .</t>
  </si>
  <si>
    <t>KFM2020660176240</t>
  </si>
  <si>
    <t>.   مسجد      حلة  هندي .</t>
  </si>
  <si>
    <t>KFM2020660198264</t>
  </si>
  <si>
    <t xml:space="preserve">       مسجد الجامع بعريد5 .</t>
  </si>
  <si>
    <t>SMR2020850108034</t>
  </si>
  <si>
    <t>KFM2020760147744</t>
  </si>
  <si>
    <t>مسجد سموالا مير/سلمان .</t>
  </si>
  <si>
    <t>KFM2020660015281</t>
  </si>
  <si>
    <t xml:space="preserve">    اوقاف المزاحميه / مسجد المانعيه .</t>
  </si>
  <si>
    <t>AES2020896460336</t>
  </si>
  <si>
    <t>.      مسجد      الحزم .</t>
  </si>
  <si>
    <t>KFM2020660051392</t>
  </si>
  <si>
    <t xml:space="preserve">   جامع الربيعة / الأوقاف .</t>
  </si>
  <si>
    <t>KFM2020660139554</t>
  </si>
  <si>
    <t xml:space="preserve">   مسجد      كايد      العصيمي .</t>
  </si>
  <si>
    <t>AES2120896610564</t>
  </si>
  <si>
    <t>AES2020896528646</t>
  </si>
  <si>
    <t>KFM2020660190900</t>
  </si>
  <si>
    <t>KFM2020660227076</t>
  </si>
  <si>
    <t>KFM2020660019961</t>
  </si>
  <si>
    <t xml:space="preserve">   مسجد/ الجابرية .</t>
  </si>
  <si>
    <t>KFM2120861246832</t>
  </si>
  <si>
    <t xml:space="preserve">   مسجد      عبدالله   الربيعان .</t>
  </si>
  <si>
    <t>AES2120896593692</t>
  </si>
  <si>
    <t xml:space="preserve">   المسجد الاوسط بالدلم .</t>
  </si>
  <si>
    <t>KFM2120660257155</t>
  </si>
  <si>
    <t xml:space="preserve">   مسجد صقر طراد مخطط 853 عفيف    0 .</t>
  </si>
  <si>
    <t>KFM2020766162054</t>
  </si>
  <si>
    <t>KFM2020660201167</t>
  </si>
  <si>
    <t xml:space="preserve">   جامع      صبحاء     القرنه .</t>
  </si>
  <si>
    <t>SMR2020850030251</t>
  </si>
  <si>
    <t xml:space="preserve">   مسجد      ابراهيم   الشعراء .</t>
  </si>
  <si>
    <t>SMR2020850115032</t>
  </si>
  <si>
    <t>KFM2020660061076</t>
  </si>
  <si>
    <t xml:space="preserve">   مسجد/فيحان  العضيانيش ام المناشي .</t>
  </si>
  <si>
    <t>SMR2020850094675</t>
  </si>
  <si>
    <t xml:space="preserve">    مسـجد ال حسـن ببرك .</t>
  </si>
  <si>
    <t>AES2020896419587</t>
  </si>
  <si>
    <t xml:space="preserve">   مسجد      سعد       ابن معاذ .</t>
  </si>
  <si>
    <t>KFM2020660166848</t>
  </si>
  <si>
    <t xml:space="preserve">   مسجد /  النملة .</t>
  </si>
  <si>
    <t>KFM2120660281465</t>
  </si>
  <si>
    <t xml:space="preserve">   مسجد      ابراهيم-  السليل .</t>
  </si>
  <si>
    <t>AES2020896402475</t>
  </si>
  <si>
    <t xml:space="preserve">   اوقاف الخرج/ مسجد الندى .</t>
  </si>
  <si>
    <t>KFM2120660264298</t>
  </si>
  <si>
    <t xml:space="preserve">   مسجد الحربي .</t>
  </si>
  <si>
    <t>KFM2020660195826</t>
  </si>
  <si>
    <t xml:space="preserve">   مسجد/شرق الاسفلت في ارطاوي الرقاص .</t>
  </si>
  <si>
    <t>KFM2020766077764</t>
  </si>
  <si>
    <t>KFM2020766077089</t>
  </si>
  <si>
    <t>KFM2020760240674</t>
  </si>
  <si>
    <t xml:space="preserve">   مسجد      مثيب      //////////// .</t>
  </si>
  <si>
    <t>KFM2020760058276</t>
  </si>
  <si>
    <t>KFM2020766163522</t>
  </si>
  <si>
    <t xml:space="preserve">   مسجد الشيخ عبدالله بن جبرين .</t>
  </si>
  <si>
    <t>KFM2020660162245</t>
  </si>
  <si>
    <t xml:space="preserve">      اوقاف الدواسر/ مسجد المدارعه .</t>
  </si>
  <si>
    <t>SMR2220661004374</t>
  </si>
  <si>
    <t xml:space="preserve">   ادارة     الاوقاف    الغانميه .</t>
  </si>
  <si>
    <t>AES2020896468149</t>
  </si>
  <si>
    <t xml:space="preserve">      مسجد قصر ابن حسن .</t>
  </si>
  <si>
    <t>ECC2020811055039</t>
  </si>
  <si>
    <t xml:space="preserve">   مسجد الخالدية بالدلم .</t>
  </si>
  <si>
    <t>MMF2020800256284</t>
  </si>
  <si>
    <t>مسجد   عبدالعزيز بن مغيصيب .</t>
  </si>
  <si>
    <t>KFM2020660023202</t>
  </si>
  <si>
    <t>مسجد      حله        السبعان .</t>
  </si>
  <si>
    <t>KFM2020660015394</t>
  </si>
  <si>
    <t xml:space="preserve">   مسجد ابن ماضي .</t>
  </si>
  <si>
    <t>KFM2020660169622</t>
  </si>
  <si>
    <t xml:space="preserve">   مسجد غرب الخالديه .</t>
  </si>
  <si>
    <t>KFM2120660236483</t>
  </si>
  <si>
    <t>KFM2020660098956</t>
  </si>
  <si>
    <t>KFM2020660145177</t>
  </si>
  <si>
    <t>SMR2320661020649</t>
  </si>
  <si>
    <t xml:space="preserve">   مسجد حى السلام .</t>
  </si>
  <si>
    <t>KFM2020660177924</t>
  </si>
  <si>
    <t>,   مسجد      المطران .</t>
  </si>
  <si>
    <t>KFM2020660006634</t>
  </si>
  <si>
    <t>KFM2020660176738</t>
  </si>
  <si>
    <t>2008 مسجدالفرحان بلك  10 مخطط .</t>
  </si>
  <si>
    <t>KFM2020660203694</t>
  </si>
  <si>
    <t xml:space="preserve">       مسجد الحى الجنوبى بالمطط الجد .</t>
  </si>
  <si>
    <t>KFM2020760058295</t>
  </si>
  <si>
    <t>مسجد ضاحيه  العريجاء .</t>
  </si>
  <si>
    <t>KFM2020660015283</t>
  </si>
  <si>
    <t>KFM2120660263510</t>
  </si>
  <si>
    <t xml:space="preserve">       مسجد بن عوجان .</t>
  </si>
  <si>
    <t>MMF2020800247512</t>
  </si>
  <si>
    <t xml:space="preserve">   مسجدوسكن حي القادسيه .</t>
  </si>
  <si>
    <t>KFM2020660060659</t>
  </si>
  <si>
    <t>مسجد      حي        اليمامة .</t>
  </si>
  <si>
    <t>KFM2020660042378</t>
  </si>
  <si>
    <t xml:space="preserve">    مسجد/     عيسى      هليل .</t>
  </si>
  <si>
    <t>KFM2020766086249</t>
  </si>
  <si>
    <t>00  مسجد حي   العريجاء .</t>
  </si>
  <si>
    <t>KFM2020660043952</t>
  </si>
  <si>
    <t xml:space="preserve">   اوقاف الرين ـ مسجد السرحي .</t>
  </si>
  <si>
    <t>AES2120896571754</t>
  </si>
  <si>
    <t>مسجد/ الرفاع  حى  المروة .</t>
  </si>
  <si>
    <t>KFM2020660056203</t>
  </si>
  <si>
    <t xml:space="preserve">   مسجد العليوي .</t>
  </si>
  <si>
    <t>KFM2020660160340</t>
  </si>
  <si>
    <t xml:space="preserve">     جــامـع عسيله (اوقاف القويعيه) .</t>
  </si>
  <si>
    <t>AES2020896528594</t>
  </si>
  <si>
    <t xml:space="preserve">   مسجدالشيخ عبدالله ابن فالح بليلى .</t>
  </si>
  <si>
    <t>KFM2020660169749</t>
  </si>
  <si>
    <t xml:space="preserve">   مسجد حديقة الخالدية .</t>
  </si>
  <si>
    <t>KFM2020760006659</t>
  </si>
  <si>
    <t xml:space="preserve"> اوقاف القويعيه/جامع الخنيقيه العليا .</t>
  </si>
  <si>
    <t>KFM2020766148249</t>
  </si>
  <si>
    <t>مسجد في  حي  الحزم .</t>
  </si>
  <si>
    <t>KFM2020660027247</t>
  </si>
  <si>
    <t>SMR2020850098608</t>
  </si>
  <si>
    <t xml:space="preserve">   مسجد الامير احمد بن سلمان .</t>
  </si>
  <si>
    <t>KFM2020660091350</t>
  </si>
  <si>
    <t>KFM2120660249226</t>
  </si>
  <si>
    <t>KFM2020760094024</t>
  </si>
  <si>
    <t xml:space="preserve">   مسجد   بدر عبدالمحسنالعتيبي .</t>
  </si>
  <si>
    <t>KFM2120660257044</t>
  </si>
  <si>
    <t xml:space="preserve">   مسجد با جنيد .</t>
  </si>
  <si>
    <t>KFM2120660299245</t>
  </si>
  <si>
    <t xml:space="preserve">   مسجد عبدالله بن رواحه .</t>
  </si>
  <si>
    <t>AES2020896449296</t>
  </si>
  <si>
    <t xml:space="preserve">   مسجدحي الوادي وسكن الامام والمؤذن .</t>
  </si>
  <si>
    <t>KFM2020660211382</t>
  </si>
  <si>
    <t xml:space="preserve">   مسجد سعد الحقان .</t>
  </si>
  <si>
    <t>KFM2020660188971</t>
  </si>
  <si>
    <t xml:space="preserve">   مسجد/ منيره عبدالله القعود .</t>
  </si>
  <si>
    <t>KFM2020660210976</t>
  </si>
  <si>
    <t>KFM2020660207587</t>
  </si>
  <si>
    <t>KFM2020660212500</t>
  </si>
  <si>
    <t>KFM2120660253326</t>
  </si>
  <si>
    <t>مسجد      0         الجضيعى .</t>
  </si>
  <si>
    <t>KFM2020660051605</t>
  </si>
  <si>
    <t>مسجد  عبد العزيز الغانم .</t>
  </si>
  <si>
    <t>KFM2020660198301</t>
  </si>
  <si>
    <t>KFM2020660039908</t>
  </si>
  <si>
    <t>KFM2020660007252</t>
  </si>
  <si>
    <t>AES2020896466640</t>
  </si>
  <si>
    <t>KFM2020660104280</t>
  </si>
  <si>
    <t xml:space="preserve">    مسـجد ابراهيم صالح النصرالله .</t>
  </si>
  <si>
    <t>KFM2020766107277</t>
  </si>
  <si>
    <t xml:space="preserve">   مسجد العباس بن عبدالمطلب بمرات .</t>
  </si>
  <si>
    <t>SMR2420761036102</t>
  </si>
  <si>
    <t>KFM2020660043884</t>
  </si>
  <si>
    <t xml:space="preserve">   مسجد مشروع الشركه العقاريه .</t>
  </si>
  <si>
    <t>KFM2020660165977</t>
  </si>
  <si>
    <t>مسجد العبادى .</t>
  </si>
  <si>
    <t>KFM2020660200410</t>
  </si>
  <si>
    <t xml:space="preserve">   مسجد حي القرشيه .</t>
  </si>
  <si>
    <t>MMF2020800179464</t>
  </si>
  <si>
    <t>0000     مسجد      التقوى .</t>
  </si>
  <si>
    <t>KFM2020660203354</t>
  </si>
  <si>
    <t xml:space="preserve">    مـسـجـد العدامه(اوقاف القويعيه) .</t>
  </si>
  <si>
    <t>KFM2020766163486</t>
  </si>
  <si>
    <t>AEC2020830315438</t>
  </si>
  <si>
    <t>KFM2020660083821</t>
  </si>
  <si>
    <t>AEC2020830308735</t>
  </si>
  <si>
    <t>LYE2020830020226</t>
  </si>
  <si>
    <t xml:space="preserve">   مسجد سعيد بن جبير عفيف         . .</t>
  </si>
  <si>
    <t>KFM2120660265031</t>
  </si>
  <si>
    <t>مسجد سعد بن عبيان المطيري .</t>
  </si>
  <si>
    <t>KFM2020760115594</t>
  </si>
  <si>
    <t xml:space="preserve">   مسجد الروضة بشقراء .</t>
  </si>
  <si>
    <t>KFM2020660177464</t>
  </si>
  <si>
    <t xml:space="preserve">      وزارهالحجوالاوقاف /مسجدامسدره .</t>
  </si>
  <si>
    <t>ECC2020811054865</t>
  </si>
  <si>
    <t xml:space="preserve">            مسجد العلياء .</t>
  </si>
  <si>
    <t>KFM2020660171082</t>
  </si>
  <si>
    <t xml:space="preserve">   وزارة الشؤون الأسلا مية والأوقاف .</t>
  </si>
  <si>
    <t>KFM2020660208097</t>
  </si>
  <si>
    <t>KFM2020660025750</t>
  </si>
  <si>
    <t>SMR2220661018667</t>
  </si>
  <si>
    <t xml:space="preserve">   مسجدالاميرسعدبن محمد بن عبدالعزيز .</t>
  </si>
  <si>
    <t>KFM2120660246989</t>
  </si>
  <si>
    <t xml:space="preserve">   مسجد حى العزيزيه .</t>
  </si>
  <si>
    <t>KFM2120660290517</t>
  </si>
  <si>
    <t>KFM2120660267536</t>
  </si>
  <si>
    <t xml:space="preserve">   اوقاف الدواسر / مسجد تميم خميس .</t>
  </si>
  <si>
    <t>MMF2020800321989</t>
  </si>
  <si>
    <t xml:space="preserve">   مسجد بن جبرين  حي الجنادريه .</t>
  </si>
  <si>
    <t>KFM2020660133887</t>
  </si>
  <si>
    <t>SMR2320661029271</t>
  </si>
  <si>
    <t>مسجد فهد ناصر التويم بحي عويسه .</t>
  </si>
  <si>
    <t>KFM2020660211819</t>
  </si>
  <si>
    <t>MMF2020801004528</t>
  </si>
  <si>
    <t xml:space="preserve">   مسجد      النسق     - .</t>
  </si>
  <si>
    <t>ECC2020811046021</t>
  </si>
  <si>
    <t>SMR2220661005712</t>
  </si>
  <si>
    <t xml:space="preserve">      مسجد الجامع .</t>
  </si>
  <si>
    <t>KFM2020766128745</t>
  </si>
  <si>
    <t>KFM2020660187541</t>
  </si>
  <si>
    <t xml:space="preserve">   مسجد      مبارك     السبيعي .</t>
  </si>
  <si>
    <t>SMR2220761002613</t>
  </si>
  <si>
    <t xml:space="preserve"> مسجد ( طريق الخط الاصفر ) .</t>
  </si>
  <si>
    <t>SMR2420868028336</t>
  </si>
  <si>
    <t xml:space="preserve">   مسجد/ الامير محمد بن سعود الكبير .</t>
  </si>
  <si>
    <t>KFM2020660193697</t>
  </si>
  <si>
    <t xml:space="preserve">    مـسـجـد الشفاء (اوقاف القويعيه) .</t>
  </si>
  <si>
    <t>AES2020896467925</t>
  </si>
  <si>
    <t>مسجدوالدة الامير عبدالعزيز بن محمد .</t>
  </si>
  <si>
    <t>KFM2020660054954</t>
  </si>
  <si>
    <t xml:space="preserve">   مسجد الامام الحاكم .</t>
  </si>
  <si>
    <t>KFM2020660174741</t>
  </si>
  <si>
    <t xml:space="preserve">   مسجد      رقم7      بالمجمعه .</t>
  </si>
  <si>
    <t>KFM2020760115428</t>
  </si>
  <si>
    <t>مسجد /طارق  بن زياد .</t>
  </si>
  <si>
    <t>KFM2020660198450</t>
  </si>
  <si>
    <t>KFM2120861246855</t>
  </si>
  <si>
    <t>00مسجد      حي العريحا .</t>
  </si>
  <si>
    <t>KFM2020660018980</t>
  </si>
  <si>
    <t>مسجد ابن قدامه  المقدسي .</t>
  </si>
  <si>
    <t>KFM2020660051592</t>
  </si>
  <si>
    <t xml:space="preserve">      مسجد القلعه الجامع .</t>
  </si>
  <si>
    <t>SMR2420868030769</t>
  </si>
  <si>
    <t xml:space="preserve">   مسجد/محيا سعيدان العتيبي .</t>
  </si>
  <si>
    <t>KFM2020660201961</t>
  </si>
  <si>
    <t xml:space="preserve">   جامع الديره صالة المحاضرات .</t>
  </si>
  <si>
    <t>KFM2020660195715</t>
  </si>
  <si>
    <t xml:space="preserve">      مسجد البريقعيه .</t>
  </si>
  <si>
    <t>KFM2020766141954</t>
  </si>
  <si>
    <t xml:space="preserve">   مسجد الشهداء .</t>
  </si>
  <si>
    <t>KFM2020660042132</t>
  </si>
  <si>
    <t>SMR2420868036970</t>
  </si>
  <si>
    <t>مسجد صلاح الدين .</t>
  </si>
  <si>
    <t>KFM2020760020920</t>
  </si>
  <si>
    <t>KFM2020660100267</t>
  </si>
  <si>
    <t>KFM2020660013282</t>
  </si>
  <si>
    <t>ECC2020811072564</t>
  </si>
  <si>
    <t>KFM2020660209411</t>
  </si>
  <si>
    <t>AEC2020830323762</t>
  </si>
  <si>
    <t xml:space="preserve">    مسجد حي المصيف .</t>
  </si>
  <si>
    <t>KFM2020660190490</t>
  </si>
  <si>
    <t xml:space="preserve">   مسجد/ابو  بكرالصديق بجهام .</t>
  </si>
  <si>
    <t>GTR2320892202611</t>
  </si>
  <si>
    <t>SMR2020865008909</t>
  </si>
  <si>
    <t>وزارة الشىون الاسلامية والاوقاف .</t>
  </si>
  <si>
    <t>KFM2020660049564</t>
  </si>
  <si>
    <t>0 مسجد      بالعريجاء .</t>
  </si>
  <si>
    <t>KFM2020760030481</t>
  </si>
  <si>
    <t>KFM2020660054243</t>
  </si>
  <si>
    <t>مسجد حلة الدواسر .</t>
  </si>
  <si>
    <t>KFM2120660272035</t>
  </si>
  <si>
    <t xml:space="preserve">   مسجد      مخطط      برماح .</t>
  </si>
  <si>
    <t>KFM2020660199548</t>
  </si>
  <si>
    <t>KFM2020660008728</t>
  </si>
  <si>
    <t>SMR2220621000802</t>
  </si>
  <si>
    <t>MMF2020800319403</t>
  </si>
  <si>
    <t>مسجد الفراج .</t>
  </si>
  <si>
    <t>KFM2020660055029</t>
  </si>
  <si>
    <t>LYE2020830244282</t>
  </si>
  <si>
    <t>KFM2020660192590</t>
  </si>
  <si>
    <t>مسجد حى  السويدى  الغربى .</t>
  </si>
  <si>
    <t>KFM2020660006675</t>
  </si>
  <si>
    <t xml:space="preserve"> مسجد عمر بن قطيم  حي العجلية .</t>
  </si>
  <si>
    <t>KFM2020660013782</t>
  </si>
  <si>
    <t xml:space="preserve">   اوقاف     الدوادمي  960 قطعه32/م .</t>
  </si>
  <si>
    <t>ECC2020810692544</t>
  </si>
  <si>
    <t xml:space="preserve">   مسجد/العباس .</t>
  </si>
  <si>
    <t>KFM2020766158109</t>
  </si>
  <si>
    <t>جامع غالب حراز المرشدي .</t>
  </si>
  <si>
    <t>KFM2020660231808</t>
  </si>
  <si>
    <t xml:space="preserve">   مسجد/الحروب بحى الكليه الحربيه .</t>
  </si>
  <si>
    <t>KFM2020660208539</t>
  </si>
  <si>
    <t xml:space="preserve">   مسجد علي بن فهد الهزاع .</t>
  </si>
  <si>
    <t>KFM2020660057273</t>
  </si>
  <si>
    <t xml:space="preserve">   جامع      الخفق     المزاحمية .</t>
  </si>
  <si>
    <t>KFM2020660228318</t>
  </si>
  <si>
    <t>MMF2320801118866</t>
  </si>
  <si>
    <t xml:space="preserve">   اوقاف الزلفي(مسجدخباب بن الارت) .</t>
  </si>
  <si>
    <t>KFM2020766147191</t>
  </si>
  <si>
    <t>مسجد ال سويلم بالطوال .</t>
  </si>
  <si>
    <t>AEC2020830323288</t>
  </si>
  <si>
    <t>مسجدالقميعة بجاورالمكتبة الوطنية .</t>
  </si>
  <si>
    <t>KFM2020660038687</t>
  </si>
  <si>
    <t xml:space="preserve">   مسجد نوره سعد البواردى .</t>
  </si>
  <si>
    <t>AES2120896552200</t>
  </si>
  <si>
    <t xml:space="preserve">   اوقاف الحصاة/مسجد ابو سروح .</t>
  </si>
  <si>
    <t>AES2120896575348</t>
  </si>
  <si>
    <t xml:space="preserve">   مسجد حى المطلق .</t>
  </si>
  <si>
    <t>KFM2020660228114</t>
  </si>
  <si>
    <t>SMR2420661038644</t>
  </si>
  <si>
    <t xml:space="preserve">   مسجدالنايفيه الشرقى .</t>
  </si>
  <si>
    <t>AES2020896401449</t>
  </si>
  <si>
    <t>مسجد حي الشفا .</t>
  </si>
  <si>
    <t>KFM2020660177104</t>
  </si>
  <si>
    <t>SMR2220621001217</t>
  </si>
  <si>
    <t xml:space="preserve">      مـسـجـد الشظو .</t>
  </si>
  <si>
    <t>AES2020896528102</t>
  </si>
  <si>
    <t>KFM2020660104899</t>
  </si>
  <si>
    <t>مسجد عبدالكريم الحميدي / 158 .</t>
  </si>
  <si>
    <t>MMF2020800220359</t>
  </si>
  <si>
    <t>KFM2020660177105</t>
  </si>
  <si>
    <t>مسجد القصير .</t>
  </si>
  <si>
    <t>KFM2020660025749</t>
  </si>
  <si>
    <t>KFM2120660299614</t>
  </si>
  <si>
    <t>AEC2020830317877</t>
  </si>
  <si>
    <t>KFM2020660053111</t>
  </si>
  <si>
    <t xml:space="preserve">   مسجدعبدالله المقرن  مام .</t>
  </si>
  <si>
    <t>KFM2020660047092</t>
  </si>
  <si>
    <t xml:space="preserve">   دورة مياه جامع الرحمانيه .</t>
  </si>
  <si>
    <t>MMF2020800179419</t>
  </si>
  <si>
    <t xml:space="preserve">   مسجد  سعد بن جمهور في عرقه .</t>
  </si>
  <si>
    <t>KFM2020660190316</t>
  </si>
  <si>
    <t>KFM2020660104275</t>
  </si>
  <si>
    <t xml:space="preserve">   مسـجد الخالديه  ( العريفي  ) .</t>
  </si>
  <si>
    <t>KFM2020660191322</t>
  </si>
  <si>
    <t>SMR2220661018046</t>
  </si>
  <si>
    <t>مسجد ابراهيم القباع .</t>
  </si>
  <si>
    <t>KFM2120660254658</t>
  </si>
  <si>
    <t xml:space="preserve">   مسجد      الشبح     عفيف .</t>
  </si>
  <si>
    <t>KFM2120660264989</t>
  </si>
  <si>
    <t>SMR2320661029541</t>
  </si>
  <si>
    <t>ECC2020811086524</t>
  </si>
  <si>
    <t>مسجد      عائشة      ابي بكر .</t>
  </si>
  <si>
    <t>KFM2020660198329</t>
  </si>
  <si>
    <t xml:space="preserve">   مسجد      حي   لبن .</t>
  </si>
  <si>
    <t>KFM2020660197728</t>
  </si>
  <si>
    <t xml:space="preserve">   مسجد النميص    صبحاء .</t>
  </si>
  <si>
    <t>KFM2020660192438</t>
  </si>
  <si>
    <t xml:space="preserve">   مسجد حي القطار .</t>
  </si>
  <si>
    <t>KFM2120660274744</t>
  </si>
  <si>
    <t xml:space="preserve">   وزارة الحج والأوقاف -مساجد .</t>
  </si>
  <si>
    <t>KFM2020766161793</t>
  </si>
  <si>
    <t xml:space="preserve">   مسجد العلوات .</t>
  </si>
  <si>
    <t>AES2120896592573</t>
  </si>
  <si>
    <t xml:space="preserve">   جامع وبيتالاماموالمؤذن/الأميرةنورة .</t>
  </si>
  <si>
    <t>KFM2120660240831</t>
  </si>
  <si>
    <t>KFM2020660232860</t>
  </si>
  <si>
    <t>KFM2020660200022</t>
  </si>
  <si>
    <t>SMR2220661018624</t>
  </si>
  <si>
    <t xml:space="preserve">   مسجد/حى العمور .</t>
  </si>
  <si>
    <t>KFM2020660177656</t>
  </si>
  <si>
    <t xml:space="preserve">   مسجد  جامع   قرية  حصينة .</t>
  </si>
  <si>
    <t>AES2020896452084</t>
  </si>
  <si>
    <t>KFM2020660195472</t>
  </si>
  <si>
    <t xml:space="preserve">   مسجدحي الصحافه /القبس / .</t>
  </si>
  <si>
    <t>KFM2120660257386</t>
  </si>
  <si>
    <t xml:space="preserve">   مسجد/ارطاوي الرقاص  شرق رقم (2) .</t>
  </si>
  <si>
    <t>KFM2020766098790</t>
  </si>
  <si>
    <t>KFM2020660162857</t>
  </si>
  <si>
    <t>مسجد الزهراء .</t>
  </si>
  <si>
    <t>KFM2020660051408</t>
  </si>
  <si>
    <t>مسجد جبير بن عبدالله (101) .</t>
  </si>
  <si>
    <t>DZG2020830011342</t>
  </si>
  <si>
    <t xml:space="preserve">   مسجدالثقفي ببدايع الدلابحه .</t>
  </si>
  <si>
    <t>AES2120896616297</t>
  </si>
  <si>
    <t>KFM2020660177065</t>
  </si>
  <si>
    <t xml:space="preserve">   اوقاف الحصاة/مسجدالنباه .</t>
  </si>
  <si>
    <t>AES2020896452043</t>
  </si>
  <si>
    <t xml:space="preserve">                 مسجد/ابوبكر الصديق .</t>
  </si>
  <si>
    <t>KFM2120760244302</t>
  </si>
  <si>
    <t>KFM2020660195141</t>
  </si>
  <si>
    <t>.   مسجد      بن سويلم .</t>
  </si>
  <si>
    <t>KFM2020660042274</t>
  </si>
  <si>
    <t xml:space="preserve">   مسجد / علي ال منيف .</t>
  </si>
  <si>
    <t>KFM2120660274622</t>
  </si>
  <si>
    <t xml:space="preserve">   مسجد امتداد شارع جرير .</t>
  </si>
  <si>
    <t>KFM2020660053978</t>
  </si>
  <si>
    <t xml:space="preserve">   الاوقاف    مسجد      مبايض .</t>
  </si>
  <si>
    <t>AES2120896544032</t>
  </si>
  <si>
    <t xml:space="preserve">   وزارةالشؤن الاسلاميه/مسجد البريدي .</t>
  </si>
  <si>
    <t>KFM2120660281754</t>
  </si>
  <si>
    <t xml:space="preserve">   مسجد جامع بدائع العضيان الغربي 0 .</t>
  </si>
  <si>
    <t>KFM2020766085486</t>
  </si>
  <si>
    <t>المسجدالمؤقت  بالدخل  المحدود .</t>
  </si>
  <si>
    <t>KFM2020660177030</t>
  </si>
  <si>
    <t xml:space="preserve">   مسجد/ نورة القحطانى .م.بن هريس .</t>
  </si>
  <si>
    <t>KFM2020766147253</t>
  </si>
  <si>
    <t>KFM2020660053493</t>
  </si>
  <si>
    <t xml:space="preserve">   مسجدالفيحاء .</t>
  </si>
  <si>
    <t>KFM2120660271678</t>
  </si>
  <si>
    <t xml:space="preserve">   مسجد      نورة      بن هريس .</t>
  </si>
  <si>
    <t>KFM2020766098211</t>
  </si>
  <si>
    <t xml:space="preserve">   مسجد ال مرهان .</t>
  </si>
  <si>
    <t>KFM2020760015068</t>
  </si>
  <si>
    <t>KFM2120660262564</t>
  </si>
  <si>
    <t xml:space="preserve">   اوقاف القويعيه/مسجد لبخه الغربى .</t>
  </si>
  <si>
    <t>KFM2020766010976</t>
  </si>
  <si>
    <t>KFM2020760038910</t>
  </si>
  <si>
    <t xml:space="preserve">      مسجدالبوزمام .</t>
  </si>
  <si>
    <t>KFM2020760019132</t>
  </si>
  <si>
    <t xml:space="preserve">      مسجد الشريميه .</t>
  </si>
  <si>
    <t>AEC2020830245724</t>
  </si>
  <si>
    <t>KFM2120660255670</t>
  </si>
  <si>
    <t xml:space="preserve">   مسجدقيس بن سعد .</t>
  </si>
  <si>
    <t>KFM2020660205918</t>
  </si>
  <si>
    <t xml:space="preserve">   مسجد      حي  العاليةالخرج .</t>
  </si>
  <si>
    <t>KFM2020660230785</t>
  </si>
  <si>
    <t>KFM2020660104816</t>
  </si>
  <si>
    <t>مسجد  النفعة  /منفوحة .</t>
  </si>
  <si>
    <t>KFM2020660166300</t>
  </si>
  <si>
    <t>KFM2120660299249</t>
  </si>
  <si>
    <t>AES2020896162293</t>
  </si>
  <si>
    <t>KFM2020660172934</t>
  </si>
  <si>
    <t>KFM2120660257828</t>
  </si>
  <si>
    <t>KFM2120660251310</t>
  </si>
  <si>
    <t>مسجد عمار بن ياســــر .</t>
  </si>
  <si>
    <t>KFM2020660203544</t>
  </si>
  <si>
    <t>SMR2320661035105</t>
  </si>
  <si>
    <t>مسجد /    عبدالله    الحقبانى .</t>
  </si>
  <si>
    <t>KFM2020660189382</t>
  </si>
  <si>
    <t>KFM2020660161667</t>
  </si>
  <si>
    <t xml:space="preserve">   ادارةاوقافمسجد      دواس الخضران .</t>
  </si>
  <si>
    <t>MMF2020800294180</t>
  </si>
  <si>
    <t>مسجد /محمد علي الحبيب .</t>
  </si>
  <si>
    <t>KFM2020660038860</t>
  </si>
  <si>
    <t xml:space="preserve">    المسجد القديم بالفيضه .</t>
  </si>
  <si>
    <t>KFM2020660204369</t>
  </si>
  <si>
    <t>KFM2020760005285</t>
  </si>
  <si>
    <t xml:space="preserve">       مسجد كتاب بعرجاء .</t>
  </si>
  <si>
    <t>ECC2320831018766</t>
  </si>
  <si>
    <t xml:space="preserve">  مسجد رقم9 مخطط التأهيل 906 بشقراء .</t>
  </si>
  <si>
    <t>AES2020896529526</t>
  </si>
  <si>
    <t>MMF2420701007620</t>
  </si>
  <si>
    <t xml:space="preserve">   مسجد/ محمد مسيفر سويد الدلبحي .</t>
  </si>
  <si>
    <t>ECC2320831017946</t>
  </si>
  <si>
    <t xml:space="preserve">      مسجد حى البديعه .</t>
  </si>
  <si>
    <t>MMF2020800092697</t>
  </si>
  <si>
    <t xml:space="preserve">   مـسـجـد بن رضيان .</t>
  </si>
  <si>
    <t>AES2020896338205</t>
  </si>
  <si>
    <t xml:space="preserve">   مسجد      رقم (1)   بحريملاء .</t>
  </si>
  <si>
    <t>AEC2020830575327</t>
  </si>
  <si>
    <t>مسجد مبارك  بن ثامر .</t>
  </si>
  <si>
    <t>KFM2020660171650</t>
  </si>
  <si>
    <t xml:space="preserve">    مسجد موسى التركي .</t>
  </si>
  <si>
    <t>KFM2020660200637</t>
  </si>
  <si>
    <t xml:space="preserve">   مسجد بن القيم الجوزيه .</t>
  </si>
  <si>
    <t>KFM2020660196953</t>
  </si>
  <si>
    <t xml:space="preserve">   مسجدسعدبن ابي وقا ص  ومرافقه .</t>
  </si>
  <si>
    <t>KFM2020660202284</t>
  </si>
  <si>
    <t xml:space="preserve">   مكتب الاوقاف الحوطة   مسجدالجوهره .</t>
  </si>
  <si>
    <t>AES2020896530531</t>
  </si>
  <si>
    <t xml:space="preserve">   مسجد زيد المليحي .</t>
  </si>
  <si>
    <t>KFM2020660056682</t>
  </si>
  <si>
    <t xml:space="preserve">      مـسـجـد الخرميه بالرين .</t>
  </si>
  <si>
    <t>AES2120896539242</t>
  </si>
  <si>
    <t>مسجدالشيخ  /محمدبن صالح  الانصارى .</t>
  </si>
  <si>
    <t>KFM2020660200445</t>
  </si>
  <si>
    <t>AES2020896470832</t>
  </si>
  <si>
    <t>مسجد حي الفواز الغربي .</t>
  </si>
  <si>
    <t>KFM2020660039167</t>
  </si>
  <si>
    <t xml:space="preserve">    مـسـجـد الناصر (اوقاف القويعيه) .</t>
  </si>
  <si>
    <t>AES2020896527797</t>
  </si>
  <si>
    <t xml:space="preserve">   اوقاف المزاحميه ـ العليا بالجله .</t>
  </si>
  <si>
    <t>AES2120896601625</t>
  </si>
  <si>
    <t xml:space="preserve">   مسجد جديد بحي اسكانالمصانع .</t>
  </si>
  <si>
    <t>MMF2020800255788</t>
  </si>
  <si>
    <t xml:space="preserve">      مسجد ضيف الله خويطر .</t>
  </si>
  <si>
    <t>KFM2020766133975</t>
  </si>
  <si>
    <t>KFM2020660057087</t>
  </si>
  <si>
    <t>مسجد سلطان العتيبي .</t>
  </si>
  <si>
    <t>KFM2020660060653</t>
  </si>
  <si>
    <t>مسجد      الدوبيه .</t>
  </si>
  <si>
    <t>KFM2020660175899</t>
  </si>
  <si>
    <t>مسجدموسى  و سلطان عبدالعزيزالموسى .</t>
  </si>
  <si>
    <t>KFM2020660202707</t>
  </si>
  <si>
    <t>KFM2120660284466</t>
  </si>
  <si>
    <t xml:space="preserve">   مسجدشارع جرير .</t>
  </si>
  <si>
    <t>KFM2020660047711</t>
  </si>
  <si>
    <t xml:space="preserve">   مسجد محمد الماضي .</t>
  </si>
  <si>
    <t>KFM2020660057466</t>
  </si>
  <si>
    <t xml:space="preserve">   مسجد عبد الرحمن محمدالحميد .</t>
  </si>
  <si>
    <t>AES2020896338907</t>
  </si>
  <si>
    <t>مسجد الطريق  الدائري  حي السويدي .</t>
  </si>
  <si>
    <t>KFM2020660051485</t>
  </si>
  <si>
    <t xml:space="preserve">   وزارة الشئون الاسلاميه مسجدالباتلي .</t>
  </si>
  <si>
    <t>KFM2020660202076</t>
  </si>
  <si>
    <t xml:space="preserve">   مسجد   الجامع  الباينية .</t>
  </si>
  <si>
    <t>KFM2020766099497</t>
  </si>
  <si>
    <t xml:space="preserve">   مسجد ال شيخ .</t>
  </si>
  <si>
    <t>KFM2020660097704</t>
  </si>
  <si>
    <t>وزارة      الشئوون   مسجدالجدتين .</t>
  </si>
  <si>
    <t>KFM2020660039073</t>
  </si>
  <si>
    <t>مسجد عبدالعزيز المعتق الاوقاف والمس .</t>
  </si>
  <si>
    <t>AES2120896538070</t>
  </si>
  <si>
    <t>مسجد بالصناعيه   /حي بدر .</t>
  </si>
  <si>
    <t>KFM2020660198435</t>
  </si>
  <si>
    <t xml:space="preserve">   مسجدالحزمبالاحمر .</t>
  </si>
  <si>
    <t>AES2020896466608</t>
  </si>
  <si>
    <t xml:space="preserve">   مسجد/ حمد مترك العتيبي .</t>
  </si>
  <si>
    <t>KFM2020660204322</t>
  </si>
  <si>
    <t xml:space="preserve">   مسجدالغفيص .</t>
  </si>
  <si>
    <t>KFM2120660241500</t>
  </si>
  <si>
    <t xml:space="preserve">   مسجدالمقداد بن الاسود .</t>
  </si>
  <si>
    <t>KFM2020660167815</t>
  </si>
  <si>
    <t xml:space="preserve">      مسجد الزهوه بالحريق .</t>
  </si>
  <si>
    <t>KFM2020766100503</t>
  </si>
  <si>
    <t>جامع الحاير (12) .</t>
  </si>
  <si>
    <t>SMR2220661011190</t>
  </si>
  <si>
    <t>AES2020896530475</t>
  </si>
  <si>
    <t>KFM2020660188983</t>
  </si>
  <si>
    <t>KFM2020660132950</t>
  </si>
  <si>
    <t>KFM2120660295053</t>
  </si>
  <si>
    <t xml:space="preserve">   مسحد ناصر الخميس    (644) .</t>
  </si>
  <si>
    <t>KFM2020660210008</t>
  </si>
  <si>
    <t>KFM2020660191579</t>
  </si>
  <si>
    <t xml:space="preserve">   مسجدالا ميرة/جهير بنت بندر .</t>
  </si>
  <si>
    <t>KFM2020660197652</t>
  </si>
  <si>
    <t xml:space="preserve">   مسجد      المضحي       السليل .</t>
  </si>
  <si>
    <t>AES2020896072313</t>
  </si>
  <si>
    <t>مسجد مخطط 865 قطعة ( 18  )عفيف 0 .</t>
  </si>
  <si>
    <t>KFM2020766093720</t>
  </si>
  <si>
    <t xml:space="preserve">   وزارة     الوقاف    الحفيرة .</t>
  </si>
  <si>
    <t>KFM2020766154294</t>
  </si>
  <si>
    <t xml:space="preserve">   مسجد   ال شبنان     الجديد .</t>
  </si>
  <si>
    <t>KFM2020766159171</t>
  </si>
  <si>
    <t>مسجد /عايشه  ام  المومنين .</t>
  </si>
  <si>
    <t>KFM2020660201626</t>
  </si>
  <si>
    <t>KFM2020660060881</t>
  </si>
  <si>
    <t>مسجد الخريجى .</t>
  </si>
  <si>
    <t>KFM2020760059890</t>
  </si>
  <si>
    <t xml:space="preserve">   مسجد فهد العساف .</t>
  </si>
  <si>
    <t>KFM2120660264051</t>
  </si>
  <si>
    <t xml:space="preserve">   اوقاف     المزاحميه الرفيعه .</t>
  </si>
  <si>
    <t>KFM2020660209400</t>
  </si>
  <si>
    <t xml:space="preserve">   ادارةالاوقاف(مسجد المثني بن حارثه .</t>
  </si>
  <si>
    <t>KFM2120660259936</t>
  </si>
  <si>
    <t xml:space="preserve">    مسجد أبي بن كعب .</t>
  </si>
  <si>
    <t>AES2120896609682</t>
  </si>
  <si>
    <t>KFM2020660212159</t>
  </si>
  <si>
    <t xml:space="preserve">   مسجد      وثيلا ن    بعروى .</t>
  </si>
  <si>
    <t>AES2020896249991</t>
  </si>
  <si>
    <t xml:space="preserve">      مسجد محطه الدريبى .</t>
  </si>
  <si>
    <t>KFM2020760058344</t>
  </si>
  <si>
    <t xml:space="preserve">   مسجد / برزان .</t>
  </si>
  <si>
    <t>AEC2020830312149</t>
  </si>
  <si>
    <t>KFM2020660145824</t>
  </si>
  <si>
    <t>SMR2320761023747</t>
  </si>
  <si>
    <t>KFM2020660145808</t>
  </si>
  <si>
    <t>مسجد الشويعر .</t>
  </si>
  <si>
    <t>KFM2020660015370</t>
  </si>
  <si>
    <t xml:space="preserve">   مسجد مرزوق سالم .</t>
  </si>
  <si>
    <t>AEC2020830323430</t>
  </si>
  <si>
    <t>KFM2020660174839</t>
  </si>
  <si>
    <t xml:space="preserve">   اوقاف الدلم/مسجدعبدالرحمن الموسى .</t>
  </si>
  <si>
    <t>KFM2120660249818</t>
  </si>
  <si>
    <t xml:space="preserve">   جامع      ام سليم   بحلبان .</t>
  </si>
  <si>
    <t>KFM2120660238312</t>
  </si>
  <si>
    <t>مسجد عبدالرحمن الهاملي 69 .</t>
  </si>
  <si>
    <t>KFM2020660225990</t>
  </si>
  <si>
    <t>مسجد      محمد      ابوشنق .</t>
  </si>
  <si>
    <t>KFM2020660013549</t>
  </si>
  <si>
    <t xml:space="preserve">   وزارة الشؤون الا سلا مية و الا وقاف .</t>
  </si>
  <si>
    <t>KFM2020660196503</t>
  </si>
  <si>
    <t xml:space="preserve">   مسجد البخراء .</t>
  </si>
  <si>
    <t>AEC2020830316198</t>
  </si>
  <si>
    <t xml:space="preserve">   مسجد ذي النورين .</t>
  </si>
  <si>
    <t>KFM2020660025593</t>
  </si>
  <si>
    <t xml:space="preserve">   مسجد سلمان نمشان .</t>
  </si>
  <si>
    <t>KFM2020660174565</t>
  </si>
  <si>
    <t xml:space="preserve">   مسجدوبيتي الاماموالمؤذن0بالمغرزات .</t>
  </si>
  <si>
    <t>KFM2020660189171</t>
  </si>
  <si>
    <t>KFM2020660007876</t>
  </si>
  <si>
    <t xml:space="preserve">     مسجد المورقى .</t>
  </si>
  <si>
    <t>AES2120896574539</t>
  </si>
  <si>
    <t xml:space="preserve">      مسجد ال بشر .</t>
  </si>
  <si>
    <t>KFM2020766167980</t>
  </si>
  <si>
    <t xml:space="preserve">   مسجد  هجرة   الغالبية  زريبة   0 .</t>
  </si>
  <si>
    <t>KFM2020766102235</t>
  </si>
  <si>
    <t>DZG2020850047078</t>
  </si>
  <si>
    <t>AES2020896525004</t>
  </si>
  <si>
    <t xml:space="preserve">   مسجدالفاروق بالرويضة .</t>
  </si>
  <si>
    <t>MMF2420701010015</t>
  </si>
  <si>
    <t xml:space="preserve">   مسجد عبدالعزيز المتوزي .</t>
  </si>
  <si>
    <t>KFM2020660057351</t>
  </si>
  <si>
    <t>مسجد احمد بن حنبل .</t>
  </si>
  <si>
    <t>KFM2020660203372</t>
  </si>
  <si>
    <t xml:space="preserve">   مسجد      خديجة بنت خويلد .</t>
  </si>
  <si>
    <t>KFM2020660047190</t>
  </si>
  <si>
    <t xml:space="preserve">   مسجد ال صفيان/اوقاف السليل .</t>
  </si>
  <si>
    <t>KFM2120660263527</t>
  </si>
  <si>
    <t>AES2020896457512</t>
  </si>
  <si>
    <t xml:space="preserve">   مسجد      المبارك   0 .</t>
  </si>
  <si>
    <t>ECC2020810706616</t>
  </si>
  <si>
    <t xml:space="preserve">    مسجد/ سعيد هلال العضياني .</t>
  </si>
  <si>
    <t>AES2120896536077</t>
  </si>
  <si>
    <t>LYE2020830250208</t>
  </si>
  <si>
    <t>مسجد السدحان .</t>
  </si>
  <si>
    <t>KFM2020660054977</t>
  </si>
  <si>
    <t xml:space="preserve">   مسجد عبدالله الطمره .</t>
  </si>
  <si>
    <t>MMF2420801337315</t>
  </si>
  <si>
    <t>KFM2120660268961</t>
  </si>
  <si>
    <t>MMF2020800310732</t>
  </si>
  <si>
    <t>KFM2020760227445</t>
  </si>
  <si>
    <t xml:space="preserve">      اوقاف الدواسر/جامع الصالحيه .</t>
  </si>
  <si>
    <t>KFM2020660223651</t>
  </si>
  <si>
    <t>KFM2020660054911</t>
  </si>
  <si>
    <t xml:space="preserve">   مسجدعثمان المحارب   اوقاف سدير .</t>
  </si>
  <si>
    <t>SMR2420761041052</t>
  </si>
  <si>
    <t xml:space="preserve">     مسـجدمحمدبن سيرين .</t>
  </si>
  <si>
    <t>SMR2020850081762</t>
  </si>
  <si>
    <t xml:space="preserve">   مسجد نورة الموسى .</t>
  </si>
  <si>
    <t>KFM2020660190834</t>
  </si>
  <si>
    <t xml:space="preserve">   ادارةاوقاف(مسجد ام سعد بالقيسيه) .</t>
  </si>
  <si>
    <t>KFM2020766167946</t>
  </si>
  <si>
    <t xml:space="preserve">     مسجد هجرة الغريبية بالرين .</t>
  </si>
  <si>
    <t>AES2020896528099</t>
  </si>
  <si>
    <t>AES2120896575074</t>
  </si>
  <si>
    <t>AES2120896536459</t>
  </si>
  <si>
    <t xml:space="preserve">   ادارةالاواقاف(مسجد ال محمدبرزيقيه .</t>
  </si>
  <si>
    <t>AES2120896543705</t>
  </si>
  <si>
    <t xml:space="preserve">   الجامع القديم .</t>
  </si>
  <si>
    <t>KFM2020660212316</t>
  </si>
  <si>
    <t>مسجدالمخطط الزراعي الجنوبي مركز الخماسين .</t>
  </si>
  <si>
    <t>KFM2020760013083</t>
  </si>
  <si>
    <t>وزارة  الاأوقاف  / مسجد الصناعية .</t>
  </si>
  <si>
    <t>KFM2020660039110</t>
  </si>
  <si>
    <t xml:space="preserve">   مسجد      ال ربيع   . .</t>
  </si>
  <si>
    <t>MMF2020800310735</t>
  </si>
  <si>
    <t xml:space="preserve">   مسجد آل بداح بالبديع الشمالى .</t>
  </si>
  <si>
    <t>AES2120896559334</t>
  </si>
  <si>
    <t>KFM2120660271430</t>
  </si>
  <si>
    <t xml:space="preserve">   مسجدال جديع .</t>
  </si>
  <si>
    <t>AES2120896542093</t>
  </si>
  <si>
    <t xml:space="preserve">   مسجدالخالدية- الاوقاف .</t>
  </si>
  <si>
    <t>KFM2020660174599</t>
  </si>
  <si>
    <t xml:space="preserve">   اوقاف الحصاة/مسجدبحيران .</t>
  </si>
  <si>
    <t>AES2120896536414</t>
  </si>
  <si>
    <t>مسجد الفصام .</t>
  </si>
  <si>
    <t>KFM2020660038645</t>
  </si>
  <si>
    <t xml:space="preserve">   ادارةاوقافمسجد جامع المصاريرباله .</t>
  </si>
  <si>
    <t>KFM2020660223638</t>
  </si>
  <si>
    <t xml:space="preserve">   مسجد فيصليةالتويم /  سعودالزامل .</t>
  </si>
  <si>
    <t>KFM2020766099111</t>
  </si>
  <si>
    <t>مسجد ال .</t>
  </si>
  <si>
    <t>SMR2020850107044</t>
  </si>
  <si>
    <t>SMR2320661022783</t>
  </si>
  <si>
    <t xml:space="preserve">   مسجد  جامع  قرية  الذكره       0 .</t>
  </si>
  <si>
    <t>KFM2120660265064</t>
  </si>
  <si>
    <t>AES2020896450410</t>
  </si>
  <si>
    <t>KFM2020660162788</t>
  </si>
  <si>
    <t>KFM2120660299343</t>
  </si>
  <si>
    <t>KFM2120660302076</t>
  </si>
  <si>
    <t>KFM2020760211328</t>
  </si>
  <si>
    <t xml:space="preserve">   اوقاف  حوطة سدير مسجد مخطط   751 .</t>
  </si>
  <si>
    <t>KFM2020766146093</t>
  </si>
  <si>
    <t>SMR2320761027621</t>
  </si>
  <si>
    <t xml:space="preserve">   مسجدبن فضليه .</t>
  </si>
  <si>
    <t>KFM2020660053795</t>
  </si>
  <si>
    <t>KFM2120655002498</t>
  </si>
  <si>
    <t>KFM2120660301489</t>
  </si>
  <si>
    <t>ECC2020811047439</t>
  </si>
  <si>
    <t xml:space="preserve">   جامع / النميص .</t>
  </si>
  <si>
    <t>KFM2020760154057</t>
  </si>
  <si>
    <t xml:space="preserve">   مسجدالمهنا .</t>
  </si>
  <si>
    <t>KFM2020660052347</t>
  </si>
  <si>
    <t>KFM2020660197987</t>
  </si>
  <si>
    <t>مسجد التيسير .</t>
  </si>
  <si>
    <t>KFM2020660053114</t>
  </si>
  <si>
    <t>KFM2020660043881</t>
  </si>
  <si>
    <t xml:space="preserve">   وزارة     الشئون    (مسجد حي الر .</t>
  </si>
  <si>
    <t>KFM2120660272399</t>
  </si>
  <si>
    <t xml:space="preserve">   مسجدمشرفبالغيل/اوقافومساجدالافلاج .</t>
  </si>
  <si>
    <t>AES2020896468134</t>
  </si>
  <si>
    <t xml:space="preserve">   مسجد أحمد الصالح 34 .</t>
  </si>
  <si>
    <t>AEC2020830294531</t>
  </si>
  <si>
    <t>مسجد السرحان .</t>
  </si>
  <si>
    <t>KFM2020660096658</t>
  </si>
  <si>
    <t xml:space="preserve">   مسجد الخزان بالغاط .</t>
  </si>
  <si>
    <t>AES2120896547861</t>
  </si>
  <si>
    <t>KFM2020660044505</t>
  </si>
  <si>
    <t>AES2120896608213</t>
  </si>
  <si>
    <t>ﻤﺸﺎﺭﻴﻊ ﻭﺯﺍﺭﺓ ﺍﻻﺴﻜﺎﻥ- ﻀﻭﺍﺤﻲ ﺍﻟﺭﻴﺎﺽ .</t>
  </si>
  <si>
    <t>KFM2120660284347</t>
  </si>
  <si>
    <t>KFM2120660300349</t>
  </si>
  <si>
    <t>مسجد      عبدالرحمن الخنيفر .</t>
  </si>
  <si>
    <t>KFM2020660087396</t>
  </si>
  <si>
    <t xml:space="preserve">   مسجد/ العبدالواحد .</t>
  </si>
  <si>
    <t>LYE2020810397952</t>
  </si>
  <si>
    <t>مسجد الراجحى .</t>
  </si>
  <si>
    <t>KFM2020760066496</t>
  </si>
  <si>
    <t xml:space="preserve">   اوقاف الحصاة/مسجدالعيبه .</t>
  </si>
  <si>
    <t>AES2020896532486</t>
  </si>
  <si>
    <t xml:space="preserve">   مسجد جامع أبوسرحة .</t>
  </si>
  <si>
    <t>LYE2020810589893</t>
  </si>
  <si>
    <t xml:space="preserve">   اوقاف القويعيه /مسجدمشعل العريفي .</t>
  </si>
  <si>
    <t>KFM2020766158892</t>
  </si>
  <si>
    <t xml:space="preserve">   مسجـــد   حميـــد   0 .</t>
  </si>
  <si>
    <t>KFM2020760082678</t>
  </si>
  <si>
    <t xml:space="preserve">   مسجد      على بن    بنفى .</t>
  </si>
  <si>
    <t>AES2020896081750</t>
  </si>
  <si>
    <t xml:space="preserve">   مسجد حمود أحمد المزيني 27 .</t>
  </si>
  <si>
    <t>KFM2020760009357</t>
  </si>
  <si>
    <t xml:space="preserve">      مسجد الشمالى .</t>
  </si>
  <si>
    <t>AES2020896281140</t>
  </si>
  <si>
    <t xml:space="preserve">   مسجدعبدالرحمن مبارك عمرباعطيه .</t>
  </si>
  <si>
    <t>KFM2120660256926</t>
  </si>
  <si>
    <t>AES2020896051696</t>
  </si>
  <si>
    <t>مسجد شجاع مبارك .</t>
  </si>
  <si>
    <t>KFM2120660256277</t>
  </si>
  <si>
    <t xml:space="preserve">   اوقاف وادي الدواسر جامع مراغه .</t>
  </si>
  <si>
    <t>KFM2120660280937</t>
  </si>
  <si>
    <t xml:space="preserve">   مسجد سعود بن زقحه .</t>
  </si>
  <si>
    <t>KFM2120660279980</t>
  </si>
  <si>
    <t xml:space="preserve">      مسجد سيف العريفى .</t>
  </si>
  <si>
    <t>AES2320896629676</t>
  </si>
  <si>
    <t xml:space="preserve">   أوقاف الزلفي مسجدعبدالرحمن بن حس .</t>
  </si>
  <si>
    <t>KFM2020766155030</t>
  </si>
  <si>
    <t>KFM2020660061585</t>
  </si>
  <si>
    <t>مسجد/عبدالرحمن مطلق  العصيمى .</t>
  </si>
  <si>
    <t>KFM2020766155473</t>
  </si>
  <si>
    <t>AES2020896531607</t>
  </si>
  <si>
    <t xml:space="preserve">       مسجد المقيوع .</t>
  </si>
  <si>
    <t>AES2020896080741</t>
  </si>
  <si>
    <t>مسجد  / سعد بن معاذ .</t>
  </si>
  <si>
    <t>KFM2020660018995</t>
  </si>
  <si>
    <t xml:space="preserve">      مسجد ام المناشر/سفر عتيق وزاع .</t>
  </si>
  <si>
    <t>KFM2020660208448</t>
  </si>
  <si>
    <t xml:space="preserve">   مسجد/الرفيعه   وزارةالاوقاف .</t>
  </si>
  <si>
    <t>AES2120896566376</t>
  </si>
  <si>
    <t xml:space="preserve">   مسجد/ علي بن ابي طالب .</t>
  </si>
  <si>
    <t>KFM2020660229542</t>
  </si>
  <si>
    <t xml:space="preserve">   مسجد هجرة الجديدة ـ الفويلق .</t>
  </si>
  <si>
    <t>AES2320896631424</t>
  </si>
  <si>
    <t xml:space="preserve">   مسجد      هجرة       العماجيه .</t>
  </si>
  <si>
    <t>KFM2120660285353</t>
  </si>
  <si>
    <t xml:space="preserve">   مسجد عبدالله بن أنيس (مسجدمؤقت) .</t>
  </si>
  <si>
    <t>KFM2120760244657</t>
  </si>
  <si>
    <t>KFM2020660171738</t>
  </si>
  <si>
    <t xml:space="preserve">   ادارة     الاوقاف    شمال الخالدي .</t>
  </si>
  <si>
    <t>KFM2020766134705</t>
  </si>
  <si>
    <t xml:space="preserve">         مسجد الصناعيه .</t>
  </si>
  <si>
    <t>KFM2020766145814</t>
  </si>
  <si>
    <t>KFM2020760001798</t>
  </si>
  <si>
    <t xml:space="preserve">   مسجد  مخطط 853 قطعة ( 69 ) عفيف .</t>
  </si>
  <si>
    <t>AES2120896609329</t>
  </si>
  <si>
    <t xml:space="preserve">   مسجدمفلح خلف بدر الحربي .</t>
  </si>
  <si>
    <t>AES2020896466718</t>
  </si>
  <si>
    <t>SMR2020856127898</t>
  </si>
  <si>
    <t>نسبة التجاوز في الفترة المسائية</t>
  </si>
  <si>
    <t xml:space="preserve">      مسجد/بندر حميان حمود .</t>
  </si>
  <si>
    <t>KFM2020660129416</t>
  </si>
  <si>
    <t>مسجد/ بشير العوام لوالدية .</t>
  </si>
  <si>
    <t>SMR2220761004422</t>
  </si>
  <si>
    <t xml:space="preserve">   مسجدالماضي بحرمه .</t>
  </si>
  <si>
    <t>KFM2120660242973</t>
  </si>
  <si>
    <t xml:space="preserve">   مسجد /الشيخ عبدالله الهويش .</t>
  </si>
  <si>
    <t>KFM2120660279591</t>
  </si>
  <si>
    <t>KFM2020760208867</t>
  </si>
  <si>
    <t xml:space="preserve">   مسجد جامع الملك خالد .</t>
  </si>
  <si>
    <t>KFM2020760028034</t>
  </si>
  <si>
    <t>SMR2320661028264</t>
  </si>
  <si>
    <t xml:space="preserve">   مسجد      فانون     0 .</t>
  </si>
  <si>
    <t>KFM2020660225213</t>
  </si>
  <si>
    <t>KFM2020660057274</t>
  </si>
  <si>
    <t>AES2020896462729</t>
  </si>
  <si>
    <t xml:space="preserve">   مسجد.الحي رقم 15 .</t>
  </si>
  <si>
    <t>KFM2020766057488</t>
  </si>
  <si>
    <t>مسجد  محمد فهد   الحكير .</t>
  </si>
  <si>
    <t>KFM2020660051416</t>
  </si>
  <si>
    <t>KFM2020660174358</t>
  </si>
  <si>
    <t>مسجد      ضاحيه      لبن .</t>
  </si>
  <si>
    <t>KFM2020660057785</t>
  </si>
  <si>
    <t xml:space="preserve">   مسجد حى الفاروق .</t>
  </si>
  <si>
    <t>KFM2020766162326</t>
  </si>
  <si>
    <t xml:space="preserve">   مسجد/ عبدالله ابن حمد بن سليم .</t>
  </si>
  <si>
    <t>KFM2020660166583</t>
  </si>
  <si>
    <t xml:space="preserve">      مـسـجـد العيد بثادق .</t>
  </si>
  <si>
    <t>ECC2020811085216</t>
  </si>
  <si>
    <t xml:space="preserve">      مسجد رقم2 بالاسماعيليه .</t>
  </si>
  <si>
    <t>KFM2120660260585</t>
  </si>
  <si>
    <t>ECC2020810688141</t>
  </si>
  <si>
    <t xml:space="preserve">   اوقاف الدواسر/ جامع ال حميضان .</t>
  </si>
  <si>
    <t>KFM2020660174728</t>
  </si>
  <si>
    <t xml:space="preserve">   جامع/ الحي الشمالي .</t>
  </si>
  <si>
    <t>KFM2120660241438</t>
  </si>
  <si>
    <t xml:space="preserve">   مسجد الشيخ بن سليمان محمد اليوسف .</t>
  </si>
  <si>
    <t>KFM2020660040828</t>
  </si>
  <si>
    <t xml:space="preserve">   جامع ال وديان الاوقاف والمساجد .</t>
  </si>
  <si>
    <t>KFM2020660206197</t>
  </si>
  <si>
    <t>مسجد ساره محمد جاسر السبيعي .</t>
  </si>
  <si>
    <t>KFM2020760051008</t>
  </si>
  <si>
    <t>KFM2020660223959</t>
  </si>
  <si>
    <t>KFM2020660046434</t>
  </si>
  <si>
    <t xml:space="preserve">   مسجد حي الفيصـليه .</t>
  </si>
  <si>
    <t>KFM2020760151516</t>
  </si>
  <si>
    <t xml:space="preserve">      مسجد الامير نايف .</t>
  </si>
  <si>
    <t>KFM2020660189676</t>
  </si>
  <si>
    <t xml:space="preserve">   مسجد حي الحائر .</t>
  </si>
  <si>
    <t>KFM2020766171737</t>
  </si>
  <si>
    <t xml:space="preserve">   مسجد  بدايع  العضيان  الشمالي  0 .</t>
  </si>
  <si>
    <t>KFM2020660233524</t>
  </si>
  <si>
    <t>KFM2020660006740</t>
  </si>
  <si>
    <t>KFM2020660057865</t>
  </si>
  <si>
    <t>مسجد حى  ال  فريان .</t>
  </si>
  <si>
    <t>KFM2020660006593</t>
  </si>
  <si>
    <t xml:space="preserve">   ادارة     الأوقاف    مسجد آل جنبا .</t>
  </si>
  <si>
    <t>ECC2020820004726</t>
  </si>
  <si>
    <t xml:space="preserve">   مسجدالقعقاع ابن عمر بالسلاميه .</t>
  </si>
  <si>
    <t>KFM2020660205835</t>
  </si>
  <si>
    <t xml:space="preserve">      مسجد الالسليم .</t>
  </si>
  <si>
    <t>KFM2020766146008</t>
  </si>
  <si>
    <t xml:space="preserve">   مسجد/ عبدالله بن أبي أوفى .</t>
  </si>
  <si>
    <t>KFM2020660230250</t>
  </si>
  <si>
    <t>KFM2020660190916</t>
  </si>
  <si>
    <t xml:space="preserve">   مسجدعمر بن الخطاب/اوقاف الدواسر .</t>
  </si>
  <si>
    <t>MMF2420601015880</t>
  </si>
  <si>
    <t xml:space="preserve">   مسجدهيف .</t>
  </si>
  <si>
    <t>KFM2020760147377</t>
  </si>
  <si>
    <t>ﺍﻻﻭﻗﺎﻑ ﻭﺍﻟﻤﺴﺎﺠﺩ ﺒﺎﻟﻤﻬﺩ .</t>
  </si>
  <si>
    <t>ECC2020811056136</t>
  </si>
  <si>
    <t xml:space="preserve">      مسجد حى الشكره .</t>
  </si>
  <si>
    <t>KFM2020660228457</t>
  </si>
  <si>
    <t xml:space="preserve">   مسجد      الفيصليه  . .</t>
  </si>
  <si>
    <t>KFM2120660251259</t>
  </si>
  <si>
    <t xml:space="preserve"> مسجد الشيخ عبدالعزيزعبدالله الموسى .</t>
  </si>
  <si>
    <t>KFM2120660272407</t>
  </si>
  <si>
    <t>KFM2020660192581</t>
  </si>
  <si>
    <t xml:space="preserve">   مسجد/ السيف بعلقه .</t>
  </si>
  <si>
    <t>AES2020896423946</t>
  </si>
  <si>
    <t>KFM2120660303423</t>
  </si>
  <si>
    <t>مسجدحى  السويدى  الشرقى .</t>
  </si>
  <si>
    <t>KFM2020660056100</t>
  </si>
  <si>
    <t xml:space="preserve">   مسجد جامع خف .</t>
  </si>
  <si>
    <t>KFM2020660153984</t>
  </si>
  <si>
    <t xml:space="preserve">   مسجد جامع البديعه .</t>
  </si>
  <si>
    <t>KFM2020766086271</t>
  </si>
  <si>
    <t xml:space="preserve">   مسجد/ سعود العريفي .</t>
  </si>
  <si>
    <t>KFM2020760031983</t>
  </si>
  <si>
    <t xml:space="preserve">   مسجد محمد السدحان .</t>
  </si>
  <si>
    <t>KFM2020660104802</t>
  </si>
  <si>
    <t xml:space="preserve">      اوقاف الدواسر/ جامع ال عريمه .</t>
  </si>
  <si>
    <t>KFM2120660295416</t>
  </si>
  <si>
    <t>SMR2220621001073</t>
  </si>
  <si>
    <t>KFM2020660211313</t>
  </si>
  <si>
    <t xml:space="preserve">   مسجد لبن .</t>
  </si>
  <si>
    <t>KFM2020660197730</t>
  </si>
  <si>
    <t>KFM2020660200444</t>
  </si>
  <si>
    <t xml:space="preserve">   مسجدصالح الصانع .</t>
  </si>
  <si>
    <t>KFM2020660058047</t>
  </si>
  <si>
    <t xml:space="preserve">   وزارة الشئون الاسلاميةمسجدسمحه .</t>
  </si>
  <si>
    <t>KFM2020660196602</t>
  </si>
  <si>
    <t xml:space="preserve">   جامع مشلح الجديد .</t>
  </si>
  <si>
    <t>KFM2020760159251</t>
  </si>
  <si>
    <t xml:space="preserve">   مسجد محمد العريفي .</t>
  </si>
  <si>
    <t>KFM2020660174980</t>
  </si>
  <si>
    <t>KFM2020760202533</t>
  </si>
  <si>
    <t>مسجد العودة  بالعريجا .</t>
  </si>
  <si>
    <t>KFM2020760072373</t>
  </si>
  <si>
    <t xml:space="preserve">   مسجد/علوشى السبيعى .</t>
  </si>
  <si>
    <t>KFM2120660300346</t>
  </si>
  <si>
    <t>مسجد ابن ظبية .</t>
  </si>
  <si>
    <t>KFM2020766065214</t>
  </si>
  <si>
    <t xml:space="preserve">   مسجد      رماح      المخطط 321 .</t>
  </si>
  <si>
    <t>KFM2120660244162</t>
  </si>
  <si>
    <t xml:space="preserve">   اوقاف الخرج / مسجد الامام مسلم .</t>
  </si>
  <si>
    <t>SMR2220661004693</t>
  </si>
  <si>
    <t xml:space="preserve">   أوقاف الرين .</t>
  </si>
  <si>
    <t>AES2020896373937</t>
  </si>
  <si>
    <t xml:space="preserve">   وزارة الحج والاوقاف .</t>
  </si>
  <si>
    <t>KFM2020660150092</t>
  </si>
  <si>
    <t>KFM2120660283904</t>
  </si>
  <si>
    <t xml:space="preserve">   مسجد/ندي  غازي هلال العتيبي .</t>
  </si>
  <si>
    <t>KFM2020760204487</t>
  </si>
  <si>
    <t xml:space="preserve">   مسجد      ابن       عذل .</t>
  </si>
  <si>
    <t>KFM2020660199464</t>
  </si>
  <si>
    <t>KFM2120660281605</t>
  </si>
  <si>
    <t xml:space="preserve">   مسجد وسكن عبدالرحمن الرشيد .</t>
  </si>
  <si>
    <t>KFM2020660050789</t>
  </si>
  <si>
    <t xml:space="preserve">   وزارة الشئون الاسلامية والأوقاف .</t>
  </si>
  <si>
    <t>KFM2120660276326</t>
  </si>
  <si>
    <t xml:space="preserve">   مسـجدعمربن عبدالعزيز .</t>
  </si>
  <si>
    <t>KFM2020766166009</t>
  </si>
  <si>
    <t>KFM2020760208815</t>
  </si>
  <si>
    <t xml:space="preserve">   مسجد /3087ش سليمان و عبدالله .</t>
  </si>
  <si>
    <t>KFM2020660057414</t>
  </si>
  <si>
    <t>SMR2420768001776</t>
  </si>
  <si>
    <t>مبنى مغسله الموتى قرية السريحية0 .</t>
  </si>
  <si>
    <t>GTR2320890752436</t>
  </si>
  <si>
    <t xml:space="preserve">   مسجد الجوهرة السديري 46 .</t>
  </si>
  <si>
    <t>KFM2120660257619</t>
  </si>
  <si>
    <t>KFM2020660233152</t>
  </si>
  <si>
    <t xml:space="preserve">      مسجد الخضرانى بالبدع .</t>
  </si>
  <si>
    <t>KFM2020760007220</t>
  </si>
  <si>
    <t>KFM2020660039361</t>
  </si>
  <si>
    <t xml:space="preserve">   مسجد / سعود عبدالرحمن الجبرين .</t>
  </si>
  <si>
    <t>KFM2020660177166</t>
  </si>
  <si>
    <t xml:space="preserve">   مسجد      جامع      طحي .</t>
  </si>
  <si>
    <t>KFM2020660192436</t>
  </si>
  <si>
    <t xml:space="preserve">   مسجد      حي        ///// .</t>
  </si>
  <si>
    <t>KFM2120660241336</t>
  </si>
  <si>
    <t xml:space="preserve">   مسجد حي المنيفيه الجديد .</t>
  </si>
  <si>
    <t>KFM2020760229883</t>
  </si>
  <si>
    <t xml:space="preserve">   مسجـــد البرود .</t>
  </si>
  <si>
    <t>KFM2020660202852</t>
  </si>
  <si>
    <t>KFM2020660187570</t>
  </si>
  <si>
    <t>KFM2020660223762</t>
  </si>
  <si>
    <t xml:space="preserve">   مسجد جامع الدريبي .</t>
  </si>
  <si>
    <t>KFM2020660191788</t>
  </si>
  <si>
    <t>SMR2320761030853</t>
  </si>
  <si>
    <t xml:space="preserve">   مسجد خديجه بنت خويلد بالسلاميه .</t>
  </si>
  <si>
    <t>KFM2120660249905</t>
  </si>
  <si>
    <t>AES2020896461430</t>
  </si>
  <si>
    <t xml:space="preserve">   مسجد مخطط 21 بالقصب .</t>
  </si>
  <si>
    <t>KFM2020766132861</t>
  </si>
  <si>
    <t>KFM2020660174816</t>
  </si>
  <si>
    <t>SMR2220761015734</t>
  </si>
  <si>
    <t xml:space="preserve">   مسجد / حى المرسلات .</t>
  </si>
  <si>
    <t>KFM2020660187610</t>
  </si>
  <si>
    <t xml:space="preserve">   مسجد مزنة سليم العتيبي .</t>
  </si>
  <si>
    <t>KFM2020660057599</t>
  </si>
  <si>
    <t>AEC2020830547084</t>
  </si>
  <si>
    <t>MMF2420601025808</t>
  </si>
  <si>
    <t>مسجد      محمد      الزير .</t>
  </si>
  <si>
    <t>KFM2020660025781</t>
  </si>
  <si>
    <t xml:space="preserve">   مسجد عبدالله المحيسن .</t>
  </si>
  <si>
    <t>KFM2020660061535</t>
  </si>
  <si>
    <t xml:space="preserve">   مسجدالجامع بالدحو .</t>
  </si>
  <si>
    <t>KFM2020766075828</t>
  </si>
  <si>
    <t xml:space="preserve">    مسجد طيبة مزارع جنوب مرات .</t>
  </si>
  <si>
    <t>AES2020896455011</t>
  </si>
  <si>
    <t xml:space="preserve">   مسجد صالحية بن سهيه .</t>
  </si>
  <si>
    <t>KFM2020766107224</t>
  </si>
  <si>
    <t xml:space="preserve">      مسجد الصقر5 .</t>
  </si>
  <si>
    <t>AES2120896609912</t>
  </si>
  <si>
    <t>KFM2120655002481</t>
  </si>
  <si>
    <t>KFM2020660189771</t>
  </si>
  <si>
    <t>KFM2120660258311</t>
  </si>
  <si>
    <t>KFM2020660047568</t>
  </si>
  <si>
    <t>مسجد      الجرادية   الاسلامية .</t>
  </si>
  <si>
    <t>KFM2020660177061</t>
  </si>
  <si>
    <t xml:space="preserve">   مسجد /  القدس .</t>
  </si>
  <si>
    <t>AES2020896052787</t>
  </si>
  <si>
    <t xml:space="preserve">   اوقاف الحصاة/مسجد صرير .</t>
  </si>
  <si>
    <t>AES2020896531024</t>
  </si>
  <si>
    <t xml:space="preserve">   مسجد ال داعج بحي النزهه .</t>
  </si>
  <si>
    <t>KFM2020660169859</t>
  </si>
  <si>
    <t>مسجد / حي المروه .</t>
  </si>
  <si>
    <t>KFM2020660038695</t>
  </si>
  <si>
    <t>مسجد      عبدالرحمن المزيعل .</t>
  </si>
  <si>
    <t>KFM2020660087457</t>
  </si>
  <si>
    <t>SMR2220621001928</t>
  </si>
  <si>
    <t xml:space="preserve">   مسجد خبيب بن عدي/سكن امام و مؤذن .</t>
  </si>
  <si>
    <t>KFM2020660061268</t>
  </si>
  <si>
    <t xml:space="preserve"> مسجدالعوده المطلق .</t>
  </si>
  <si>
    <t>KFM2020660164397</t>
  </si>
  <si>
    <t>KFM2020660175280</t>
  </si>
  <si>
    <t xml:space="preserve">   مسجد سوق الغنم والا علا ف .</t>
  </si>
  <si>
    <t>SMR2020850105627</t>
  </si>
  <si>
    <t>KFM2020660008773</t>
  </si>
  <si>
    <t>مسجدالشيخ سعد       ال ثنيان .</t>
  </si>
  <si>
    <t>KFM2020660200311</t>
  </si>
  <si>
    <t xml:space="preserve">   مسجد      سعيدان    الشيباني .</t>
  </si>
  <si>
    <t>AES2120896611392</t>
  </si>
  <si>
    <t xml:space="preserve">   مسجد اليحيا باشيقر .</t>
  </si>
  <si>
    <t>SMR2420761040499</t>
  </si>
  <si>
    <t xml:space="preserve">   مسجدهجرةفايزة .</t>
  </si>
  <si>
    <t>SMR2320661027890</t>
  </si>
  <si>
    <t>KFM2020660166797</t>
  </si>
  <si>
    <t>مسجد بحي بدر (عبدالمجيدال  الشيخ .</t>
  </si>
  <si>
    <t>KFM2020660171571</t>
  </si>
  <si>
    <t xml:space="preserve">   مسجد مشعل سعد الحنتوشي .</t>
  </si>
  <si>
    <t>AES2020896447072</t>
  </si>
  <si>
    <t xml:space="preserve">   مسجدجامع حىال جعشان .</t>
  </si>
  <si>
    <t>KFM2120660273373</t>
  </si>
  <si>
    <t>مسجد سليمان العودة .</t>
  </si>
  <si>
    <t>KFM2020760091883</t>
  </si>
  <si>
    <t>KFM2020660173283</t>
  </si>
  <si>
    <t>.      مسجد      جامع .</t>
  </si>
  <si>
    <t>KFM2020660011933</t>
  </si>
  <si>
    <t xml:space="preserve">   مسجد/ الشعيفي   بالعيينه .</t>
  </si>
  <si>
    <t>LYE2020810456118</t>
  </si>
  <si>
    <t xml:space="preserve">   جامع المصلوم .</t>
  </si>
  <si>
    <t>KFM2020766093738</t>
  </si>
  <si>
    <t xml:space="preserve">   مسجد  تركي العصيمي التميمي .</t>
  </si>
  <si>
    <t>KFM2020660195149</t>
  </si>
  <si>
    <t xml:space="preserve">   مسجد      أبوعبيده  الجراح .</t>
  </si>
  <si>
    <t>KFM2020660193617</t>
  </si>
  <si>
    <t xml:space="preserve">   مسجــد جامع بريده .</t>
  </si>
  <si>
    <t>KFM2020766162202</t>
  </si>
  <si>
    <t>KFM2020660223746</t>
  </si>
  <si>
    <t>مسجد المعتلاء بالحصاه .</t>
  </si>
  <si>
    <t>ECC2320831018538</t>
  </si>
  <si>
    <t xml:space="preserve">   مسجد حي القادسيه .</t>
  </si>
  <si>
    <t>KFM2020660060546</t>
  </si>
  <si>
    <t xml:space="preserve">   مسجدالزمامي  عبدالله الزمامي .</t>
  </si>
  <si>
    <t>AEC2020830554083</t>
  </si>
  <si>
    <t>KFM2020660209476</t>
  </si>
  <si>
    <t xml:space="preserve">   مسجد ابونيان .</t>
  </si>
  <si>
    <t>KFM2020660191464</t>
  </si>
  <si>
    <t>KFM2120660273308</t>
  </si>
  <si>
    <t>ECC2420831031779</t>
  </si>
  <si>
    <t>مسجد الفوطه .</t>
  </si>
  <si>
    <t>KFM2020660171714</t>
  </si>
  <si>
    <t>مسجد عمربن الخطاب .</t>
  </si>
  <si>
    <t>KFM2020660022961</t>
  </si>
  <si>
    <t xml:space="preserve">   مسجد الأبرار .</t>
  </si>
  <si>
    <t>KFM2020660137753</t>
  </si>
  <si>
    <t xml:space="preserve">    مسجد      محامة     بن    زريبه .</t>
  </si>
  <si>
    <t>KFM2020660204270</t>
  </si>
  <si>
    <t xml:space="preserve">   مسجد عبدالرحمن بن صالح البراهيم .</t>
  </si>
  <si>
    <t>KFM2020660211329</t>
  </si>
  <si>
    <t xml:space="preserve">   مسجد الرفيعه الشماليه .</t>
  </si>
  <si>
    <t>KFM2020760131071</t>
  </si>
  <si>
    <t xml:space="preserve">   مسجد      رشاشه     ------------ .</t>
  </si>
  <si>
    <t>AES2020896448507</t>
  </si>
  <si>
    <t>KFM2020766102018</t>
  </si>
  <si>
    <t xml:space="preserve">   مسجد جامع دباس  (دباس دايغ العتي .</t>
  </si>
  <si>
    <t>KFM2020660233525</t>
  </si>
  <si>
    <t>SMR2220661018949</t>
  </si>
  <si>
    <t xml:space="preserve">    مسجدام عروق .</t>
  </si>
  <si>
    <t>KFM2120660280301</t>
  </si>
  <si>
    <t>KFM2020660006229</t>
  </si>
  <si>
    <t xml:space="preserve">   أوقاف القويعية/مسجد أم المؤمنين .</t>
  </si>
  <si>
    <t>KFM2020660224588</t>
  </si>
  <si>
    <t>KFM2120660284002</t>
  </si>
  <si>
    <t>KFM2020766158648</t>
  </si>
  <si>
    <t xml:space="preserve">    مصلى العيد باثيثية .</t>
  </si>
  <si>
    <t>AES2120896571433</t>
  </si>
  <si>
    <t>مسجد      والدة الاميرسلمان بن محم .</t>
  </si>
  <si>
    <t>KFM2020660171802</t>
  </si>
  <si>
    <t xml:space="preserve">   اوقاف المزاحميه/  مسجد الرفيعه .</t>
  </si>
  <si>
    <t>AES2020896523851</t>
  </si>
  <si>
    <t xml:space="preserve">   مسجدشمال المربع .</t>
  </si>
  <si>
    <t>KFM2020660156121</t>
  </si>
  <si>
    <t>KFM2020660201340</t>
  </si>
  <si>
    <t>مسجد الموسى .</t>
  </si>
  <si>
    <t>KFM2020660198273</t>
  </si>
  <si>
    <t xml:space="preserve">   مسجد/مقابل حي16/ .</t>
  </si>
  <si>
    <t>KFM2020760148999</t>
  </si>
  <si>
    <t xml:space="preserve">   مسجد سهيل بن عمر .</t>
  </si>
  <si>
    <t>KFM2020760012298</t>
  </si>
  <si>
    <t xml:space="preserve">   اوقاف     الرين     ام سريحه .</t>
  </si>
  <si>
    <t>KFM2020766154992</t>
  </si>
  <si>
    <t xml:space="preserve">   ادارة     الأوقاف    مسجد آل مرقا .</t>
  </si>
  <si>
    <t>KFM2020766165908</t>
  </si>
  <si>
    <t xml:space="preserve">   مسجد/بن ضويحي .</t>
  </si>
  <si>
    <t>KFM2020760239793</t>
  </si>
  <si>
    <t>KFM2020660161582</t>
  </si>
  <si>
    <t xml:space="preserve">   مسجد/سعيد مجلد بصبحاء .</t>
  </si>
  <si>
    <t>AES2020896124444</t>
  </si>
  <si>
    <t>KFM2020660203446</t>
  </si>
  <si>
    <t>KFM2120660248777</t>
  </si>
  <si>
    <t xml:space="preserve">   مسجد منيع صنيدح الروقي .</t>
  </si>
  <si>
    <t>KFM2020760147252</t>
  </si>
  <si>
    <t>مسجد /عبدالرحمن الموسى .</t>
  </si>
  <si>
    <t>KFM2020660171767</t>
  </si>
  <si>
    <t>KFM2020660145767</t>
  </si>
  <si>
    <t>KFM2020660176739</t>
  </si>
  <si>
    <t xml:space="preserve">   مسجد حي شرق المعارض .</t>
  </si>
  <si>
    <t>KFM2020660229424</t>
  </si>
  <si>
    <t>وزارة     الشؤون    والأوقاف .</t>
  </si>
  <si>
    <t>KFM2020660051260</t>
  </si>
  <si>
    <t>الأوقاف والمساجد/السريحية _الحمادة .</t>
  </si>
  <si>
    <t>KFM2020860519983</t>
  </si>
  <si>
    <t xml:space="preserve">   اوقاف القويعيه /مسجدهجرةالوسيطى .</t>
  </si>
  <si>
    <t>AES2120896589950</t>
  </si>
  <si>
    <t xml:space="preserve">   مسجد/ فوزان محمدالربيعه .</t>
  </si>
  <si>
    <t>KFM2020660050492</t>
  </si>
  <si>
    <t xml:space="preserve">   مسجد      السيباني  السيباني .</t>
  </si>
  <si>
    <t>KFM2020660200035</t>
  </si>
  <si>
    <t>SMR2220661007834</t>
  </si>
  <si>
    <t>KFM2020660202086</t>
  </si>
  <si>
    <t xml:space="preserve">   مسجد الأمام الحسن بن علي .</t>
  </si>
  <si>
    <t>KFM2120660245963</t>
  </si>
  <si>
    <t>مسجد الشيخ  /عبدالله  الغملاس .</t>
  </si>
  <si>
    <t>KFM2120766173915</t>
  </si>
  <si>
    <t xml:space="preserve">   مسجد / حي الشعبه .</t>
  </si>
  <si>
    <t>KFM2020660047689</t>
  </si>
  <si>
    <t xml:space="preserve">   اوقاف الرين /مسجدالمحمديه .</t>
  </si>
  <si>
    <t>KFM2120660247456</t>
  </si>
  <si>
    <t xml:space="preserve">   مسجد الباحوث .</t>
  </si>
  <si>
    <t>KFM2120660282466</t>
  </si>
  <si>
    <t xml:space="preserve">   مسجد علي القحطاني .</t>
  </si>
  <si>
    <t>KFM2120660256836</t>
  </si>
  <si>
    <t>KFM2020660193112</t>
  </si>
  <si>
    <t>MMF2420601019966</t>
  </si>
  <si>
    <t>مسجد      الغملاس    بحي بدر .</t>
  </si>
  <si>
    <t>KFM2020660202486</t>
  </si>
  <si>
    <t xml:space="preserve">   مسجد/     العقيشيه  بالبجاديه .</t>
  </si>
  <si>
    <t>KFM2020660171146</t>
  </si>
  <si>
    <t xml:space="preserve">   مسجد/حي الوقف الجديدبالقرائن .</t>
  </si>
  <si>
    <t>KFM2020766062432</t>
  </si>
  <si>
    <t>ECC2420841080113</t>
  </si>
  <si>
    <t xml:space="preserve">      مسجد الحزم الجديد .</t>
  </si>
  <si>
    <t>AES2120896576115</t>
  </si>
  <si>
    <t xml:space="preserve">   مسجد جامع المناجر .</t>
  </si>
  <si>
    <t>KFM2020660060421</t>
  </si>
  <si>
    <t>مسجد بحى  بدر .</t>
  </si>
  <si>
    <t>KFM2020660115821</t>
  </si>
  <si>
    <t>مسجد مؤقت  بالشفاء .</t>
  </si>
  <si>
    <t>KFM2020660198442</t>
  </si>
  <si>
    <t xml:space="preserve">   جامع الصدر الاعلى .</t>
  </si>
  <si>
    <t>AEC2020830569502</t>
  </si>
  <si>
    <t xml:space="preserve">   مسجد جامع الجبيله .</t>
  </si>
  <si>
    <t>KFM2020660201391</t>
  </si>
  <si>
    <t>مسجد مخطط الاميرعبدالرحمن بن عبدالله .</t>
  </si>
  <si>
    <t>KFM2020660025748</t>
  </si>
  <si>
    <t xml:space="preserve">   مسجد شارع ثليم .</t>
  </si>
  <si>
    <t>KFM2120660242097</t>
  </si>
  <si>
    <t xml:space="preserve">   مسجد ارطاوى الرقاص  (خليل بريك) .</t>
  </si>
  <si>
    <t>KFM2020766098658</t>
  </si>
  <si>
    <t xml:space="preserve">   جامع الرمحية .</t>
  </si>
  <si>
    <t>KFM2120660244059</t>
  </si>
  <si>
    <t>مسجد البراءبن مالك .</t>
  </si>
  <si>
    <t>KFM2020660115823</t>
  </si>
  <si>
    <t>مسجد ام نايف عبدالله ابالحسن .</t>
  </si>
  <si>
    <t>KFM2020660170515</t>
  </si>
  <si>
    <t xml:space="preserve">   مسجدحرمة  حي الروضة . .</t>
  </si>
  <si>
    <t>KFM2120660257562</t>
  </si>
  <si>
    <t xml:space="preserve">      مـسـجـد عبدالله سعد الزمامى .</t>
  </si>
  <si>
    <t>AEC2020830524735</t>
  </si>
  <si>
    <t>KFM2020660200398</t>
  </si>
  <si>
    <t>مسجد      الزعاقي   بحي بدر .</t>
  </si>
  <si>
    <t>KFM2020660175055</t>
  </si>
  <si>
    <t>AES2120896552618</t>
  </si>
  <si>
    <t xml:space="preserve">   مسجدالأخلاص .</t>
  </si>
  <si>
    <t>KFM2020766160011</t>
  </si>
  <si>
    <t>SMR2220621001964</t>
  </si>
  <si>
    <t xml:space="preserve">   مسجد الفراج .</t>
  </si>
  <si>
    <t>KFM2120660240828</t>
  </si>
  <si>
    <t xml:space="preserve">   مسجد جامع الامير/سلطان بالبجاديه .</t>
  </si>
  <si>
    <t>KFM2020660208960</t>
  </si>
  <si>
    <t xml:space="preserve">   اوقاف الزلفي مسجدسليمان بن عبدال .</t>
  </si>
  <si>
    <t>KFM2120660257532</t>
  </si>
  <si>
    <t xml:space="preserve">  مسجد عسيله/محمد عبدالرحمن الحصيني .</t>
  </si>
  <si>
    <t>KFM2020660208978</t>
  </si>
  <si>
    <t>AES2020896410696</t>
  </si>
  <si>
    <t>مسجد      حي     الحزم .</t>
  </si>
  <si>
    <t>KFM2020660027271</t>
  </si>
  <si>
    <t xml:space="preserve">   مسجدمشروع الا سكان .</t>
  </si>
  <si>
    <t>KFM2020660209674</t>
  </si>
  <si>
    <t xml:space="preserve">   مسجد الذبيان .</t>
  </si>
  <si>
    <t>KFM2120660264100</t>
  </si>
  <si>
    <t xml:space="preserve">   وزارة الشئون الاسلاميةوالاوقاف .</t>
  </si>
  <si>
    <t>KFM2120660254550</t>
  </si>
  <si>
    <t xml:space="preserve">   مسجد المرقب الجديد .</t>
  </si>
  <si>
    <t>KFM2120660281955</t>
  </si>
  <si>
    <t xml:space="preserve">   مسجد      احمد بن   ///// .</t>
  </si>
  <si>
    <t>KFM2020760082892</t>
  </si>
  <si>
    <t>اوقاف ومساجد مسجد الرجع .</t>
  </si>
  <si>
    <t>AES2020896460951</t>
  </si>
  <si>
    <t xml:space="preserve">   مسجد / عبدالعزيز الخنين .</t>
  </si>
  <si>
    <t>KFM2120660249819</t>
  </si>
  <si>
    <t xml:space="preserve">   مسجد لولوه الوهيب .</t>
  </si>
  <si>
    <t>KFM2020660054521</t>
  </si>
  <si>
    <t xml:space="preserve">   مسجدابن رجب الحنبلي .</t>
  </si>
  <si>
    <t>KFM2120660271667</t>
  </si>
  <si>
    <t xml:space="preserve">   اوقاف الحصاةجامع ام اثله .</t>
  </si>
  <si>
    <t>AES2020896452167</t>
  </si>
  <si>
    <t xml:space="preserve">   مسجدعقيل الراجحي/عبدالرحمن راجحي .</t>
  </si>
  <si>
    <t>KFM2120660271576</t>
  </si>
  <si>
    <t>2)مسجد /مشروع  الاميرسلمان .</t>
  </si>
  <si>
    <t>KFM2020660038598</t>
  </si>
  <si>
    <t>KFM2020860519985</t>
  </si>
  <si>
    <t>KFM2020660211249</t>
  </si>
  <si>
    <t xml:space="preserve">   مسجد الناصريه/وزاره الا وقاف والم .</t>
  </si>
  <si>
    <t>KFM2020760189043</t>
  </si>
  <si>
    <t xml:space="preserve">   مسجد فهدبن  سلمه .</t>
  </si>
  <si>
    <t>KFM2020660127429</t>
  </si>
  <si>
    <t>.       مسجدالامام  مسلم .</t>
  </si>
  <si>
    <t>KFM2020660202633</t>
  </si>
  <si>
    <t xml:space="preserve">         مسجد الحرم الخالديه .</t>
  </si>
  <si>
    <t>KFM2020660150473</t>
  </si>
  <si>
    <t xml:space="preserve">   مسجد الطويل في روضة الطويل .</t>
  </si>
  <si>
    <t>KFM2020766090285</t>
  </si>
  <si>
    <t>KFM2020660197969</t>
  </si>
  <si>
    <t xml:space="preserve">   مسجد      حارة      ابو قيان .</t>
  </si>
  <si>
    <t>KFM2020760051287</t>
  </si>
  <si>
    <t>SMR2220661006996</t>
  </si>
  <si>
    <t>KFM2020660145229</t>
  </si>
  <si>
    <t>مسجد      ال  شيخ     بحي نمار .</t>
  </si>
  <si>
    <t>KFM2020660087424</t>
  </si>
  <si>
    <t xml:space="preserve"> مسجد صالح النملة/مدرسة تحفيظ القران .</t>
  </si>
  <si>
    <t>SMR2220661018886</t>
  </si>
  <si>
    <t xml:space="preserve">   اوقاف القويعيه /مسجدالرفيعه .</t>
  </si>
  <si>
    <t>AES2120896599328</t>
  </si>
  <si>
    <t xml:space="preserve">   مسجد      الرويضان .</t>
  </si>
  <si>
    <t>KFM2020660054514</t>
  </si>
  <si>
    <t xml:space="preserve">   مسجد      رقم3      حي طويق .</t>
  </si>
  <si>
    <t>KFM2020660225572</t>
  </si>
  <si>
    <t xml:space="preserve">   جامع هجرة/منيفة .</t>
  </si>
  <si>
    <t>KFM2120660252050</t>
  </si>
  <si>
    <t>KFM2020660142231</t>
  </si>
  <si>
    <t>وزارة الشؤون الإسلامية والدعوة والإرشاد .</t>
  </si>
  <si>
    <t>ECC2020810934218</t>
  </si>
  <si>
    <t>KFM2120660270005</t>
  </si>
  <si>
    <t>KFM2020660115707</t>
  </si>
  <si>
    <t>.   مسجد      ابي  ذر .</t>
  </si>
  <si>
    <t>KFM2020660175056</t>
  </si>
  <si>
    <t xml:space="preserve">   اوقاف الحصاة/جامع دراويش الجديد .</t>
  </si>
  <si>
    <t>KFM2020766159936</t>
  </si>
  <si>
    <t>KFM2020660053418</t>
  </si>
  <si>
    <t xml:space="preserve">   مسجد حي الوسطى  بحوطة سدير .</t>
  </si>
  <si>
    <t>KFM2020660210740</t>
  </si>
  <si>
    <t xml:space="preserve">   مسجد  حي الفيصليه .</t>
  </si>
  <si>
    <t>KFM2020660044716</t>
  </si>
  <si>
    <t>مسجد حي الحزم  وسكن الامام  والمؤذن .</t>
  </si>
  <si>
    <t>KFM2020660175033</t>
  </si>
  <si>
    <t xml:space="preserve">        مسجد ال فقشان اوقاف الدواسر .</t>
  </si>
  <si>
    <t>MMF2020800319447</t>
  </si>
  <si>
    <t xml:space="preserve">   مسجد      السالميه  نساح .</t>
  </si>
  <si>
    <t>AEC2020830569271</t>
  </si>
  <si>
    <t>.      مسجد      عياد .</t>
  </si>
  <si>
    <t>KFM2020660098950</t>
  </si>
  <si>
    <t xml:space="preserve">   مسجد/السفيرصالح الغفيلي وبيتي .</t>
  </si>
  <si>
    <t>KFM2020660191940</t>
  </si>
  <si>
    <t>SMR2220621000877</t>
  </si>
  <si>
    <t>ECC2020820008600</t>
  </si>
  <si>
    <t xml:space="preserve">      المسجد الجامع .</t>
  </si>
  <si>
    <t>MMF2420601018393</t>
  </si>
  <si>
    <t xml:space="preserve">     مسجد جنوب الحزم .</t>
  </si>
  <si>
    <t>AEC2020830527488</t>
  </si>
  <si>
    <t>مسجد منيرة الصالح ( عشيرة ) .</t>
  </si>
  <si>
    <t>AES2020896456600</t>
  </si>
  <si>
    <t xml:space="preserve">   مسجد النور  بحي لبن .</t>
  </si>
  <si>
    <t>KFM2020660211322</t>
  </si>
  <si>
    <t>مسجد / خليل  السبعان .</t>
  </si>
  <si>
    <t>KFM2020766093993</t>
  </si>
  <si>
    <t>وزاره      الشئون    مسجد الاحسان .</t>
  </si>
  <si>
    <t>KFM2020660018926</t>
  </si>
  <si>
    <t xml:space="preserve">   الاوقاف والمساجد/جامع الشرافا .</t>
  </si>
  <si>
    <t>KFM2020660174699</t>
  </si>
  <si>
    <t>مسجد السبيل .</t>
  </si>
  <si>
    <t>KFM2020766161571</t>
  </si>
  <si>
    <t>مسجد/عبدالرحمن الفارس .</t>
  </si>
  <si>
    <t>KFM2020760022530</t>
  </si>
  <si>
    <t>جامع اليحيى .</t>
  </si>
  <si>
    <t>KFM2120660305007</t>
  </si>
  <si>
    <t xml:space="preserve">   المسجد    الشمالي   بالشعراء .</t>
  </si>
  <si>
    <t>SMR2020850082192</t>
  </si>
  <si>
    <t xml:space="preserve">   مسجد سليمان عبدالعزيز النشوان .</t>
  </si>
  <si>
    <t>KFM2020660209314</t>
  </si>
  <si>
    <t xml:space="preserve">   (مسجد)حمد محمدال موسى .</t>
  </si>
  <si>
    <t>KFM2020660048995</t>
  </si>
  <si>
    <t xml:space="preserve">   وزاراة الشئون الاسلامية .</t>
  </si>
  <si>
    <t>KFM2120660255669</t>
  </si>
  <si>
    <t xml:space="preserve">   مسجد      الشيخ     السعيدان .</t>
  </si>
  <si>
    <t>KFM2020660051109</t>
  </si>
  <si>
    <t>KFM2020660208094</t>
  </si>
  <si>
    <t>KFM2020660200472</t>
  </si>
  <si>
    <t xml:space="preserve">    مسجد مقعد نويشي مخطط 865 رقم281 .</t>
  </si>
  <si>
    <t>KFM2020660231821</t>
  </si>
  <si>
    <t xml:space="preserve">   المسجد الشمالى بالديره .</t>
  </si>
  <si>
    <t>AES2020896449901</t>
  </si>
  <si>
    <t>مسجد      محمد      الشفرود .</t>
  </si>
  <si>
    <t>KFM2120660283977</t>
  </si>
  <si>
    <t xml:space="preserve">   مسجد حي أشبليا .</t>
  </si>
  <si>
    <t>KFM2020660129872</t>
  </si>
  <si>
    <t xml:space="preserve">   مسجداباالعبلان .</t>
  </si>
  <si>
    <t>AEC2020830295730</t>
  </si>
  <si>
    <t>جامع الاميرة هيا بنت تركي ال تركي .</t>
  </si>
  <si>
    <t>KFM2020660210861</t>
  </si>
  <si>
    <t>KFM2120660303516</t>
  </si>
  <si>
    <t>MMF2020800017057</t>
  </si>
  <si>
    <t>SMR2420761037997</t>
  </si>
  <si>
    <t xml:space="preserve">   اوقاف القويعية/جامع الخيس .</t>
  </si>
  <si>
    <t>AES2120896605989</t>
  </si>
  <si>
    <t xml:space="preserve">   مسجد      حمد       وسيله 2 .</t>
  </si>
  <si>
    <t>KFM2020766065324</t>
  </si>
  <si>
    <t xml:space="preserve">      مسجد عضيبان معيض  العنزى .</t>
  </si>
  <si>
    <t>KFM2020660225281</t>
  </si>
  <si>
    <t>KFM2020660006238</t>
  </si>
  <si>
    <t>SMR2220661006894</t>
  </si>
  <si>
    <t xml:space="preserve">   مسجد / محطه مبارك عبدالله المطلق .</t>
  </si>
  <si>
    <t>KFM2120660271491</t>
  </si>
  <si>
    <t xml:space="preserve">   مسجد/     الصاهد    الاوقاف والدع .</t>
  </si>
  <si>
    <t>AES2120896586015</t>
  </si>
  <si>
    <t xml:space="preserve">   مسجد/ سارة صالح العماري .</t>
  </si>
  <si>
    <t>KFM2020660097480</t>
  </si>
  <si>
    <t>KFM2020660231139</t>
  </si>
  <si>
    <t>KFM2020660007977</t>
  </si>
  <si>
    <t xml:space="preserve">   مسجد/     هجرة      ///////// .</t>
  </si>
  <si>
    <t>ECC2020811107689</t>
  </si>
  <si>
    <t xml:space="preserve">      مسجد الجايز بالقطين .</t>
  </si>
  <si>
    <t>SMR2020856128587</t>
  </si>
  <si>
    <t>مسجد الحكير بالعريجاء .</t>
  </si>
  <si>
    <t>KFM2020660171731</t>
  </si>
  <si>
    <t>مسجد بن دليميه .</t>
  </si>
  <si>
    <t>KFM2020760037556</t>
  </si>
  <si>
    <t xml:space="preserve">   مسجد ال طرجم بالفويسة .</t>
  </si>
  <si>
    <t>LYE2020830242100</t>
  </si>
  <si>
    <t>KFM2020660098952</t>
  </si>
  <si>
    <t>0    مسجد      القرينى .</t>
  </si>
  <si>
    <t>KFM2020660057779</t>
  </si>
  <si>
    <t xml:space="preserve">    مسجد  غلاب العتيبي .</t>
  </si>
  <si>
    <t>KFM2020660195082</t>
  </si>
  <si>
    <t>MMF2420601016424</t>
  </si>
  <si>
    <t xml:space="preserve">   مسجـد/      عمر     الخطاب .</t>
  </si>
  <si>
    <t>AES2020896450378</t>
  </si>
  <si>
    <t>SMR2320661031242</t>
  </si>
  <si>
    <t xml:space="preserve">   مسجدالحبيشي .</t>
  </si>
  <si>
    <t>KFM2020660138307</t>
  </si>
  <si>
    <t xml:space="preserve">    مسجد سلمان الفارسي  بزياد .</t>
  </si>
  <si>
    <t>KFM2020766166046</t>
  </si>
  <si>
    <t>SMR2320661028741</t>
  </si>
  <si>
    <t xml:space="preserve">    اوقاف الرين/مسجدام سدرةبالرواما .</t>
  </si>
  <si>
    <t>SMR2020850072265</t>
  </si>
  <si>
    <t xml:space="preserve">   اوقاف الخرج /مسجدال عينين .</t>
  </si>
  <si>
    <t>KFM2020660230247</t>
  </si>
  <si>
    <t xml:space="preserve">   مسجد/     الحارة    //////// .</t>
  </si>
  <si>
    <t>AES2020896447918</t>
  </si>
  <si>
    <t>KFM2020660207553</t>
  </si>
  <si>
    <t>KFM2020660043925</t>
  </si>
  <si>
    <t>KFM2020660208095</t>
  </si>
  <si>
    <t xml:space="preserve">     مـسـجـد برزان (اوقاف القويعيه) .</t>
  </si>
  <si>
    <t>AES2120896537484</t>
  </si>
  <si>
    <t xml:space="preserve">   مسجد منيرة ال الشيخ .</t>
  </si>
  <si>
    <t>KFM2020660044754</t>
  </si>
  <si>
    <t xml:space="preserve">   مسجد/ جامع العماريه .</t>
  </si>
  <si>
    <t>KFM2020660211227</t>
  </si>
  <si>
    <t>KFM2020660051387</t>
  </si>
  <si>
    <t xml:space="preserve">   مسجدامين العبدالعزيز .</t>
  </si>
  <si>
    <t>KFM2020660234120</t>
  </si>
  <si>
    <t>SMR2220621001087</t>
  </si>
  <si>
    <t xml:space="preserve">   مسجد/ناشي ابراهيم النفيعي .</t>
  </si>
  <si>
    <t>AES2120896586066</t>
  </si>
  <si>
    <t>مسجد حى  نمار .</t>
  </si>
  <si>
    <t>KFM2020660203229</t>
  </si>
  <si>
    <t>KFM2120660253399</t>
  </si>
  <si>
    <t xml:space="preserve">    مـسـجـد العزيزيه(اوقاف القويعيه) .</t>
  </si>
  <si>
    <t>AES2020896346946</t>
  </si>
  <si>
    <t>مسجد بلك  4بالدخل  المحدود .</t>
  </si>
  <si>
    <t>KFM2020660201708</t>
  </si>
  <si>
    <t xml:space="preserve">   أوقاف الحصاة/مسجد العميد .</t>
  </si>
  <si>
    <t>AEC2020830305922</t>
  </si>
  <si>
    <t>AES2120896592615</t>
  </si>
  <si>
    <t>KFM2020660199256</t>
  </si>
  <si>
    <t xml:space="preserve">   المسحد     الجامع    بالفقاره .</t>
  </si>
  <si>
    <t>KFM2020766098735</t>
  </si>
  <si>
    <t>KFM2020660190846</t>
  </si>
  <si>
    <t xml:space="preserve">   مسجد مخطط بن حنيف .</t>
  </si>
  <si>
    <t>SMR2020850114992</t>
  </si>
  <si>
    <t xml:space="preserve">   مسجدورثه عبدالله الفوزان .</t>
  </si>
  <si>
    <t>KFM2020660188169</t>
  </si>
  <si>
    <t>مسجد      صناعية  الجود بحي الشفا .</t>
  </si>
  <si>
    <t>KFM2020660057829</t>
  </si>
  <si>
    <t>MMF2020800259425</t>
  </si>
  <si>
    <t xml:space="preserve">   مسجد المدابله .</t>
  </si>
  <si>
    <t>KFM2020660191429</t>
  </si>
  <si>
    <t xml:space="preserve">   مسجدصالح اليحي .</t>
  </si>
  <si>
    <t>KFM2020660160326</t>
  </si>
  <si>
    <t xml:space="preserve">   اوقاف الزلفي (مسجدالتقوى) .</t>
  </si>
  <si>
    <t>KFM2020766159151</t>
  </si>
  <si>
    <t>MMF2420801338773</t>
  </si>
  <si>
    <t xml:space="preserve">      مسجد قصر العيد والعجلان .</t>
  </si>
  <si>
    <t>KFM2020766154256</t>
  </si>
  <si>
    <t>مسجد الاحنف بن قيس .</t>
  </si>
  <si>
    <t>KFM2020660177023</t>
  </si>
  <si>
    <t xml:space="preserve">   مسجد العقيفي .</t>
  </si>
  <si>
    <t>KFM2020660170482</t>
  </si>
  <si>
    <t>KFM2020660046042</t>
  </si>
  <si>
    <t xml:space="preserve">   مسجدالهجره .</t>
  </si>
  <si>
    <t>KFM2120660242018</t>
  </si>
  <si>
    <t xml:space="preserve">   مسجد/روضة جهام الجامع .</t>
  </si>
  <si>
    <t>KFM2020766086275</t>
  </si>
  <si>
    <t>LYE2020810242976</t>
  </si>
  <si>
    <t xml:space="preserve">   مسجد الجابر .</t>
  </si>
  <si>
    <t>KFM2020660209247</t>
  </si>
  <si>
    <t xml:space="preserve">       مسجد القرنه .</t>
  </si>
  <si>
    <t>KFM2020660172428</t>
  </si>
  <si>
    <t xml:space="preserve">   مسجد ضاحية القدس .</t>
  </si>
  <si>
    <t>KFM2020660056887</t>
  </si>
  <si>
    <t xml:space="preserve">   جامع      لجعه      بلجعه .</t>
  </si>
  <si>
    <t>KFM2020660173266</t>
  </si>
  <si>
    <t xml:space="preserve">   مسجد وزارةالشئون والاوقاف .</t>
  </si>
  <si>
    <t>KFM2020660104861</t>
  </si>
  <si>
    <t xml:space="preserve">   مسجد      الخلفاء   . .</t>
  </si>
  <si>
    <t>KFM2020660050559</t>
  </si>
  <si>
    <t xml:space="preserve">   مسجد الكرافيت  /الاوقاف والمساجد .</t>
  </si>
  <si>
    <t>SMR2220661004578</t>
  </si>
  <si>
    <t xml:space="preserve">   مسجد الأميره نوره بنت تركي .</t>
  </si>
  <si>
    <t>KFM2020660167820</t>
  </si>
  <si>
    <t xml:space="preserve">    مسجد / أم طليحه .</t>
  </si>
  <si>
    <t>MMF2420801283251</t>
  </si>
  <si>
    <t xml:space="preserve">   اوقاف القويعيه /مسجدالجمعيه .</t>
  </si>
  <si>
    <t>AES2020896525154</t>
  </si>
  <si>
    <t xml:space="preserve">   مسجد      ابن باز   نساح .</t>
  </si>
  <si>
    <t>KFM2020766162268</t>
  </si>
  <si>
    <t xml:space="preserve">   مسجد سعيد بن صرير .</t>
  </si>
  <si>
    <t>KFM2020660234131</t>
  </si>
  <si>
    <t>KFM2020660165007</t>
  </si>
  <si>
    <t>مسجد ابو دجانه .</t>
  </si>
  <si>
    <t>KFM2020660052771</t>
  </si>
  <si>
    <t xml:space="preserve">   مسجد سليمان المشوح .</t>
  </si>
  <si>
    <t>KFM2120660295348</t>
  </si>
  <si>
    <t>AEC2020830204355</t>
  </si>
  <si>
    <t>مسجد رحيم .</t>
  </si>
  <si>
    <t>SMR2020850076328</t>
  </si>
  <si>
    <t xml:space="preserve">    مسجد ال سيف ببرك .</t>
  </si>
  <si>
    <t>SMR2020856046668</t>
  </si>
  <si>
    <t xml:space="preserve">   مسجد بن العمى  في سنام .</t>
  </si>
  <si>
    <t>KFM2120660241386</t>
  </si>
  <si>
    <t xml:space="preserve">   مسجدحمزه بن عبدالمطلب .</t>
  </si>
  <si>
    <t>KFM2020660034616</t>
  </si>
  <si>
    <t xml:space="preserve">   المسجد الشمالى بالوقف .</t>
  </si>
  <si>
    <t>KFM2020660154932</t>
  </si>
  <si>
    <t xml:space="preserve">   جامع هجره سعد .</t>
  </si>
  <si>
    <t>KFM2020766147248</t>
  </si>
  <si>
    <t xml:space="preserve">   مسجد      مركز      ///// .</t>
  </si>
  <si>
    <t>KFM2020760051320</t>
  </si>
  <si>
    <t>KFM2120660247901</t>
  </si>
  <si>
    <t>مسجد محمد التويجرى .</t>
  </si>
  <si>
    <t>KFM2020660054922</t>
  </si>
  <si>
    <t>مسجد العليان .</t>
  </si>
  <si>
    <t>KFM2020760004849</t>
  </si>
  <si>
    <t>SMR2320661028183</t>
  </si>
  <si>
    <t xml:space="preserve">   جامع/هجرة بن شميسان .</t>
  </si>
  <si>
    <t>KFM2020660204125</t>
  </si>
  <si>
    <t>مسجدالشيخ  محمد بن عبد الوهاب .</t>
  </si>
  <si>
    <t>KFM2020660038791</t>
  </si>
  <si>
    <t>مسجد جامع  شرق  حله  بن دايل .</t>
  </si>
  <si>
    <t>KFM2020660204006</t>
  </si>
  <si>
    <t>SMR2020850098221</t>
  </si>
  <si>
    <t xml:space="preserve">   مسجدالحابوط (خاص )بيجادراشد .</t>
  </si>
  <si>
    <t>AEC2020830312708</t>
  </si>
  <si>
    <t>KFM2120660249852</t>
  </si>
  <si>
    <t xml:space="preserve">   مسجد ال جامش .</t>
  </si>
  <si>
    <t>KFM2020660144705</t>
  </si>
  <si>
    <t>SMR2320661030401</t>
  </si>
  <si>
    <t xml:space="preserve">   مسجد      الحي      الشمالي .</t>
  </si>
  <si>
    <t>KFM2020760082719</t>
  </si>
  <si>
    <t>KFM2020660200903</t>
  </si>
  <si>
    <t>KFM2020660057271</t>
  </si>
  <si>
    <t xml:space="preserve">   مسجد/ ظهره الشماليه .</t>
  </si>
  <si>
    <t>KFM2020660203010</t>
  </si>
  <si>
    <t>KFM2120660245972</t>
  </si>
  <si>
    <t>MMF2420801446154</t>
  </si>
  <si>
    <t>.   مسجد      الفاخرية .</t>
  </si>
  <si>
    <t>KFM2020660014155</t>
  </si>
  <si>
    <t xml:space="preserve">   مسجد/     الرديفه   الرشاء .</t>
  </si>
  <si>
    <t>AES2120896586223</t>
  </si>
  <si>
    <t xml:space="preserve">      بريكان بن مجلد (مسجد) .</t>
  </si>
  <si>
    <t>AEC2020830521966</t>
  </si>
  <si>
    <t>AES2020896455043</t>
  </si>
  <si>
    <t>KFM2120660270048</t>
  </si>
  <si>
    <t xml:space="preserve">   مسجد-الشيخ/تركي متعب قويد .</t>
  </si>
  <si>
    <t>KFM2020660206114</t>
  </si>
  <si>
    <t>مسجد الموس  الموقت .</t>
  </si>
  <si>
    <t>KFM2020660019021</t>
  </si>
  <si>
    <t>مسجد      الذهبي    بحى  طويق .</t>
  </si>
  <si>
    <t>KFM2020660171620</t>
  </si>
  <si>
    <t xml:space="preserve">   اوقاف الدواسر/ جامع القويز .</t>
  </si>
  <si>
    <t>KFM2020660174665</t>
  </si>
  <si>
    <t xml:space="preserve">   اوقاف الخرج /مسجد رياض الصالحين .</t>
  </si>
  <si>
    <t>KFM2120660249939</t>
  </si>
  <si>
    <t>مسجد الاميرمحمدبن سعودالكبير .</t>
  </si>
  <si>
    <t>KFM2020660175865</t>
  </si>
  <si>
    <t xml:space="preserve">   مسجدعثمان بن عفان   حي النسيم .</t>
  </si>
  <si>
    <t>KFM2020660057056</t>
  </si>
  <si>
    <t>مسجد ضاحية  العريجاء .</t>
  </si>
  <si>
    <t>KFM2020660018979</t>
  </si>
  <si>
    <t>مسجد حوشى  الكهرباء .</t>
  </si>
  <si>
    <t>KFM2120660300187</t>
  </si>
  <si>
    <t xml:space="preserve">   مسجد الرفيعة .</t>
  </si>
  <si>
    <t>KFM2120660262199</t>
  </si>
  <si>
    <t>SMR2120765018822</t>
  </si>
  <si>
    <t xml:space="preserve">    مسجد بحي الفلاح مبارك عبدالمحسن .</t>
  </si>
  <si>
    <t>MMF2420801445820</t>
  </si>
  <si>
    <t>KFM2120660303442</t>
  </si>
  <si>
    <t>مسجد  عمر بن    عبد العزيز .</t>
  </si>
  <si>
    <t>KFM2020660167695</t>
  </si>
  <si>
    <t>AES2020896459268</t>
  </si>
  <si>
    <t xml:space="preserve">    المسجد الجنوبي بالارطاوي .</t>
  </si>
  <si>
    <t>KFM2020660208482</t>
  </si>
  <si>
    <t xml:space="preserve">   أوقاف القويعيه/مسجد حي الرفاع .</t>
  </si>
  <si>
    <t>AEC2020830230759</t>
  </si>
  <si>
    <t xml:space="preserve">        مسجد الصبيحي عين الصوينع .</t>
  </si>
  <si>
    <t>KFM2020660173275</t>
  </si>
  <si>
    <t xml:space="preserve">   مسجد رقم 5 حي الاسكان رقم 1 .</t>
  </si>
  <si>
    <t>KFM2020660162705</t>
  </si>
  <si>
    <t>مسجد علي الفوزان .</t>
  </si>
  <si>
    <t>KFM2120660253332</t>
  </si>
  <si>
    <t xml:space="preserve">      مسجد على شجاع .</t>
  </si>
  <si>
    <t>KFM2020660233503</t>
  </si>
  <si>
    <t>AES2120896585440</t>
  </si>
  <si>
    <t xml:space="preserve">   مسجد محطة الخثلان .</t>
  </si>
  <si>
    <t>KFM2020766160019</t>
  </si>
  <si>
    <t xml:space="preserve">   مسجد      المفلحيه  . .</t>
  </si>
  <si>
    <t>MMF2320801107145</t>
  </si>
  <si>
    <t>مسجدالخراشي .</t>
  </si>
  <si>
    <t>KFM2020660177037</t>
  </si>
  <si>
    <t xml:space="preserve">   جامع الغربيه .</t>
  </si>
  <si>
    <t>KFM2120660241409</t>
  </si>
  <si>
    <t xml:space="preserve">      مـسـجـد النايفيه     بالرين .</t>
  </si>
  <si>
    <t>MMF2420801414033</t>
  </si>
  <si>
    <t>KFM2120660304068</t>
  </si>
  <si>
    <t>KFM2020660013748</t>
  </si>
  <si>
    <t xml:space="preserve">   مسجد      محمد      الكثيري .</t>
  </si>
  <si>
    <t>SMR2420861027914</t>
  </si>
  <si>
    <t>AEC2020830249967</t>
  </si>
  <si>
    <t>KFM2020660054559</t>
  </si>
  <si>
    <t>KFM2120660270065</t>
  </si>
  <si>
    <t xml:space="preserve">   مسجدسعودمحمدالمقبل .</t>
  </si>
  <si>
    <t>KFM2120660274261</t>
  </si>
  <si>
    <t xml:space="preserve">   مسجد مخطط 47 بالدرعيه .</t>
  </si>
  <si>
    <t>KFM2020660191253</t>
  </si>
  <si>
    <t xml:space="preserve">   الاوقاف مسجدالنعمان بن مقرن مزني .</t>
  </si>
  <si>
    <t>KFM2120655001634</t>
  </si>
  <si>
    <t>مسجد محمد عبدالله  المناحى .</t>
  </si>
  <si>
    <t>SMR2220661011596</t>
  </si>
  <si>
    <t xml:space="preserve">      مسجد حى المرقب .</t>
  </si>
  <si>
    <t>KFM2020660209447</t>
  </si>
  <si>
    <t>جامع ابوبكر الصديق بثرمداء .</t>
  </si>
  <si>
    <t>KFM2120660251108</t>
  </si>
  <si>
    <t>KFM2020660007006</t>
  </si>
  <si>
    <t>KFM2020766085363</t>
  </si>
  <si>
    <t>KFM2020660052742</t>
  </si>
  <si>
    <t>KFM2020660045958</t>
  </si>
  <si>
    <t>مسجد الاميرسلمان بن محمد .</t>
  </si>
  <si>
    <t>KFM2020660038742</t>
  </si>
  <si>
    <t xml:space="preserve">   مسجد      صالح      البراهيم .</t>
  </si>
  <si>
    <t>KFM2020760210600</t>
  </si>
  <si>
    <t xml:space="preserve">   مسجد      عطيه      بالقرين .</t>
  </si>
  <si>
    <t>ECC2020810934433</t>
  </si>
  <si>
    <t xml:space="preserve">   مسجد جامع الجافورة .</t>
  </si>
  <si>
    <t>MMF2420601020010</t>
  </si>
  <si>
    <t xml:space="preserve">   مسجد محطه السكه الحديد .</t>
  </si>
  <si>
    <t>KFM2120660236196</t>
  </si>
  <si>
    <t>KFM2020660175730</t>
  </si>
  <si>
    <t xml:space="preserve">   مسجدالشيخ صالح ال ع ال الشيخ .</t>
  </si>
  <si>
    <t>KFM2120660292713</t>
  </si>
  <si>
    <t xml:space="preserve">   أوقاف ومساجدالأفلاج / مسجد أم طلحه .</t>
  </si>
  <si>
    <t>AES2020896460947</t>
  </si>
  <si>
    <t>KFM2020660200892</t>
  </si>
  <si>
    <t>KFM2120660262528</t>
  </si>
  <si>
    <t xml:space="preserve">      مسجد/ابراهيم بن على الشدى .</t>
  </si>
  <si>
    <t>KFM2020760210475</t>
  </si>
  <si>
    <t>KFM2020660039169</t>
  </si>
  <si>
    <t>AEC2020830304147</t>
  </si>
  <si>
    <t xml:space="preserve">   مسجدالعيدبالعطيان .</t>
  </si>
  <si>
    <t>ECC2020811029060</t>
  </si>
  <si>
    <t xml:space="preserve">   مسجد العيديه .</t>
  </si>
  <si>
    <t>KFM2020660204325</t>
  </si>
  <si>
    <t>KFM2120660282524</t>
  </si>
  <si>
    <t xml:space="preserve">   مسجد النقوي .</t>
  </si>
  <si>
    <t>KFM2020660045850</t>
  </si>
  <si>
    <t>KFM2020660192252</t>
  </si>
  <si>
    <t xml:space="preserve">   مسجدمحمد  المفدى    النسيم .</t>
  </si>
  <si>
    <t>KFM2020660057026</t>
  </si>
  <si>
    <t>AEC2020830574024</t>
  </si>
  <si>
    <t xml:space="preserve">      اوقاف مرات/جامع خالدبن الوليد .</t>
  </si>
  <si>
    <t>KFM2120660289807</t>
  </si>
  <si>
    <t xml:space="preserve">   مسجد كلية الملك خالدالعسكرية .</t>
  </si>
  <si>
    <t>KFM2020660145796</t>
  </si>
  <si>
    <t xml:space="preserve">   مسجدالازدهار .</t>
  </si>
  <si>
    <t>KFM2020660173039</t>
  </si>
  <si>
    <t xml:space="preserve">    مسجد المنيفيه .</t>
  </si>
  <si>
    <t>KFM2020766098673</t>
  </si>
  <si>
    <t xml:space="preserve">   مسجدجامع الحيانيةالقديم .</t>
  </si>
  <si>
    <t>KFM2020766167359</t>
  </si>
  <si>
    <t>مسجد الوشام .</t>
  </si>
  <si>
    <t>KFM2020660039111</t>
  </si>
  <si>
    <t xml:space="preserve">   مسجد الدار البيضاء في الجهة الشر .</t>
  </si>
  <si>
    <t>KFM2020660161625</t>
  </si>
  <si>
    <t>LYE2020830079702</t>
  </si>
  <si>
    <t xml:space="preserve">   مسجد/ عبداللةالسلامة .</t>
  </si>
  <si>
    <t>KFM2020766110711</t>
  </si>
  <si>
    <t>KFM2020660187616</t>
  </si>
  <si>
    <t xml:space="preserve">   مسجد عبدالعزيز الحقيل .</t>
  </si>
  <si>
    <t>KFM2020660041491</t>
  </si>
  <si>
    <t xml:space="preserve">   اوقاف القويعيه/ مسجد حله ال سريع .</t>
  </si>
  <si>
    <t>KFM2020766167735</t>
  </si>
  <si>
    <t xml:space="preserve">    جامع مركز العبدلي .</t>
  </si>
  <si>
    <t>KFM2020766040400</t>
  </si>
  <si>
    <t>مسجد رياض الصالحين .</t>
  </si>
  <si>
    <t>SMR2020850049511</t>
  </si>
  <si>
    <t xml:space="preserve">   وزاره الشئون  والاوقاف  مسجد .</t>
  </si>
  <si>
    <t>KFM2020660014264</t>
  </si>
  <si>
    <t>SMR2220661007837</t>
  </si>
  <si>
    <t>KFM2020660171720</t>
  </si>
  <si>
    <t xml:space="preserve">   اوقاف الخرج --مسجد صالح الموينع .</t>
  </si>
  <si>
    <t>KFM2120660270833</t>
  </si>
  <si>
    <t xml:space="preserve">   مسجد-ابو سدر .</t>
  </si>
  <si>
    <t>KFM2120660241397</t>
  </si>
  <si>
    <t>KFM2020660054357</t>
  </si>
  <si>
    <t xml:space="preserve">   مسجد      العصيمى .</t>
  </si>
  <si>
    <t>KFM2020660058026</t>
  </si>
  <si>
    <t>مسجد ناصر الخريجي .</t>
  </si>
  <si>
    <t>KFM2020660171611</t>
  </si>
  <si>
    <t xml:space="preserve">   مسجد بحي السليمانيةغرب 476 ق 68 .</t>
  </si>
  <si>
    <t>KFM2020660212189</t>
  </si>
  <si>
    <t>KFM2020660200665</t>
  </si>
  <si>
    <t>ECC2020811068809</t>
  </si>
  <si>
    <t xml:space="preserve">   جـامـع الخـالديــــه .</t>
  </si>
  <si>
    <t>KFM2020660210723</t>
  </si>
  <si>
    <t xml:space="preserve">   مسجد ابناءناصر محمد اباالروس .</t>
  </si>
  <si>
    <t>SMR2020850002709</t>
  </si>
  <si>
    <t xml:space="preserve"> جامع/الاميرسعدبن خالد بهجرة ال مقوي .</t>
  </si>
  <si>
    <t>KFM2120660260722</t>
  </si>
  <si>
    <t>AES2120896565853</t>
  </si>
  <si>
    <t xml:space="preserve">   مسجدالاحنف بن قيس  مخطط 252 عفيف0 .</t>
  </si>
  <si>
    <t>ECC2020811070588</t>
  </si>
  <si>
    <t xml:space="preserve">   مسجد راشد حماد .</t>
  </si>
  <si>
    <t>MMF2020800219111</t>
  </si>
  <si>
    <t>SMR2120765017221</t>
  </si>
  <si>
    <t>SMR2320661033990</t>
  </si>
  <si>
    <t>KFM2020660202454</t>
  </si>
  <si>
    <t xml:space="preserve">   مسجد الطلاسى بالعود .</t>
  </si>
  <si>
    <t>KFM2020660044671</t>
  </si>
  <si>
    <t xml:space="preserve">   مسجد  قرية  الهميج   الشرقي    0 .</t>
  </si>
  <si>
    <t>AES2020896440362</t>
  </si>
  <si>
    <t>KFM2020660008776</t>
  </si>
  <si>
    <t xml:space="preserve">     مسجد ال هذال بالاحمر .</t>
  </si>
  <si>
    <t>KFM2020766054486</t>
  </si>
  <si>
    <t>جامع حمد العمري .</t>
  </si>
  <si>
    <t>KFM2020660104879</t>
  </si>
  <si>
    <t>KFM2020660211245</t>
  </si>
  <si>
    <t>مسجد  /عبدالرحمن عبدالله  المهيدب .</t>
  </si>
  <si>
    <t>SMR2420661038979</t>
  </si>
  <si>
    <t>KFM2020660201622</t>
  </si>
  <si>
    <t>KFM2020660198565</t>
  </si>
  <si>
    <t xml:space="preserve">    مسجد الباحوث .</t>
  </si>
  <si>
    <t>KFM2020660171087</t>
  </si>
  <si>
    <t>AES2120896552549</t>
  </si>
  <si>
    <t xml:space="preserve">   مسجد      سليمان    العيسى .</t>
  </si>
  <si>
    <t>KFM2020660057593</t>
  </si>
  <si>
    <t>SMR2420868011887</t>
  </si>
  <si>
    <t xml:space="preserve">   مسجد      عبدالله   البخرا .</t>
  </si>
  <si>
    <t>AEC2020830558426</t>
  </si>
  <si>
    <t xml:space="preserve">   مسجد عبدالله اللحيدان .</t>
  </si>
  <si>
    <t>KFM2120660242863</t>
  </si>
  <si>
    <t>KFM2020660192960</t>
  </si>
  <si>
    <t xml:space="preserve">   أوقاف القويعية-مسجدالشتلانية .</t>
  </si>
  <si>
    <t>KFM2020766163439</t>
  </si>
  <si>
    <t>مسجد القرنين .</t>
  </si>
  <si>
    <t>KFM2020660014231</t>
  </si>
  <si>
    <t>KFM2020660047308</t>
  </si>
  <si>
    <t>MMF2020800319404</t>
  </si>
  <si>
    <t xml:space="preserve">   مسجدعقبه بن نافع .</t>
  </si>
  <si>
    <t>KFM2020660153894</t>
  </si>
  <si>
    <t>SMR2220661007022</t>
  </si>
  <si>
    <t xml:space="preserve">   مسجدالبديعهبالبديع .</t>
  </si>
  <si>
    <t>KFM2020766167875</t>
  </si>
  <si>
    <t xml:space="preserve">      مـسـجـد /مطلق بن ذعار .</t>
  </si>
  <si>
    <t>KFM2020766148284</t>
  </si>
  <si>
    <t>مسجد عبدالرحمن عبدالله  المسند .</t>
  </si>
  <si>
    <t>KFM2020766161471</t>
  </si>
  <si>
    <t xml:space="preserve">   أوقاف     و مساجد   مسجد آل تني .</t>
  </si>
  <si>
    <t>LYE2020810242992</t>
  </si>
  <si>
    <t>SMR2220661002494</t>
  </si>
  <si>
    <t>KFM2020766165237</t>
  </si>
  <si>
    <t xml:space="preserve">   مسجد/مخطط الفيصلية  جلوى .</t>
  </si>
  <si>
    <t>MMF2420801283174</t>
  </si>
  <si>
    <t>KFM2120660271622</t>
  </si>
  <si>
    <t xml:space="preserve">   مسجد السبعان الحجري .</t>
  </si>
  <si>
    <t>KFM2120660302063</t>
  </si>
  <si>
    <t>ﺍﺩﺭﺍﻩ ﺍﻻﻭﻗﺎﻑ ﻭﺍﻟﻤﺴﺎﺠﺩ ﻭﺍﻟﺩﻋﻭﻩ .</t>
  </si>
  <si>
    <t>DZG2020850096874</t>
  </si>
  <si>
    <t>KFM2020766158184</t>
  </si>
  <si>
    <t xml:space="preserve">   جامع البدائع .</t>
  </si>
  <si>
    <t>MMF2420701006902</t>
  </si>
  <si>
    <t xml:space="preserve">   مسجد      بجاد      القحطاني .</t>
  </si>
  <si>
    <t>AEC2020830575916</t>
  </si>
  <si>
    <t xml:space="preserve">   مسجد      أبي سعيد  الخدري .</t>
  </si>
  <si>
    <t>KFM2120760242334</t>
  </si>
  <si>
    <t>AES2120896590434</t>
  </si>
  <si>
    <t>KFM2020660131994</t>
  </si>
  <si>
    <t xml:space="preserve">   مسجد      عبدالله   الا كلبي .</t>
  </si>
  <si>
    <t>AES2020896460578</t>
  </si>
  <si>
    <t>جامع قرية فيضة عفيف .</t>
  </si>
  <si>
    <t>SMR2320661022526</t>
  </si>
  <si>
    <t xml:space="preserve">   مسجد حي النسيم الشرقي .</t>
  </si>
  <si>
    <t>KFM2020660042590</t>
  </si>
  <si>
    <t>مسجد      محمد      بن عبدالوهاب .</t>
  </si>
  <si>
    <t>KFM2020660171573</t>
  </si>
  <si>
    <t xml:space="preserve">   اوقاف الزاحميه /مسجدالشفاوي .</t>
  </si>
  <si>
    <t>AES2020896473147</t>
  </si>
  <si>
    <t>.      مسجد      جعفر .</t>
  </si>
  <si>
    <t>KFM2020660203378</t>
  </si>
  <si>
    <t xml:space="preserve">   مسجد امعنيق .</t>
  </si>
  <si>
    <t>KFM2120660271861</t>
  </si>
  <si>
    <t>.مسجد      الملك  خالد .</t>
  </si>
  <si>
    <t>KFM2020660198965</t>
  </si>
  <si>
    <t>مسجد الامير سعود بن فهد بثرمداء .</t>
  </si>
  <si>
    <t>KFM2020766161858</t>
  </si>
  <si>
    <t xml:space="preserve">   اوقاف الوشم/ مسجد حويته الشمالي .</t>
  </si>
  <si>
    <t>KFM2120660247909</t>
  </si>
  <si>
    <t xml:space="preserve">    اوقاف الدواسر/مسجدحمادمحمدعليان .</t>
  </si>
  <si>
    <t>KFM2020760212318</t>
  </si>
  <si>
    <t>AES2020896528155</t>
  </si>
  <si>
    <t xml:space="preserve">   جامع.     ابن       نومه .</t>
  </si>
  <si>
    <t>AES2020896318166</t>
  </si>
  <si>
    <t>KFM2020766153933</t>
  </si>
  <si>
    <t>مسجد الترمذي .</t>
  </si>
  <si>
    <t>KFM2020660098828</t>
  </si>
  <si>
    <t>KFM2020660104169</t>
  </si>
  <si>
    <t>مسجد      شعبة       ابن الحجاج .</t>
  </si>
  <si>
    <t>KFM2020660198406</t>
  </si>
  <si>
    <t>KFM2020660037503</t>
  </si>
  <si>
    <t>AES2020896448525</t>
  </si>
  <si>
    <t>MMF2020800321870</t>
  </si>
  <si>
    <t>ﻋﺒﺩﺍﻟﻜﺭﻴﻡ ﻓﺎﻟﺝ ﻁﺎﻴﻊ ﺍﻟﻌﻀﻴﻟﻩ ﺍﻟﻤﻁﻴﺭﻱ .</t>
  </si>
  <si>
    <t>SMR2020856092272</t>
  </si>
  <si>
    <t xml:space="preserve">   مسجد محمد سعود العجاجي .</t>
  </si>
  <si>
    <t>KFM2020660192549</t>
  </si>
  <si>
    <t xml:space="preserve">   مسجد علي بن أبي طالب بأثيثية .</t>
  </si>
  <si>
    <t>KFM2020766161830</t>
  </si>
  <si>
    <t>مسجدالحمادى .</t>
  </si>
  <si>
    <t>KFM2020660201737</t>
  </si>
  <si>
    <t>SMR2020850116503</t>
  </si>
  <si>
    <t xml:space="preserve">   مسجد      الشيخ     بن باز .</t>
  </si>
  <si>
    <t>KFM2020660171230</t>
  </si>
  <si>
    <t>مسجد آل  عبدالله .</t>
  </si>
  <si>
    <t>KFM2020660044002</t>
  </si>
  <si>
    <t>مسجد عبدالله  الخضيرى .</t>
  </si>
  <si>
    <t>KFM2020660038718</t>
  </si>
  <si>
    <t xml:space="preserve">      مسجد زياد العقيلى .</t>
  </si>
  <si>
    <t>SMR2220661004042</t>
  </si>
  <si>
    <t xml:space="preserve">   مسجد المباري بالجمش .</t>
  </si>
  <si>
    <t>AEC2020830566253</t>
  </si>
  <si>
    <t xml:space="preserve">      اوقاف الدواسر/جامع الخماسين .</t>
  </si>
  <si>
    <t>KFM2020660177858</t>
  </si>
  <si>
    <t>مسجد /في حي بدر .</t>
  </si>
  <si>
    <t>KFM2020660177022</t>
  </si>
  <si>
    <t xml:space="preserve">    جــامـع الناصفه(اوقاف القويعيه) .</t>
  </si>
  <si>
    <t>KFM2020766163511</t>
  </si>
  <si>
    <t xml:space="preserve">   مسجد تركي مبارك الغامدي .</t>
  </si>
  <si>
    <t>KFM2020660196077</t>
  </si>
  <si>
    <t xml:space="preserve">   مسجد/محمد عبدالله العياف .</t>
  </si>
  <si>
    <t>KFM2020660173131</t>
  </si>
  <si>
    <t xml:space="preserve">      مـسـجـد الغانم .</t>
  </si>
  <si>
    <t>AES2020896452696</t>
  </si>
  <si>
    <t xml:space="preserve">   مسجد الدخيل بالعزيزيه .</t>
  </si>
  <si>
    <t>SMR2220661006876</t>
  </si>
  <si>
    <t>KFM2120660303831</t>
  </si>
  <si>
    <t xml:space="preserve">   المسجد    الجامع    زميقه .</t>
  </si>
  <si>
    <t>KFM2020660207980</t>
  </si>
  <si>
    <t xml:space="preserve">   جامع      فهاد      أوقاف و مساج .</t>
  </si>
  <si>
    <t>KFM2020766165862</t>
  </si>
  <si>
    <t>KFM2020760161038</t>
  </si>
  <si>
    <t>KFM2020766110694</t>
  </si>
  <si>
    <t>KFM2120660249215</t>
  </si>
  <si>
    <t>ECC2020820005754</t>
  </si>
  <si>
    <t>مسجد الإخلاص .</t>
  </si>
  <si>
    <t>KFM2120660299592</t>
  </si>
  <si>
    <t>.  مسجد      الديوانيه .</t>
  </si>
  <si>
    <t>KFM2020660044531</t>
  </si>
  <si>
    <t>KFM2120660249904</t>
  </si>
  <si>
    <t xml:space="preserve">   مسجد  عبدالكريم الخليفي .</t>
  </si>
  <si>
    <t>KFM2020660046507</t>
  </si>
  <si>
    <t>KFM2120660274130</t>
  </si>
  <si>
    <t xml:space="preserve">   مسجد      حي        ////// .</t>
  </si>
  <si>
    <t>KFM2020660225191</t>
  </si>
  <si>
    <t xml:space="preserve">      مسجد عمرو بن العاص .</t>
  </si>
  <si>
    <t>KFM2020766110719</t>
  </si>
  <si>
    <t xml:space="preserve">   مسجد/عثمان بن مضعون .</t>
  </si>
  <si>
    <t>SMR2020850049087</t>
  </si>
  <si>
    <t xml:space="preserve">   مسجد فلوة بنت محمد السديرى .</t>
  </si>
  <si>
    <t>KFM2120660272410</t>
  </si>
  <si>
    <t>MMF2320801154446</t>
  </si>
  <si>
    <t>KFM2020660148965</t>
  </si>
  <si>
    <t xml:space="preserve">   اوقاف القويعيه /مسجدال سعيدان .</t>
  </si>
  <si>
    <t>AES2120896547677</t>
  </si>
  <si>
    <t xml:space="preserve">   مسجد/ سالم محمد الاعمى .</t>
  </si>
  <si>
    <t>AEC2020830304431</t>
  </si>
  <si>
    <t>KFM2020660050442</t>
  </si>
  <si>
    <t xml:space="preserve">   مسجدسعيدالهميجان بالسيح .</t>
  </si>
  <si>
    <t>AES2120896591276</t>
  </si>
  <si>
    <t xml:space="preserve">   جامع/النميص .</t>
  </si>
  <si>
    <t>KFM2020766133923</t>
  </si>
  <si>
    <t>مسجد/منيرة بنت  منصور سعد المنصور .</t>
  </si>
  <si>
    <t>KFM2020660023016</t>
  </si>
  <si>
    <t>مسجد وزاره  الشئون والاوقاف .</t>
  </si>
  <si>
    <t>KFM2020660013654</t>
  </si>
  <si>
    <t>KFM2020660193553</t>
  </si>
  <si>
    <t xml:space="preserve">   المسجدالجنوبى بالمخطط .</t>
  </si>
  <si>
    <t>AES2020896443681</t>
  </si>
  <si>
    <t xml:space="preserve">   مسجد ال الشيخ .</t>
  </si>
  <si>
    <t>KFM2020660035139</t>
  </si>
  <si>
    <t xml:space="preserve">   مسجد      حي        الشرقي .</t>
  </si>
  <si>
    <t>KFM2120660274729</t>
  </si>
  <si>
    <t>مسجد الشيخ  ابراهيم  بن سليمان .</t>
  </si>
  <si>
    <t>KFM2020660051540</t>
  </si>
  <si>
    <t>AEC2020830325977</t>
  </si>
  <si>
    <t>KFM2020660132815</t>
  </si>
  <si>
    <t xml:space="preserve">   جامع ام زموع .</t>
  </si>
  <si>
    <t>KFM2020766102142</t>
  </si>
  <si>
    <t xml:space="preserve">      مسجد البطيحاء .</t>
  </si>
  <si>
    <t>ECC2020811053365</t>
  </si>
  <si>
    <t xml:space="preserve">    مسجد/هجرة كويكب .</t>
  </si>
  <si>
    <t>AES2120896614969</t>
  </si>
  <si>
    <t xml:space="preserve">   مسجد      هياء      الحميدان .</t>
  </si>
  <si>
    <t>KFM2020660195205</t>
  </si>
  <si>
    <t xml:space="preserve">   مسجدمخطط /3087ش  سليمان وعبدالله .</t>
  </si>
  <si>
    <t>KFM2020660044741</t>
  </si>
  <si>
    <t xml:space="preserve">   مسجد/سعيدمباركالشهراني .</t>
  </si>
  <si>
    <t>KFM2020660169955</t>
  </si>
  <si>
    <t>مسجد هزاع  ابورميل .</t>
  </si>
  <si>
    <t>KFM2020660015379</t>
  </si>
  <si>
    <t xml:space="preserve">   مسجد      الثامريه  عبدالله/محمد .</t>
  </si>
  <si>
    <t>AES2020896451581</t>
  </si>
  <si>
    <t>KFM2020660061263</t>
  </si>
  <si>
    <t>مسجد  رجاء حويل الحربي .</t>
  </si>
  <si>
    <t>AEC2020830135141</t>
  </si>
  <si>
    <t>SMR2220661002003</t>
  </si>
  <si>
    <t>SMR2220661006889</t>
  </si>
  <si>
    <t xml:space="preserve">   مسجدشعبه المرقب الجديد .</t>
  </si>
  <si>
    <t>KFM2020660047753</t>
  </si>
  <si>
    <t xml:space="preserve">   مسجد وسكن حي قرطبه .</t>
  </si>
  <si>
    <t>KFM2020660195201</t>
  </si>
  <si>
    <t>KFM2120660303430</t>
  </si>
  <si>
    <t>KFM2020660173342</t>
  </si>
  <si>
    <t xml:space="preserve">   اوقاف الدلم/ جامع ال سعيدان .</t>
  </si>
  <si>
    <t>SMR2220661016836</t>
  </si>
  <si>
    <t xml:space="preserve">   مسجد/ ظلماء بالدرعيه .</t>
  </si>
  <si>
    <t>KFM2020660173778</t>
  </si>
  <si>
    <t>SMR2320661021580</t>
  </si>
  <si>
    <t>KFM2020760229623</t>
  </si>
  <si>
    <t>KFM2020660027623</t>
  </si>
  <si>
    <t xml:space="preserve">      مسجد الغنيمي .</t>
  </si>
  <si>
    <t>SMR2220761005474</t>
  </si>
  <si>
    <t>مسجد الإقبال بالدوادمي مخطط 988</t>
  </si>
  <si>
    <t>SMR2420761044813</t>
  </si>
  <si>
    <t>مسجد عبدالعزيز عبدالله  المبدل .</t>
  </si>
  <si>
    <t>KFM2020660013279</t>
  </si>
  <si>
    <t xml:space="preserve">      مسجد هويدى .</t>
  </si>
  <si>
    <t>KFM2020760136568</t>
  </si>
  <si>
    <t xml:space="preserve">      المسجد الجامع بالحفير5 .</t>
  </si>
  <si>
    <t>KFM2020660208951</t>
  </si>
  <si>
    <t xml:space="preserve">   مسجدناصرعبدالله الدوسري .</t>
  </si>
  <si>
    <t>KFM2120660303345</t>
  </si>
  <si>
    <t xml:space="preserve">      مسجد حى الفيصليه رقم 6 .</t>
  </si>
  <si>
    <t>KFM2120660290347</t>
  </si>
  <si>
    <t xml:space="preserve">   مسجد/فيصل ماشع الرخيمي .</t>
  </si>
  <si>
    <t>ECC2020810998749</t>
  </si>
  <si>
    <t xml:space="preserve">   مسجدالمغرزات .</t>
  </si>
  <si>
    <t>KFM2020660174255</t>
  </si>
  <si>
    <t>KFM2020660051464</t>
  </si>
  <si>
    <t>LYE2020830269632</t>
  </si>
  <si>
    <t xml:space="preserve">   مسجد صالح بن دويس .</t>
  </si>
  <si>
    <t>MMF2020800145198</t>
  </si>
  <si>
    <t xml:space="preserve">   مسجد المنصور الشرقي .</t>
  </si>
  <si>
    <t>KFM2020660057046</t>
  </si>
  <si>
    <t>مسجد الغنامية .</t>
  </si>
  <si>
    <t>KFM2120660281660</t>
  </si>
  <si>
    <t xml:space="preserve">   اوقاف القويعيه /مسجدالزبير .</t>
  </si>
  <si>
    <t>KFM2020660166400</t>
  </si>
  <si>
    <t xml:space="preserve">   مسجد الهاجري /مؤسسةعلي المسفر .</t>
  </si>
  <si>
    <t>KFM2120660299104</t>
  </si>
  <si>
    <t xml:space="preserve">   مسجد /     دغيثر    بن سعد .</t>
  </si>
  <si>
    <t>KFM2020660204134</t>
  </si>
  <si>
    <t>AES2120896612529</t>
  </si>
  <si>
    <t xml:space="preserve">     اوقاف الدواسر/مسجد حمود الهدلاء .</t>
  </si>
  <si>
    <t>AEC2020830316451</t>
  </si>
  <si>
    <t xml:space="preserve">   مسجد      الجوهره   السويلم .</t>
  </si>
  <si>
    <t>KFM2020660042568</t>
  </si>
  <si>
    <t xml:space="preserve">   مسجد الخفيفية الجديد .</t>
  </si>
  <si>
    <t>KFM2020660210709</t>
  </si>
  <si>
    <t xml:space="preserve">      المسجد الجامع بالناصفه .</t>
  </si>
  <si>
    <t>KFM2020660212450</t>
  </si>
  <si>
    <t xml:space="preserve">   مسجد      ال بتال   الدواسر .</t>
  </si>
  <si>
    <t>KFM2020760027051</t>
  </si>
  <si>
    <t>KFM2120660267482</t>
  </si>
  <si>
    <t>مسجد      الغريب .</t>
  </si>
  <si>
    <t>KFM2020660203978</t>
  </si>
  <si>
    <t xml:space="preserve">   مسجدجامع الصفيانى .</t>
  </si>
  <si>
    <t>KFM2020660234498</t>
  </si>
  <si>
    <t xml:space="preserve">   اوقاف     تمير      342 مبايض .</t>
  </si>
  <si>
    <t>AES2020896281182</t>
  </si>
  <si>
    <t>SMR2320661035136</t>
  </si>
  <si>
    <t>ﻭﺯﺍﺭﺓﺍﻻﻭﻗﺎﻑ  ﺍﻭﻗﺎﻑ ﺍﻟﺒﺠﺎﺩﻴﻩ .</t>
  </si>
  <si>
    <t>MMF2420801283432</t>
  </si>
  <si>
    <t xml:space="preserve">   جامع      الرفايع   . .</t>
  </si>
  <si>
    <t>KFM2120660241365</t>
  </si>
  <si>
    <t>KFM2020660099006</t>
  </si>
  <si>
    <t xml:space="preserve">   مسجدابوامامه الباهلي .</t>
  </si>
  <si>
    <t>KFM2020660195402</t>
  </si>
  <si>
    <t xml:space="preserve">   مسجد سعدالمبدل .</t>
  </si>
  <si>
    <t>AES2020896336984</t>
  </si>
  <si>
    <t xml:space="preserve">   مسجد قماشة بنت سعود .</t>
  </si>
  <si>
    <t>KFM2120660299331</t>
  </si>
  <si>
    <t>SMR2320661022842</t>
  </si>
  <si>
    <t xml:space="preserve">   مسجد      الحنيني   بحريملاء .</t>
  </si>
  <si>
    <t>AEC2020830325988</t>
  </si>
  <si>
    <t xml:space="preserve">   عبدالله حنيف / مسجد بن درعان .</t>
  </si>
  <si>
    <t>ECC2320831066517</t>
  </si>
  <si>
    <t>KFM2120660273245</t>
  </si>
  <si>
    <t>KFM2020660051449</t>
  </si>
  <si>
    <t xml:space="preserve">   مسجد محمد المقيل .</t>
  </si>
  <si>
    <t>KFM2020760154799</t>
  </si>
  <si>
    <t>ECC2320831047825</t>
  </si>
  <si>
    <t>MMF2020800259524</t>
  </si>
  <si>
    <t>مسجد الشعيبة .</t>
  </si>
  <si>
    <t>KFM2020660108272</t>
  </si>
  <si>
    <t>KFM2020760203529</t>
  </si>
  <si>
    <t>KFM2020660230857</t>
  </si>
  <si>
    <t xml:space="preserve">   مسجد نايف الجعيد .</t>
  </si>
  <si>
    <t>KFM2020660192455</t>
  </si>
  <si>
    <t xml:space="preserve">    مسجد ثمامه بن اثال .</t>
  </si>
  <si>
    <t>AES2120896544839</t>
  </si>
  <si>
    <t>ECC2320831092495</t>
  </si>
  <si>
    <t xml:space="preserve">   اوقاف الرين مسجداللهدةبعنان .</t>
  </si>
  <si>
    <t>ECC2020811051134</t>
  </si>
  <si>
    <t xml:space="preserve">   جامع والدةأبناء سعد الصيفي .</t>
  </si>
  <si>
    <t>KFM2020660199594</t>
  </si>
  <si>
    <t xml:space="preserve">   مسجد عمار بن ياسر   , .</t>
  </si>
  <si>
    <t>KFM2020660036519</t>
  </si>
  <si>
    <t xml:space="preserve">   مسجد المخطط بكمدة .</t>
  </si>
  <si>
    <t>AEC2020830327874</t>
  </si>
  <si>
    <t xml:space="preserve">   مسجد عبدالله المزينى .</t>
  </si>
  <si>
    <t>KFM2120660271160</t>
  </si>
  <si>
    <t xml:space="preserve">   مسجدخالد بن الوليد .</t>
  </si>
  <si>
    <t>KFM2120660268773</t>
  </si>
  <si>
    <t xml:space="preserve">   أوقاف الحصاه/مسجد آل مسلط .</t>
  </si>
  <si>
    <t>AEC2020830568578</t>
  </si>
  <si>
    <t xml:space="preserve">   مسجد شمال المربع .</t>
  </si>
  <si>
    <t>KFM2020660188753</t>
  </si>
  <si>
    <t>مسجد عبدالعزيزوالشيخ  سعودالعيسى .</t>
  </si>
  <si>
    <t>KFM2020660175054</t>
  </si>
  <si>
    <t xml:space="preserve">   مسجد      حسن       العجمي .</t>
  </si>
  <si>
    <t>KFM2020660201323</t>
  </si>
  <si>
    <t>مسجدوالدة الاميرمنصور .</t>
  </si>
  <si>
    <t>KFM2120660295176</t>
  </si>
  <si>
    <t>KFM2120660301715</t>
  </si>
  <si>
    <t xml:space="preserve">   مسجد جراح ابوثنين .</t>
  </si>
  <si>
    <t>KFM2020660199665</t>
  </si>
  <si>
    <t xml:space="preserve">   مسجد ال مرداس / اوقـاف الدواسر .</t>
  </si>
  <si>
    <t>MMF2020800309282</t>
  </si>
  <si>
    <t>AEC2020830278480</t>
  </si>
  <si>
    <t xml:space="preserve">   مسجد عبدالله بن حمد .</t>
  </si>
  <si>
    <t>KFM2020660190690</t>
  </si>
  <si>
    <t>KFM2020660203570</t>
  </si>
  <si>
    <t>SMR2220661001407</t>
  </si>
  <si>
    <t>.    مسجد      السويلم .</t>
  </si>
  <si>
    <t>KFM2020660013186</t>
  </si>
  <si>
    <t xml:space="preserve">   جامع وشي  .         . .</t>
  </si>
  <si>
    <t>MMF2020800259197</t>
  </si>
  <si>
    <t xml:space="preserve">         مسجد بن مجفل .</t>
  </si>
  <si>
    <t>MMF2420801409509</t>
  </si>
  <si>
    <t xml:space="preserve">   وزارةالشئون الاسلاميه مسجد الضحيان .</t>
  </si>
  <si>
    <t>KFM2120660280800</t>
  </si>
  <si>
    <t xml:space="preserve">   مسجد      ام        وريطي .</t>
  </si>
  <si>
    <t>AEC2020830550474</t>
  </si>
  <si>
    <t>KFM2020660173719</t>
  </si>
  <si>
    <t xml:space="preserve">   اوقاف القويعية/مسجدالحماده بمزعل .</t>
  </si>
  <si>
    <t>KFM2020660190706</t>
  </si>
  <si>
    <t>KFM2020660197963</t>
  </si>
  <si>
    <t>KFM2020660176396</t>
  </si>
  <si>
    <t xml:space="preserve"> مسجدحي الشفاءبلال  بن رباح .</t>
  </si>
  <si>
    <t>KFM2020660098824</t>
  </si>
  <si>
    <t>KFM2020660201681</t>
  </si>
  <si>
    <t xml:space="preserve">   مسجد  هاجد  زيد  المغيري البطاحة .</t>
  </si>
  <si>
    <t>KFM2020766102292</t>
  </si>
  <si>
    <t xml:space="preserve">   جامع      الفرعة    بعسيلان .</t>
  </si>
  <si>
    <t>AES2020896373887</t>
  </si>
  <si>
    <t xml:space="preserve">   جامع حمود ناصر الجهيمى .</t>
  </si>
  <si>
    <t>KFM2020660191517</t>
  </si>
  <si>
    <t>AEC2020830566496</t>
  </si>
  <si>
    <t xml:space="preserve">   مسجد/ ذوي بجاد .</t>
  </si>
  <si>
    <t>AEC2020830316517</t>
  </si>
  <si>
    <t>وزارةالا وقاف اوقاف الجمش .</t>
  </si>
  <si>
    <t>KFM2020766086232</t>
  </si>
  <si>
    <t xml:space="preserve">   اوقاف المزاحميه/مسجدام سريحة .</t>
  </si>
  <si>
    <t>SMR2020856125478</t>
  </si>
  <si>
    <t>مسجد ابن القيم اوقاف الدواسر .</t>
  </si>
  <si>
    <t>MMF2020800092458</t>
  </si>
  <si>
    <t>وزارة الشئون الاسلامية  مسجدالمواش .</t>
  </si>
  <si>
    <t>KFM2020660115745</t>
  </si>
  <si>
    <t xml:space="preserve">   مسجد رفايع الدسمه .</t>
  </si>
  <si>
    <t>SMR2020850103386</t>
  </si>
  <si>
    <t xml:space="preserve">   مسجد خنشليله رقم 2ه /3ا .</t>
  </si>
  <si>
    <t>KFM2120660247409</t>
  </si>
  <si>
    <t xml:space="preserve">   مسجد  النعمان  بن   بشير       0 .</t>
  </si>
  <si>
    <t>KFM2020660212190</t>
  </si>
  <si>
    <t xml:space="preserve">   مسجد هلا عوض المطيري .</t>
  </si>
  <si>
    <t>AES2120896593034</t>
  </si>
  <si>
    <t xml:space="preserve">   جامع      فيضة      . .</t>
  </si>
  <si>
    <t>KFM2120660252052</t>
  </si>
  <si>
    <t xml:space="preserve">   اوقاف القويعيه/مسجد هجره المبرز .</t>
  </si>
  <si>
    <t>AES2120896564516</t>
  </si>
  <si>
    <t>SMR2220661010812</t>
  </si>
  <si>
    <t>SMR2220761006500</t>
  </si>
  <si>
    <t xml:space="preserve">   مسجد      آل سياف   بلجعه .</t>
  </si>
  <si>
    <t>KFM2020660199370</t>
  </si>
  <si>
    <t>LYE2020830037790</t>
  </si>
  <si>
    <t>AES2320896626037</t>
  </si>
  <si>
    <t>KFM2120660249296</t>
  </si>
  <si>
    <t>مسجد السديس .</t>
  </si>
  <si>
    <t>KFM2120660276211</t>
  </si>
  <si>
    <t>جامع محمد بن ناصر التويجري .</t>
  </si>
  <si>
    <t>KFM2020660210432</t>
  </si>
  <si>
    <t xml:space="preserve">   مسجد ابراهيم العمران بوسيله .</t>
  </si>
  <si>
    <t>AES2020896062769</t>
  </si>
  <si>
    <t xml:space="preserve">   مسجد ال عريمان / اوقاف الدواسر .</t>
  </si>
  <si>
    <t>MMF2020800215733</t>
  </si>
  <si>
    <t xml:space="preserve">   مسجد الامام محمد بن عبدالوهاب .</t>
  </si>
  <si>
    <t>KFM2020760135912</t>
  </si>
  <si>
    <t>SMR2220661010811</t>
  </si>
  <si>
    <t xml:space="preserve">    مسجد/     الهلاليه   الجامع .</t>
  </si>
  <si>
    <t>KFM2020766102024</t>
  </si>
  <si>
    <t>مسجد      مزنة      الفالح .</t>
  </si>
  <si>
    <t>KFM2020660199627</t>
  </si>
  <si>
    <t>KFM2020660132604</t>
  </si>
  <si>
    <t>KFM2020660196689</t>
  </si>
  <si>
    <t>KFM2120660304960</t>
  </si>
  <si>
    <t xml:space="preserve">   مسجد صالح  باالمشاش .</t>
  </si>
  <si>
    <t>AES2120896571783</t>
  </si>
  <si>
    <t xml:space="preserve">   أوقاف القويعية/جامع القويعية .</t>
  </si>
  <si>
    <t>KFM2020766167703</t>
  </si>
  <si>
    <t>مسجد / الامير منصور بن مشارى  ال  سعود .</t>
  </si>
  <si>
    <t>KFM2020660115689</t>
  </si>
  <si>
    <t xml:space="preserve">   مسجد عبدالله بن عدوان .</t>
  </si>
  <si>
    <t>KFM2020660201412</t>
  </si>
  <si>
    <t>KFM2020660174836</t>
  </si>
  <si>
    <t>ﻭﺯﺍﺭﺓﺍﻻﻭﻗﺎﻑ _ﺍﻭﻗﺎﻑ ﺸﺒﻴﺭﻤﻩ .</t>
  </si>
  <si>
    <t>AEC2020830278611</t>
  </si>
  <si>
    <t xml:space="preserve"> مسجدالامير/مشهوربن مساعدبن عبدالعزيز .</t>
  </si>
  <si>
    <t>MMF2020800125306</t>
  </si>
  <si>
    <t xml:space="preserve">   مسجد      عزام      بندر .</t>
  </si>
  <si>
    <t>ECC2020810934409</t>
  </si>
  <si>
    <t>KFM2020660008736</t>
  </si>
  <si>
    <t>AES2020896450502</t>
  </si>
  <si>
    <t>مسجد / محمد بن عبدالله  التميمى .</t>
  </si>
  <si>
    <t>KFM2020660115746</t>
  </si>
  <si>
    <t xml:space="preserve">   مسجد سكن الامانه .</t>
  </si>
  <si>
    <t>KFM2120660273713</t>
  </si>
  <si>
    <t xml:space="preserve">   مسجد4مخطط/717عبدالله الفلاح .</t>
  </si>
  <si>
    <t>AES2120896541829</t>
  </si>
  <si>
    <t xml:space="preserve">   مسجد الجديده - اوقاف المزاحميه .</t>
  </si>
  <si>
    <t>AES2320896627475</t>
  </si>
  <si>
    <t>مسجد      ابو       دجانه .</t>
  </si>
  <si>
    <t>KFM2020660200653</t>
  </si>
  <si>
    <t>KFM2020760038687</t>
  </si>
  <si>
    <t xml:space="preserve">   مسجد      هجرة      العلياء .</t>
  </si>
  <si>
    <t>KFM2020660200074</t>
  </si>
  <si>
    <t xml:space="preserve">   مسجد الجوهرة ال الشيخ .</t>
  </si>
  <si>
    <t>KFM2120660262180</t>
  </si>
  <si>
    <t>مسجد المطران/عيد حضرم الحربى / مخلوع .</t>
  </si>
  <si>
    <t>SMR2220661004338</t>
  </si>
  <si>
    <t xml:space="preserve">   اوقاف المجمعه ابن مسلط .</t>
  </si>
  <si>
    <t>AES2120896552654</t>
  </si>
  <si>
    <t>AEC2020830572633</t>
  </si>
  <si>
    <t xml:space="preserve">   اوقاف المزاحميه/جامع هجره الخلايق .</t>
  </si>
  <si>
    <t>KFM2020660206895</t>
  </si>
  <si>
    <t>LYE2020830073701</t>
  </si>
  <si>
    <t xml:space="preserve">   مسجد      حسين      مندورة .</t>
  </si>
  <si>
    <t>AES2320896629931</t>
  </si>
  <si>
    <t>KFM2020660209473</t>
  </si>
  <si>
    <t xml:space="preserve">   اوقاف الدلم/مسجد-فهد بن حسين .</t>
  </si>
  <si>
    <t>KFM2020760015129</t>
  </si>
  <si>
    <t xml:space="preserve">   مسجد ابوموسى الاشعري .</t>
  </si>
  <si>
    <t>ECC2020811051230</t>
  </si>
  <si>
    <t xml:space="preserve">   مسجد/ابراهيم عبدالرحمن السلمان .</t>
  </si>
  <si>
    <t>KFM2020660026300</t>
  </si>
  <si>
    <t xml:space="preserve">   مسجد      رقم)6(    )952( .</t>
  </si>
  <si>
    <t>KFM2020760136560</t>
  </si>
  <si>
    <t>KFM2020660195485</t>
  </si>
  <si>
    <t xml:space="preserve">   جامع والدة الامير فيصل بن محمد .</t>
  </si>
  <si>
    <t>KFM2120660305372</t>
  </si>
  <si>
    <t xml:space="preserve">   اوقاف القويعيه / مسجد الضلع .</t>
  </si>
  <si>
    <t>AEC2020830563076</t>
  </si>
  <si>
    <t xml:space="preserve">   مسجد      كميخ      //////////// .</t>
  </si>
  <si>
    <t>LYE2020810460203</t>
  </si>
  <si>
    <t xml:space="preserve">   مسجد الشيخ محمدبن عثيمين .</t>
  </si>
  <si>
    <t>KFM2120660283202</t>
  </si>
  <si>
    <t xml:space="preserve">   جامع      شبيرمه    ///////// .</t>
  </si>
  <si>
    <t>KFM2020660176189</t>
  </si>
  <si>
    <t xml:space="preserve">   مسجد/ناصر عبدالله   الغازي .</t>
  </si>
  <si>
    <t>KFM2020660177221</t>
  </si>
  <si>
    <t>KFM2020660210975</t>
  </si>
  <si>
    <t>KFM2020660007900</t>
  </si>
  <si>
    <t xml:space="preserve">   مسجد الصماخ .</t>
  </si>
  <si>
    <t>KFM2020760062787</t>
  </si>
  <si>
    <t xml:space="preserve">      مسجد السنيدى .</t>
  </si>
  <si>
    <t>AES2020896279614</t>
  </si>
  <si>
    <t>وزارة الشئون الاسلامية  مسجدحى  بدر .</t>
  </si>
  <si>
    <t>KFM2020660203934</t>
  </si>
  <si>
    <t>KFM2020766098659</t>
  </si>
  <si>
    <t xml:space="preserve">   مسجد      خي        ومرافقه .</t>
  </si>
  <si>
    <t>KFM2020660187996</t>
  </si>
  <si>
    <t xml:space="preserve">   جامع ال سالم .</t>
  </si>
  <si>
    <t>KFM2020660212979</t>
  </si>
  <si>
    <t xml:space="preserve">      مسجد بن عدوان بحريملاء .</t>
  </si>
  <si>
    <t>KFM2020760205133</t>
  </si>
  <si>
    <t xml:space="preserve">   اوقاف القويعيه /مسجدام سرحه .</t>
  </si>
  <si>
    <t>AES2120896551932</t>
  </si>
  <si>
    <t>KFM2020660193544</t>
  </si>
  <si>
    <t>AES2120896575329</t>
  </si>
  <si>
    <t xml:space="preserve">   مسجد      حي        الخليج .</t>
  </si>
  <si>
    <t>KFM2020660190972</t>
  </si>
  <si>
    <t>AES2120896592903</t>
  </si>
  <si>
    <t xml:space="preserve">   ادارةالا وقاف(مسجدالخلف بالبديع ) .</t>
  </si>
  <si>
    <t>KFM2020766110664</t>
  </si>
  <si>
    <t>مسجد الضياء .</t>
  </si>
  <si>
    <t>KFM2020660051522</t>
  </si>
  <si>
    <t>AES2120896591402</t>
  </si>
  <si>
    <t xml:space="preserve">       مسجد الدخل المحدود ارطاوى .</t>
  </si>
  <si>
    <t>KFM2020766162154</t>
  </si>
  <si>
    <t>KFM2020660131279</t>
  </si>
  <si>
    <t xml:space="preserve">   اوقاف القويعيه  الزهوه الجله .</t>
  </si>
  <si>
    <t>AES2020896317386</t>
  </si>
  <si>
    <t xml:space="preserve">   مسجد/الحي الشرقي    منيفه .</t>
  </si>
  <si>
    <t>KFM2120660238340</t>
  </si>
  <si>
    <t xml:space="preserve">   مسجد حله العبتان .</t>
  </si>
  <si>
    <t>KFM2020660204237</t>
  </si>
  <si>
    <t xml:space="preserve">      مـسـجـد الحميدى (الاوقاف) .</t>
  </si>
  <si>
    <t>AES2120896576269</t>
  </si>
  <si>
    <t xml:space="preserve">      مسجد/عباده بن الصامت .</t>
  </si>
  <si>
    <t>KFM2020660228569</t>
  </si>
  <si>
    <t xml:space="preserve">   مسجد  ابوبكرالصديق  بتمير .</t>
  </si>
  <si>
    <t>KFM2020766034178</t>
  </si>
  <si>
    <t xml:space="preserve">   وزارة الشئون الاسلاميه مسجد غمامه .</t>
  </si>
  <si>
    <t>KFM2120660281752</t>
  </si>
  <si>
    <t xml:space="preserve">   مسجد النايفه   نفي .</t>
  </si>
  <si>
    <t>KFM2020660124189</t>
  </si>
  <si>
    <t xml:space="preserve">   مسجد المطاوي الجنوبي .</t>
  </si>
  <si>
    <t>AEC2020830032987</t>
  </si>
  <si>
    <t>KFM2120660260601</t>
  </si>
  <si>
    <t xml:space="preserve">   اوقاف القويعيه/مسجد بلدةالخالدية .</t>
  </si>
  <si>
    <t>KFM2020766163410</t>
  </si>
  <si>
    <t>MMF2020800263858</t>
  </si>
  <si>
    <t xml:space="preserve">   مسجد/ والدة محمد البياهي .</t>
  </si>
  <si>
    <t>KFM2020660177819</t>
  </si>
  <si>
    <t xml:space="preserve">   مسجد مخطط /3087ش سليمان وعبدالله .</t>
  </si>
  <si>
    <t>KFM2120660305004</t>
  </si>
  <si>
    <t>KFM2020760151511</t>
  </si>
  <si>
    <t>مسجد غازي بن محمد العتيبي .</t>
  </si>
  <si>
    <t>AEC2020830178010</t>
  </si>
  <si>
    <t xml:space="preserve">   مسجد/ سعد بن محمد المشعبي بعرقه .</t>
  </si>
  <si>
    <t>KFM2020660190320</t>
  </si>
  <si>
    <t xml:space="preserve">   اوقاف القويعيه مسجدالناصريه .</t>
  </si>
  <si>
    <t>AES2120896548009</t>
  </si>
  <si>
    <t>KFM2020660172446</t>
  </si>
  <si>
    <t xml:space="preserve">   اوقاف ثادق  مسجد عطاء بن يسار .</t>
  </si>
  <si>
    <t>AES2020896279402</t>
  </si>
  <si>
    <t xml:space="preserve">   اوقاف الرين/مسجد جبلة .</t>
  </si>
  <si>
    <t>SMR2020850015268</t>
  </si>
  <si>
    <t>مسجدحي الفواز .</t>
  </si>
  <si>
    <t>KFM2020660202695</t>
  </si>
  <si>
    <t xml:space="preserve">   مسجد/ العذب  بالجمش .</t>
  </si>
  <si>
    <t>AES2020896471469</t>
  </si>
  <si>
    <t xml:space="preserve">   مسجد البرزه .</t>
  </si>
  <si>
    <t>KFM2020660188262</t>
  </si>
  <si>
    <t>KFM2020660171857</t>
  </si>
  <si>
    <t>KFM2020660161293</t>
  </si>
  <si>
    <t>KFM2120660267225</t>
  </si>
  <si>
    <t>KFM2120660252064</t>
  </si>
  <si>
    <t xml:space="preserve">   مسجد الخريم .</t>
  </si>
  <si>
    <t>AEC2020830316578</t>
  </si>
  <si>
    <t>GTR2320892222506</t>
  </si>
  <si>
    <t xml:space="preserve">   وزارةالشئوؤن الاسلامية مسجدابن باز .</t>
  </si>
  <si>
    <t>KFM2020660171895</t>
  </si>
  <si>
    <t>ECC2020811100679</t>
  </si>
  <si>
    <t xml:space="preserve">   اوقاف الرين مسجدالفياح بعنان .</t>
  </si>
  <si>
    <t>AES2020896158353</t>
  </si>
  <si>
    <t xml:space="preserve">   مسجد غليفص  بسوق البطحاء .</t>
  </si>
  <si>
    <t>KFM2020660047684</t>
  </si>
  <si>
    <t>مسجد/البديعة ـ المخطط السادس عشر .</t>
  </si>
  <si>
    <t>KFM2020660171567</t>
  </si>
  <si>
    <t>KFM2020660056948</t>
  </si>
  <si>
    <t>مسجد جابر بن عبدالله بالبديع .</t>
  </si>
  <si>
    <t>AES2020896467832</t>
  </si>
  <si>
    <t xml:space="preserve">     ادارة الاوقاف( مسجد الحله ) .</t>
  </si>
  <si>
    <t>KFM2020766167867</t>
  </si>
  <si>
    <t xml:space="preserve">   مسجد   جامع   قرية  البطين     0 .</t>
  </si>
  <si>
    <t>KFM2020766099511</t>
  </si>
  <si>
    <t xml:space="preserve">   مسجد  / قرية بيضاء نثيل غرب .</t>
  </si>
  <si>
    <t>AES2020896461979</t>
  </si>
  <si>
    <t xml:space="preserve">         مسجد الأ مام الشافعي .</t>
  </si>
  <si>
    <t>KFM2020660060141</t>
  </si>
  <si>
    <t xml:space="preserve">   مسجد سليمان محمد عبدالله الجاسر .</t>
  </si>
  <si>
    <t>KFM2020660006954</t>
  </si>
  <si>
    <t>مسجد /محمد رميح الحمادي .</t>
  </si>
  <si>
    <t>SMR2020850094349</t>
  </si>
  <si>
    <t xml:space="preserve">   مسجد / عبدالله محمدمرضي آل مهيزع .</t>
  </si>
  <si>
    <t>MMF2020800215625</t>
  </si>
  <si>
    <t xml:space="preserve">    مسجداللومه .</t>
  </si>
  <si>
    <t>KFM2020660129419</t>
  </si>
  <si>
    <t xml:space="preserve">   مسجد مخطط 95 بروضةسدير الشبانات .</t>
  </si>
  <si>
    <t>KFM2020766062238</t>
  </si>
  <si>
    <t xml:space="preserve">   مسجد/الحزوم الغربي بتمرة .</t>
  </si>
  <si>
    <t>KFM2120660263471</t>
  </si>
  <si>
    <t xml:space="preserve">   مسجدالاميرهطرفه بنت  بن عبدالرحمن .</t>
  </si>
  <si>
    <t>KFM2020660091243</t>
  </si>
  <si>
    <t xml:space="preserve">      المسجد الطالعى .</t>
  </si>
  <si>
    <t>LYE2020810278940</t>
  </si>
  <si>
    <t>KFM2020660208588</t>
  </si>
  <si>
    <t>KFM2020660039105</t>
  </si>
  <si>
    <t xml:space="preserve">   مسجد جامع الخيرين .</t>
  </si>
  <si>
    <t>KFM2120660282982</t>
  </si>
  <si>
    <t xml:space="preserve">   مسجد/ عبدالعزيزدوشق الناهض .</t>
  </si>
  <si>
    <t>AEC2020830317841</t>
  </si>
  <si>
    <t xml:space="preserve">   مساجدالمزاحميةم/مسفرداهم ال سعد .</t>
  </si>
  <si>
    <t>KFM2120861246873</t>
  </si>
  <si>
    <t>SMR2020850119705</t>
  </si>
  <si>
    <t>KFM2020660202923</t>
  </si>
  <si>
    <t>SMR2220661011067</t>
  </si>
  <si>
    <t>KFM2120660235590</t>
  </si>
  <si>
    <t>مسجدحله  بن كنعان .</t>
  </si>
  <si>
    <t>KFM2020660045027</t>
  </si>
  <si>
    <t xml:space="preserve">    ادارةالاوقاف(مسجدلوسيطىبالاحمر..) .</t>
  </si>
  <si>
    <t>KFM2020766054490</t>
  </si>
  <si>
    <t xml:space="preserve">     مسجدابن القيم .</t>
  </si>
  <si>
    <t>KFM2020766166043</t>
  </si>
  <si>
    <t xml:space="preserve">   مسجد      محمد      الصفرات .</t>
  </si>
  <si>
    <t>AES2120896565217</t>
  </si>
  <si>
    <t xml:space="preserve">   اوقاف الرين /مسجدهجرة الجهيش .</t>
  </si>
  <si>
    <t>AES2020896528096</t>
  </si>
  <si>
    <t>مسجد /خضرمه .</t>
  </si>
  <si>
    <t>KFM2020660189433</t>
  </si>
  <si>
    <t xml:space="preserve">   مسجد القصير .</t>
  </si>
  <si>
    <t>KFM2020660162301</t>
  </si>
  <si>
    <t xml:space="preserve">  اوقاف القويعيه/مسجد الضريب الجديد .</t>
  </si>
  <si>
    <t>KFM2120660240458</t>
  </si>
  <si>
    <t xml:space="preserve">      مسجد حجيلانه .</t>
  </si>
  <si>
    <t>KFM2020760115129</t>
  </si>
  <si>
    <t>. مسجد      ابن فرحان .</t>
  </si>
  <si>
    <t>KFM2020660045042</t>
  </si>
  <si>
    <t>مسجد حمد الزير .</t>
  </si>
  <si>
    <t>KFM2020660202634</t>
  </si>
  <si>
    <t xml:space="preserve">   مسجد الشويمى .</t>
  </si>
  <si>
    <t>MMF2420801311153</t>
  </si>
  <si>
    <t>MMF2020800213148</t>
  </si>
  <si>
    <t xml:space="preserve">     اوقاف المزاحميه/ مسجد القاسمه .</t>
  </si>
  <si>
    <t>AES2120896546260</t>
  </si>
  <si>
    <t xml:space="preserve">   مسجد      العون     //////// .</t>
  </si>
  <si>
    <t>SMR2220661011253</t>
  </si>
  <si>
    <t xml:space="preserve">   مسجد/ عتبة بن غزوان .</t>
  </si>
  <si>
    <t>MMF2020800147735</t>
  </si>
  <si>
    <t>AES2020896423704</t>
  </si>
  <si>
    <t xml:space="preserve">   مسجد هجرة العسيبي .</t>
  </si>
  <si>
    <t>KFM2020766138417</t>
  </si>
  <si>
    <t>GTR2320890752953</t>
  </si>
  <si>
    <t xml:space="preserve">   مسجد/ عمروابن       ////// .</t>
  </si>
  <si>
    <t>KFM2020760135915</t>
  </si>
  <si>
    <t xml:space="preserve">      مسجد الفيضه .</t>
  </si>
  <si>
    <t>AES2020896415739</t>
  </si>
  <si>
    <t>AES2020896448086</t>
  </si>
  <si>
    <t xml:space="preserve">      مسجد الايرق .</t>
  </si>
  <si>
    <t>AES2020896338490</t>
  </si>
  <si>
    <t xml:space="preserve">   مسجدالعجب بمروان .</t>
  </si>
  <si>
    <t>KFM2020660223650</t>
  </si>
  <si>
    <t xml:space="preserve">     مسجد امارة الروضه بالروضه .</t>
  </si>
  <si>
    <t>AES2020896436809</t>
  </si>
  <si>
    <t>KFM2020660014286</t>
  </si>
  <si>
    <t>KFM2020660190138</t>
  </si>
  <si>
    <t xml:space="preserve">   مسجد المشاش .</t>
  </si>
  <si>
    <t>AES2120896590298</t>
  </si>
  <si>
    <t xml:space="preserve">   مسجد الرفيعه الجديد بالمخطط .</t>
  </si>
  <si>
    <t>KFM2020766077187</t>
  </si>
  <si>
    <t xml:space="preserve">   مسجد أنس بن مالك بأثيثية .</t>
  </si>
  <si>
    <t>AES2020896449663</t>
  </si>
  <si>
    <t xml:space="preserve">   الاوقاف    مسجد      ام هيشة .</t>
  </si>
  <si>
    <t>AES2120896546635</t>
  </si>
  <si>
    <t xml:space="preserve">   مسجد عبدالرحمن السنيدي .</t>
  </si>
  <si>
    <t>KFM2020660042009</t>
  </si>
  <si>
    <t>KFM2020660202082</t>
  </si>
  <si>
    <t xml:space="preserve">      مسجد المجصه .</t>
  </si>
  <si>
    <t>KFM2120660274721</t>
  </si>
  <si>
    <t>.     مسجد      فيحان .</t>
  </si>
  <si>
    <t>KFM2020660174953</t>
  </si>
  <si>
    <t xml:space="preserve">    مسجد      السعدون .</t>
  </si>
  <si>
    <t>KFM2120660303468</t>
  </si>
  <si>
    <t xml:space="preserve">      مسجد التركي .</t>
  </si>
  <si>
    <t>KFM2020660212163</t>
  </si>
  <si>
    <t xml:space="preserve">   مسجدالعويضانيهبالبديع .</t>
  </si>
  <si>
    <t>AES2020896466177</t>
  </si>
  <si>
    <t xml:space="preserve">                مسجدعبدالله بن عباس .</t>
  </si>
  <si>
    <t>KFM2020760158835</t>
  </si>
  <si>
    <t>SMR2420661036039</t>
  </si>
  <si>
    <t>KFM2020660171626</t>
  </si>
  <si>
    <t>مسجد الحقباني .</t>
  </si>
  <si>
    <t>KFM2020660042249</t>
  </si>
  <si>
    <t>مسجد ابوعلي .</t>
  </si>
  <si>
    <t>SMR2320661034825</t>
  </si>
  <si>
    <t xml:space="preserve">   مسجدالشيخ محمدبن عبدالرحمن الناص .</t>
  </si>
  <si>
    <t>KFM2020660191692</t>
  </si>
  <si>
    <t xml:space="preserve">   مسـجد عبدالرحمن المقـرن .</t>
  </si>
  <si>
    <t>KFM2020766162361</t>
  </si>
  <si>
    <t xml:space="preserve">   مسجد      الدرعيه   . .</t>
  </si>
  <si>
    <t>KFM2020660047155</t>
  </si>
  <si>
    <t>KFM2020660057096</t>
  </si>
  <si>
    <t>KFM2020660205998</t>
  </si>
  <si>
    <t xml:space="preserve">   مسجد مخطط 853 عفيف قطعة 32     0 .</t>
  </si>
  <si>
    <t>KFM2020766162059</t>
  </si>
  <si>
    <t xml:space="preserve">   مسجد      خالد      //////////// .</t>
  </si>
  <si>
    <t>KFM2020760082301</t>
  </si>
  <si>
    <t xml:space="preserve">      الاوقاف (مسجد هجره الفيض ) .</t>
  </si>
  <si>
    <t>AES2020896531213</t>
  </si>
  <si>
    <t xml:space="preserve">      مسجد بلال بن رباح .</t>
  </si>
  <si>
    <t>KFM2020660177830</t>
  </si>
  <si>
    <t xml:space="preserve">   مسجد الزاوية .</t>
  </si>
  <si>
    <t>AES2020896433187</t>
  </si>
  <si>
    <t>MMF2420701018437</t>
  </si>
  <si>
    <t>SMR2220621001846</t>
  </si>
  <si>
    <t>KFM2020760210206</t>
  </si>
  <si>
    <t xml:space="preserve">   مسجد      طلحه      بحريملا ء .</t>
  </si>
  <si>
    <t>AEC2020830320317</t>
  </si>
  <si>
    <t>KFM2020660173289</t>
  </si>
  <si>
    <t xml:space="preserve">   اوقاف القويعيه / مسجدالروضه .</t>
  </si>
  <si>
    <t>AES2020896453778</t>
  </si>
  <si>
    <t xml:space="preserve">   مسجد البديعه .</t>
  </si>
  <si>
    <t>AES2120896536377</t>
  </si>
  <si>
    <t xml:space="preserve">   مسجدالخالدبالاحمر .</t>
  </si>
  <si>
    <t>AES2020896464560</t>
  </si>
  <si>
    <t xml:space="preserve">      اوقاف الدواسر/ مسجد الفارسيه .</t>
  </si>
  <si>
    <t>MMF2020800310781</t>
  </si>
  <si>
    <t>KFM2020660153905</t>
  </si>
  <si>
    <t xml:space="preserve">   مسجد      أم طلحه   ------------ .</t>
  </si>
  <si>
    <t>KFM2120660252181</t>
  </si>
  <si>
    <t>SMR2020850073420</t>
  </si>
  <si>
    <t>KFM2020660202072</t>
  </si>
  <si>
    <t xml:space="preserve">   مسجدالرحمن  بحي الملقا .</t>
  </si>
  <si>
    <t>KFM2020660127827</t>
  </si>
  <si>
    <t xml:space="preserve">      اوقاف الدواسر/مسجد ال حقطان .</t>
  </si>
  <si>
    <t>KFM2020660176058</t>
  </si>
  <si>
    <t>مسجد الخراشى .</t>
  </si>
  <si>
    <t>KFM2020660055004</t>
  </si>
  <si>
    <t xml:space="preserve">   مسجد محمدتواب العصيمي .</t>
  </si>
  <si>
    <t>MMF2020800229038</t>
  </si>
  <si>
    <t xml:space="preserve">   مسجد/محمد شلوان بداح .</t>
  </si>
  <si>
    <t>AES2020896464292</t>
  </si>
  <si>
    <t>مسجد/ أم  مندل  عبدالله .</t>
  </si>
  <si>
    <t>KFM2020660087499</t>
  </si>
  <si>
    <t>SMR2220661019351</t>
  </si>
  <si>
    <t>KFM2020660193109</t>
  </si>
  <si>
    <t>مسجد التقوى .</t>
  </si>
  <si>
    <t>KFM2020660202675</t>
  </si>
  <si>
    <t xml:space="preserve">   مسجد/الشجره الجنوبي .</t>
  </si>
  <si>
    <t>KFM2020766093830</t>
  </si>
  <si>
    <t xml:space="preserve">      مـسـجـد هجره الوسطى بالرين .</t>
  </si>
  <si>
    <t>AES2020896528355</t>
  </si>
  <si>
    <t xml:space="preserve">   مسجدالجذعان بـســاجــر .</t>
  </si>
  <si>
    <t>AEC2020830300260</t>
  </si>
  <si>
    <t xml:space="preserve">   مسجد      الحفيرة   الحفيرة .</t>
  </si>
  <si>
    <t>AES2020896280706</t>
  </si>
  <si>
    <t>KFM2020760152096</t>
  </si>
  <si>
    <t xml:space="preserve">   مسجد      سوق       الديرة .</t>
  </si>
  <si>
    <t>AEC2020830320603</t>
  </si>
  <si>
    <t>MMF2020800178290</t>
  </si>
  <si>
    <t xml:space="preserve">   مسجد      بن غدير   بحريملاء .</t>
  </si>
  <si>
    <t>KFM2020760161548</t>
  </si>
  <si>
    <t>ECC2420841079560</t>
  </si>
  <si>
    <t xml:space="preserve">    مـسـجـد البداح (اوقاف القويعيه) .</t>
  </si>
  <si>
    <t>AES2320896633550</t>
  </si>
  <si>
    <t xml:space="preserve">      اوقاف الزلفى .</t>
  </si>
  <si>
    <t>KFM2120660280228</t>
  </si>
  <si>
    <t>مسجد سعد المقرن .</t>
  </si>
  <si>
    <t>KFM2020660203669</t>
  </si>
  <si>
    <t>KFM2020660025546</t>
  </si>
  <si>
    <t xml:space="preserve">   مسجد غازي محسن      بحلبان .</t>
  </si>
  <si>
    <t>KFM2120660241460</t>
  </si>
  <si>
    <t xml:space="preserve">  جامع سموالاميرعبدالله بن عبدالعزيز .</t>
  </si>
  <si>
    <t>KFM2020760036600</t>
  </si>
  <si>
    <t xml:space="preserve">   مسجد ضاحية الضيط .</t>
  </si>
  <si>
    <t>AEC2020830320185</t>
  </si>
  <si>
    <t xml:space="preserve">   مسجد/ المحمديه بالشقران .</t>
  </si>
  <si>
    <t>MMF2420801338131</t>
  </si>
  <si>
    <t xml:space="preserve">   مسجد      صقرة      . .</t>
  </si>
  <si>
    <t>MMF2320801130677</t>
  </si>
  <si>
    <t xml:space="preserve">   مسجدالتعاون بالدار البيضاء .</t>
  </si>
  <si>
    <t>KFM2020660196464</t>
  </si>
  <si>
    <t>KFM2020660096486</t>
  </si>
  <si>
    <t>مسجد محمد الجاسر .</t>
  </si>
  <si>
    <t>KFM2020660201780</t>
  </si>
  <si>
    <t xml:space="preserve">   اوقاف الرين / مسجد الجايف بالرين .</t>
  </si>
  <si>
    <t>AES2020896374076</t>
  </si>
  <si>
    <t xml:space="preserve">    مسجد شمال القاعه الماسيه بليلى .</t>
  </si>
  <si>
    <t>KFM2120660252675</t>
  </si>
  <si>
    <t xml:space="preserve"> مكتب أوقافتمير// مصلى العيد الشحمه .</t>
  </si>
  <si>
    <t>AES2120896547508</t>
  </si>
  <si>
    <t xml:space="preserve">   جامع المستجده بصبحاء .</t>
  </si>
  <si>
    <t>KFM2020766154143</t>
  </si>
  <si>
    <t xml:space="preserve">    مسجدالخليف .</t>
  </si>
  <si>
    <t>AES2120896561731</t>
  </si>
  <si>
    <t xml:space="preserve">   اوقاف المزاحمية .</t>
  </si>
  <si>
    <t>KFM2020660225611</t>
  </si>
  <si>
    <t>SMR2320761027672</t>
  </si>
  <si>
    <t xml:space="preserve">   مسجد/     معاذ      رضي الله عنه .</t>
  </si>
  <si>
    <t>AES2120896586253</t>
  </si>
  <si>
    <t xml:space="preserve">   اوقاف القويعيه /مسجد هجرة الحزم .</t>
  </si>
  <si>
    <t>KFM2020660229549</t>
  </si>
  <si>
    <t xml:space="preserve">   مسجدالطوالع القبلى .</t>
  </si>
  <si>
    <t>AES2020896433458</t>
  </si>
  <si>
    <t>AEC2020830002799</t>
  </si>
  <si>
    <t xml:space="preserve">      مسجد المقطاع .</t>
  </si>
  <si>
    <t>KFM2020760206481</t>
  </si>
  <si>
    <t>KFM2120660241339</t>
  </si>
  <si>
    <t xml:space="preserve">   مسجد      افقراء    //////// .</t>
  </si>
  <si>
    <t>KFM2020660172872</t>
  </si>
  <si>
    <t>مسجد / محمد المنصور .</t>
  </si>
  <si>
    <t>KFM2020660014108</t>
  </si>
  <si>
    <t xml:space="preserve">    مسجد عبدالله عبدالرحمن العنقرى .</t>
  </si>
  <si>
    <t>AES2020896462029</t>
  </si>
  <si>
    <t>AES2120896596114</t>
  </si>
  <si>
    <t>ECC2020811030487</t>
  </si>
  <si>
    <t>مسجد ابن عواد .</t>
  </si>
  <si>
    <t>KFM2020660098806</t>
  </si>
  <si>
    <t xml:space="preserve">   اوقاف     السليل    آل حمدان .</t>
  </si>
  <si>
    <t>SXE2020800417462</t>
  </si>
  <si>
    <t>KFM2020660145910</t>
  </si>
  <si>
    <t xml:space="preserve">      مسجد ال عنان .</t>
  </si>
  <si>
    <t>AEC2020830132610</t>
  </si>
  <si>
    <t>KFM2020660190941</t>
  </si>
  <si>
    <t xml:space="preserve">   مسجد      عجيان     القديم .</t>
  </si>
  <si>
    <t>AES2020896459341</t>
  </si>
  <si>
    <t>KFM2020760113839</t>
  </si>
  <si>
    <t xml:space="preserve">   مسجد سباق الخيل .</t>
  </si>
  <si>
    <t>KFM2120660300472</t>
  </si>
  <si>
    <t xml:space="preserve">   مسجد محمد زيد الغنام وحرمه .</t>
  </si>
  <si>
    <t>KFM2120660254599</t>
  </si>
  <si>
    <t>SMR2320761022579</t>
  </si>
  <si>
    <t xml:space="preserve">   مسجد      سليسان    / .</t>
  </si>
  <si>
    <t>AES2020896447878</t>
  </si>
  <si>
    <t xml:space="preserve">   مسجد محسن عبدالوهاب بن حياد .</t>
  </si>
  <si>
    <t>KFM2020660170100</t>
  </si>
  <si>
    <t>MMF2320801115513</t>
  </si>
  <si>
    <t>KFM2020660203275</t>
  </si>
  <si>
    <t xml:space="preserve">   مسجد      عبدالرحمن ////// .</t>
  </si>
  <si>
    <t>KFM2020760082959</t>
  </si>
  <si>
    <t xml:space="preserve">   مسجد بن حيان بالعود .</t>
  </si>
  <si>
    <t>KFM2120660300471</t>
  </si>
  <si>
    <t xml:space="preserve">   اوقاف الزلفي مسجدعبدالعزيزالعبيد .</t>
  </si>
  <si>
    <t>KFM2020766158199</t>
  </si>
  <si>
    <t xml:space="preserve">   مسجد البادريه .</t>
  </si>
  <si>
    <t>KFM2020766086231</t>
  </si>
  <si>
    <t xml:space="preserve">   مسجد/ خالد المليحى .</t>
  </si>
  <si>
    <t>KFM2020660041272</t>
  </si>
  <si>
    <t>KFM2020660049450</t>
  </si>
  <si>
    <t>.3     مسجد      العودة .</t>
  </si>
  <si>
    <t>KFM2020660201738</t>
  </si>
  <si>
    <t xml:space="preserve">   مسجد علي الفوزان .</t>
  </si>
  <si>
    <t>KFM2120660300609</t>
  </si>
  <si>
    <t>مسجد خليل  السبعان .</t>
  </si>
  <si>
    <t>KFM2020660057863</t>
  </si>
  <si>
    <t xml:space="preserve">   مسجدالاخلاص     بحي العقيق .</t>
  </si>
  <si>
    <t>KFM2020660187915</t>
  </si>
  <si>
    <t>KFM2020660201773</t>
  </si>
  <si>
    <t>KFM2020660027710</t>
  </si>
  <si>
    <t xml:space="preserve">      اوقاف الوشم مسجد طلحه .</t>
  </si>
  <si>
    <t>AEC2020830309467</t>
  </si>
  <si>
    <t>KFM2020760229873</t>
  </si>
  <si>
    <t>KFM2020660193403</t>
  </si>
  <si>
    <t>جامع هجرة خب الرضم .</t>
  </si>
  <si>
    <t>AES2120896574644</t>
  </si>
  <si>
    <t xml:space="preserve">   مسجد فهد الحميد 2864/5   6/3436</t>
  </si>
  <si>
    <t>KFM2020660162790</t>
  </si>
  <si>
    <t>KFM2020660209399</t>
  </si>
  <si>
    <t xml:space="preserve">   مسجد حي الحمراء .</t>
  </si>
  <si>
    <t>KFM2020660056982</t>
  </si>
  <si>
    <t>مسجد / صالح  العتيق .</t>
  </si>
  <si>
    <t>KFM2020660177109</t>
  </si>
  <si>
    <t xml:space="preserve">   مسجد جامع قرية الصالحية ثرب    0 .</t>
  </si>
  <si>
    <t>KFM2120660265058</t>
  </si>
  <si>
    <t>KFM2120660280112</t>
  </si>
  <si>
    <t>AEC2020830509178</t>
  </si>
  <si>
    <t xml:space="preserve">   مسجد الفواز بالظهرة .</t>
  </si>
  <si>
    <t>KFM2020760099813</t>
  </si>
  <si>
    <t>مسجد الرويخلى .</t>
  </si>
  <si>
    <t>KFM2020660189332</t>
  </si>
  <si>
    <t xml:space="preserve">   أوقاف القويعية مسجد الخالدية بلخ .</t>
  </si>
  <si>
    <t>AES2120896566741</t>
  </si>
  <si>
    <t>MMF2020800082947</t>
  </si>
  <si>
    <t xml:space="preserve">   مسجد عمر بن الخطاب بمرات .</t>
  </si>
  <si>
    <t>AES2020896443939</t>
  </si>
  <si>
    <t>وقاف الخرج /مسجدعبطاءالدوسري .</t>
  </si>
  <si>
    <t>KFM2020760185834</t>
  </si>
  <si>
    <t>KFM2020660100034</t>
  </si>
  <si>
    <t>مسجدالاميرعبدالله  بن عبدالرحمن .</t>
  </si>
  <si>
    <t>KFM2020760184961</t>
  </si>
  <si>
    <t>KFM2120660253398</t>
  </si>
  <si>
    <t>SMR2220761002044</t>
  </si>
  <si>
    <t>SMR2420661036204</t>
  </si>
  <si>
    <t>المسجد الموءقف .</t>
  </si>
  <si>
    <t>KFM2020660198307</t>
  </si>
  <si>
    <t xml:space="preserve">   مسجدالامامين بحي الصحافه ومرافقه .</t>
  </si>
  <si>
    <t>KFM2020660127545</t>
  </si>
  <si>
    <t>KFM2120660299291</t>
  </si>
  <si>
    <t xml:space="preserve">   مسجد النخيل .</t>
  </si>
  <si>
    <t>KFM2020660197530</t>
  </si>
  <si>
    <t>.    مسجد      بن عتيق .</t>
  </si>
  <si>
    <t>KFM2020660044508</t>
  </si>
  <si>
    <t>مسجدناصربن حسبنان .</t>
  </si>
  <si>
    <t>KFM2020660034110</t>
  </si>
  <si>
    <t>KFM2020766128616</t>
  </si>
  <si>
    <t xml:space="preserve">   مسجد      عبدالرحمن المساعد .</t>
  </si>
  <si>
    <t>KFM2020660212646</t>
  </si>
  <si>
    <t xml:space="preserve">   مسجد/عماربن ياسر .</t>
  </si>
  <si>
    <t>KFM2120660257613</t>
  </si>
  <si>
    <t>مسجدالشفاء الشمالى .</t>
  </si>
  <si>
    <t>KFM2020660057786</t>
  </si>
  <si>
    <t>مسجد /بحي السويدي .</t>
  </si>
  <si>
    <t>KFM2020660192600</t>
  </si>
  <si>
    <t>KFM2020660191721</t>
  </si>
  <si>
    <t xml:space="preserve">   مسجدوسكن الامام والموذن رقم 12351 .</t>
  </si>
  <si>
    <t>KFM2020660202935</t>
  </si>
  <si>
    <t>KFM2120660249231</t>
  </si>
  <si>
    <t xml:space="preserve">   مسجد أم سرحه .</t>
  </si>
  <si>
    <t>KFM2020766138383</t>
  </si>
  <si>
    <t>KFM2020660129888</t>
  </si>
  <si>
    <t xml:space="preserve">   مسجد العليا الغربى .</t>
  </si>
  <si>
    <t>AES2020896342486</t>
  </si>
  <si>
    <t>مسجد / الفرقان بظهرة  نمار .</t>
  </si>
  <si>
    <t>KFM2020660039107</t>
  </si>
  <si>
    <t xml:space="preserve">   مسجد/نهضة الشريف    الاوقاف .</t>
  </si>
  <si>
    <t>SMR2320661022550</t>
  </si>
  <si>
    <t>مسجد      الفيضة     منفوحة .</t>
  </si>
  <si>
    <t>KFM2020660015209</t>
  </si>
  <si>
    <t xml:space="preserve"> اوقاف الحريق/ابوحنيفة بهجرة الربوا .</t>
  </si>
  <si>
    <t>AEC2020830239212</t>
  </si>
  <si>
    <t xml:space="preserve">    مسجد عبدالله بن مسفر رزق الخفرى .</t>
  </si>
  <si>
    <t>AES2020896384064</t>
  </si>
  <si>
    <t>AES2120896563529</t>
  </si>
  <si>
    <t>مسجدالحبونيه  الشمالى .</t>
  </si>
  <si>
    <t>KFM2020660056133</t>
  </si>
  <si>
    <t xml:space="preserve"> وزارةالشئون الاسلاميه / مسجد الضبعان .</t>
  </si>
  <si>
    <t>KFM2020660161701</t>
  </si>
  <si>
    <t xml:space="preserve">      مسجد جامع أم سديرة .</t>
  </si>
  <si>
    <t>AES2120896565821</t>
  </si>
  <si>
    <t>KFM2020660195873</t>
  </si>
  <si>
    <t xml:space="preserve">   مـسجدالمطلقبالاحمر .</t>
  </si>
  <si>
    <t>AES2020896470637</t>
  </si>
  <si>
    <t>.    مسجد      المنقع .</t>
  </si>
  <si>
    <t>KFM2020660168459</t>
  </si>
  <si>
    <t>MMF2020800255631</t>
  </si>
  <si>
    <t>مسجد/ حي النسيج   منفوحة .</t>
  </si>
  <si>
    <t>KFM2020766081616</t>
  </si>
  <si>
    <t xml:space="preserve">   مسجدجامع الفرعة .</t>
  </si>
  <si>
    <t>KFM2020660173742</t>
  </si>
  <si>
    <t>مسجد ال  عشيوان .</t>
  </si>
  <si>
    <t>KFM2020660054898</t>
  </si>
  <si>
    <t xml:space="preserve">   مسجد الغصين  القحطانى .</t>
  </si>
  <si>
    <t>AES2020896532370</t>
  </si>
  <si>
    <t>مسجد عبدالله  المديهشى .</t>
  </si>
  <si>
    <t>KFM2020660054330</t>
  </si>
  <si>
    <t xml:space="preserve">   مسجدالصناعيةالغربي بالصحنه .</t>
  </si>
  <si>
    <t>KFM2020660228423</t>
  </si>
  <si>
    <t>مسجدالقعود ج عسيرمسجدنورة العيد .</t>
  </si>
  <si>
    <t>KFM2020660025788</t>
  </si>
  <si>
    <t xml:space="preserve">   مسجد      محيميد    النخيش .</t>
  </si>
  <si>
    <t>KFM2120660238372</t>
  </si>
  <si>
    <t>مسجد ال  شايع .</t>
  </si>
  <si>
    <t>ECC2020810925908</t>
  </si>
  <si>
    <t>KFM2020660211358</t>
  </si>
  <si>
    <t xml:space="preserve">       جامع عبلاء البهيجى .</t>
  </si>
  <si>
    <t>AES2020896091381</t>
  </si>
  <si>
    <t>مسجد      موضى .</t>
  </si>
  <si>
    <t>LYE2020810103995</t>
  </si>
  <si>
    <t xml:space="preserve">   مسجد الحصيني .</t>
  </si>
  <si>
    <t>KFM2020660173181</t>
  </si>
  <si>
    <t xml:space="preserve">   مسجد حى الهاتف .</t>
  </si>
  <si>
    <t>KFM2020766092814</t>
  </si>
  <si>
    <t xml:space="preserve">   مسجد      الفيصل    نساح .</t>
  </si>
  <si>
    <t>AEC2020830233881</t>
  </si>
  <si>
    <t>DZG2020890017043</t>
  </si>
  <si>
    <t xml:space="preserve">   اوفاف الحصاة/ مسجد ابو نخلة .</t>
  </si>
  <si>
    <t>AES2020896532092</t>
  </si>
  <si>
    <t xml:space="preserve">   مسجد/ عبدالعزيز السعيدان .</t>
  </si>
  <si>
    <t>KFM2020660223921</t>
  </si>
  <si>
    <t xml:space="preserve">         مسجد ام سريحه .</t>
  </si>
  <si>
    <t>AES2020896253886</t>
  </si>
  <si>
    <t>مسجد المرافق .</t>
  </si>
  <si>
    <t>KFM2020660045041</t>
  </si>
  <si>
    <t>KFM2020660091861</t>
  </si>
  <si>
    <t>مسجد /القحاطين .</t>
  </si>
  <si>
    <t>KFM2020660014104</t>
  </si>
  <si>
    <t xml:space="preserve">      الاوقاف (مسجد امالسدره) .</t>
  </si>
  <si>
    <t>AES2020896454149</t>
  </si>
  <si>
    <t xml:space="preserve">   مسجدالحزم الشمالي/اوقاف السليل .</t>
  </si>
  <si>
    <t>AES2020896081730</t>
  </si>
  <si>
    <t>قيمة الفاتورة 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</si>
</sst>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9" fontId="0" fillId="0" borderId="0" xfId="1" applyFont="1"/>
    <xf numFmtId="3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92"/>
  <sheetViews>
    <sheetView tabSelected="1" topLeftCell="A46" zoomScale="85" zoomScaleNormal="85" workbookViewId="0">
      <selection activeCell="H60" sqref="H60"/>
    </sheetView>
  </sheetViews>
  <sheetFormatPr defaultRowHeight="14.4" x14ac:dyDescent="0.3"/>
  <cols>
    <col min="1" max="1" width="39.109375" bestFit="1" customWidth="1"/>
    <col min="2" max="2" width="18.6640625" bestFit="1" customWidth="1"/>
    <col min="3" max="3" width="15.33203125" bestFit="1" customWidth="1"/>
    <col min="4" max="4" width="36.33203125" customWidth="1"/>
    <col min="5" max="5" width="19.33203125" customWidth="1"/>
    <col min="6" max="6" width="9.88671875" bestFit="1" customWidth="1"/>
    <col min="7" max="7" width="2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13125</v>
      </c>
      <c r="F1" s="5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8</v>
      </c>
      <c r="D2">
        <v>335.86399999999998</v>
      </c>
      <c r="E2" s="4">
        <v>107477</v>
      </c>
      <c r="F2" t="str">
        <f>HYPERLINK("https://www.google.com/maps/search/?api=1&amp;query=24.6290373,46.70857805", "View Map")</f>
        <v>View Map</v>
      </c>
      <c r="G2" s="2">
        <v>0.86110022071583037</v>
      </c>
    </row>
    <row r="3" spans="1:7" x14ac:dyDescent="0.3">
      <c r="A3" t="s">
        <v>10</v>
      </c>
      <c r="B3" t="s">
        <v>11</v>
      </c>
      <c r="C3" t="s">
        <v>8</v>
      </c>
      <c r="D3">
        <v>253.37899999999999</v>
      </c>
      <c r="E3" s="4">
        <v>81081</v>
      </c>
      <c r="F3" t="str">
        <f>HYPERLINK("https://www.google.com/maps/search/?api=1&amp;query=24.71878225,46.7552068", "View Map")</f>
        <v>View Map</v>
      </c>
      <c r="G3" s="2">
        <v>0.86299592934621261</v>
      </c>
    </row>
    <row r="4" spans="1:7" x14ac:dyDescent="0.3">
      <c r="A4" t="s">
        <v>12</v>
      </c>
      <c r="B4" t="s">
        <v>13</v>
      </c>
      <c r="C4" t="s">
        <v>8</v>
      </c>
      <c r="D4">
        <v>250.00299999999999</v>
      </c>
      <c r="E4" s="4">
        <v>80001</v>
      </c>
      <c r="F4" t="str">
        <f>HYPERLINK("https://www.google.com/maps/search/?api=1&amp;query=24.674339,46.7816788", "View Map")</f>
        <v>View Map</v>
      </c>
      <c r="G4" s="2">
        <v>0.4301164924360607</v>
      </c>
    </row>
    <row r="5" spans="1:7" x14ac:dyDescent="0.3">
      <c r="A5" t="s">
        <v>14</v>
      </c>
      <c r="B5" t="s">
        <v>15</v>
      </c>
      <c r="C5" t="s">
        <v>16</v>
      </c>
      <c r="D5">
        <v>104.72199999999999</v>
      </c>
      <c r="E5" s="4">
        <v>33511</v>
      </c>
      <c r="F5" t="str">
        <f>HYPERLINK("https://www.google.com/maps/search/?api=1&amp;query=23.89383282,42.89633611", "View Map")</f>
        <v>View Map</v>
      </c>
      <c r="G5" s="2">
        <v>48.743558793216472</v>
      </c>
    </row>
    <row r="6" spans="1:7" x14ac:dyDescent="0.3">
      <c r="A6" t="s">
        <v>17</v>
      </c>
      <c r="B6" t="s">
        <v>18</v>
      </c>
      <c r="C6" t="s">
        <v>8</v>
      </c>
      <c r="D6">
        <v>102.904</v>
      </c>
      <c r="E6" s="4">
        <v>32929</v>
      </c>
      <c r="F6" t="str">
        <f>HYPERLINK("https://www.google.com/maps/search/?api=1&amp;query=24.70051282,46.65273349", "View Map")</f>
        <v>View Map</v>
      </c>
      <c r="G6" s="2">
        <v>0.79432590269833281</v>
      </c>
    </row>
    <row r="7" spans="1:7" x14ac:dyDescent="0.3">
      <c r="A7" t="s">
        <v>19</v>
      </c>
      <c r="B7" t="s">
        <v>20</v>
      </c>
      <c r="C7" t="s">
        <v>21</v>
      </c>
      <c r="D7">
        <v>89.022999999999996</v>
      </c>
      <c r="E7" s="4">
        <v>28487</v>
      </c>
      <c r="F7" t="str">
        <f>HYPERLINK("https://www.google.com/maps/search/?api=1&amp;query=26.30596794,44.80295377", "View Map")</f>
        <v>View Map</v>
      </c>
      <c r="G7" s="2">
        <v>0.57539372514361464</v>
      </c>
    </row>
    <row r="8" spans="1:7" x14ac:dyDescent="0.3">
      <c r="A8" t="s">
        <v>22</v>
      </c>
      <c r="B8" t="s">
        <v>23</v>
      </c>
      <c r="C8" t="s">
        <v>8</v>
      </c>
      <c r="D8">
        <v>87.566999999999993</v>
      </c>
      <c r="E8" s="4">
        <v>28021</v>
      </c>
      <c r="F8" t="str">
        <f>HYPERLINK("https://www.google.com/maps/search/?api=1&amp;query=24.67291561,46.86330744", "View Map")</f>
        <v>View Map</v>
      </c>
      <c r="G8" s="2">
        <v>0.69366761429031554</v>
      </c>
    </row>
    <row r="9" spans="1:7" x14ac:dyDescent="0.3">
      <c r="A9" t="s">
        <v>24</v>
      </c>
      <c r="B9" t="s">
        <v>25</v>
      </c>
      <c r="C9" t="s">
        <v>8</v>
      </c>
      <c r="D9">
        <v>82.951999999999998</v>
      </c>
      <c r="E9" s="4">
        <v>26545</v>
      </c>
      <c r="F9" t="str">
        <f>HYPERLINK("https://www.google.com/maps/search/?api=1&amp;query=24.66201851,46.86361439", "View Map")</f>
        <v>View Map</v>
      </c>
      <c r="G9" s="2">
        <v>0.78300031618064547</v>
      </c>
    </row>
    <row r="10" spans="1:7" x14ac:dyDescent="0.3">
      <c r="A10" t="s">
        <v>26</v>
      </c>
      <c r="B10" t="s">
        <v>27</v>
      </c>
      <c r="C10" t="s">
        <v>8</v>
      </c>
      <c r="D10">
        <v>80.344999999999999</v>
      </c>
      <c r="E10" s="4">
        <v>25711</v>
      </c>
      <c r="F10" t="str">
        <f>HYPERLINK("https://www.google.com/maps/search/?api=1&amp;query=24.67439423,46.87595957", "View Map")</f>
        <v>View Map</v>
      </c>
      <c r="G10" s="2">
        <v>0.82848891382707546</v>
      </c>
    </row>
    <row r="11" spans="1:7" x14ac:dyDescent="0.3">
      <c r="A11" t="s">
        <v>28</v>
      </c>
      <c r="B11" t="s">
        <v>29</v>
      </c>
      <c r="C11" t="s">
        <v>30</v>
      </c>
      <c r="D11">
        <v>73.741</v>
      </c>
      <c r="E11" s="4">
        <v>23597</v>
      </c>
      <c r="F11" t="str">
        <f>HYPERLINK("https://www.google.com/maps/search/?api=1&amp;query=24.16007137,47.23464169", "View Map")</f>
        <v>View Map</v>
      </c>
      <c r="G11" s="2">
        <v>0.40857322782315769</v>
      </c>
    </row>
    <row r="12" spans="1:7" x14ac:dyDescent="0.3">
      <c r="A12" t="s">
        <v>31</v>
      </c>
      <c r="B12" t="s">
        <v>32</v>
      </c>
      <c r="C12" t="s">
        <v>8</v>
      </c>
      <c r="D12">
        <v>60.250999999999998</v>
      </c>
      <c r="E12" s="4">
        <v>19280</v>
      </c>
      <c r="F12" t="str">
        <f>HYPERLINK("https://www.google.com/maps/search/?api=1&amp;query=24.5517,46.7622", "View Map")</f>
        <v>View Map</v>
      </c>
      <c r="G12" s="2">
        <v>0.5162726994165725</v>
      </c>
    </row>
    <row r="13" spans="1:7" x14ac:dyDescent="0.3">
      <c r="A13" t="s">
        <v>33</v>
      </c>
      <c r="B13" t="s">
        <v>34</v>
      </c>
      <c r="C13" t="s">
        <v>8</v>
      </c>
      <c r="D13">
        <v>58.615000000000002</v>
      </c>
      <c r="E13" s="4">
        <v>18757</v>
      </c>
      <c r="F13" t="str">
        <f>HYPERLINK("https://www.google.com/maps/search/?api=1&amp;query=24.67053649,46.65803202", "View Map")</f>
        <v>View Map</v>
      </c>
      <c r="G13" s="2">
        <v>0.69274086237821775</v>
      </c>
    </row>
    <row r="14" spans="1:7" x14ac:dyDescent="0.3">
      <c r="A14" t="s">
        <v>35</v>
      </c>
      <c r="B14" t="s">
        <v>36</v>
      </c>
      <c r="C14" t="s">
        <v>8</v>
      </c>
      <c r="D14">
        <v>57.853000000000002</v>
      </c>
      <c r="E14" s="4">
        <v>18513</v>
      </c>
      <c r="F14" t="str">
        <f>HYPERLINK("https://www.google.com/maps/search/?api=1&amp;query=24.62872277,46.71230113", "View Map")</f>
        <v>View Map</v>
      </c>
      <c r="G14" s="2">
        <v>0.68865488438825095</v>
      </c>
    </row>
    <row r="15" spans="1:7" x14ac:dyDescent="0.3">
      <c r="A15" t="s">
        <v>37</v>
      </c>
      <c r="B15" t="s">
        <v>38</v>
      </c>
      <c r="C15" t="s">
        <v>8</v>
      </c>
      <c r="D15">
        <v>56.182000000000002</v>
      </c>
      <c r="E15" s="4">
        <v>17978</v>
      </c>
      <c r="F15" t="str">
        <f>HYPERLINK("https://www.google.com/maps/search/?api=1&amp;query=24.65884065,46.87719912", "View Map")</f>
        <v>View Map</v>
      </c>
      <c r="G15" s="2">
        <v>0.63618920628940523</v>
      </c>
    </row>
    <row r="16" spans="1:7" x14ac:dyDescent="0.3">
      <c r="A16" t="s">
        <v>39</v>
      </c>
      <c r="B16" t="s">
        <v>40</v>
      </c>
      <c r="C16" t="s">
        <v>8</v>
      </c>
      <c r="D16">
        <v>55.887999999999998</v>
      </c>
      <c r="E16" s="4">
        <v>17884</v>
      </c>
      <c r="F16" t="str">
        <f>HYPERLINK("https://www.google.com/maps/search/?api=1&amp;query=24.78932199,46.76853061", "View Map")</f>
        <v>View Map</v>
      </c>
      <c r="G16" s="2">
        <v>0.51728640645000346</v>
      </c>
    </row>
    <row r="17" spans="1:7" x14ac:dyDescent="0.3">
      <c r="A17" t="s">
        <v>41</v>
      </c>
      <c r="B17" t="s">
        <v>42</v>
      </c>
      <c r="C17" t="s">
        <v>8</v>
      </c>
      <c r="D17">
        <v>54.265999999999998</v>
      </c>
      <c r="E17" s="4">
        <v>17365</v>
      </c>
      <c r="F17" t="str">
        <f>HYPERLINK("https://www.google.com/maps/search/?api=1&amp;query=24.65966611,46.86842639", "View Map")</f>
        <v>View Map</v>
      </c>
      <c r="G17" s="2">
        <v>0.65698805141957761</v>
      </c>
    </row>
    <row r="18" spans="1:7" x14ac:dyDescent="0.3">
      <c r="A18" t="s">
        <v>17</v>
      </c>
      <c r="B18" t="s">
        <v>43</v>
      </c>
      <c r="C18" t="s">
        <v>8</v>
      </c>
      <c r="D18">
        <v>54.106000000000002</v>
      </c>
      <c r="E18" s="4">
        <v>17314</v>
      </c>
      <c r="F18" t="str">
        <f>HYPERLINK("https://www.google.com/maps/search/?api=1&amp;query=24.70051434,46.65273532", "View Map")</f>
        <v>View Map</v>
      </c>
      <c r="G18" s="2">
        <v>0.7287412923674309</v>
      </c>
    </row>
    <row r="19" spans="1:7" x14ac:dyDescent="0.3">
      <c r="A19" t="s">
        <v>44</v>
      </c>
      <c r="B19" t="s">
        <v>45</v>
      </c>
      <c r="C19" t="s">
        <v>8</v>
      </c>
      <c r="D19">
        <v>52.271999999999998</v>
      </c>
      <c r="E19" s="4">
        <v>16727</v>
      </c>
      <c r="F19" t="str">
        <f>HYPERLINK("https://www.google.com/maps/search/?api=1&amp;query=24.67564658,46.87356533", "View Map")</f>
        <v>View Map</v>
      </c>
      <c r="G19" s="2">
        <v>0.69647147986074709</v>
      </c>
    </row>
    <row r="20" spans="1:7" x14ac:dyDescent="0.3">
      <c r="A20" t="s">
        <v>46</v>
      </c>
      <c r="B20" t="s">
        <v>47</v>
      </c>
      <c r="C20" t="s">
        <v>8</v>
      </c>
      <c r="D20">
        <v>50.725000000000001</v>
      </c>
      <c r="E20" s="4">
        <v>16232</v>
      </c>
      <c r="F20" t="str">
        <f>HYPERLINK("https://www.google.com/maps/search/?api=1&amp;query=24.8589,46.6406", "View Map")</f>
        <v>View Map</v>
      </c>
      <c r="G20" s="2">
        <v>0.58857104343486466</v>
      </c>
    </row>
    <row r="21" spans="1:7" x14ac:dyDescent="0.3">
      <c r="A21" t="s">
        <v>48</v>
      </c>
      <c r="B21" t="s">
        <v>49</v>
      </c>
      <c r="C21" t="s">
        <v>8</v>
      </c>
      <c r="D21">
        <v>49.451999999999998</v>
      </c>
      <c r="E21" s="4">
        <v>15825</v>
      </c>
      <c r="F21" t="str">
        <f>HYPERLINK("https://www.google.com/maps/search/?api=1&amp;query=24.80437452,46.61631235", "View Map")</f>
        <v>View Map</v>
      </c>
      <c r="G21" s="2">
        <v>0.84236363259384728</v>
      </c>
    </row>
    <row r="22" spans="1:7" x14ac:dyDescent="0.3">
      <c r="A22" t="s">
        <v>50</v>
      </c>
      <c r="B22" t="s">
        <v>51</v>
      </c>
      <c r="C22" t="s">
        <v>30</v>
      </c>
      <c r="D22">
        <v>48.924999999999997</v>
      </c>
      <c r="E22" s="4">
        <v>15656</v>
      </c>
      <c r="F22" t="str">
        <f>HYPERLINK("https://www.google.com/maps/search/?api=1&amp;query=24.15200302,47.30254745", "View Map")</f>
        <v>View Map</v>
      </c>
      <c r="G22" s="2">
        <v>0.54109222299852933</v>
      </c>
    </row>
    <row r="23" spans="1:7" x14ac:dyDescent="0.3">
      <c r="A23" t="s">
        <v>52</v>
      </c>
      <c r="B23" t="s">
        <v>53</v>
      </c>
      <c r="C23" t="s">
        <v>8</v>
      </c>
      <c r="D23">
        <v>47.280999999999999</v>
      </c>
      <c r="E23" s="4">
        <v>15130</v>
      </c>
      <c r="F23" t="str">
        <f>HYPERLINK("https://www.google.com/maps/search/?api=1&amp;query=24.673575,46.88101881", "View Map")</f>
        <v>View Map</v>
      </c>
      <c r="G23" s="2">
        <v>0.74681432079911392</v>
      </c>
    </row>
    <row r="24" spans="1:7" x14ac:dyDescent="0.3">
      <c r="A24" t="s">
        <v>46</v>
      </c>
      <c r="B24" t="s">
        <v>54</v>
      </c>
      <c r="C24" t="s">
        <v>55</v>
      </c>
      <c r="D24">
        <v>45.920999999999999</v>
      </c>
      <c r="E24" s="4">
        <v>14695</v>
      </c>
      <c r="F24" t="str">
        <f>HYPERLINK("https://www.google.com/maps/search/?api=1&amp;query=24.8244511,46.56413091", "View Map")</f>
        <v>View Map</v>
      </c>
      <c r="G24" s="2">
        <v>0.69372999383934308</v>
      </c>
    </row>
    <row r="25" spans="1:7" x14ac:dyDescent="0.3">
      <c r="A25" t="s">
        <v>56</v>
      </c>
      <c r="B25" t="s">
        <v>57</v>
      </c>
      <c r="C25" t="s">
        <v>8</v>
      </c>
      <c r="D25">
        <v>44.786999999999999</v>
      </c>
      <c r="E25" s="4">
        <v>14332</v>
      </c>
      <c r="F25" t="str">
        <f>HYPERLINK("https://www.google.com/maps/search/?api=1&amp;query=24.70812841,46.82041352", "View Map")</f>
        <v>View Map</v>
      </c>
      <c r="G25" s="2">
        <v>0.37361828987358942</v>
      </c>
    </row>
    <row r="26" spans="1:7" x14ac:dyDescent="0.3">
      <c r="A26" t="s">
        <v>58</v>
      </c>
      <c r="B26" t="s">
        <v>59</v>
      </c>
      <c r="C26" t="s">
        <v>30</v>
      </c>
      <c r="D26">
        <v>43.884</v>
      </c>
      <c r="E26" s="4">
        <v>14043</v>
      </c>
      <c r="F26" t="str">
        <f>HYPERLINK("https://www.google.com/maps/search/?api=1&amp;query=24.13137844,47.27461704", "View Map")</f>
        <v>View Map</v>
      </c>
      <c r="G26" s="2">
        <v>0.69765378845098791</v>
      </c>
    </row>
    <row r="27" spans="1:7" x14ac:dyDescent="0.3">
      <c r="A27" t="s">
        <v>60</v>
      </c>
      <c r="B27" t="s">
        <v>61</v>
      </c>
      <c r="C27" t="s">
        <v>8</v>
      </c>
      <c r="D27">
        <v>43.774000000000001</v>
      </c>
      <c r="E27" s="4">
        <v>14008</v>
      </c>
      <c r="F27" t="str">
        <f>HYPERLINK("https://www.google.com/maps/search/?api=1&amp;query=24.64446,46.67468", "View Map")</f>
        <v>View Map</v>
      </c>
      <c r="G27" s="2">
        <v>0.7707655695929807</v>
      </c>
    </row>
    <row r="28" spans="1:7" x14ac:dyDescent="0.3">
      <c r="A28" t="s">
        <v>62</v>
      </c>
      <c r="B28" t="s">
        <v>63</v>
      </c>
      <c r="C28" t="s">
        <v>8</v>
      </c>
      <c r="D28">
        <v>43.667999999999999</v>
      </c>
      <c r="E28" s="4">
        <v>13974</v>
      </c>
      <c r="F28" t="str">
        <f>HYPERLINK("https://www.google.com/maps/search/?api=1&amp;query=24.81794716,46.77955596", "View Map")</f>
        <v>View Map</v>
      </c>
      <c r="G28" s="2">
        <v>0.813290927338985</v>
      </c>
    </row>
    <row r="29" spans="1:7" x14ac:dyDescent="0.3">
      <c r="A29" t="s">
        <v>64</v>
      </c>
      <c r="B29" t="s">
        <v>65</v>
      </c>
      <c r="C29" t="s">
        <v>8</v>
      </c>
      <c r="D29">
        <v>42.753</v>
      </c>
      <c r="E29" s="4">
        <v>13681</v>
      </c>
      <c r="F29" t="str">
        <f>HYPERLINK("https://www.google.com/maps/search/?api=1&amp;query=24.74076623,46.79615151", "View Map")</f>
        <v>View Map</v>
      </c>
      <c r="G29" s="2">
        <v>0.62843159757175304</v>
      </c>
    </row>
    <row r="30" spans="1:7" x14ac:dyDescent="0.3">
      <c r="A30" t="s">
        <v>66</v>
      </c>
      <c r="B30" t="s">
        <v>67</v>
      </c>
      <c r="C30" t="s">
        <v>8</v>
      </c>
      <c r="D30">
        <v>42.232999999999997</v>
      </c>
      <c r="E30" s="4">
        <v>13515</v>
      </c>
      <c r="F30" t="str">
        <f>HYPERLINK("https://www.google.com/maps/search/?api=1&amp;query=24.64905,46.68186", "View Map")</f>
        <v>View Map</v>
      </c>
      <c r="G30" s="2">
        <v>0.74108928014183417</v>
      </c>
    </row>
    <row r="31" spans="1:7" x14ac:dyDescent="0.3">
      <c r="A31" t="s">
        <v>46</v>
      </c>
      <c r="B31" t="s">
        <v>68</v>
      </c>
      <c r="C31" t="s">
        <v>8</v>
      </c>
      <c r="D31">
        <v>42.18</v>
      </c>
      <c r="E31" s="4">
        <v>13498</v>
      </c>
      <c r="F31" t="str">
        <f>HYPERLINK("https://www.google.com/maps/search/?api=1&amp;query=24.8608,46.6494", "View Map")</f>
        <v>View Map</v>
      </c>
      <c r="G31" s="2">
        <v>0.80738721255621249</v>
      </c>
    </row>
    <row r="32" spans="1:7" x14ac:dyDescent="0.3">
      <c r="A32" t="s">
        <v>46</v>
      </c>
      <c r="B32" t="s">
        <v>69</v>
      </c>
      <c r="C32" t="s">
        <v>8</v>
      </c>
      <c r="D32">
        <v>40.996000000000002</v>
      </c>
      <c r="E32" s="4">
        <v>13119</v>
      </c>
      <c r="F32" t="str">
        <f>HYPERLINK("https://www.google.com/maps/search/?api=1&amp;query=24.81908,46.61899", "View Map")</f>
        <v>View Map</v>
      </c>
      <c r="G32" s="2">
        <v>0.49124426695151657</v>
      </c>
    </row>
    <row r="33" spans="1:7" x14ac:dyDescent="0.3">
      <c r="A33" t="s">
        <v>70</v>
      </c>
      <c r="B33" t="s">
        <v>71</v>
      </c>
      <c r="C33" t="s">
        <v>8</v>
      </c>
      <c r="D33">
        <v>40.539000000000001</v>
      </c>
      <c r="E33" s="4">
        <v>12972</v>
      </c>
      <c r="F33" t="str">
        <f>HYPERLINK("https://www.google.com/maps/search/?api=1&amp;query=24.6042,46.7106", "View Map")</f>
        <v>View Map</v>
      </c>
    </row>
    <row r="34" spans="1:7" x14ac:dyDescent="0.3">
      <c r="A34" t="s">
        <v>46</v>
      </c>
      <c r="B34" t="s">
        <v>72</v>
      </c>
      <c r="C34" t="s">
        <v>8</v>
      </c>
      <c r="D34">
        <v>39.789000000000001</v>
      </c>
      <c r="E34" s="4">
        <v>12732</v>
      </c>
      <c r="F34" t="str">
        <f>HYPERLINK("https://www.google.com/maps/search/?api=1&amp;query=24.84761723,46.62807962", "View Map")</f>
        <v>View Map</v>
      </c>
    </row>
    <row r="35" spans="1:7" x14ac:dyDescent="0.3">
      <c r="A35" t="s">
        <v>73</v>
      </c>
      <c r="B35" t="s">
        <v>74</v>
      </c>
      <c r="C35" t="s">
        <v>8</v>
      </c>
      <c r="D35">
        <v>38.835000000000001</v>
      </c>
      <c r="E35" s="4">
        <v>12427</v>
      </c>
      <c r="F35" t="str">
        <f>HYPERLINK("https://www.google.com/maps/search/?api=1&amp;query=24.7196813,46.65872229", "View Map")</f>
        <v>View Map</v>
      </c>
      <c r="G35" s="2">
        <v>0.79146152867376485</v>
      </c>
    </row>
    <row r="36" spans="1:7" x14ac:dyDescent="0.3">
      <c r="A36" t="s">
        <v>75</v>
      </c>
      <c r="B36" t="s">
        <v>76</v>
      </c>
      <c r="C36" t="s">
        <v>77</v>
      </c>
      <c r="D36">
        <v>38.500999999999998</v>
      </c>
      <c r="E36" s="4">
        <v>12320</v>
      </c>
      <c r="F36" t="str">
        <f>HYPERLINK("https://www.google.com/maps/search/?api=1&amp;query=22.30267156,46.72373659", "View Map")</f>
        <v>View Map</v>
      </c>
      <c r="G36" s="2">
        <v>0.85022111066476269</v>
      </c>
    </row>
    <row r="37" spans="1:7" x14ac:dyDescent="0.3">
      <c r="A37" t="s">
        <v>73</v>
      </c>
      <c r="B37" t="s">
        <v>78</v>
      </c>
      <c r="C37" t="s">
        <v>8</v>
      </c>
      <c r="D37">
        <v>38.036000000000001</v>
      </c>
      <c r="E37" s="4">
        <v>12172</v>
      </c>
      <c r="F37" t="str">
        <f>HYPERLINK("https://www.google.com/maps/search/?api=1&amp;query=24.75392709,46.61690089", "View Map")</f>
        <v>View Map</v>
      </c>
      <c r="G37" s="2">
        <v>0.68459170519655321</v>
      </c>
    </row>
    <row r="38" spans="1:7" x14ac:dyDescent="0.3">
      <c r="A38" t="s">
        <v>79</v>
      </c>
      <c r="B38" t="s">
        <v>80</v>
      </c>
      <c r="C38" t="s">
        <v>8</v>
      </c>
      <c r="D38">
        <v>37.975999999999999</v>
      </c>
      <c r="E38" s="4">
        <v>12152</v>
      </c>
      <c r="F38" t="str">
        <f>HYPERLINK("https://www.google.com/maps/search/?api=1&amp;query=24.80212711,46.7338643", "View Map")</f>
        <v>View Map</v>
      </c>
      <c r="G38" s="2">
        <v>0.76945565150982487</v>
      </c>
    </row>
    <row r="39" spans="1:7" x14ac:dyDescent="0.3">
      <c r="A39" t="s">
        <v>81</v>
      </c>
      <c r="B39" t="s">
        <v>82</v>
      </c>
      <c r="C39" t="s">
        <v>8</v>
      </c>
      <c r="D39">
        <v>37.045999999999999</v>
      </c>
      <c r="E39" s="4">
        <v>11855</v>
      </c>
      <c r="F39" t="str">
        <f>HYPERLINK("https://www.google.com/maps/search/?api=1&amp;query=24.67329557,46.7328561", "View Map")</f>
        <v>View Map</v>
      </c>
      <c r="G39" s="2">
        <v>0.65162487029516936</v>
      </c>
    </row>
    <row r="40" spans="1:7" x14ac:dyDescent="0.3">
      <c r="A40" t="s">
        <v>83</v>
      </c>
      <c r="B40" t="s">
        <v>84</v>
      </c>
      <c r="C40" t="s">
        <v>8</v>
      </c>
      <c r="D40">
        <v>36.677999999999997</v>
      </c>
      <c r="E40" s="4">
        <v>11737</v>
      </c>
      <c r="F40" t="str">
        <f>HYPERLINK("https://www.google.com/maps/search/?api=1&amp;query=24.69470816,46.68759636", "View Map")</f>
        <v>View Map</v>
      </c>
      <c r="G40" s="2">
        <v>0.80903632529535807</v>
      </c>
    </row>
    <row r="41" spans="1:7" x14ac:dyDescent="0.3">
      <c r="A41" t="s">
        <v>85</v>
      </c>
      <c r="B41" t="s">
        <v>86</v>
      </c>
      <c r="C41" t="s">
        <v>8</v>
      </c>
      <c r="D41">
        <v>35.915999999999997</v>
      </c>
      <c r="E41" s="4">
        <v>11493</v>
      </c>
      <c r="F41" t="str">
        <f>HYPERLINK("https://www.google.com/maps/search/?api=1&amp;query=24.70831193,46.80891747", "View Map")</f>
        <v>View Map</v>
      </c>
      <c r="G41" s="2">
        <v>0.409372564433098</v>
      </c>
    </row>
    <row r="42" spans="1:7" x14ac:dyDescent="0.3">
      <c r="A42" t="s">
        <v>87</v>
      </c>
      <c r="B42" t="s">
        <v>88</v>
      </c>
      <c r="C42" t="s">
        <v>8</v>
      </c>
      <c r="D42">
        <v>35.658000000000001</v>
      </c>
      <c r="E42" s="4">
        <v>11411</v>
      </c>
      <c r="F42" t="str">
        <f>HYPERLINK("https://www.google.com/maps/search/?api=1&amp;query=24.67939988,46.66350969", "View Map")</f>
        <v>View Map</v>
      </c>
      <c r="G42" s="2">
        <v>0.70464973606563563</v>
      </c>
    </row>
    <row r="43" spans="1:7" x14ac:dyDescent="0.3">
      <c r="A43" t="s">
        <v>46</v>
      </c>
      <c r="B43" t="s">
        <v>89</v>
      </c>
      <c r="C43" t="s">
        <v>8</v>
      </c>
      <c r="D43">
        <v>35.584000000000003</v>
      </c>
      <c r="E43" s="4">
        <v>11387</v>
      </c>
      <c r="F43" t="str">
        <f>HYPERLINK("https://www.google.com/maps/search/?api=1&amp;query=24.78495628,46.71657203", "View Map")</f>
        <v>View Map</v>
      </c>
      <c r="G43" s="2">
        <v>0.6282249863675845</v>
      </c>
    </row>
    <row r="44" spans="1:7" x14ac:dyDescent="0.3">
      <c r="A44" t="s">
        <v>90</v>
      </c>
      <c r="B44" t="s">
        <v>91</v>
      </c>
      <c r="C44" t="s">
        <v>8</v>
      </c>
      <c r="D44">
        <v>35.154000000000003</v>
      </c>
      <c r="E44" s="4">
        <v>11249</v>
      </c>
      <c r="F44" t="str">
        <f>HYPERLINK("https://www.google.com/maps/search/?api=1&amp;query=24.80106567,46.81345225", "View Map")</f>
        <v>View Map</v>
      </c>
      <c r="G44" s="2">
        <v>0.82341542141624335</v>
      </c>
    </row>
    <row r="45" spans="1:7" x14ac:dyDescent="0.3">
      <c r="A45" t="s">
        <v>46</v>
      </c>
      <c r="B45" t="s">
        <v>92</v>
      </c>
      <c r="C45" t="s">
        <v>8</v>
      </c>
      <c r="D45">
        <v>34.585000000000001</v>
      </c>
      <c r="E45" s="4">
        <v>11067</v>
      </c>
      <c r="F45" t="str">
        <f>HYPERLINK("https://www.google.com/maps/search/?api=1&amp;query=24.82874649,46.73084389", "View Map")</f>
        <v>View Map</v>
      </c>
      <c r="G45" s="2">
        <v>0.79129096032238</v>
      </c>
    </row>
    <row r="46" spans="1:7" x14ac:dyDescent="0.3">
      <c r="A46" t="s">
        <v>93</v>
      </c>
      <c r="B46" t="s">
        <v>94</v>
      </c>
      <c r="C46" t="s">
        <v>8</v>
      </c>
      <c r="D46">
        <v>34.576000000000001</v>
      </c>
      <c r="E46" s="4">
        <v>11064</v>
      </c>
      <c r="F46" t="str">
        <f>HYPERLINK("https://www.google.com/maps/search/?api=1&amp;query=24.66912039,46.86116075", "View Map")</f>
        <v>View Map</v>
      </c>
      <c r="G46" s="2">
        <v>0.6601615864223872</v>
      </c>
    </row>
    <row r="47" spans="1:7" x14ac:dyDescent="0.3">
      <c r="A47" t="s">
        <v>95</v>
      </c>
      <c r="B47" t="s">
        <v>96</v>
      </c>
      <c r="C47" t="s">
        <v>8</v>
      </c>
      <c r="D47">
        <v>34.533000000000001</v>
      </c>
      <c r="E47" s="4">
        <v>11051</v>
      </c>
      <c r="F47" t="str">
        <f>HYPERLINK("https://www.google.com/maps/search/?api=1&amp;query=24.66101798,46.8607738", "View Map")</f>
        <v>View Map</v>
      </c>
      <c r="G47" s="2">
        <v>0.73711296274358329</v>
      </c>
    </row>
    <row r="48" spans="1:7" x14ac:dyDescent="0.3">
      <c r="A48" t="s">
        <v>97</v>
      </c>
      <c r="B48" t="s">
        <v>98</v>
      </c>
      <c r="C48" t="s">
        <v>8</v>
      </c>
      <c r="D48">
        <v>34.398000000000003</v>
      </c>
      <c r="E48" s="4">
        <v>11007</v>
      </c>
      <c r="F48" t="str">
        <f>HYPERLINK("https://www.google.com/maps/search/?api=1&amp;query=24.80580317,46.64511913", "View Map")</f>
        <v>View Map</v>
      </c>
      <c r="G48" s="2">
        <v>0.79148585275109196</v>
      </c>
    </row>
    <row r="49" spans="1:7" x14ac:dyDescent="0.3">
      <c r="A49" t="s">
        <v>99</v>
      </c>
      <c r="B49" t="s">
        <v>100</v>
      </c>
      <c r="C49" t="s">
        <v>8</v>
      </c>
      <c r="D49">
        <v>34.18</v>
      </c>
      <c r="E49" s="4">
        <v>10938</v>
      </c>
      <c r="F49" t="str">
        <f>HYPERLINK("https://www.google.com/maps/search/?api=1&amp;query=24.7328067,46.82586604", "View Map")</f>
        <v>View Map</v>
      </c>
      <c r="G49" s="2">
        <v>0.53858252120270567</v>
      </c>
    </row>
    <row r="50" spans="1:7" x14ac:dyDescent="0.3">
      <c r="A50" t="s">
        <v>101</v>
      </c>
      <c r="B50" t="s">
        <v>102</v>
      </c>
      <c r="C50" t="s">
        <v>8</v>
      </c>
      <c r="D50">
        <v>33.625999999999998</v>
      </c>
      <c r="E50" s="4">
        <v>10760</v>
      </c>
      <c r="F50" t="str">
        <f>HYPERLINK("https://www.google.com/maps/search/?api=1&amp;query=24.80658817,46.62264935", "View Map")</f>
        <v>View Map</v>
      </c>
      <c r="G50" s="2">
        <v>0.64920405614974686</v>
      </c>
    </row>
    <row r="51" spans="1:7" x14ac:dyDescent="0.3">
      <c r="A51" t="s">
        <v>46</v>
      </c>
      <c r="B51" t="s">
        <v>103</v>
      </c>
      <c r="C51" t="s">
        <v>8</v>
      </c>
      <c r="D51">
        <v>33.573999999999998</v>
      </c>
      <c r="E51" s="4">
        <v>10744</v>
      </c>
      <c r="F51" t="str">
        <f>HYPERLINK("https://www.google.com/maps/search/?api=1&amp;query=24.87769689,46.64635932", "View Map")</f>
        <v>View Map</v>
      </c>
      <c r="G51" s="2">
        <v>0.72577172503242537</v>
      </c>
    </row>
    <row r="52" spans="1:7" x14ac:dyDescent="0.3">
      <c r="A52" t="s">
        <v>104</v>
      </c>
      <c r="B52" t="s">
        <v>105</v>
      </c>
      <c r="C52" t="s">
        <v>8</v>
      </c>
      <c r="D52">
        <v>33.228999999999999</v>
      </c>
      <c r="E52" s="4">
        <v>10633</v>
      </c>
      <c r="F52" t="str">
        <f>HYPERLINK("https://www.google.com/maps/search/?api=1&amp;query=24.74781716,46.70447247", "View Map")</f>
        <v>View Map</v>
      </c>
      <c r="G52" s="2">
        <v>0.71478902560524626</v>
      </c>
    </row>
    <row r="53" spans="1:7" x14ac:dyDescent="0.3">
      <c r="A53" t="s">
        <v>46</v>
      </c>
      <c r="B53" t="s">
        <v>106</v>
      </c>
      <c r="C53" t="s">
        <v>8</v>
      </c>
      <c r="D53">
        <v>32.438000000000002</v>
      </c>
      <c r="E53" s="4">
        <v>10380</v>
      </c>
      <c r="F53" t="str">
        <f>HYPERLINK("https://www.google.com/maps/search/?api=1&amp;query=24.92576238,46.82523471", "View Map")</f>
        <v>View Map</v>
      </c>
      <c r="G53" s="2">
        <v>0.74958278485757746</v>
      </c>
    </row>
    <row r="54" spans="1:7" x14ac:dyDescent="0.3">
      <c r="A54" t="s">
        <v>107</v>
      </c>
      <c r="B54" t="s">
        <v>108</v>
      </c>
      <c r="C54" t="s">
        <v>8</v>
      </c>
      <c r="D54">
        <v>32.323</v>
      </c>
      <c r="E54" s="4">
        <v>10343</v>
      </c>
      <c r="F54" t="str">
        <f>HYPERLINK("https://www.google.com/maps/search/?api=1&amp;query=24.66639,46.87482", "View Map")</f>
        <v>View Map</v>
      </c>
      <c r="G54" s="2">
        <v>0.70915191147021361</v>
      </c>
    </row>
    <row r="55" spans="1:7" x14ac:dyDescent="0.3">
      <c r="A55" t="s">
        <v>46</v>
      </c>
      <c r="B55" t="s">
        <v>109</v>
      </c>
      <c r="C55" t="s">
        <v>8</v>
      </c>
      <c r="D55">
        <v>32.152999999999999</v>
      </c>
      <c r="E55" s="4">
        <v>10289</v>
      </c>
      <c r="F55" t="str">
        <f>HYPERLINK("https://www.google.com/maps/search/?api=1&amp;query=24.7961,46.6783", "View Map")</f>
        <v>View Map</v>
      </c>
      <c r="G55" s="2">
        <v>0.35585380553515539</v>
      </c>
    </row>
    <row r="56" spans="1:7" x14ac:dyDescent="0.3">
      <c r="A56" t="s">
        <v>110</v>
      </c>
      <c r="B56" t="s">
        <v>111</v>
      </c>
      <c r="C56" t="s">
        <v>55</v>
      </c>
      <c r="D56">
        <v>31.925999999999998</v>
      </c>
      <c r="E56" s="4">
        <v>10216</v>
      </c>
      <c r="F56" t="str">
        <f>HYPERLINK("https://www.google.com/maps/search/?api=1&amp;query=24.73793,46.57923", "View Map")</f>
        <v>View Map</v>
      </c>
      <c r="G56" s="2">
        <v>0.70550573387378923</v>
      </c>
    </row>
    <row r="57" spans="1:7" x14ac:dyDescent="0.3">
      <c r="A57" t="s">
        <v>112</v>
      </c>
      <c r="B57" t="s">
        <v>113</v>
      </c>
      <c r="C57" t="s">
        <v>8</v>
      </c>
      <c r="D57">
        <v>31.756</v>
      </c>
      <c r="E57" s="4">
        <v>10162</v>
      </c>
      <c r="F57" t="str">
        <f>HYPERLINK("https://www.google.com/maps/search/?api=1&amp;query=24.6076925,46.63268705", "View Map")</f>
        <v>View Map</v>
      </c>
      <c r="G57" s="2">
        <v>0.55282789848834413</v>
      </c>
    </row>
    <row r="58" spans="1:7" x14ac:dyDescent="0.3">
      <c r="A58" t="s">
        <v>114</v>
      </c>
      <c r="B58" t="s">
        <v>115</v>
      </c>
      <c r="C58" t="s">
        <v>21</v>
      </c>
      <c r="D58">
        <v>31.637</v>
      </c>
      <c r="E58" s="4">
        <v>10124</v>
      </c>
      <c r="F58" t="str">
        <f>HYPERLINK("https://www.google.com/maps/search/?api=1&amp;query=26.29313403,44.82522687", "View Map")</f>
        <v>View Map</v>
      </c>
      <c r="G58" s="2">
        <v>0.73133402785055135</v>
      </c>
    </row>
    <row r="59" spans="1:7" x14ac:dyDescent="0.3">
      <c r="A59" t="s">
        <v>116</v>
      </c>
      <c r="B59" t="s">
        <v>117</v>
      </c>
      <c r="C59" t="s">
        <v>77</v>
      </c>
      <c r="D59">
        <v>31.506</v>
      </c>
      <c r="E59" s="4">
        <v>10082</v>
      </c>
      <c r="F59" t="str">
        <f>HYPERLINK("https://www.google.com/maps/search/?api=1&amp;query=22.28821198,46.72140969", "View Map")</f>
        <v>View Map</v>
      </c>
      <c r="G59" s="2">
        <v>0.54934923592322149</v>
      </c>
    </row>
    <row r="60" spans="1:7" x14ac:dyDescent="0.3">
      <c r="A60" t="s">
        <v>118</v>
      </c>
      <c r="B60" t="s">
        <v>119</v>
      </c>
      <c r="C60" t="s">
        <v>8</v>
      </c>
      <c r="D60">
        <v>31.178000000000001</v>
      </c>
      <c r="E60" s="4">
        <v>9977</v>
      </c>
      <c r="F60" t="str">
        <f>HYPERLINK("https://www.google.com/maps/search/?api=1&amp;query=24.78245443,46.66026953", "View Map")</f>
        <v>View Map</v>
      </c>
      <c r="G60" s="2">
        <v>0.66382495717331291</v>
      </c>
    </row>
    <row r="61" spans="1:7" x14ac:dyDescent="0.3">
      <c r="A61" t="s">
        <v>120</v>
      </c>
      <c r="B61" t="s">
        <v>121</v>
      </c>
      <c r="C61" t="s">
        <v>8</v>
      </c>
      <c r="D61">
        <v>31.111999999999998</v>
      </c>
      <c r="E61" s="4">
        <v>9956</v>
      </c>
      <c r="F61" t="str">
        <f>HYPERLINK("https://www.google.com/maps/search/?api=1&amp;query=24.71811061,46.85098508", "View Map")</f>
        <v>View Map</v>
      </c>
      <c r="G61" s="2">
        <v>0.50171277667312741</v>
      </c>
    </row>
    <row r="62" spans="1:7" x14ac:dyDescent="0.3">
      <c r="A62" t="s">
        <v>122</v>
      </c>
      <c r="B62" t="s">
        <v>123</v>
      </c>
      <c r="C62" t="s">
        <v>30</v>
      </c>
      <c r="D62">
        <v>30.960999999999999</v>
      </c>
      <c r="E62" s="4">
        <v>9908</v>
      </c>
      <c r="F62" t="str">
        <f>HYPERLINK("https://www.google.com/maps/search/?api=1&amp;query=24.33593315,47.50011255", "View Map")</f>
        <v>View Map</v>
      </c>
      <c r="G62" s="2">
        <v>0.49744990945785889</v>
      </c>
    </row>
    <row r="63" spans="1:7" x14ac:dyDescent="0.3">
      <c r="A63" t="s">
        <v>124</v>
      </c>
      <c r="B63" t="s">
        <v>125</v>
      </c>
      <c r="C63" t="s">
        <v>8</v>
      </c>
      <c r="D63">
        <v>30.882999999999999</v>
      </c>
      <c r="E63" s="4">
        <v>9882</v>
      </c>
      <c r="F63" t="str">
        <f>HYPERLINK("https://www.google.com/maps/search/?api=1&amp;query=24.68503394,46.57709164", "View Map")</f>
        <v>View Map</v>
      </c>
      <c r="G63" s="2">
        <v>0.70309044722001279</v>
      </c>
    </row>
    <row r="64" spans="1:7" x14ac:dyDescent="0.3">
      <c r="A64" t="s">
        <v>126</v>
      </c>
      <c r="B64" t="s">
        <v>127</v>
      </c>
      <c r="C64" t="s">
        <v>8</v>
      </c>
      <c r="D64">
        <v>30.792999999999999</v>
      </c>
      <c r="E64" s="4">
        <v>9854</v>
      </c>
      <c r="F64" t="str">
        <f>HYPERLINK("https://www.google.com/maps/search/?api=1&amp;query=24.63422828,46.70184492", "View Map")</f>
        <v>View Map</v>
      </c>
      <c r="G64" s="2">
        <v>0.42522631215870238</v>
      </c>
    </row>
    <row r="65" spans="1:7" x14ac:dyDescent="0.3">
      <c r="A65" t="s">
        <v>110</v>
      </c>
      <c r="B65" t="s">
        <v>128</v>
      </c>
      <c r="C65" t="s">
        <v>55</v>
      </c>
      <c r="D65">
        <v>30.329000000000001</v>
      </c>
      <c r="E65" s="4">
        <v>9705</v>
      </c>
      <c r="F65" t="str">
        <f>HYPERLINK("https://www.google.com/maps/search/?api=1&amp;query=24.73795,46.57921", "View Map")</f>
        <v>View Map</v>
      </c>
      <c r="G65" s="2">
        <v>0.71203056311383806</v>
      </c>
    </row>
    <row r="66" spans="1:7" x14ac:dyDescent="0.3">
      <c r="A66" t="s">
        <v>46</v>
      </c>
      <c r="B66" t="s">
        <v>129</v>
      </c>
      <c r="C66" t="s">
        <v>8</v>
      </c>
      <c r="D66">
        <v>29.814</v>
      </c>
      <c r="E66" s="4">
        <v>9540</v>
      </c>
      <c r="F66" t="str">
        <f>HYPERLINK("https://www.google.com/maps/search/?api=1&amp;query=24.74721,46.84946", "View Map")</f>
        <v>View Map</v>
      </c>
      <c r="G66" s="2">
        <v>0.54237081297825651</v>
      </c>
    </row>
    <row r="67" spans="1:7" x14ac:dyDescent="0.3">
      <c r="A67" t="s">
        <v>130</v>
      </c>
      <c r="B67" t="s">
        <v>131</v>
      </c>
      <c r="C67" t="s">
        <v>8</v>
      </c>
      <c r="D67">
        <v>29.681999999999999</v>
      </c>
      <c r="E67" s="4">
        <v>9498</v>
      </c>
      <c r="F67" t="str">
        <f>HYPERLINK("https://www.google.com/maps/search/?api=1&amp;query=24.56028075,46.76468396", "View Map")</f>
        <v>View Map</v>
      </c>
      <c r="G67" s="2">
        <v>1.058377683465398</v>
      </c>
    </row>
    <row r="68" spans="1:7" x14ac:dyDescent="0.3">
      <c r="A68" t="s">
        <v>46</v>
      </c>
      <c r="B68" t="s">
        <v>132</v>
      </c>
      <c r="C68" t="s">
        <v>8</v>
      </c>
      <c r="D68">
        <v>29.596</v>
      </c>
      <c r="E68" s="4">
        <v>9471</v>
      </c>
      <c r="F68" t="str">
        <f>HYPERLINK("https://www.google.com/maps/search/?api=1&amp;query=24.88638,46.60249", "View Map")</f>
        <v>View Map</v>
      </c>
      <c r="G68" s="2">
        <v>0.53836320965816598</v>
      </c>
    </row>
    <row r="69" spans="1:7" x14ac:dyDescent="0.3">
      <c r="A69" t="s">
        <v>133</v>
      </c>
      <c r="B69" t="s">
        <v>134</v>
      </c>
      <c r="C69" t="s">
        <v>8</v>
      </c>
      <c r="D69">
        <v>29.404</v>
      </c>
      <c r="E69" s="4">
        <v>9409</v>
      </c>
      <c r="F69" t="str">
        <f>HYPERLINK("https://www.google.com/maps/search/?api=1&amp;query=24.78040768,46.74986449", "View Map")</f>
        <v>View Map</v>
      </c>
      <c r="G69" s="2">
        <v>0.67224718234461944</v>
      </c>
    </row>
    <row r="70" spans="1:7" x14ac:dyDescent="0.3">
      <c r="A70" t="s">
        <v>135</v>
      </c>
      <c r="B70" t="s">
        <v>136</v>
      </c>
      <c r="C70" t="s">
        <v>137</v>
      </c>
      <c r="D70">
        <v>29.286000000000001</v>
      </c>
      <c r="E70" s="4">
        <v>9371</v>
      </c>
      <c r="F70" t="str">
        <f>HYPERLINK("https://www.google.com/maps/search/?api=1&amp;query=23.49019876,46.86642954", "View Map")</f>
        <v>View Map</v>
      </c>
      <c r="G70" s="2">
        <v>0.46222683417536919</v>
      </c>
    </row>
    <row r="71" spans="1:7" x14ac:dyDescent="0.3">
      <c r="A71" t="s">
        <v>46</v>
      </c>
      <c r="B71" t="s">
        <v>138</v>
      </c>
      <c r="C71" t="s">
        <v>8</v>
      </c>
      <c r="D71">
        <v>29.038</v>
      </c>
      <c r="E71" s="4">
        <v>9292</v>
      </c>
      <c r="F71" t="str">
        <f>HYPERLINK("https://www.google.com/maps/search/?api=1&amp;query=24.79239619,46.58872121", "View Map")</f>
        <v>View Map</v>
      </c>
      <c r="G71" s="2">
        <v>0.50796413542474117</v>
      </c>
    </row>
    <row r="72" spans="1:7" x14ac:dyDescent="0.3">
      <c r="A72" t="s">
        <v>46</v>
      </c>
      <c r="B72" t="s">
        <v>139</v>
      </c>
      <c r="C72" t="s">
        <v>8</v>
      </c>
      <c r="D72">
        <v>29.036000000000001</v>
      </c>
      <c r="E72" s="4">
        <v>9292</v>
      </c>
      <c r="F72" t="str">
        <f>HYPERLINK("https://www.google.com/maps/search/?api=1&amp;query=24.79720059,46.59853213", "View Map")</f>
        <v>View Map</v>
      </c>
      <c r="G72" s="2">
        <v>0.59626953149804418</v>
      </c>
    </row>
    <row r="73" spans="1:7" x14ac:dyDescent="0.3">
      <c r="A73" t="s">
        <v>140</v>
      </c>
      <c r="B73" t="s">
        <v>141</v>
      </c>
      <c r="C73" t="s">
        <v>8</v>
      </c>
      <c r="D73">
        <v>28.975999999999999</v>
      </c>
      <c r="E73" s="4">
        <v>9272</v>
      </c>
      <c r="F73" t="str">
        <f>HYPERLINK("https://www.google.com/maps/search/?api=1&amp;query=24.67622402,46.72770081", "View Map")</f>
        <v>View Map</v>
      </c>
      <c r="G73" s="2">
        <v>0.74009511791950222</v>
      </c>
    </row>
    <row r="74" spans="1:7" x14ac:dyDescent="0.3">
      <c r="A74" t="s">
        <v>142</v>
      </c>
      <c r="B74" t="s">
        <v>143</v>
      </c>
      <c r="C74" t="s">
        <v>8</v>
      </c>
      <c r="D74">
        <v>28.82</v>
      </c>
      <c r="E74" s="4">
        <v>9223</v>
      </c>
      <c r="F74" t="str">
        <f>HYPERLINK("https://www.google.com/maps/search/?api=1&amp;query=24.55545024,46.71343576", "View Map")</f>
        <v>View Map</v>
      </c>
    </row>
    <row r="75" spans="1:7" x14ac:dyDescent="0.3">
      <c r="A75" t="s">
        <v>144</v>
      </c>
      <c r="B75" t="s">
        <v>145</v>
      </c>
      <c r="C75" t="s">
        <v>8</v>
      </c>
      <c r="D75">
        <v>28.567</v>
      </c>
      <c r="E75" s="4">
        <v>9141</v>
      </c>
      <c r="F75" t="str">
        <f>HYPERLINK("https://www.google.com/maps/search/?api=1&amp;query=24.75976505,46.62691597", "View Map")</f>
        <v>View Map</v>
      </c>
      <c r="G75" s="2">
        <v>0.74439700922643137</v>
      </c>
    </row>
    <row r="76" spans="1:7" x14ac:dyDescent="0.3">
      <c r="A76" t="s">
        <v>146</v>
      </c>
      <c r="B76" t="s">
        <v>147</v>
      </c>
      <c r="C76" t="s">
        <v>8</v>
      </c>
      <c r="D76">
        <v>28.49</v>
      </c>
      <c r="E76" s="4">
        <v>9117</v>
      </c>
      <c r="F76" t="str">
        <f>HYPERLINK("https://www.google.com/maps/search/?api=1&amp;query=24.55363744,46.55218514", "View Map")</f>
        <v>View Map</v>
      </c>
      <c r="G76" s="2">
        <v>0.76255913225849736</v>
      </c>
    </row>
    <row r="77" spans="1:7" x14ac:dyDescent="0.3">
      <c r="A77" t="s">
        <v>148</v>
      </c>
      <c r="B77" t="s">
        <v>149</v>
      </c>
      <c r="C77" t="s">
        <v>8</v>
      </c>
      <c r="D77">
        <v>28.398</v>
      </c>
      <c r="E77" s="4">
        <v>9087</v>
      </c>
      <c r="F77" t="str">
        <f>HYPERLINK("https://www.google.com/maps/search/?api=1&amp;query=24.66517893,46.87975884", "View Map")</f>
        <v>View Map</v>
      </c>
      <c r="G77" s="2">
        <v>0.69368179320847789</v>
      </c>
    </row>
    <row r="78" spans="1:7" x14ac:dyDescent="0.3">
      <c r="A78" t="s">
        <v>150</v>
      </c>
      <c r="B78" t="s">
        <v>151</v>
      </c>
      <c r="C78" t="s">
        <v>8</v>
      </c>
      <c r="D78">
        <v>28.31</v>
      </c>
      <c r="E78" s="4">
        <v>9059</v>
      </c>
      <c r="F78" t="str">
        <f>HYPERLINK("https://www.google.com/maps/search/?api=1&amp;query=24.82399195,46.78630701", "View Map")</f>
        <v>View Map</v>
      </c>
      <c r="G78" s="2">
        <v>0.75559678986686052</v>
      </c>
    </row>
    <row r="79" spans="1:7" x14ac:dyDescent="0.3">
      <c r="A79" t="s">
        <v>152</v>
      </c>
      <c r="B79" t="s">
        <v>153</v>
      </c>
      <c r="C79" t="s">
        <v>8</v>
      </c>
      <c r="D79">
        <v>28.151</v>
      </c>
      <c r="E79" s="4">
        <v>9008</v>
      </c>
      <c r="F79" t="str">
        <f>HYPERLINK("https://www.google.com/maps/search/?api=1&amp;query=24.56288985,46.87173798", "View Map")</f>
        <v>View Map</v>
      </c>
      <c r="G79" s="2">
        <v>0.37891047935783762</v>
      </c>
    </row>
    <row r="80" spans="1:7" x14ac:dyDescent="0.3">
      <c r="A80" t="s">
        <v>154</v>
      </c>
      <c r="B80" t="s">
        <v>155</v>
      </c>
      <c r="C80" t="s">
        <v>8</v>
      </c>
      <c r="D80">
        <v>28.024000000000001</v>
      </c>
      <c r="E80" s="4">
        <v>8968</v>
      </c>
      <c r="F80" t="str">
        <f>HYPERLINK("https://www.google.com/maps/search/?api=1&amp;query=24.75806727,46.74662437", "View Map")</f>
        <v>View Map</v>
      </c>
      <c r="G80" s="2">
        <v>0.62950519296504415</v>
      </c>
    </row>
    <row r="81" spans="1:7" x14ac:dyDescent="0.3">
      <c r="A81" t="s">
        <v>156</v>
      </c>
      <c r="B81" t="s">
        <v>157</v>
      </c>
      <c r="C81" t="s">
        <v>8</v>
      </c>
      <c r="D81">
        <v>27.827000000000002</v>
      </c>
      <c r="E81" s="4">
        <v>8905</v>
      </c>
      <c r="F81" t="str">
        <f>HYPERLINK("https://www.google.com/maps/search/?api=1&amp;query=24.72517966,46.80649294", "View Map")</f>
        <v>View Map</v>
      </c>
      <c r="G81" s="2">
        <v>0.52964918871843758</v>
      </c>
    </row>
    <row r="82" spans="1:7" x14ac:dyDescent="0.3">
      <c r="A82" t="s">
        <v>158</v>
      </c>
      <c r="B82" t="s">
        <v>159</v>
      </c>
      <c r="C82" t="s">
        <v>8</v>
      </c>
      <c r="D82">
        <v>27.821000000000002</v>
      </c>
      <c r="E82" s="4">
        <v>8903</v>
      </c>
      <c r="F82" t="str">
        <f>HYPERLINK("https://www.google.com/maps/search/?api=1&amp;query=24.77267282,46.75851137", "View Map")</f>
        <v>View Map</v>
      </c>
      <c r="G82" s="2">
        <v>0.72399905241790219</v>
      </c>
    </row>
    <row r="83" spans="1:7" x14ac:dyDescent="0.3">
      <c r="A83" t="s">
        <v>160</v>
      </c>
      <c r="B83" t="s">
        <v>161</v>
      </c>
      <c r="C83" t="s">
        <v>55</v>
      </c>
      <c r="D83">
        <v>27.811</v>
      </c>
      <c r="E83" s="4">
        <v>8899</v>
      </c>
      <c r="F83" t="str">
        <f>HYPERLINK("https://www.google.com/maps/search/?api=1&amp;query=24.80390597,46.52287513", "View Map")</f>
        <v>View Map</v>
      </c>
      <c r="G83" s="2">
        <v>0.69229546424003618</v>
      </c>
    </row>
    <row r="84" spans="1:7" x14ac:dyDescent="0.3">
      <c r="A84" t="s">
        <v>46</v>
      </c>
      <c r="B84" t="s">
        <v>162</v>
      </c>
      <c r="C84" t="s">
        <v>8</v>
      </c>
      <c r="D84">
        <v>27.667999999999999</v>
      </c>
      <c r="E84" s="4">
        <v>8854</v>
      </c>
      <c r="F84" t="str">
        <f>HYPERLINK("https://www.google.com/maps/search/?api=1&amp;query=24.83314673,46.74338989", "View Map")</f>
        <v>View Map</v>
      </c>
      <c r="G84" s="2">
        <v>0.74234224684663763</v>
      </c>
    </row>
    <row r="85" spans="1:7" x14ac:dyDescent="0.3">
      <c r="A85" t="s">
        <v>163</v>
      </c>
      <c r="B85" t="s">
        <v>164</v>
      </c>
      <c r="C85" t="s">
        <v>8</v>
      </c>
      <c r="D85">
        <v>27.396999999999998</v>
      </c>
      <c r="E85" s="4">
        <v>8767</v>
      </c>
      <c r="F85" t="str">
        <f>HYPERLINK("https://www.google.com/maps/search/?api=1&amp;query=24.56930384,46.84492638", "View Map")</f>
        <v>View Map</v>
      </c>
      <c r="G85" s="2">
        <v>0.74039783985288532</v>
      </c>
    </row>
    <row r="86" spans="1:7" x14ac:dyDescent="0.3">
      <c r="A86" t="s">
        <v>46</v>
      </c>
      <c r="B86" t="s">
        <v>165</v>
      </c>
      <c r="C86" t="s">
        <v>8</v>
      </c>
      <c r="D86">
        <v>27.094999999999999</v>
      </c>
      <c r="E86" s="4">
        <v>8670</v>
      </c>
      <c r="F86" t="str">
        <f>HYPERLINK("https://www.google.com/maps/search/?api=1&amp;query=24.70226648,46.66692736", "View Map")</f>
        <v>View Map</v>
      </c>
      <c r="G86" s="2">
        <v>0.76102283030089424</v>
      </c>
    </row>
    <row r="87" spans="1:7" x14ac:dyDescent="0.3">
      <c r="A87" t="s">
        <v>166</v>
      </c>
      <c r="B87" t="s">
        <v>167</v>
      </c>
      <c r="C87" t="s">
        <v>8</v>
      </c>
      <c r="D87">
        <v>27.013999999999999</v>
      </c>
      <c r="E87" s="4">
        <v>8645</v>
      </c>
      <c r="F87" t="str">
        <f>HYPERLINK("https://www.google.com/maps/search/?api=1&amp;query=24.67184839,46.87290208", "View Map")</f>
        <v>View Map</v>
      </c>
      <c r="G87" s="2">
        <v>0.73123364646191102</v>
      </c>
    </row>
    <row r="88" spans="1:7" x14ac:dyDescent="0.3">
      <c r="A88" t="s">
        <v>168</v>
      </c>
      <c r="B88" t="s">
        <v>169</v>
      </c>
      <c r="C88" t="s">
        <v>8</v>
      </c>
      <c r="D88">
        <v>26.675000000000001</v>
      </c>
      <c r="E88" s="4">
        <v>8536</v>
      </c>
      <c r="F88" t="str">
        <f>HYPERLINK("https://www.google.com/maps/search/?api=1&amp;query=24.62757384,46.74264107", "View Map")</f>
        <v>View Map</v>
      </c>
      <c r="G88" s="2">
        <v>0.45673298784556471</v>
      </c>
    </row>
    <row r="89" spans="1:7" x14ac:dyDescent="0.3">
      <c r="A89" t="s">
        <v>170</v>
      </c>
      <c r="B89" t="s">
        <v>171</v>
      </c>
      <c r="C89" t="s">
        <v>8</v>
      </c>
      <c r="D89">
        <v>26.622</v>
      </c>
      <c r="E89" s="4">
        <v>8519</v>
      </c>
      <c r="F89" t="str">
        <f>HYPERLINK("https://www.google.com/maps/search/?api=1&amp;query=24.75244777,46.66041016", "View Map")</f>
        <v>View Map</v>
      </c>
      <c r="G89" s="2">
        <v>0.71671435811964856</v>
      </c>
    </row>
    <row r="90" spans="1:7" x14ac:dyDescent="0.3">
      <c r="A90" t="s">
        <v>172</v>
      </c>
      <c r="B90" t="s">
        <v>173</v>
      </c>
      <c r="C90" t="s">
        <v>8</v>
      </c>
      <c r="D90">
        <v>25.817</v>
      </c>
      <c r="E90" s="4">
        <v>8261</v>
      </c>
      <c r="F90" t="str">
        <f>HYPERLINK("https://www.google.com/maps/search/?api=1&amp;query=24.57064654,46.71489436", "View Map")</f>
        <v>View Map</v>
      </c>
      <c r="G90" s="2">
        <v>0.7634993939917698</v>
      </c>
    </row>
    <row r="91" spans="1:7" x14ac:dyDescent="0.3">
      <c r="A91" t="s">
        <v>174</v>
      </c>
      <c r="B91" t="s">
        <v>175</v>
      </c>
      <c r="C91" t="s">
        <v>8</v>
      </c>
      <c r="D91">
        <v>25.766999999999999</v>
      </c>
      <c r="E91" s="4">
        <v>8245</v>
      </c>
      <c r="F91" t="str">
        <f>HYPERLINK("https://www.google.com/maps/search/?api=1&amp;query=24.73006,46.65733", "View Map")</f>
        <v>View Map</v>
      </c>
      <c r="G91" s="2">
        <v>0.88237494849608566</v>
      </c>
    </row>
    <row r="92" spans="1:7" x14ac:dyDescent="0.3">
      <c r="A92" t="s">
        <v>176</v>
      </c>
      <c r="B92" t="s">
        <v>177</v>
      </c>
      <c r="C92" t="s">
        <v>8</v>
      </c>
      <c r="D92">
        <v>25.643000000000001</v>
      </c>
      <c r="E92" s="4">
        <v>8206</v>
      </c>
      <c r="F92" t="str">
        <f>HYPERLINK("https://www.google.com/maps/search/?api=1&amp;query=24.79026589,46.80096866", "View Map")</f>
        <v>View Map</v>
      </c>
      <c r="G92" s="2">
        <v>0.54994887079239752</v>
      </c>
    </row>
    <row r="93" spans="1:7" x14ac:dyDescent="0.3">
      <c r="A93" t="s">
        <v>178</v>
      </c>
      <c r="B93" t="s">
        <v>179</v>
      </c>
      <c r="C93" t="s">
        <v>8</v>
      </c>
      <c r="D93">
        <v>25.591999999999999</v>
      </c>
      <c r="E93" s="4">
        <v>8190</v>
      </c>
      <c r="F93" t="str">
        <f>HYPERLINK("https://www.google.com/maps/search/?api=1&amp;query=24.7808198,46.80009952", "View Map")</f>
        <v>View Map</v>
      </c>
      <c r="G93" s="2">
        <v>0.74949854733559707</v>
      </c>
    </row>
    <row r="94" spans="1:7" x14ac:dyDescent="0.3">
      <c r="A94" t="s">
        <v>46</v>
      </c>
      <c r="B94" t="s">
        <v>180</v>
      </c>
      <c r="C94" t="s">
        <v>8</v>
      </c>
      <c r="D94">
        <v>25.451000000000001</v>
      </c>
      <c r="E94" s="4">
        <v>8144</v>
      </c>
      <c r="F94" t="str">
        <f>HYPERLINK("https://www.google.com/maps/search/?api=1&amp;query=24.69409578,46.60271828", "View Map")</f>
        <v>View Map</v>
      </c>
    </row>
    <row r="95" spans="1:7" x14ac:dyDescent="0.3">
      <c r="A95" t="s">
        <v>181</v>
      </c>
      <c r="B95" t="s">
        <v>182</v>
      </c>
      <c r="C95" t="s">
        <v>8</v>
      </c>
      <c r="D95">
        <v>25.439</v>
      </c>
      <c r="E95" s="4">
        <v>8141</v>
      </c>
      <c r="F95" t="str">
        <f>HYPERLINK("https://www.google.com/maps/search/?api=1&amp;query=24.63849898,46.66478357", "View Map")</f>
        <v>View Map</v>
      </c>
      <c r="G95" s="2">
        <v>0.55632139503504141</v>
      </c>
    </row>
    <row r="96" spans="1:7" x14ac:dyDescent="0.3">
      <c r="A96" t="s">
        <v>183</v>
      </c>
      <c r="B96" t="s">
        <v>184</v>
      </c>
      <c r="C96" t="s">
        <v>8</v>
      </c>
      <c r="D96">
        <v>25.216999999999999</v>
      </c>
      <c r="E96" s="4">
        <v>8070</v>
      </c>
      <c r="F96" t="str">
        <f>HYPERLINK("https://www.google.com/maps/search/?api=1&amp;query=24.69302381,46.66629719", "View Map")</f>
        <v>View Map</v>
      </c>
      <c r="G96" s="2">
        <v>0.66966982668115094</v>
      </c>
    </row>
    <row r="97" spans="1:7" x14ac:dyDescent="0.3">
      <c r="A97" t="s">
        <v>185</v>
      </c>
      <c r="B97" t="s">
        <v>186</v>
      </c>
      <c r="C97" t="s">
        <v>55</v>
      </c>
      <c r="D97">
        <v>25.15</v>
      </c>
      <c r="E97" s="4">
        <v>8048</v>
      </c>
      <c r="F97" t="str">
        <f>HYPERLINK("https://www.google.com/maps/search/?api=1&amp;query=24.76002407,46.57250774", "View Map")</f>
        <v>View Map</v>
      </c>
    </row>
    <row r="98" spans="1:7" x14ac:dyDescent="0.3">
      <c r="A98" t="s">
        <v>187</v>
      </c>
      <c r="B98" t="s">
        <v>188</v>
      </c>
      <c r="C98" t="s">
        <v>8</v>
      </c>
      <c r="D98">
        <v>25.05</v>
      </c>
      <c r="E98" s="4">
        <v>8016</v>
      </c>
      <c r="F98" t="str">
        <f>HYPERLINK("https://www.google.com/maps/search/?api=1&amp;query=24.67610276,46.86496369", "View Map")</f>
        <v>View Map</v>
      </c>
      <c r="G98" s="2">
        <v>0.72410173047317306</v>
      </c>
    </row>
    <row r="99" spans="1:7" x14ac:dyDescent="0.3">
      <c r="A99" t="s">
        <v>189</v>
      </c>
      <c r="B99" t="s">
        <v>190</v>
      </c>
      <c r="C99" t="s">
        <v>8</v>
      </c>
      <c r="D99">
        <v>24.748999999999999</v>
      </c>
      <c r="E99" s="4">
        <v>7920</v>
      </c>
      <c r="F99" t="str">
        <f>HYPERLINK("https://www.google.com/maps/search/?api=1&amp;query=24.58332673,46.77322263", "View Map")</f>
        <v>View Map</v>
      </c>
      <c r="G99" s="2">
        <v>1.9735357987747431</v>
      </c>
    </row>
    <row r="100" spans="1:7" x14ac:dyDescent="0.3">
      <c r="A100" t="s">
        <v>46</v>
      </c>
      <c r="B100" t="s">
        <v>191</v>
      </c>
      <c r="C100" t="s">
        <v>8</v>
      </c>
      <c r="D100">
        <v>24.562000000000001</v>
      </c>
      <c r="E100" s="4">
        <v>7860</v>
      </c>
      <c r="F100" t="str">
        <f>HYPERLINK("https://www.google.com/maps/search/?api=1&amp;query=24.70896007,46.68531757", "View Map")</f>
        <v>View Map</v>
      </c>
      <c r="G100" s="2">
        <v>0.64492290460069324</v>
      </c>
    </row>
    <row r="101" spans="1:7" x14ac:dyDescent="0.3">
      <c r="A101" t="s">
        <v>46</v>
      </c>
      <c r="B101" t="s">
        <v>192</v>
      </c>
      <c r="C101" t="s">
        <v>8</v>
      </c>
      <c r="D101">
        <v>24.295000000000002</v>
      </c>
      <c r="E101" s="4">
        <v>7774</v>
      </c>
      <c r="F101" t="str">
        <f>HYPERLINK("https://www.google.com/maps/search/?api=1&amp;query=24.86718667,46.63469465", "View Map")</f>
        <v>View Map</v>
      </c>
      <c r="G101" s="2">
        <v>0.66427121411083778</v>
      </c>
    </row>
    <row r="102" spans="1:7" x14ac:dyDescent="0.3">
      <c r="A102" t="s">
        <v>193</v>
      </c>
      <c r="B102" t="s">
        <v>194</v>
      </c>
      <c r="C102" t="s">
        <v>8</v>
      </c>
      <c r="D102">
        <v>24.01</v>
      </c>
      <c r="E102" s="4">
        <v>7683</v>
      </c>
      <c r="F102" t="str">
        <f>HYPERLINK("https://www.google.com/maps/search/?api=1&amp;query=24.58757385,46.59471991", "View Map")</f>
        <v>View Map</v>
      </c>
      <c r="G102" s="2">
        <v>0.52267377192141584</v>
      </c>
    </row>
    <row r="103" spans="1:7" x14ac:dyDescent="0.3">
      <c r="A103" t="s">
        <v>150</v>
      </c>
      <c r="B103" t="s">
        <v>195</v>
      </c>
      <c r="C103" t="s">
        <v>8</v>
      </c>
      <c r="D103">
        <v>23.821999999999999</v>
      </c>
      <c r="E103" s="4">
        <v>7623</v>
      </c>
      <c r="F103" t="str">
        <f>HYPERLINK("https://www.google.com/maps/search/?api=1&amp;query=24.75061791,46.76832507", "View Map")</f>
        <v>View Map</v>
      </c>
      <c r="G103" s="2">
        <v>0.73572677170258927</v>
      </c>
    </row>
    <row r="104" spans="1:7" x14ac:dyDescent="0.3">
      <c r="A104" t="s">
        <v>196</v>
      </c>
      <c r="B104" t="s">
        <v>197</v>
      </c>
      <c r="C104" t="s">
        <v>8</v>
      </c>
      <c r="D104">
        <v>23.324000000000002</v>
      </c>
      <c r="E104" s="4">
        <v>7464</v>
      </c>
      <c r="F104" t="str">
        <f>HYPERLINK("https://www.google.com/maps/search/?api=1&amp;query=24.79887,46.74665", "View Map")</f>
        <v>View Map</v>
      </c>
      <c r="G104" s="2">
        <v>0.47781629576882451</v>
      </c>
    </row>
    <row r="105" spans="1:7" x14ac:dyDescent="0.3">
      <c r="A105" t="s">
        <v>198</v>
      </c>
      <c r="B105" t="s">
        <v>199</v>
      </c>
      <c r="C105" t="s">
        <v>8</v>
      </c>
      <c r="D105">
        <v>23.265999999999998</v>
      </c>
      <c r="E105" s="4">
        <v>7445</v>
      </c>
      <c r="F105" t="str">
        <f>HYPERLINK("https://www.google.com/maps/search/?api=1&amp;query=24.69469787,46.74235539", "View Map")</f>
        <v>View Map</v>
      </c>
      <c r="G105" s="2">
        <v>0.66322770540973286</v>
      </c>
    </row>
    <row r="106" spans="1:7" x14ac:dyDescent="0.3">
      <c r="A106" t="s">
        <v>200</v>
      </c>
      <c r="B106" t="s">
        <v>201</v>
      </c>
      <c r="C106" t="s">
        <v>8</v>
      </c>
      <c r="D106">
        <v>23.038</v>
      </c>
      <c r="E106" s="4">
        <v>7372</v>
      </c>
      <c r="F106" t="str">
        <f>HYPERLINK("https://www.google.com/maps/search/?api=1&amp;query=24.69756071,46.76240858", "View Map")</f>
        <v>View Map</v>
      </c>
      <c r="G106" s="2">
        <v>0.72680477501171636</v>
      </c>
    </row>
    <row r="107" spans="1:7" x14ac:dyDescent="0.3">
      <c r="A107" t="s">
        <v>202</v>
      </c>
      <c r="B107" t="s">
        <v>203</v>
      </c>
      <c r="C107" t="s">
        <v>8</v>
      </c>
      <c r="D107">
        <v>22.975000000000001</v>
      </c>
      <c r="E107" s="4">
        <v>7352</v>
      </c>
      <c r="F107" t="str">
        <f>HYPERLINK("https://www.google.com/maps/search/?api=1&amp;query=24.66920219,46.86510731", "View Map")</f>
        <v>View Map</v>
      </c>
      <c r="G107" s="2">
        <v>0.73873954623959426</v>
      </c>
    </row>
    <row r="108" spans="1:7" x14ac:dyDescent="0.3">
      <c r="A108" t="s">
        <v>204</v>
      </c>
      <c r="B108" t="s">
        <v>205</v>
      </c>
      <c r="C108" t="s">
        <v>8</v>
      </c>
      <c r="D108">
        <v>22.917000000000002</v>
      </c>
      <c r="E108" s="4">
        <v>7333</v>
      </c>
      <c r="F108" t="str">
        <f>HYPERLINK("https://www.google.com/maps/search/?api=1&amp;query=24.72058456,46.65218849", "View Map")</f>
        <v>View Map</v>
      </c>
      <c r="G108" s="2">
        <v>0.5597777648358816</v>
      </c>
    </row>
    <row r="109" spans="1:7" x14ac:dyDescent="0.3">
      <c r="A109" t="s">
        <v>206</v>
      </c>
      <c r="B109" t="s">
        <v>207</v>
      </c>
      <c r="C109" t="s">
        <v>8</v>
      </c>
      <c r="D109">
        <v>22.827000000000002</v>
      </c>
      <c r="E109" s="4">
        <v>7305</v>
      </c>
      <c r="F109" t="str">
        <f>HYPERLINK("https://www.google.com/maps/search/?api=1&amp;query=24.8078,46.6183", "View Map")</f>
        <v>View Map</v>
      </c>
      <c r="G109" s="2">
        <v>0.74125048658322479</v>
      </c>
    </row>
    <row r="110" spans="1:7" x14ac:dyDescent="0.3">
      <c r="A110" t="s">
        <v>208</v>
      </c>
      <c r="B110" t="s">
        <v>209</v>
      </c>
      <c r="C110" t="s">
        <v>8</v>
      </c>
      <c r="D110">
        <v>22.623999999999999</v>
      </c>
      <c r="E110" s="4">
        <v>7240</v>
      </c>
      <c r="F110" t="str">
        <f>HYPERLINK("https://www.google.com/maps/search/?api=1&amp;query=24.68996777,46.79271818", "View Map")</f>
        <v>View Map</v>
      </c>
      <c r="G110" s="2">
        <v>0.67563824869309963</v>
      </c>
    </row>
    <row r="111" spans="1:7" x14ac:dyDescent="0.3">
      <c r="A111" t="s">
        <v>210</v>
      </c>
      <c r="B111" t="s">
        <v>211</v>
      </c>
      <c r="C111" t="s">
        <v>8</v>
      </c>
      <c r="D111">
        <v>22.532</v>
      </c>
      <c r="E111" s="4">
        <v>7210</v>
      </c>
      <c r="F111" t="str">
        <f>HYPERLINK("https://www.google.com/maps/search/?api=1&amp;query=24.67088702,46.74360874", "View Map")</f>
        <v>View Map</v>
      </c>
      <c r="G111" s="2">
        <v>0.66701948770326613</v>
      </c>
    </row>
    <row r="112" spans="1:7" x14ac:dyDescent="0.3">
      <c r="A112" t="s">
        <v>212</v>
      </c>
      <c r="B112" t="s">
        <v>213</v>
      </c>
      <c r="C112" t="s">
        <v>214</v>
      </c>
      <c r="D112">
        <v>22.529</v>
      </c>
      <c r="E112" s="4">
        <v>7209</v>
      </c>
      <c r="F112" t="str">
        <f>HYPERLINK("https://www.google.com/maps/search/?api=1&amp;query=25.70874679,45.86746664", "View Map")</f>
        <v>View Map</v>
      </c>
      <c r="G112" s="2">
        <v>0.68107266970610214</v>
      </c>
    </row>
    <row r="113" spans="1:7" x14ac:dyDescent="0.3">
      <c r="A113" t="s">
        <v>215</v>
      </c>
      <c r="B113" t="s">
        <v>216</v>
      </c>
      <c r="C113" t="s">
        <v>21</v>
      </c>
      <c r="D113">
        <v>22.463999999999999</v>
      </c>
      <c r="E113" s="4">
        <v>7188</v>
      </c>
      <c r="F113" t="str">
        <f>HYPERLINK("https://www.google.com/maps/search/?api=1&amp;query=26.29771037,44.80181185", "View Map")</f>
        <v>View Map</v>
      </c>
    </row>
    <row r="114" spans="1:7" x14ac:dyDescent="0.3">
      <c r="A114" t="s">
        <v>46</v>
      </c>
      <c r="B114" t="s">
        <v>217</v>
      </c>
      <c r="C114" t="s">
        <v>8</v>
      </c>
      <c r="D114">
        <v>22.44</v>
      </c>
      <c r="E114" s="4">
        <v>7181</v>
      </c>
      <c r="F114" t="str">
        <f>HYPERLINK("https://www.google.com/maps/search/?api=1&amp;query=24.77533413,46.69329393", "View Map")</f>
        <v>View Map</v>
      </c>
    </row>
    <row r="115" spans="1:7" x14ac:dyDescent="0.3">
      <c r="A115" t="s">
        <v>218</v>
      </c>
      <c r="B115" t="s">
        <v>219</v>
      </c>
      <c r="C115" t="s">
        <v>8</v>
      </c>
      <c r="D115">
        <v>22.283000000000001</v>
      </c>
      <c r="E115" s="4">
        <v>7131</v>
      </c>
      <c r="F115" t="str">
        <f>HYPERLINK("https://www.google.com/maps/search/?api=1&amp;query=24.6142033,46.70814639", "View Map")</f>
        <v>View Map</v>
      </c>
      <c r="G115" s="2">
        <v>0.78915927000442887</v>
      </c>
    </row>
    <row r="116" spans="1:7" x14ac:dyDescent="0.3">
      <c r="A116" t="s">
        <v>220</v>
      </c>
      <c r="B116" t="s">
        <v>221</v>
      </c>
      <c r="C116" t="s">
        <v>8</v>
      </c>
      <c r="D116">
        <v>22.245000000000001</v>
      </c>
      <c r="E116" s="4">
        <v>7118</v>
      </c>
      <c r="F116" t="str">
        <f>HYPERLINK("https://www.google.com/maps/search/?api=1&amp;query=24.78268175,46.70087355", "View Map")</f>
        <v>View Map</v>
      </c>
      <c r="G116" s="2">
        <v>0.6998442411462017</v>
      </c>
    </row>
    <row r="117" spans="1:7" x14ac:dyDescent="0.3">
      <c r="A117" t="s">
        <v>222</v>
      </c>
      <c r="B117" t="s">
        <v>223</v>
      </c>
      <c r="C117" t="s">
        <v>8</v>
      </c>
      <c r="D117">
        <v>21.88</v>
      </c>
      <c r="E117" s="4">
        <v>7001</v>
      </c>
      <c r="F117" t="str">
        <f>HYPERLINK("https://www.google.com/maps/search/?api=1&amp;query=24.61919749,46.7485558", "View Map")</f>
        <v>View Map</v>
      </c>
      <c r="G117" s="2">
        <v>0.37098896990655922</v>
      </c>
    </row>
    <row r="118" spans="1:7" x14ac:dyDescent="0.3">
      <c r="A118" t="s">
        <v>224</v>
      </c>
      <c r="B118" t="s">
        <v>225</v>
      </c>
      <c r="C118" t="s">
        <v>8</v>
      </c>
      <c r="D118">
        <v>21.751999999999999</v>
      </c>
      <c r="E118" s="4">
        <v>6960</v>
      </c>
      <c r="F118" t="str">
        <f>HYPERLINK("https://www.google.com/maps/search/?api=1&amp;query=24.6839708,46.75931963", "View Map")</f>
        <v>View Map</v>
      </c>
      <c r="G118" s="2">
        <v>0.70027906313951993</v>
      </c>
    </row>
    <row r="119" spans="1:7" x14ac:dyDescent="0.3">
      <c r="A119" t="s">
        <v>226</v>
      </c>
      <c r="B119" t="s">
        <v>227</v>
      </c>
      <c r="C119" t="s">
        <v>8</v>
      </c>
      <c r="D119">
        <v>21.556999999999999</v>
      </c>
      <c r="E119" s="4">
        <v>6898</v>
      </c>
      <c r="F119" t="str">
        <f>HYPERLINK("https://www.google.com/maps/search/?api=1&amp;query=24.79234344,46.78817133", "View Map")</f>
        <v>View Map</v>
      </c>
      <c r="G119" s="2">
        <v>0.63056691571412826</v>
      </c>
    </row>
    <row r="120" spans="1:7" x14ac:dyDescent="0.3">
      <c r="A120" t="s">
        <v>228</v>
      </c>
      <c r="B120" t="s">
        <v>229</v>
      </c>
      <c r="C120" t="s">
        <v>8</v>
      </c>
      <c r="D120">
        <v>21.475000000000001</v>
      </c>
      <c r="E120" s="4">
        <v>6872</v>
      </c>
      <c r="F120" t="str">
        <f>HYPERLINK("https://www.google.com/maps/search/?api=1&amp;query=24.79631409,46.70845731", "View Map")</f>
        <v>View Map</v>
      </c>
    </row>
    <row r="121" spans="1:7" x14ac:dyDescent="0.3">
      <c r="A121" t="s">
        <v>46</v>
      </c>
      <c r="B121" t="s">
        <v>230</v>
      </c>
      <c r="C121" t="s">
        <v>8</v>
      </c>
      <c r="D121">
        <v>21.414000000000001</v>
      </c>
      <c r="E121" s="4">
        <v>6853</v>
      </c>
      <c r="F121" t="str">
        <f>HYPERLINK("https://www.google.com/maps/search/?api=1&amp;query=24.82845,46.60742", "View Map")</f>
        <v>View Map</v>
      </c>
      <c r="G121" s="2">
        <v>0.67716684240156522</v>
      </c>
    </row>
    <row r="122" spans="1:7" x14ac:dyDescent="0.3">
      <c r="A122" t="s">
        <v>231</v>
      </c>
      <c r="B122" t="s">
        <v>232</v>
      </c>
      <c r="C122" t="s">
        <v>8</v>
      </c>
      <c r="D122">
        <v>21.364999999999998</v>
      </c>
      <c r="E122" s="4">
        <v>6837</v>
      </c>
      <c r="F122" t="str">
        <f>HYPERLINK("https://www.google.com/maps/search/?api=1&amp;query=24.7259181,46.77115791", "View Map")</f>
        <v>View Map</v>
      </c>
      <c r="G122" s="2">
        <v>0.84741185430456056</v>
      </c>
    </row>
    <row r="123" spans="1:7" x14ac:dyDescent="0.3">
      <c r="A123" t="s">
        <v>28</v>
      </c>
      <c r="B123" t="s">
        <v>233</v>
      </c>
      <c r="C123" t="s">
        <v>30</v>
      </c>
      <c r="D123">
        <v>21.364000000000001</v>
      </c>
      <c r="E123" s="4">
        <v>6836</v>
      </c>
      <c r="F123" t="str">
        <f>HYPERLINK("https://www.google.com/maps/search/?api=1&amp;query=24.16007137,47.23464169", "View Map")</f>
        <v>View Map</v>
      </c>
    </row>
    <row r="124" spans="1:7" x14ac:dyDescent="0.3">
      <c r="A124" t="s">
        <v>234</v>
      </c>
      <c r="B124" t="s">
        <v>235</v>
      </c>
      <c r="C124" t="s">
        <v>8</v>
      </c>
      <c r="D124">
        <v>21.297000000000001</v>
      </c>
      <c r="E124" s="4">
        <v>6815</v>
      </c>
      <c r="F124" t="str">
        <f>HYPERLINK("https://www.google.com/maps/search/?api=1&amp;query=24.82106777,46.63710869", "View Map")</f>
        <v>View Map</v>
      </c>
      <c r="G124" s="2">
        <v>0.73993936204814692</v>
      </c>
    </row>
    <row r="125" spans="1:7" x14ac:dyDescent="0.3">
      <c r="A125" t="s">
        <v>146</v>
      </c>
      <c r="B125" t="s">
        <v>236</v>
      </c>
      <c r="C125" t="s">
        <v>8</v>
      </c>
      <c r="D125">
        <v>21.28</v>
      </c>
      <c r="E125" s="4">
        <v>6810</v>
      </c>
      <c r="F125" t="str">
        <f>HYPERLINK("https://www.google.com/maps/search/?api=1&amp;query=24.5040804,46.6683632", "View Map")</f>
        <v>View Map</v>
      </c>
      <c r="G125" s="2">
        <v>0.75903433404479581</v>
      </c>
    </row>
    <row r="126" spans="1:7" x14ac:dyDescent="0.3">
      <c r="A126" t="s">
        <v>237</v>
      </c>
      <c r="B126" t="s">
        <v>238</v>
      </c>
      <c r="C126" t="s">
        <v>8</v>
      </c>
      <c r="D126">
        <v>21.184000000000001</v>
      </c>
      <c r="E126" s="4">
        <v>6779</v>
      </c>
      <c r="F126" t="str">
        <f>HYPERLINK("https://www.google.com/maps/search/?api=1&amp;query=24.79261396,46.63660156", "View Map")</f>
        <v>View Map</v>
      </c>
      <c r="G126" s="2">
        <v>0.60915463251881696</v>
      </c>
    </row>
    <row r="127" spans="1:7" x14ac:dyDescent="0.3">
      <c r="A127" t="s">
        <v>239</v>
      </c>
      <c r="B127" t="s">
        <v>240</v>
      </c>
      <c r="C127" t="s">
        <v>241</v>
      </c>
      <c r="D127">
        <v>21.167000000000002</v>
      </c>
      <c r="E127" s="4">
        <v>6774</v>
      </c>
      <c r="F127" t="str">
        <f>HYPERLINK("https://www.google.com/maps/search/?api=1&amp;query=20.47210421,44.78443717", "View Map")</f>
        <v>View Map</v>
      </c>
    </row>
    <row r="128" spans="1:7" x14ac:dyDescent="0.3">
      <c r="A128" t="s">
        <v>242</v>
      </c>
      <c r="B128" t="s">
        <v>243</v>
      </c>
      <c r="C128" t="s">
        <v>8</v>
      </c>
      <c r="D128">
        <v>21.158999999999999</v>
      </c>
      <c r="E128" s="4">
        <v>6771</v>
      </c>
      <c r="F128" t="str">
        <f>HYPERLINK("https://www.google.com/maps/search/?api=1&amp;query=24.76978328,46.78655468", "View Map")</f>
        <v>View Map</v>
      </c>
      <c r="G128" s="2">
        <v>0.62791820595765191</v>
      </c>
    </row>
    <row r="129" spans="1:7" x14ac:dyDescent="0.3">
      <c r="A129" t="s">
        <v>244</v>
      </c>
      <c r="B129" t="s">
        <v>245</v>
      </c>
      <c r="C129" t="s">
        <v>8</v>
      </c>
      <c r="D129">
        <v>21.109000000000002</v>
      </c>
      <c r="E129" s="4">
        <v>6755</v>
      </c>
      <c r="F129" t="str">
        <f>HYPERLINK("https://www.google.com/maps/search/?api=1&amp;query=24.80627015,46.66876306", "View Map")</f>
        <v>View Map</v>
      </c>
      <c r="G129" s="2">
        <v>0.56708686489664606</v>
      </c>
    </row>
    <row r="130" spans="1:7" x14ac:dyDescent="0.3">
      <c r="A130" t="s">
        <v>196</v>
      </c>
      <c r="B130" t="s">
        <v>246</v>
      </c>
      <c r="C130" t="s">
        <v>8</v>
      </c>
      <c r="D130">
        <v>21.103999999999999</v>
      </c>
      <c r="E130" s="4">
        <v>6753</v>
      </c>
      <c r="F130" t="str">
        <f>HYPERLINK("https://www.google.com/maps/search/?api=1&amp;query=24.80349,46.80487", "View Map")</f>
        <v>View Map</v>
      </c>
      <c r="G130" s="2">
        <v>0.76950526766517469</v>
      </c>
    </row>
    <row r="131" spans="1:7" x14ac:dyDescent="0.3">
      <c r="A131" t="s">
        <v>247</v>
      </c>
      <c r="B131" t="s">
        <v>248</v>
      </c>
      <c r="C131" t="s">
        <v>8</v>
      </c>
      <c r="D131">
        <v>20.986999999999998</v>
      </c>
      <c r="E131" s="4">
        <v>6716</v>
      </c>
      <c r="F131" t="str">
        <f>HYPERLINK("https://www.google.com/maps/search/?api=1&amp;query=24.5885165,46.67740114", "View Map")</f>
        <v>View Map</v>
      </c>
      <c r="G131" s="2">
        <v>0.46237868970672708</v>
      </c>
    </row>
    <row r="132" spans="1:7" x14ac:dyDescent="0.3">
      <c r="A132" t="s">
        <v>249</v>
      </c>
      <c r="B132" t="s">
        <v>250</v>
      </c>
      <c r="C132" t="s">
        <v>8</v>
      </c>
      <c r="D132">
        <v>20.855</v>
      </c>
      <c r="E132" s="4">
        <v>6674</v>
      </c>
      <c r="F132" t="str">
        <f>HYPERLINK("https://www.google.com/maps/search/?api=1&amp;query=24.77467428,46.65619389", "View Map")</f>
        <v>View Map</v>
      </c>
      <c r="G132" s="2">
        <v>0.75309818908978543</v>
      </c>
    </row>
    <row r="133" spans="1:7" x14ac:dyDescent="0.3">
      <c r="A133" t="s">
        <v>251</v>
      </c>
      <c r="B133" t="s">
        <v>252</v>
      </c>
      <c r="C133" t="s">
        <v>8</v>
      </c>
      <c r="D133">
        <v>20.78</v>
      </c>
      <c r="E133" s="4">
        <v>6649</v>
      </c>
      <c r="F133" t="str">
        <f>HYPERLINK("https://www.google.com/maps/search/?api=1&amp;query=24.6798632,46.71079373", "View Map")</f>
        <v>View Map</v>
      </c>
      <c r="G133" s="2">
        <v>0.36466226354006209</v>
      </c>
    </row>
    <row r="134" spans="1:7" x14ac:dyDescent="0.3">
      <c r="A134" t="s">
        <v>253</v>
      </c>
      <c r="B134" t="s">
        <v>254</v>
      </c>
      <c r="C134" t="s">
        <v>255</v>
      </c>
      <c r="D134">
        <v>20.706</v>
      </c>
      <c r="E134" s="4">
        <v>6626</v>
      </c>
      <c r="F134" t="str">
        <f>HYPERLINK("https://www.google.com/maps/search/?api=1&amp;query=24.49120647,44.36657021", "View Map")</f>
        <v>View Map</v>
      </c>
      <c r="G134" s="2">
        <v>0.66631372159790847</v>
      </c>
    </row>
    <row r="135" spans="1:7" x14ac:dyDescent="0.3">
      <c r="A135" t="s">
        <v>46</v>
      </c>
      <c r="B135" t="s">
        <v>256</v>
      </c>
      <c r="C135" t="s">
        <v>8</v>
      </c>
      <c r="D135">
        <v>20.696999999999999</v>
      </c>
      <c r="E135" s="4">
        <v>6623</v>
      </c>
      <c r="F135" t="str">
        <f>HYPERLINK("https://www.google.com/maps/search/?api=1&amp;query=24.68444607,46.58426799", "View Map")</f>
        <v>View Map</v>
      </c>
      <c r="G135" s="2">
        <v>0.5269899695534227</v>
      </c>
    </row>
    <row r="136" spans="1:7" x14ac:dyDescent="0.3">
      <c r="A136" t="s">
        <v>257</v>
      </c>
      <c r="B136" t="s">
        <v>258</v>
      </c>
      <c r="C136" t="s">
        <v>8</v>
      </c>
      <c r="D136">
        <v>20.655999999999999</v>
      </c>
      <c r="E136" s="4">
        <v>6610</v>
      </c>
      <c r="F136" t="str">
        <f>HYPERLINK("https://www.google.com/maps/search/?api=1&amp;query=24.70428071,46.67103887", "View Map")</f>
        <v>View Map</v>
      </c>
      <c r="G136" s="2">
        <v>0.35780773270119881</v>
      </c>
    </row>
    <row r="137" spans="1:7" x14ac:dyDescent="0.3">
      <c r="A137" t="s">
        <v>259</v>
      </c>
      <c r="B137" t="s">
        <v>260</v>
      </c>
      <c r="C137" t="s">
        <v>8</v>
      </c>
      <c r="D137">
        <v>20.582000000000001</v>
      </c>
      <c r="E137" s="4">
        <v>6586</v>
      </c>
      <c r="F137" t="str">
        <f>HYPERLINK("https://www.google.com/maps/search/?api=1&amp;query=24.56145228,46.79002075", "View Map")</f>
        <v>View Map</v>
      </c>
      <c r="G137" s="2">
        <v>0.44326470833143627</v>
      </c>
    </row>
    <row r="138" spans="1:7" x14ac:dyDescent="0.3">
      <c r="A138" t="s">
        <v>261</v>
      </c>
      <c r="B138" t="s">
        <v>262</v>
      </c>
      <c r="C138" t="s">
        <v>8</v>
      </c>
      <c r="D138">
        <v>20.381</v>
      </c>
      <c r="E138" s="4">
        <v>6522</v>
      </c>
      <c r="F138" t="str">
        <f>HYPERLINK("https://www.google.com/maps/search/?api=1&amp;query=24.74727361,46.84160882", "View Map")</f>
        <v>View Map</v>
      </c>
      <c r="G138" s="2">
        <v>0.40543083398675672</v>
      </c>
    </row>
    <row r="139" spans="1:7" x14ac:dyDescent="0.3">
      <c r="A139" t="s">
        <v>263</v>
      </c>
      <c r="B139" t="s">
        <v>264</v>
      </c>
      <c r="C139" t="s">
        <v>8</v>
      </c>
      <c r="D139">
        <v>20.38</v>
      </c>
      <c r="E139" s="4">
        <v>6521</v>
      </c>
      <c r="F139" t="str">
        <f>HYPERLINK("https://www.google.com/maps/search/?api=1&amp;query=24.78883047,46.73059015", "View Map")</f>
        <v>View Map</v>
      </c>
      <c r="G139" s="2">
        <v>0.62603274619458604</v>
      </c>
    </row>
    <row r="140" spans="1:7" x14ac:dyDescent="0.3">
      <c r="A140" t="s">
        <v>46</v>
      </c>
      <c r="B140" t="s">
        <v>265</v>
      </c>
      <c r="C140" t="s">
        <v>8</v>
      </c>
      <c r="D140">
        <v>20.332999999999998</v>
      </c>
      <c r="E140" s="4">
        <v>6507</v>
      </c>
      <c r="F140" t="str">
        <f>HYPERLINK("https://www.google.com/maps/search/?api=1&amp;query=24.84062294,46.88054074", "View Map")</f>
        <v>View Map</v>
      </c>
      <c r="G140" s="2">
        <v>0.67128303526538446</v>
      </c>
    </row>
    <row r="141" spans="1:7" x14ac:dyDescent="0.3">
      <c r="A141" t="s">
        <v>266</v>
      </c>
      <c r="B141" t="s">
        <v>267</v>
      </c>
      <c r="C141" t="s">
        <v>8</v>
      </c>
      <c r="D141">
        <v>20.209</v>
      </c>
      <c r="E141" s="4">
        <v>6467</v>
      </c>
      <c r="F141" t="str">
        <f>HYPERLINK("https://www.google.com/maps/search/?api=1&amp;query=24.58041158,46.67659749", "View Map")</f>
        <v>View Map</v>
      </c>
      <c r="G141" s="2">
        <v>0.79332757560684186</v>
      </c>
    </row>
    <row r="142" spans="1:7" x14ac:dyDescent="0.3">
      <c r="A142" t="s">
        <v>268</v>
      </c>
      <c r="B142" t="s">
        <v>269</v>
      </c>
      <c r="C142" t="s">
        <v>270</v>
      </c>
      <c r="D142">
        <v>19.907</v>
      </c>
      <c r="E142" s="4">
        <v>6370</v>
      </c>
      <c r="F142" t="str">
        <f>HYPERLINK("https://www.google.com/maps/search/?api=1&amp;query=23.9842,47.1356", "View Map")</f>
        <v>View Map</v>
      </c>
      <c r="G142" s="2">
        <v>0.62338132383588507</v>
      </c>
    </row>
    <row r="143" spans="1:7" x14ac:dyDescent="0.3">
      <c r="A143" t="s">
        <v>271</v>
      </c>
      <c r="B143" t="s">
        <v>272</v>
      </c>
      <c r="C143" t="s">
        <v>8</v>
      </c>
      <c r="D143">
        <v>19.706</v>
      </c>
      <c r="E143" s="4">
        <v>6306</v>
      </c>
      <c r="F143" t="str">
        <f>HYPERLINK("https://www.google.com/maps/search/?api=1&amp;query=24.67094519,46.74232063", "View Map")</f>
        <v>View Map</v>
      </c>
      <c r="G143" s="2">
        <v>0.78721568169983469</v>
      </c>
    </row>
    <row r="144" spans="1:7" x14ac:dyDescent="0.3">
      <c r="A144" t="s">
        <v>273</v>
      </c>
      <c r="B144" t="s">
        <v>274</v>
      </c>
      <c r="C144" t="s">
        <v>8</v>
      </c>
      <c r="D144">
        <v>19.416</v>
      </c>
      <c r="E144" s="4">
        <v>6213</v>
      </c>
      <c r="F144" t="str">
        <f>HYPERLINK("https://www.google.com/maps/search/?api=1&amp;query=24.7471122,46.80341236", "View Map")</f>
        <v>View Map</v>
      </c>
    </row>
    <row r="145" spans="1:7" x14ac:dyDescent="0.3">
      <c r="A145" t="s">
        <v>275</v>
      </c>
      <c r="B145" t="s">
        <v>276</v>
      </c>
      <c r="C145" t="s">
        <v>8</v>
      </c>
      <c r="D145">
        <v>19.361000000000001</v>
      </c>
      <c r="E145" s="4">
        <v>6195</v>
      </c>
      <c r="F145" t="str">
        <f>HYPERLINK("https://www.google.com/maps/search/?api=1&amp;query=24.76785944,46.7377981", "View Map")</f>
        <v>View Map</v>
      </c>
      <c r="G145" s="2">
        <v>0.65868738244359193</v>
      </c>
    </row>
    <row r="146" spans="1:7" x14ac:dyDescent="0.3">
      <c r="A146" t="s">
        <v>277</v>
      </c>
      <c r="B146" t="s">
        <v>278</v>
      </c>
      <c r="C146" t="s">
        <v>55</v>
      </c>
      <c r="D146">
        <v>19.349</v>
      </c>
      <c r="E146" s="4">
        <v>6192</v>
      </c>
      <c r="F146" t="str">
        <f>HYPERLINK("https://www.google.com/maps/search/?api=1&amp;query=24.74883235,46.5738511", "View Map")</f>
        <v>View Map</v>
      </c>
      <c r="G146" s="2">
        <v>0.64859184853546725</v>
      </c>
    </row>
    <row r="147" spans="1:7" x14ac:dyDescent="0.3">
      <c r="A147" t="s">
        <v>31</v>
      </c>
      <c r="B147" t="s">
        <v>279</v>
      </c>
      <c r="C147" t="s">
        <v>8</v>
      </c>
      <c r="D147">
        <v>19.34</v>
      </c>
      <c r="E147" s="4">
        <v>6189</v>
      </c>
      <c r="F147" t="str">
        <f>HYPERLINK("https://www.google.com/maps/search/?api=1&amp;query=24.55178967,46.76239806", "View Map")</f>
        <v>View Map</v>
      </c>
      <c r="G147" s="2">
        <v>0.61312102581205163</v>
      </c>
    </row>
    <row r="148" spans="1:7" x14ac:dyDescent="0.3">
      <c r="A148" t="s">
        <v>146</v>
      </c>
      <c r="B148" t="s">
        <v>280</v>
      </c>
      <c r="C148" t="s">
        <v>8</v>
      </c>
      <c r="D148">
        <v>19.334</v>
      </c>
      <c r="E148" s="4">
        <v>6187</v>
      </c>
      <c r="F148" t="str">
        <f>HYPERLINK("https://www.google.com/maps/search/?api=1&amp;query=24.6069,46.625", "View Map")</f>
        <v>View Map</v>
      </c>
      <c r="G148" s="2">
        <v>0.77059246443623253</v>
      </c>
    </row>
    <row r="149" spans="1:7" x14ac:dyDescent="0.3">
      <c r="A149" t="s">
        <v>73</v>
      </c>
      <c r="B149" t="s">
        <v>281</v>
      </c>
      <c r="C149" t="s">
        <v>8</v>
      </c>
      <c r="D149">
        <v>19.265999999999998</v>
      </c>
      <c r="E149" s="4">
        <v>6165</v>
      </c>
      <c r="F149" t="str">
        <f>HYPERLINK("https://www.google.com/maps/search/?api=1&amp;query=24.78684,46.61241", "View Map")</f>
        <v>View Map</v>
      </c>
      <c r="G149" s="2">
        <v>0.43394920448998647</v>
      </c>
    </row>
    <row r="150" spans="1:7" x14ac:dyDescent="0.3">
      <c r="A150" t="s">
        <v>210</v>
      </c>
      <c r="B150" t="s">
        <v>282</v>
      </c>
      <c r="C150" t="s">
        <v>8</v>
      </c>
      <c r="D150">
        <v>19.143000000000001</v>
      </c>
      <c r="E150" s="4">
        <v>6126</v>
      </c>
      <c r="F150" t="str">
        <f>HYPERLINK("https://www.google.com/maps/search/?api=1&amp;query=24.6528115,46.75738867", "View Map")</f>
        <v>View Map</v>
      </c>
      <c r="G150" s="2">
        <v>0.59836935910272315</v>
      </c>
    </row>
    <row r="151" spans="1:7" x14ac:dyDescent="0.3">
      <c r="A151" t="s">
        <v>146</v>
      </c>
      <c r="B151" t="s">
        <v>283</v>
      </c>
      <c r="C151" t="s">
        <v>8</v>
      </c>
      <c r="D151">
        <v>18.893999999999998</v>
      </c>
      <c r="E151" s="4">
        <v>6046</v>
      </c>
      <c r="F151" t="str">
        <f>HYPERLINK("https://www.google.com/maps/search/?api=1&amp;query=24.51386838,46.68149558", "View Map")</f>
        <v>View Map</v>
      </c>
      <c r="G151" s="2">
        <v>0.77565409893250992</v>
      </c>
    </row>
    <row r="152" spans="1:7" x14ac:dyDescent="0.3">
      <c r="A152" t="s">
        <v>284</v>
      </c>
      <c r="B152" t="s">
        <v>285</v>
      </c>
      <c r="C152" t="s">
        <v>286</v>
      </c>
      <c r="D152">
        <v>18.884</v>
      </c>
      <c r="E152" s="4">
        <v>6043</v>
      </c>
      <c r="F152" t="str">
        <f>HYPERLINK("https://www.google.com/maps/search/?api=1&amp;query=25.33811005,45.18448705", "View Map")</f>
        <v>View Map</v>
      </c>
      <c r="G152" s="2">
        <v>0.73396326503237153</v>
      </c>
    </row>
    <row r="153" spans="1:7" x14ac:dyDescent="0.3">
      <c r="A153" t="s">
        <v>150</v>
      </c>
      <c r="B153" t="s">
        <v>287</v>
      </c>
      <c r="C153" t="s">
        <v>8</v>
      </c>
      <c r="D153">
        <v>18.834</v>
      </c>
      <c r="E153" s="4">
        <v>6027</v>
      </c>
      <c r="F153" t="str">
        <f>HYPERLINK("https://www.google.com/maps/search/?api=1&amp;query=24.8277018,46.78878921", "View Map")</f>
        <v>View Map</v>
      </c>
      <c r="G153" s="2">
        <v>0.41184612305100432</v>
      </c>
    </row>
    <row r="154" spans="1:7" x14ac:dyDescent="0.3">
      <c r="A154" t="s">
        <v>46</v>
      </c>
      <c r="B154" t="s">
        <v>288</v>
      </c>
      <c r="C154" t="s">
        <v>8</v>
      </c>
      <c r="D154">
        <v>18.722999999999999</v>
      </c>
      <c r="E154" s="4">
        <v>5991</v>
      </c>
      <c r="F154" t="str">
        <f>HYPERLINK("https://www.google.com/maps/search/?api=1&amp;query=24.89540143,46.61677811", "View Map")</f>
        <v>View Map</v>
      </c>
      <c r="G154" s="2">
        <v>0.53765408429040962</v>
      </c>
    </row>
    <row r="155" spans="1:7" x14ac:dyDescent="0.3">
      <c r="A155" t="s">
        <v>289</v>
      </c>
      <c r="B155" t="s">
        <v>290</v>
      </c>
      <c r="C155" t="s">
        <v>291</v>
      </c>
      <c r="D155">
        <v>18.651</v>
      </c>
      <c r="E155" s="4">
        <v>5968</v>
      </c>
      <c r="F155" t="str">
        <f>HYPERLINK("https://www.google.com/maps/search/?api=1&amp;query=24.07626638,45.30074534", "View Map")</f>
        <v>View Map</v>
      </c>
      <c r="G155" s="2">
        <v>0.84425746348617958</v>
      </c>
    </row>
    <row r="156" spans="1:7" x14ac:dyDescent="0.3">
      <c r="A156" t="s">
        <v>292</v>
      </c>
      <c r="B156" t="s">
        <v>293</v>
      </c>
      <c r="C156" t="s">
        <v>8</v>
      </c>
      <c r="D156">
        <v>18.567</v>
      </c>
      <c r="E156" s="4">
        <v>5941</v>
      </c>
      <c r="F156" t="str">
        <f>HYPERLINK("https://www.google.com/maps/search/?api=1&amp;query=24.79523579,46.73767582", "View Map")</f>
        <v>View Map</v>
      </c>
      <c r="G156" s="2">
        <v>0.4293421417746377</v>
      </c>
    </row>
    <row r="157" spans="1:7" x14ac:dyDescent="0.3">
      <c r="A157" t="s">
        <v>294</v>
      </c>
      <c r="B157" t="s">
        <v>295</v>
      </c>
      <c r="C157" t="s">
        <v>296</v>
      </c>
      <c r="D157">
        <v>18.454999999999998</v>
      </c>
      <c r="E157" s="4">
        <v>5905</v>
      </c>
      <c r="F157" t="str">
        <f>HYPERLINK("https://www.google.com/maps/search/?api=1&amp;query=24.45073409,46.30022976", "View Map")</f>
        <v>View Map</v>
      </c>
      <c r="G157" s="2">
        <v>0.60692186899659395</v>
      </c>
    </row>
    <row r="158" spans="1:7" x14ac:dyDescent="0.3">
      <c r="A158" t="s">
        <v>150</v>
      </c>
      <c r="B158" t="s">
        <v>297</v>
      </c>
      <c r="C158" t="s">
        <v>8</v>
      </c>
      <c r="D158">
        <v>18.219000000000001</v>
      </c>
      <c r="E158" s="4">
        <v>5830</v>
      </c>
      <c r="F158" t="str">
        <f>HYPERLINK("https://www.google.com/maps/search/?api=1&amp;query=24.8132771,46.73512109", "View Map")</f>
        <v>View Map</v>
      </c>
      <c r="G158" s="2">
        <v>0.58800903092621071</v>
      </c>
    </row>
    <row r="159" spans="1:7" x14ac:dyDescent="0.3">
      <c r="A159" t="s">
        <v>298</v>
      </c>
      <c r="B159" t="s">
        <v>299</v>
      </c>
      <c r="C159" t="s">
        <v>8</v>
      </c>
      <c r="D159">
        <v>18.192</v>
      </c>
      <c r="E159" s="4">
        <v>5821</v>
      </c>
      <c r="F159" t="str">
        <f>HYPERLINK("https://www.google.com/maps/search/?api=1&amp;query=24.55649386,46.67708684", "View Map")</f>
        <v>View Map</v>
      </c>
      <c r="G159" s="2">
        <v>0.6478872463164026</v>
      </c>
    </row>
    <row r="160" spans="1:7" x14ac:dyDescent="0.3">
      <c r="A160" t="s">
        <v>300</v>
      </c>
      <c r="B160" t="s">
        <v>301</v>
      </c>
      <c r="C160" t="s">
        <v>8</v>
      </c>
      <c r="D160">
        <v>18.183</v>
      </c>
      <c r="E160" s="4">
        <v>5819</v>
      </c>
      <c r="F160" t="str">
        <f>HYPERLINK("https://www.google.com/maps/search/?api=1&amp;query=24.79318363,46.69914311", "View Map")</f>
        <v>View Map</v>
      </c>
      <c r="G160" s="2">
        <v>0.35865550917216399</v>
      </c>
    </row>
    <row r="161" spans="1:7" x14ac:dyDescent="0.3">
      <c r="A161" t="s">
        <v>146</v>
      </c>
      <c r="B161" t="s">
        <v>302</v>
      </c>
      <c r="C161" t="s">
        <v>8</v>
      </c>
      <c r="D161">
        <v>18.149999999999999</v>
      </c>
      <c r="E161" s="4">
        <v>5808</v>
      </c>
      <c r="F161" t="str">
        <f>HYPERLINK("https://www.google.com/maps/search/?api=1&amp;query=24.55203435,46.54888884", "View Map")</f>
        <v>View Map</v>
      </c>
      <c r="G161" s="2">
        <v>0.76377420943402963</v>
      </c>
    </row>
    <row r="162" spans="1:7" x14ac:dyDescent="0.3">
      <c r="A162" t="s">
        <v>303</v>
      </c>
      <c r="B162" t="s">
        <v>304</v>
      </c>
      <c r="C162" t="s">
        <v>8</v>
      </c>
      <c r="D162">
        <v>18.103999999999999</v>
      </c>
      <c r="E162" s="4">
        <v>5793</v>
      </c>
      <c r="F162" t="str">
        <f>HYPERLINK("https://www.google.com/maps/search/?api=1&amp;query=24.57913996,46.66583556", "View Map")</f>
        <v>View Map</v>
      </c>
      <c r="G162" s="2">
        <v>0.59311845006027297</v>
      </c>
    </row>
    <row r="163" spans="1:7" x14ac:dyDescent="0.3">
      <c r="A163" t="s">
        <v>305</v>
      </c>
      <c r="B163" t="s">
        <v>306</v>
      </c>
      <c r="C163" t="s">
        <v>8</v>
      </c>
      <c r="D163">
        <v>18.102</v>
      </c>
      <c r="E163" s="4">
        <v>5793</v>
      </c>
      <c r="F163" t="str">
        <f>HYPERLINK("https://www.google.com/maps/search/?api=1&amp;query=24.69496368,46.76523926", "View Map")</f>
        <v>View Map</v>
      </c>
      <c r="G163" s="2">
        <v>0.70960366888109572</v>
      </c>
    </row>
    <row r="164" spans="1:7" x14ac:dyDescent="0.3">
      <c r="A164" t="s">
        <v>307</v>
      </c>
      <c r="B164" t="s">
        <v>308</v>
      </c>
      <c r="C164" t="s">
        <v>8</v>
      </c>
      <c r="D164">
        <v>18.091000000000001</v>
      </c>
      <c r="E164" s="4">
        <v>5789</v>
      </c>
      <c r="F164" t="str">
        <f>HYPERLINK("https://www.google.com/maps/search/?api=1&amp;query=24.73298,46.65794", "View Map")</f>
        <v>View Map</v>
      </c>
      <c r="G164" s="2">
        <v>0.78974550548915146</v>
      </c>
    </row>
    <row r="165" spans="1:7" x14ac:dyDescent="0.3">
      <c r="A165" t="s">
        <v>309</v>
      </c>
      <c r="B165" t="s">
        <v>310</v>
      </c>
      <c r="C165" t="s">
        <v>8</v>
      </c>
      <c r="D165">
        <v>18.042999999999999</v>
      </c>
      <c r="E165" s="4">
        <v>5774</v>
      </c>
      <c r="F165" t="str">
        <f>HYPERLINK("https://www.google.com/maps/search/?api=1&amp;query=24.53781668,46.66622221", "View Map")</f>
        <v>View Map</v>
      </c>
      <c r="G165" s="2">
        <v>0.76728466563018327</v>
      </c>
    </row>
    <row r="166" spans="1:7" x14ac:dyDescent="0.3">
      <c r="A166" t="s">
        <v>311</v>
      </c>
      <c r="B166" t="s">
        <v>312</v>
      </c>
      <c r="C166" t="s">
        <v>8</v>
      </c>
      <c r="D166">
        <v>18.039000000000001</v>
      </c>
      <c r="E166" s="4">
        <v>5772</v>
      </c>
      <c r="F166" t="str">
        <f>HYPERLINK("https://www.google.com/maps/search/?api=1&amp;query=24.63105049,46.7143999", "View Map")</f>
        <v>View Map</v>
      </c>
      <c r="G166" s="2">
        <v>0.37135942858502541</v>
      </c>
    </row>
    <row r="167" spans="1:7" x14ac:dyDescent="0.3">
      <c r="A167" t="s">
        <v>313</v>
      </c>
      <c r="B167" t="s">
        <v>314</v>
      </c>
      <c r="C167" t="s">
        <v>8</v>
      </c>
      <c r="D167">
        <v>18.029</v>
      </c>
      <c r="E167" s="4">
        <v>5769</v>
      </c>
      <c r="F167" t="str">
        <f>HYPERLINK("https://www.google.com/maps/search/?api=1&amp;query=24.71568591,46.82771854", "View Map")</f>
        <v>View Map</v>
      </c>
      <c r="G167" s="2">
        <v>0.48244717118158231</v>
      </c>
    </row>
    <row r="168" spans="1:7" x14ac:dyDescent="0.3">
      <c r="A168" t="s">
        <v>315</v>
      </c>
      <c r="B168" t="s">
        <v>316</v>
      </c>
      <c r="C168" t="s">
        <v>8</v>
      </c>
      <c r="D168">
        <v>18.018000000000001</v>
      </c>
      <c r="E168" s="4">
        <v>5766</v>
      </c>
      <c r="F168" t="str">
        <f>HYPERLINK("https://www.google.com/maps/search/?api=1&amp;query=24.72108914,46.85436542", "View Map")</f>
        <v>View Map</v>
      </c>
      <c r="G168" s="2">
        <v>0.53830422586191295</v>
      </c>
    </row>
    <row r="169" spans="1:7" x14ac:dyDescent="0.3">
      <c r="A169" t="s">
        <v>317</v>
      </c>
      <c r="B169" t="s">
        <v>318</v>
      </c>
      <c r="C169" t="s">
        <v>8</v>
      </c>
      <c r="D169">
        <v>17.951000000000001</v>
      </c>
      <c r="E169" s="4">
        <v>5744</v>
      </c>
      <c r="F169" t="str">
        <f>HYPERLINK("https://www.google.com/maps/search/?api=1&amp;query=24.81350778,46.81228237", "View Map")</f>
        <v>View Map</v>
      </c>
      <c r="G169" s="2">
        <v>0.84476172016258522</v>
      </c>
    </row>
    <row r="170" spans="1:7" x14ac:dyDescent="0.3">
      <c r="A170" t="s">
        <v>319</v>
      </c>
      <c r="B170" t="s">
        <v>320</v>
      </c>
      <c r="C170" t="s">
        <v>8</v>
      </c>
      <c r="D170">
        <v>17.881</v>
      </c>
      <c r="E170" s="4">
        <v>5722</v>
      </c>
      <c r="F170" t="str">
        <f>HYPERLINK("https://www.google.com/maps/search/?api=1&amp;query=24.80957067,46.88653704", "View Map")</f>
        <v>View Map</v>
      </c>
      <c r="G170" s="2">
        <v>0.55421053867103087</v>
      </c>
    </row>
    <row r="171" spans="1:7" x14ac:dyDescent="0.3">
      <c r="A171" t="s">
        <v>46</v>
      </c>
      <c r="B171" t="s">
        <v>321</v>
      </c>
      <c r="C171" t="s">
        <v>55</v>
      </c>
      <c r="D171">
        <v>17.635999999999999</v>
      </c>
      <c r="E171" s="4">
        <v>5643</v>
      </c>
      <c r="F171" t="str">
        <f>HYPERLINK("https://www.google.com/maps/search/?api=1&amp;query=24.79095,46.57925", "View Map")</f>
        <v>View Map</v>
      </c>
      <c r="G171" s="2">
        <v>0.60848499800019784</v>
      </c>
    </row>
    <row r="172" spans="1:7" x14ac:dyDescent="0.3">
      <c r="A172" t="s">
        <v>28</v>
      </c>
      <c r="B172" t="s">
        <v>322</v>
      </c>
      <c r="C172" t="s">
        <v>30</v>
      </c>
      <c r="D172">
        <v>17.591000000000001</v>
      </c>
      <c r="E172" s="4">
        <v>5629</v>
      </c>
      <c r="F172" t="str">
        <f>HYPERLINK("https://www.google.com/maps/search/?api=1&amp;query=24.12170154,47.25547128", "View Map")</f>
        <v>View Map</v>
      </c>
      <c r="G172" s="2">
        <v>0.52237298079478678</v>
      </c>
    </row>
    <row r="173" spans="1:7" x14ac:dyDescent="0.3">
      <c r="A173" t="s">
        <v>323</v>
      </c>
      <c r="B173" t="s">
        <v>324</v>
      </c>
      <c r="C173" t="s">
        <v>8</v>
      </c>
      <c r="D173">
        <v>17.553000000000001</v>
      </c>
      <c r="E173" s="4">
        <v>5617</v>
      </c>
      <c r="F173" t="str">
        <f>HYPERLINK("https://www.google.com/maps/search/?api=1&amp;query=24.65428805,46.74159627", "View Map")</f>
        <v>View Map</v>
      </c>
      <c r="G173" s="2">
        <v>0.56846257353405527</v>
      </c>
    </row>
    <row r="174" spans="1:7" x14ac:dyDescent="0.3">
      <c r="A174" t="s">
        <v>325</v>
      </c>
      <c r="B174" t="s">
        <v>326</v>
      </c>
      <c r="C174" t="s">
        <v>8</v>
      </c>
      <c r="D174">
        <v>17.53</v>
      </c>
      <c r="E174" s="4">
        <v>5610</v>
      </c>
      <c r="F174" t="str">
        <f>HYPERLINK("https://www.google.com/maps/search/?api=1&amp;query=24.74499644,46.71869362", "View Map")</f>
        <v>View Map</v>
      </c>
      <c r="G174" s="2">
        <v>0.67442978356131644</v>
      </c>
    </row>
    <row r="175" spans="1:7" x14ac:dyDescent="0.3">
      <c r="A175" t="s">
        <v>327</v>
      </c>
      <c r="B175" t="s">
        <v>328</v>
      </c>
      <c r="C175" t="s">
        <v>8</v>
      </c>
      <c r="D175">
        <v>17.475000000000001</v>
      </c>
      <c r="E175" s="4">
        <v>5592</v>
      </c>
      <c r="F175" t="str">
        <f>HYPERLINK("https://www.google.com/maps/search/?api=1&amp;query=24.75857819,46.75001691", "View Map")</f>
        <v>View Map</v>
      </c>
      <c r="G175" s="2">
        <v>0.74476155697900703</v>
      </c>
    </row>
    <row r="176" spans="1:7" x14ac:dyDescent="0.3">
      <c r="A176" t="s">
        <v>46</v>
      </c>
      <c r="B176" t="s">
        <v>329</v>
      </c>
      <c r="C176" t="s">
        <v>8</v>
      </c>
      <c r="D176">
        <v>17.457999999999998</v>
      </c>
      <c r="E176" s="4">
        <v>5587</v>
      </c>
      <c r="F176" t="str">
        <f>HYPERLINK("https://www.google.com/maps/search/?api=1&amp;query=24.7822977,46.8353532", "View Map")</f>
        <v>View Map</v>
      </c>
      <c r="G176" s="2">
        <v>0.48619588317215079</v>
      </c>
    </row>
    <row r="177" spans="1:7" x14ac:dyDescent="0.3">
      <c r="A177" t="s">
        <v>73</v>
      </c>
      <c r="B177" t="s">
        <v>330</v>
      </c>
      <c r="C177" t="s">
        <v>8</v>
      </c>
      <c r="D177">
        <v>17.434999999999999</v>
      </c>
      <c r="E177" s="4">
        <v>5579</v>
      </c>
      <c r="F177" t="str">
        <f>HYPERLINK("https://www.google.com/maps/search/?api=1&amp;query=24.78503888,46.67786923", "View Map")</f>
        <v>View Map</v>
      </c>
      <c r="G177" s="2">
        <v>0.68290493352872061</v>
      </c>
    </row>
    <row r="178" spans="1:7" x14ac:dyDescent="0.3">
      <c r="A178" t="s">
        <v>331</v>
      </c>
      <c r="B178" t="s">
        <v>332</v>
      </c>
      <c r="C178" t="s">
        <v>8</v>
      </c>
      <c r="D178">
        <v>17.423999999999999</v>
      </c>
      <c r="E178" s="4">
        <v>5576</v>
      </c>
      <c r="F178" t="str">
        <f>HYPERLINK("https://www.google.com/maps/search/?api=1&amp;query=24.68868255,46.84266039", "View Map")</f>
        <v>View Map</v>
      </c>
      <c r="G178" s="2">
        <v>0.7012916967071916</v>
      </c>
    </row>
    <row r="179" spans="1:7" x14ac:dyDescent="0.3">
      <c r="A179" t="s">
        <v>333</v>
      </c>
      <c r="B179" t="s">
        <v>334</v>
      </c>
      <c r="C179" t="s">
        <v>8</v>
      </c>
      <c r="D179">
        <v>17.375</v>
      </c>
      <c r="E179" s="4">
        <v>5560</v>
      </c>
      <c r="F179" t="str">
        <f>HYPERLINK("https://www.google.com/maps/search/?api=1&amp;query=24.6119,46.6864", "View Map")</f>
        <v>View Map</v>
      </c>
      <c r="G179" s="2">
        <v>0.81749535695754294</v>
      </c>
    </row>
    <row r="180" spans="1:7" x14ac:dyDescent="0.3">
      <c r="A180" t="s">
        <v>335</v>
      </c>
      <c r="B180" t="s">
        <v>336</v>
      </c>
      <c r="C180" t="s">
        <v>8</v>
      </c>
      <c r="D180">
        <v>17.265999999999998</v>
      </c>
      <c r="E180" s="4">
        <v>5525</v>
      </c>
      <c r="F180" t="str">
        <f>HYPERLINK("https://www.google.com/maps/search/?api=1&amp;query=24.67643014,46.80624134", "View Map")</f>
        <v>View Map</v>
      </c>
      <c r="G180" s="2">
        <v>0.65751581194807385</v>
      </c>
    </row>
    <row r="181" spans="1:7" x14ac:dyDescent="0.3">
      <c r="A181" t="s">
        <v>337</v>
      </c>
      <c r="B181" t="s">
        <v>338</v>
      </c>
      <c r="C181" t="s">
        <v>8</v>
      </c>
      <c r="D181">
        <v>17.202000000000002</v>
      </c>
      <c r="E181" s="4">
        <v>5505</v>
      </c>
      <c r="F181" t="str">
        <f>HYPERLINK("https://www.google.com/maps/search/?api=1&amp;query=24.77070675,46.71048516", "View Map")</f>
        <v>View Map</v>
      </c>
      <c r="G181" s="2">
        <v>0.72546086963736078</v>
      </c>
    </row>
    <row r="182" spans="1:7" x14ac:dyDescent="0.3">
      <c r="A182" t="s">
        <v>339</v>
      </c>
      <c r="B182" t="s">
        <v>340</v>
      </c>
      <c r="C182" t="s">
        <v>8</v>
      </c>
      <c r="D182">
        <v>17.082000000000001</v>
      </c>
      <c r="E182" s="4">
        <v>5466</v>
      </c>
      <c r="F182" t="str">
        <f>HYPERLINK("https://www.google.com/maps/search/?api=1&amp;query=24.78094902,46.74120913", "View Map")</f>
        <v>View Map</v>
      </c>
      <c r="G182" s="2">
        <v>0.9310092468201997</v>
      </c>
    </row>
    <row r="183" spans="1:7" x14ac:dyDescent="0.3">
      <c r="A183" t="s">
        <v>341</v>
      </c>
      <c r="B183" t="s">
        <v>342</v>
      </c>
      <c r="C183" t="s">
        <v>8</v>
      </c>
      <c r="D183">
        <v>16.969000000000001</v>
      </c>
      <c r="E183" s="4">
        <v>5430</v>
      </c>
      <c r="F183" t="str">
        <f>HYPERLINK("https://www.google.com/maps/search/?api=1&amp;query=24.8112021,46.78053911", "View Map")</f>
        <v>View Map</v>
      </c>
      <c r="G183" s="2">
        <v>0.35877177605246291</v>
      </c>
    </row>
    <row r="184" spans="1:7" x14ac:dyDescent="0.3">
      <c r="A184" t="s">
        <v>46</v>
      </c>
      <c r="B184" t="s">
        <v>343</v>
      </c>
      <c r="C184" t="s">
        <v>8</v>
      </c>
      <c r="D184">
        <v>16.817</v>
      </c>
      <c r="E184" s="4">
        <v>5382</v>
      </c>
      <c r="F184" t="str">
        <f>HYPERLINK("https://www.google.com/maps/search/?api=1&amp;query=24.78508,46.71632", "View Map")</f>
        <v>View Map</v>
      </c>
      <c r="G184" s="2">
        <v>0.7791571740643829</v>
      </c>
    </row>
    <row r="185" spans="1:7" x14ac:dyDescent="0.3">
      <c r="A185" t="s">
        <v>344</v>
      </c>
      <c r="B185" t="s">
        <v>345</v>
      </c>
      <c r="C185" t="s">
        <v>8</v>
      </c>
      <c r="D185">
        <v>16.66</v>
      </c>
      <c r="E185" s="4">
        <v>5331</v>
      </c>
      <c r="F185" t="str">
        <f>HYPERLINK("https://www.google.com/maps/search/?api=1&amp;query=24.78992452,46.81871222", "View Map")</f>
        <v>View Map</v>
      </c>
      <c r="G185" s="2">
        <v>0.51821536833164727</v>
      </c>
    </row>
    <row r="186" spans="1:7" x14ac:dyDescent="0.3">
      <c r="A186" t="s">
        <v>346</v>
      </c>
      <c r="B186" t="s">
        <v>347</v>
      </c>
      <c r="C186" t="s">
        <v>8</v>
      </c>
      <c r="D186">
        <v>16.61</v>
      </c>
      <c r="E186" s="4">
        <v>5315</v>
      </c>
      <c r="F186" t="str">
        <f>HYPERLINK("https://www.google.com/maps/search/?api=1&amp;query=24.76056813,46.60082157", "View Map")</f>
        <v>View Map</v>
      </c>
      <c r="G186" s="2">
        <v>0.80430055310416004</v>
      </c>
    </row>
    <row r="187" spans="1:7" x14ac:dyDescent="0.3">
      <c r="A187" t="s">
        <v>348</v>
      </c>
      <c r="B187" t="s">
        <v>349</v>
      </c>
      <c r="C187" t="s">
        <v>21</v>
      </c>
      <c r="D187">
        <v>16.388000000000002</v>
      </c>
      <c r="E187" s="4">
        <v>5244</v>
      </c>
      <c r="F187" t="str">
        <f>HYPERLINK("https://www.google.com/maps/search/?api=1&amp;query=26.33741856,44.78205274", "View Map")</f>
        <v>View Map</v>
      </c>
      <c r="G187" s="2">
        <v>0.5928328274734378</v>
      </c>
    </row>
    <row r="188" spans="1:7" x14ac:dyDescent="0.3">
      <c r="A188" t="s">
        <v>350</v>
      </c>
      <c r="B188" t="s">
        <v>351</v>
      </c>
      <c r="C188" t="s">
        <v>21</v>
      </c>
      <c r="D188">
        <v>16.321999999999999</v>
      </c>
      <c r="E188" s="4">
        <v>5223</v>
      </c>
      <c r="F188" t="str">
        <f>HYPERLINK("https://www.google.com/maps/search/?api=1&amp;query=26.30417011,44.80322836", "View Map")</f>
        <v>View Map</v>
      </c>
      <c r="G188" s="2">
        <v>0.46068675400685538</v>
      </c>
    </row>
    <row r="189" spans="1:7" x14ac:dyDescent="0.3">
      <c r="A189" t="s">
        <v>352</v>
      </c>
      <c r="B189" t="s">
        <v>353</v>
      </c>
      <c r="C189" t="s">
        <v>8</v>
      </c>
      <c r="D189">
        <v>16.204000000000001</v>
      </c>
      <c r="E189" s="4">
        <v>5185</v>
      </c>
      <c r="F189" t="str">
        <f>HYPERLINK("https://www.google.com/maps/search/?api=1&amp;query=24.75554387,46.78789353", "View Map")</f>
        <v>View Map</v>
      </c>
      <c r="G189" s="2">
        <v>0.37782322094068521</v>
      </c>
    </row>
    <row r="190" spans="1:7" x14ac:dyDescent="0.3">
      <c r="A190" t="s">
        <v>354</v>
      </c>
      <c r="B190" t="s">
        <v>355</v>
      </c>
      <c r="C190" t="s">
        <v>8</v>
      </c>
      <c r="D190">
        <v>16.183</v>
      </c>
      <c r="E190" s="4">
        <v>5178</v>
      </c>
      <c r="F190" t="str">
        <f>HYPERLINK("https://www.google.com/maps/search/?api=1&amp;query=24.7370575,46.71942659", "View Map")</f>
        <v>View Map</v>
      </c>
      <c r="G190" s="2">
        <v>0.43268461450813989</v>
      </c>
    </row>
    <row r="191" spans="1:7" x14ac:dyDescent="0.3">
      <c r="A191" t="s">
        <v>356</v>
      </c>
      <c r="B191" t="s">
        <v>357</v>
      </c>
      <c r="C191" t="s">
        <v>8</v>
      </c>
      <c r="D191">
        <v>16.173999999999999</v>
      </c>
      <c r="E191" s="4">
        <v>5176</v>
      </c>
      <c r="F191" t="str">
        <f>HYPERLINK("https://www.google.com/maps/search/?api=1&amp;query=24.69341833,46.70865915", "View Map")</f>
        <v>View Map</v>
      </c>
      <c r="G191" s="2">
        <v>0.69348761451522956</v>
      </c>
    </row>
    <row r="192" spans="1:7" x14ac:dyDescent="0.3">
      <c r="A192" t="s">
        <v>358</v>
      </c>
      <c r="B192" t="s">
        <v>359</v>
      </c>
      <c r="C192" t="s">
        <v>8</v>
      </c>
      <c r="D192">
        <v>16.169</v>
      </c>
      <c r="E192" s="4">
        <v>5174</v>
      </c>
      <c r="F192" t="str">
        <f>HYPERLINK("https://www.google.com/maps/search/?api=1&amp;query=24.79638973,46.70013016", "View Map")</f>
        <v>View Map</v>
      </c>
      <c r="G192" s="2">
        <v>0.65894009643731077</v>
      </c>
    </row>
    <row r="193" spans="1:7" x14ac:dyDescent="0.3">
      <c r="A193" t="s">
        <v>360</v>
      </c>
      <c r="B193" t="s">
        <v>361</v>
      </c>
      <c r="C193" t="s">
        <v>8</v>
      </c>
      <c r="D193">
        <v>16.167000000000002</v>
      </c>
      <c r="E193" s="4">
        <v>5173</v>
      </c>
      <c r="F193" t="str">
        <f>HYPERLINK("https://www.google.com/maps/search/?api=1&amp;query=24.5419,46.7028", "View Map")</f>
        <v>View Map</v>
      </c>
      <c r="G193" s="2">
        <v>0.46429197165653652</v>
      </c>
    </row>
    <row r="194" spans="1:7" x14ac:dyDescent="0.3">
      <c r="A194" t="s">
        <v>362</v>
      </c>
      <c r="B194" t="s">
        <v>363</v>
      </c>
      <c r="C194" t="s">
        <v>364</v>
      </c>
      <c r="D194">
        <v>16.145</v>
      </c>
      <c r="E194" s="4">
        <v>5166</v>
      </c>
      <c r="F194" t="str">
        <f>HYPERLINK("https://www.google.com/maps/search/?api=1&amp;query=25.18074702,45.80168178", "View Map")</f>
        <v>View Map</v>
      </c>
      <c r="G194" s="2">
        <v>0.50539338597159267</v>
      </c>
    </row>
    <row r="195" spans="1:7" x14ac:dyDescent="0.3">
      <c r="A195" t="s">
        <v>365</v>
      </c>
      <c r="B195" t="s">
        <v>366</v>
      </c>
      <c r="C195" t="s">
        <v>30</v>
      </c>
      <c r="D195">
        <v>16.100999999999999</v>
      </c>
      <c r="E195" s="4">
        <v>5152</v>
      </c>
      <c r="F195" t="str">
        <f>HYPERLINK("https://www.google.com/maps/search/?api=1&amp;query=24.16532819,47.33944296", "View Map")</f>
        <v>View Map</v>
      </c>
      <c r="G195" s="2">
        <v>0.56305368088663243</v>
      </c>
    </row>
    <row r="196" spans="1:7" x14ac:dyDescent="0.3">
      <c r="A196" t="s">
        <v>367</v>
      </c>
      <c r="B196" t="s">
        <v>368</v>
      </c>
      <c r="C196" t="s">
        <v>8</v>
      </c>
      <c r="D196">
        <v>16.007000000000001</v>
      </c>
      <c r="E196" s="4">
        <v>5122</v>
      </c>
      <c r="F196" t="str">
        <f>HYPERLINK("https://www.google.com/maps/search/?api=1&amp;query=24.68619557,46.78018729", "View Map")</f>
        <v>View Map</v>
      </c>
      <c r="G196" s="2">
        <v>0.53918976022031873</v>
      </c>
    </row>
    <row r="197" spans="1:7" x14ac:dyDescent="0.3">
      <c r="A197" t="s">
        <v>369</v>
      </c>
      <c r="B197" t="s">
        <v>370</v>
      </c>
      <c r="C197" t="s">
        <v>8</v>
      </c>
      <c r="D197">
        <v>15.984999999999999</v>
      </c>
      <c r="E197" s="4">
        <v>5115</v>
      </c>
      <c r="F197" t="str">
        <f>HYPERLINK("https://www.google.com/maps/search/?api=1&amp;query=24.76167728,46.65921951", "View Map")</f>
        <v>View Map</v>
      </c>
      <c r="G197" s="2">
        <v>0.85566552349398028</v>
      </c>
    </row>
    <row r="198" spans="1:7" x14ac:dyDescent="0.3">
      <c r="A198" t="s">
        <v>371</v>
      </c>
      <c r="B198" t="s">
        <v>372</v>
      </c>
      <c r="C198" t="s">
        <v>8</v>
      </c>
      <c r="D198">
        <v>15.964</v>
      </c>
      <c r="E198" s="4">
        <v>5109</v>
      </c>
      <c r="F198" t="str">
        <f>HYPERLINK("https://www.google.com/maps/search/?api=1&amp;query=24.76462182,46.76403247", "View Map")</f>
        <v>View Map</v>
      </c>
      <c r="G198" s="2">
        <v>0.46365713648910828</v>
      </c>
    </row>
    <row r="199" spans="1:7" x14ac:dyDescent="0.3">
      <c r="A199" t="s">
        <v>146</v>
      </c>
      <c r="B199" t="s">
        <v>373</v>
      </c>
      <c r="C199" t="s">
        <v>8</v>
      </c>
      <c r="D199">
        <v>15.91</v>
      </c>
      <c r="E199" s="4">
        <v>5091</v>
      </c>
      <c r="F199" t="str">
        <f>HYPERLINK("https://www.google.com/maps/search/?api=1&amp;query=24.61477434,46.70980659", "View Map")</f>
        <v>View Map</v>
      </c>
      <c r="G199" s="2">
        <v>0.72841286047753462</v>
      </c>
    </row>
    <row r="200" spans="1:7" x14ac:dyDescent="0.3">
      <c r="A200" t="s">
        <v>374</v>
      </c>
      <c r="B200" t="s">
        <v>375</v>
      </c>
      <c r="C200" t="s">
        <v>8</v>
      </c>
      <c r="D200">
        <v>15.884</v>
      </c>
      <c r="E200" s="4">
        <v>5083</v>
      </c>
      <c r="F200" t="str">
        <f>HYPERLINK("https://www.google.com/maps/search/?api=1&amp;query=24.63143668,46.55845555", "View Map")</f>
        <v>View Map</v>
      </c>
      <c r="G200" s="2">
        <v>0.42318034718752789</v>
      </c>
    </row>
    <row r="201" spans="1:7" x14ac:dyDescent="0.3">
      <c r="A201" t="s">
        <v>376</v>
      </c>
      <c r="B201" t="s">
        <v>377</v>
      </c>
      <c r="C201" t="s">
        <v>8</v>
      </c>
      <c r="D201">
        <v>15.875999999999999</v>
      </c>
      <c r="E201" s="4">
        <v>5080</v>
      </c>
      <c r="F201" t="str">
        <f>HYPERLINK("https://www.google.com/maps/search/?api=1&amp;query=24.79397828,46.77968977", "View Map")</f>
        <v>View Map</v>
      </c>
      <c r="G201" s="2">
        <v>0.53449979600893494</v>
      </c>
    </row>
    <row r="202" spans="1:7" x14ac:dyDescent="0.3">
      <c r="A202" t="s">
        <v>378</v>
      </c>
      <c r="B202" t="s">
        <v>379</v>
      </c>
      <c r="C202" t="s">
        <v>8</v>
      </c>
      <c r="D202">
        <v>15.851000000000001</v>
      </c>
      <c r="E202" s="4">
        <v>5072</v>
      </c>
      <c r="F202" t="str">
        <f>HYPERLINK("https://www.google.com/maps/search/?api=1&amp;query=24.59312243,46.63023738", "View Map")</f>
        <v>View Map</v>
      </c>
      <c r="G202" s="2">
        <v>0.64504412993936133</v>
      </c>
    </row>
    <row r="203" spans="1:7" x14ac:dyDescent="0.3">
      <c r="A203" t="s">
        <v>380</v>
      </c>
      <c r="B203" t="s">
        <v>381</v>
      </c>
      <c r="C203" t="s">
        <v>214</v>
      </c>
      <c r="D203">
        <v>15.829000000000001</v>
      </c>
      <c r="E203" s="4">
        <v>5065</v>
      </c>
      <c r="F203" t="str">
        <f>HYPERLINK("https://www.google.com/maps/search/?api=1&amp;query=25.69664192,45.88027634", "View Map")</f>
        <v>View Map</v>
      </c>
      <c r="G203" s="2">
        <v>0.71149119229365931</v>
      </c>
    </row>
    <row r="204" spans="1:7" x14ac:dyDescent="0.3">
      <c r="A204" t="s">
        <v>382</v>
      </c>
      <c r="B204" t="s">
        <v>383</v>
      </c>
      <c r="C204" t="s">
        <v>8</v>
      </c>
      <c r="D204">
        <v>15.794</v>
      </c>
      <c r="E204" s="4">
        <v>5054</v>
      </c>
      <c r="F204" t="str">
        <f>HYPERLINK("https://www.google.com/maps/search/?api=1&amp;query=24.80039563,46.80001072", "View Map")</f>
        <v>View Map</v>
      </c>
      <c r="G204" s="2">
        <v>0.70269503252921428</v>
      </c>
    </row>
    <row r="205" spans="1:7" x14ac:dyDescent="0.3">
      <c r="A205" t="s">
        <v>146</v>
      </c>
      <c r="B205" t="s">
        <v>384</v>
      </c>
      <c r="C205" t="s">
        <v>8</v>
      </c>
      <c r="D205">
        <v>15.776999999999999</v>
      </c>
      <c r="E205" s="4">
        <v>5049</v>
      </c>
      <c r="F205" t="str">
        <f>HYPERLINK("https://www.google.com/maps/search/?api=1&amp;query=24.53586152,46.63978243", "View Map")</f>
        <v>View Map</v>
      </c>
      <c r="G205" s="2">
        <v>0.66370938153645243</v>
      </c>
    </row>
    <row r="206" spans="1:7" x14ac:dyDescent="0.3">
      <c r="A206" t="s">
        <v>385</v>
      </c>
      <c r="B206" t="s">
        <v>386</v>
      </c>
      <c r="C206" t="s">
        <v>8</v>
      </c>
      <c r="D206">
        <v>15.750999999999999</v>
      </c>
      <c r="E206" s="4">
        <v>5040</v>
      </c>
      <c r="F206" t="str">
        <f>HYPERLINK("https://www.google.com/maps/search/?api=1&amp;query=24.59857647,46.77267912", "View Map")</f>
        <v>View Map</v>
      </c>
    </row>
    <row r="207" spans="1:7" x14ac:dyDescent="0.3">
      <c r="A207" t="s">
        <v>387</v>
      </c>
      <c r="B207" t="s">
        <v>388</v>
      </c>
      <c r="C207" t="s">
        <v>8</v>
      </c>
      <c r="D207">
        <v>15.747999999999999</v>
      </c>
      <c r="E207" s="4">
        <v>5039</v>
      </c>
      <c r="F207" t="str">
        <f>HYPERLINK("https://www.google.com/maps/search/?api=1&amp;query=24.67628728,46.77676379", "View Map")</f>
        <v>View Map</v>
      </c>
      <c r="G207" s="2">
        <v>0.46722684494935779</v>
      </c>
    </row>
    <row r="208" spans="1:7" x14ac:dyDescent="0.3">
      <c r="A208" t="s">
        <v>389</v>
      </c>
      <c r="B208" t="s">
        <v>390</v>
      </c>
      <c r="C208" t="s">
        <v>8</v>
      </c>
      <c r="D208">
        <v>15.696</v>
      </c>
      <c r="E208" s="4">
        <v>5023</v>
      </c>
      <c r="F208" t="str">
        <f>HYPERLINK("https://www.google.com/maps/search/?api=1&amp;query=24.68184014,46.71961591", "View Map")</f>
        <v>View Map</v>
      </c>
      <c r="G208" s="2">
        <v>0.34757934047443212</v>
      </c>
    </row>
    <row r="209" spans="1:7" x14ac:dyDescent="0.3">
      <c r="A209" t="s">
        <v>391</v>
      </c>
      <c r="B209" t="s">
        <v>392</v>
      </c>
      <c r="C209" t="s">
        <v>393</v>
      </c>
      <c r="D209">
        <v>15.65</v>
      </c>
      <c r="E209" s="4">
        <v>5008</v>
      </c>
      <c r="F209" t="str">
        <f>HYPERLINK("https://www.google.com/maps/search/?api=1&amp;query=23.54262176,45.5144862", "View Map")</f>
        <v>View Map</v>
      </c>
      <c r="G209" s="2">
        <v>0.47981071056916252</v>
      </c>
    </row>
    <row r="210" spans="1:7" x14ac:dyDescent="0.3">
      <c r="A210" t="s">
        <v>394</v>
      </c>
      <c r="B210" t="s">
        <v>395</v>
      </c>
      <c r="C210" t="s">
        <v>8</v>
      </c>
      <c r="D210">
        <v>15.638</v>
      </c>
      <c r="E210" s="4">
        <v>5004</v>
      </c>
      <c r="F210" t="str">
        <f>HYPERLINK("https://www.google.com/maps/search/?api=1&amp;query=24.77342195,46.69107172", "View Map")</f>
        <v>View Map</v>
      </c>
      <c r="G210" s="2">
        <v>0.35282666817804309</v>
      </c>
    </row>
    <row r="211" spans="1:7" x14ac:dyDescent="0.3">
      <c r="A211" t="s">
        <v>396</v>
      </c>
      <c r="B211" t="s">
        <v>397</v>
      </c>
      <c r="C211" t="s">
        <v>55</v>
      </c>
      <c r="D211">
        <v>15.632</v>
      </c>
      <c r="E211" s="4">
        <v>5002</v>
      </c>
      <c r="F211" t="str">
        <f>HYPERLINK("https://www.google.com/maps/search/?api=1&amp;query=24.73759225,46.59876738", "View Map")</f>
        <v>View Map</v>
      </c>
      <c r="G211" s="2">
        <v>0.58752183517103063</v>
      </c>
    </row>
    <row r="212" spans="1:7" x14ac:dyDescent="0.3">
      <c r="A212" t="s">
        <v>398</v>
      </c>
      <c r="B212" t="s">
        <v>399</v>
      </c>
      <c r="C212" t="s">
        <v>8</v>
      </c>
      <c r="D212">
        <v>15.631</v>
      </c>
      <c r="E212" s="4">
        <v>5002</v>
      </c>
      <c r="F212" t="str">
        <f>HYPERLINK("https://www.google.com/maps/search/?api=1&amp;query=24.68586567,46.6778582", "View Map")</f>
        <v>View Map</v>
      </c>
      <c r="G212" s="2">
        <v>0.63375338276870874</v>
      </c>
    </row>
    <row r="213" spans="1:7" x14ac:dyDescent="0.3">
      <c r="A213" t="s">
        <v>73</v>
      </c>
      <c r="B213" t="s">
        <v>400</v>
      </c>
      <c r="C213" t="s">
        <v>8</v>
      </c>
      <c r="D213">
        <v>15.569000000000001</v>
      </c>
      <c r="E213" s="4">
        <v>4982</v>
      </c>
      <c r="F213" t="str">
        <f>HYPERLINK("https://www.google.com/maps/search/?api=1&amp;query=24.81487507,46.61758932", "View Map")</f>
        <v>View Map</v>
      </c>
      <c r="G213" s="2">
        <v>0.6363339109963051</v>
      </c>
    </row>
    <row r="214" spans="1:7" x14ac:dyDescent="0.3">
      <c r="A214" t="s">
        <v>150</v>
      </c>
      <c r="B214" t="s">
        <v>401</v>
      </c>
      <c r="C214" t="s">
        <v>8</v>
      </c>
      <c r="D214">
        <v>15.566000000000001</v>
      </c>
      <c r="E214" s="4">
        <v>4981</v>
      </c>
      <c r="F214" t="str">
        <f>HYPERLINK("https://www.google.com/maps/search/?api=1&amp;query=24.63361025,46.53735388", "View Map")</f>
        <v>View Map</v>
      </c>
      <c r="G214" s="2">
        <v>0.57674512886139384</v>
      </c>
    </row>
    <row r="215" spans="1:7" x14ac:dyDescent="0.3">
      <c r="A215" t="s">
        <v>146</v>
      </c>
      <c r="B215" t="s">
        <v>402</v>
      </c>
      <c r="C215" t="s">
        <v>8</v>
      </c>
      <c r="D215">
        <v>15.566000000000001</v>
      </c>
      <c r="E215" s="4">
        <v>4981</v>
      </c>
      <c r="F215" t="str">
        <f>HYPERLINK("https://www.google.com/maps/search/?api=1&amp;query=24.57958915,46.61910479", "View Map")</f>
        <v>View Map</v>
      </c>
      <c r="G215" s="2">
        <v>0.67605592728047792</v>
      </c>
    </row>
    <row r="216" spans="1:7" x14ac:dyDescent="0.3">
      <c r="A216" t="s">
        <v>403</v>
      </c>
      <c r="B216" t="s">
        <v>404</v>
      </c>
      <c r="C216" t="s">
        <v>8</v>
      </c>
      <c r="D216">
        <v>15.544</v>
      </c>
      <c r="E216" s="4">
        <v>4974</v>
      </c>
      <c r="F216" t="str">
        <f>HYPERLINK("https://www.google.com/maps/search/?api=1&amp;query=24.7960199,46.63184058", "View Map")</f>
        <v>View Map</v>
      </c>
      <c r="G216" s="2">
        <v>0.89510169929045946</v>
      </c>
    </row>
    <row r="217" spans="1:7" x14ac:dyDescent="0.3">
      <c r="A217" t="s">
        <v>405</v>
      </c>
      <c r="B217" t="s">
        <v>406</v>
      </c>
      <c r="C217" t="s">
        <v>8</v>
      </c>
      <c r="D217">
        <v>15.513999999999999</v>
      </c>
      <c r="E217" s="4">
        <v>4964</v>
      </c>
      <c r="F217" t="str">
        <f>HYPERLINK("https://www.google.com/maps/search/?api=1&amp;query=24.71415605,46.78377465", "View Map")</f>
        <v>View Map</v>
      </c>
      <c r="G217" s="2">
        <v>0.48993494926350728</v>
      </c>
    </row>
    <row r="218" spans="1:7" x14ac:dyDescent="0.3">
      <c r="A218" t="s">
        <v>407</v>
      </c>
      <c r="B218" t="s">
        <v>408</v>
      </c>
      <c r="C218" t="s">
        <v>214</v>
      </c>
      <c r="D218">
        <v>15.49</v>
      </c>
      <c r="E218" s="4">
        <v>4957</v>
      </c>
      <c r="F218" t="str">
        <f>HYPERLINK("https://www.google.com/maps/search/?api=1&amp;query=26.49741951,45.34644563", "View Map")</f>
        <v>View Map</v>
      </c>
      <c r="G218" s="2">
        <v>0.66382730666245815</v>
      </c>
    </row>
    <row r="219" spans="1:7" x14ac:dyDescent="0.3">
      <c r="A219" t="s">
        <v>409</v>
      </c>
      <c r="B219" t="s">
        <v>410</v>
      </c>
      <c r="C219" t="s">
        <v>8</v>
      </c>
      <c r="D219">
        <v>15.476000000000001</v>
      </c>
      <c r="E219" s="4">
        <v>4952</v>
      </c>
      <c r="F219" t="str">
        <f>HYPERLINK("https://www.google.com/maps/search/?api=1&amp;query=24.68620666,46.58833388", "View Map")</f>
        <v>View Map</v>
      </c>
      <c r="G219" s="2">
        <v>0.50692075706777806</v>
      </c>
    </row>
    <row r="220" spans="1:7" x14ac:dyDescent="0.3">
      <c r="A220" t="s">
        <v>411</v>
      </c>
      <c r="B220" t="s">
        <v>412</v>
      </c>
      <c r="C220" t="s">
        <v>77</v>
      </c>
      <c r="D220">
        <v>15.468</v>
      </c>
      <c r="E220" s="4">
        <v>4950</v>
      </c>
      <c r="F220" t="str">
        <f>HYPERLINK("https://www.google.com/maps/search/?api=1&amp;query=22.04178402,46.5695802", "View Map")</f>
        <v>View Map</v>
      </c>
      <c r="G220" s="2">
        <v>0.74100495695944413</v>
      </c>
    </row>
    <row r="221" spans="1:7" x14ac:dyDescent="0.3">
      <c r="A221" t="s">
        <v>413</v>
      </c>
      <c r="B221" t="s">
        <v>414</v>
      </c>
      <c r="C221" t="s">
        <v>8</v>
      </c>
      <c r="D221">
        <v>15.41</v>
      </c>
      <c r="E221" s="4">
        <v>4931</v>
      </c>
      <c r="F221" t="str">
        <f>HYPERLINK("https://www.google.com/maps/search/?api=1&amp;query=24.72321569,46.68044048", "View Map")</f>
        <v>View Map</v>
      </c>
      <c r="G221" s="2">
        <v>0.51515388905717541</v>
      </c>
    </row>
    <row r="222" spans="1:7" x14ac:dyDescent="0.3">
      <c r="A222" t="s">
        <v>150</v>
      </c>
      <c r="B222" t="s">
        <v>415</v>
      </c>
      <c r="C222" t="s">
        <v>8</v>
      </c>
      <c r="D222">
        <v>15.372999999999999</v>
      </c>
      <c r="E222" s="4">
        <v>4919</v>
      </c>
      <c r="F222" t="str">
        <f>HYPERLINK("https://www.google.com/maps/search/?api=1&amp;query=24.75162793,46.8422796", "View Map")</f>
        <v>View Map</v>
      </c>
      <c r="G222" s="2">
        <v>0.47309854846356519</v>
      </c>
    </row>
    <row r="223" spans="1:7" x14ac:dyDescent="0.3">
      <c r="A223" t="s">
        <v>416</v>
      </c>
      <c r="B223" t="s">
        <v>417</v>
      </c>
      <c r="C223" t="s">
        <v>8</v>
      </c>
      <c r="D223">
        <v>15.282999999999999</v>
      </c>
      <c r="E223" s="4">
        <v>4891</v>
      </c>
      <c r="F223" t="str">
        <f>HYPERLINK("https://www.google.com/maps/search/?api=1&amp;query=24.59053613,46.64161047", "View Map")</f>
        <v>View Map</v>
      </c>
      <c r="G223" s="2">
        <v>0.65587429795027474</v>
      </c>
    </row>
    <row r="224" spans="1:7" x14ac:dyDescent="0.3">
      <c r="A224" t="s">
        <v>418</v>
      </c>
      <c r="B224" t="s">
        <v>419</v>
      </c>
      <c r="C224" t="s">
        <v>8</v>
      </c>
      <c r="D224">
        <v>15.269</v>
      </c>
      <c r="E224" s="4">
        <v>4886</v>
      </c>
      <c r="F224" t="str">
        <f>HYPERLINK("https://www.google.com/maps/search/?api=1&amp;query=24.59371774,46.76144005", "View Map")</f>
        <v>View Map</v>
      </c>
      <c r="G224" s="2">
        <v>0.44348461717398441</v>
      </c>
    </row>
    <row r="225" spans="1:7" x14ac:dyDescent="0.3">
      <c r="A225" t="s">
        <v>46</v>
      </c>
      <c r="B225" t="s">
        <v>420</v>
      </c>
      <c r="C225" t="s">
        <v>8</v>
      </c>
      <c r="D225">
        <v>15.135</v>
      </c>
      <c r="E225" s="4">
        <v>4843</v>
      </c>
      <c r="F225" t="str">
        <f>HYPERLINK("https://www.google.com/maps/search/?api=1&amp;query=24.61917,46.50129", "View Map")</f>
        <v>View Map</v>
      </c>
    </row>
    <row r="226" spans="1:7" x14ac:dyDescent="0.3">
      <c r="A226" t="s">
        <v>146</v>
      </c>
      <c r="B226" t="s">
        <v>421</v>
      </c>
      <c r="C226" t="s">
        <v>8</v>
      </c>
      <c r="D226">
        <v>15.096</v>
      </c>
      <c r="E226" s="4">
        <v>4831</v>
      </c>
      <c r="F226" t="str">
        <f>HYPERLINK("https://www.google.com/maps/search/?api=1&amp;query=24.57398396,46.63571953", "View Map")</f>
        <v>View Map</v>
      </c>
      <c r="G226" s="2">
        <v>0.66522667465494356</v>
      </c>
    </row>
    <row r="227" spans="1:7" x14ac:dyDescent="0.3">
      <c r="A227" t="s">
        <v>422</v>
      </c>
      <c r="B227" t="s">
        <v>423</v>
      </c>
      <c r="C227" t="s">
        <v>8</v>
      </c>
      <c r="D227">
        <v>15.090999999999999</v>
      </c>
      <c r="E227" s="4">
        <v>4829</v>
      </c>
      <c r="F227" t="str">
        <f>HYPERLINK("https://www.google.com/maps/search/?api=1&amp;query=24.60363978,46.6584658", "View Map")</f>
        <v>View Map</v>
      </c>
      <c r="G227" s="2">
        <v>0.61418510903527646</v>
      </c>
    </row>
    <row r="228" spans="1:7" x14ac:dyDescent="0.3">
      <c r="A228" t="s">
        <v>46</v>
      </c>
      <c r="B228" t="s">
        <v>424</v>
      </c>
      <c r="C228" t="s">
        <v>8</v>
      </c>
      <c r="D228">
        <v>15.007999999999999</v>
      </c>
      <c r="E228" s="4">
        <v>4802</v>
      </c>
      <c r="F228" t="str">
        <f>HYPERLINK("https://www.google.com/maps/search/?api=1&amp;query=24.86698,46.62094", "View Map")</f>
        <v>View Map</v>
      </c>
      <c r="G228" s="2">
        <v>0.74773203374851005</v>
      </c>
    </row>
    <row r="229" spans="1:7" x14ac:dyDescent="0.3">
      <c r="A229" t="s">
        <v>146</v>
      </c>
      <c r="B229" t="s">
        <v>425</v>
      </c>
      <c r="C229" t="s">
        <v>8</v>
      </c>
      <c r="D229">
        <v>14.976000000000001</v>
      </c>
      <c r="E229" s="4">
        <v>4792</v>
      </c>
      <c r="F229" t="str">
        <f>HYPERLINK("https://www.google.com/maps/search/?api=1&amp;query=24.55106877,46.67705814", "View Map")</f>
        <v>View Map</v>
      </c>
      <c r="G229" s="2">
        <v>0.5866670135034302</v>
      </c>
    </row>
    <row r="230" spans="1:7" x14ac:dyDescent="0.3">
      <c r="A230" t="s">
        <v>426</v>
      </c>
      <c r="B230" t="s">
        <v>427</v>
      </c>
      <c r="C230" t="s">
        <v>55</v>
      </c>
      <c r="D230">
        <v>14.949</v>
      </c>
      <c r="E230" s="4">
        <v>4784</v>
      </c>
      <c r="F230" t="str">
        <f>HYPERLINK("https://www.google.com/maps/search/?api=1&amp;query=24.74555352,46.574474", "View Map")</f>
        <v>View Map</v>
      </c>
      <c r="G230" s="2">
        <v>0.57222621711210386</v>
      </c>
    </row>
    <row r="231" spans="1:7" x14ac:dyDescent="0.3">
      <c r="A231" t="s">
        <v>428</v>
      </c>
      <c r="B231" t="s">
        <v>429</v>
      </c>
      <c r="C231" t="s">
        <v>8</v>
      </c>
      <c r="D231">
        <v>14.885999999999999</v>
      </c>
      <c r="E231" s="4">
        <v>4764</v>
      </c>
      <c r="F231" t="str">
        <f>HYPERLINK("https://www.google.com/maps/search/?api=1&amp;query=24.76157554,46.74725419", "View Map")</f>
        <v>View Map</v>
      </c>
      <c r="G231" s="2">
        <v>0.59054280451546826</v>
      </c>
    </row>
    <row r="232" spans="1:7" x14ac:dyDescent="0.3">
      <c r="A232" t="s">
        <v>430</v>
      </c>
      <c r="B232" t="s">
        <v>431</v>
      </c>
      <c r="C232" t="s">
        <v>8</v>
      </c>
      <c r="D232">
        <v>14.86</v>
      </c>
      <c r="E232" s="4">
        <v>4755</v>
      </c>
      <c r="F232" t="str">
        <f>HYPERLINK("https://www.google.com/maps/search/?api=1&amp;query=24.75253842,46.77390533", "View Map")</f>
        <v>View Map</v>
      </c>
      <c r="G232" s="2">
        <v>0.64577320097507074</v>
      </c>
    </row>
    <row r="233" spans="1:7" x14ac:dyDescent="0.3">
      <c r="A233" t="s">
        <v>46</v>
      </c>
      <c r="B233" t="s">
        <v>432</v>
      </c>
      <c r="C233" t="s">
        <v>8</v>
      </c>
      <c r="D233">
        <v>14.794</v>
      </c>
      <c r="E233" s="4">
        <v>4734</v>
      </c>
      <c r="F233" t="str">
        <f>HYPERLINK("https://www.google.com/maps/search/?api=1&amp;query=24.83066896,46.66620127", "View Map")</f>
        <v>View Map</v>
      </c>
      <c r="G233" s="2">
        <v>0.6191059059086832</v>
      </c>
    </row>
    <row r="234" spans="1:7" x14ac:dyDescent="0.3">
      <c r="A234" t="s">
        <v>433</v>
      </c>
      <c r="B234" t="s">
        <v>434</v>
      </c>
      <c r="C234" t="s">
        <v>137</v>
      </c>
      <c r="D234">
        <v>14.629</v>
      </c>
      <c r="E234" s="4">
        <v>4681</v>
      </c>
      <c r="F234" t="str">
        <f>HYPERLINK("https://www.google.com/maps/search/?api=1&amp;query=23.49517311,46.88341394", "View Map")</f>
        <v>View Map</v>
      </c>
      <c r="G234" s="2">
        <v>0.47451642636093111</v>
      </c>
    </row>
    <row r="235" spans="1:7" x14ac:dyDescent="0.3">
      <c r="A235" t="s">
        <v>435</v>
      </c>
      <c r="B235" t="s">
        <v>436</v>
      </c>
      <c r="C235" t="s">
        <v>8</v>
      </c>
      <c r="D235">
        <v>14.577999999999999</v>
      </c>
      <c r="E235" s="4">
        <v>4665</v>
      </c>
      <c r="F235" t="str">
        <f>HYPERLINK("https://www.google.com/maps/search/?api=1&amp;query=24.7675,46.5931", "View Map")</f>
        <v>View Map</v>
      </c>
      <c r="G235" s="2">
        <v>0.59548486842531734</v>
      </c>
    </row>
    <row r="236" spans="1:7" x14ac:dyDescent="0.3">
      <c r="A236" t="s">
        <v>437</v>
      </c>
      <c r="B236" t="s">
        <v>438</v>
      </c>
      <c r="C236" t="s">
        <v>8</v>
      </c>
      <c r="D236">
        <v>14.378</v>
      </c>
      <c r="E236" s="4">
        <v>4601</v>
      </c>
      <c r="F236" t="str">
        <f>HYPERLINK("https://www.google.com/maps/search/?api=1&amp;query=24.70743241,46.7825186", "View Map")</f>
        <v>View Map</v>
      </c>
      <c r="G236" s="2">
        <v>0.62993004124181806</v>
      </c>
    </row>
    <row r="237" spans="1:7" x14ac:dyDescent="0.3">
      <c r="A237" t="s">
        <v>439</v>
      </c>
      <c r="B237" t="s">
        <v>440</v>
      </c>
      <c r="C237" t="s">
        <v>8</v>
      </c>
      <c r="D237">
        <v>14.372999999999999</v>
      </c>
      <c r="E237" s="4">
        <v>4599</v>
      </c>
      <c r="F237" t="str">
        <f>HYPERLINK("https://www.google.com/maps/search/?api=1&amp;query=24.66957461,46.70044643", "View Map")</f>
        <v>View Map</v>
      </c>
      <c r="G237" s="2">
        <v>0.67362857213062166</v>
      </c>
    </row>
    <row r="238" spans="1:7" x14ac:dyDescent="0.3">
      <c r="A238" t="s">
        <v>122</v>
      </c>
      <c r="B238" t="s">
        <v>441</v>
      </c>
      <c r="C238" t="s">
        <v>442</v>
      </c>
      <c r="D238">
        <v>14.34</v>
      </c>
      <c r="E238" s="4">
        <v>4589</v>
      </c>
      <c r="F238" t="str">
        <f>HYPERLINK("https://www.google.com/maps/search/?api=1&amp;query=23.63346239,46.52722316", "View Map")</f>
        <v>View Map</v>
      </c>
      <c r="G238" s="2">
        <v>0.42127097663331559</v>
      </c>
    </row>
    <row r="239" spans="1:7" x14ac:dyDescent="0.3">
      <c r="A239" t="s">
        <v>443</v>
      </c>
      <c r="B239" t="s">
        <v>444</v>
      </c>
      <c r="C239" t="s">
        <v>8</v>
      </c>
      <c r="D239">
        <v>14.331</v>
      </c>
      <c r="E239" s="4">
        <v>4586</v>
      </c>
      <c r="F239" t="str">
        <f>HYPERLINK("https://www.google.com/maps/search/?api=1&amp;query=24.63609762,46.7104271", "View Map")</f>
        <v>View Map</v>
      </c>
      <c r="G239" s="2">
        <v>0.38181220708292629</v>
      </c>
    </row>
    <row r="240" spans="1:7" x14ac:dyDescent="0.3">
      <c r="A240" t="s">
        <v>146</v>
      </c>
      <c r="B240" t="s">
        <v>445</v>
      </c>
      <c r="C240" t="s">
        <v>8</v>
      </c>
      <c r="D240">
        <v>14.272</v>
      </c>
      <c r="E240" s="4">
        <v>4567</v>
      </c>
      <c r="F240" t="str">
        <f>HYPERLINK("https://www.google.com/maps/search/?api=1&amp;query=24.5594289,46.54186244", "View Map")</f>
        <v>View Map</v>
      </c>
      <c r="G240" s="2">
        <v>0.38482536283340069</v>
      </c>
    </row>
    <row r="241" spans="1:7" x14ac:dyDescent="0.3">
      <c r="A241" t="s">
        <v>446</v>
      </c>
      <c r="B241" t="s">
        <v>447</v>
      </c>
      <c r="C241" t="s">
        <v>8</v>
      </c>
      <c r="D241">
        <v>14.260999999999999</v>
      </c>
      <c r="E241" s="4">
        <v>4563</v>
      </c>
      <c r="F241" t="str">
        <f>HYPERLINK("https://www.google.com/maps/search/?api=1&amp;query=24.73037392,46.68446288", "View Map")</f>
        <v>View Map</v>
      </c>
      <c r="G241" s="2">
        <v>0.64255650251886398</v>
      </c>
    </row>
    <row r="242" spans="1:7" x14ac:dyDescent="0.3">
      <c r="A242" t="s">
        <v>448</v>
      </c>
      <c r="B242" t="s">
        <v>449</v>
      </c>
      <c r="C242" t="s">
        <v>8</v>
      </c>
      <c r="D242">
        <v>14.23</v>
      </c>
      <c r="E242" s="4">
        <v>4553</v>
      </c>
      <c r="F242" t="str">
        <f>HYPERLINK("https://www.google.com/maps/search/?api=1&amp;query=24.82195567,46.77697875", "View Map")</f>
        <v>View Map</v>
      </c>
      <c r="G242" s="2">
        <v>0.4357742871046229</v>
      </c>
    </row>
    <row r="243" spans="1:7" x14ac:dyDescent="0.3">
      <c r="A243" t="s">
        <v>46</v>
      </c>
      <c r="B243" t="s">
        <v>450</v>
      </c>
      <c r="C243" t="s">
        <v>8</v>
      </c>
      <c r="D243">
        <v>14.227</v>
      </c>
      <c r="E243" s="4">
        <v>4553</v>
      </c>
      <c r="F243" t="str">
        <f>HYPERLINK("https://www.google.com/maps/search/?api=1&amp;query=24.81437163,46.68478694", "View Map")</f>
        <v>View Map</v>
      </c>
      <c r="G243" s="2">
        <v>0.58165250659113521</v>
      </c>
    </row>
    <row r="244" spans="1:7" x14ac:dyDescent="0.3">
      <c r="A244" t="s">
        <v>451</v>
      </c>
      <c r="B244" t="s">
        <v>452</v>
      </c>
      <c r="C244" t="s">
        <v>8</v>
      </c>
      <c r="D244">
        <v>14.222</v>
      </c>
      <c r="E244" s="4">
        <v>4551</v>
      </c>
      <c r="F244" t="str">
        <f>HYPERLINK("https://www.google.com/maps/search/?api=1&amp;query=24.80429228,46.77294503", "View Map")</f>
        <v>View Map</v>
      </c>
      <c r="G244" s="2">
        <v>0.82372429771213429</v>
      </c>
    </row>
    <row r="245" spans="1:7" x14ac:dyDescent="0.3">
      <c r="A245" t="s">
        <v>46</v>
      </c>
      <c r="B245" t="s">
        <v>453</v>
      </c>
      <c r="C245" t="s">
        <v>8</v>
      </c>
      <c r="D245">
        <v>14.222</v>
      </c>
      <c r="E245" s="4">
        <v>4551</v>
      </c>
      <c r="F245" t="str">
        <f>HYPERLINK("https://www.google.com/maps/search/?api=1&amp;query=24.85319071,46.66450634", "View Map")</f>
        <v>View Map</v>
      </c>
      <c r="G245" s="2">
        <v>0.59044158547617032</v>
      </c>
    </row>
    <row r="246" spans="1:7" x14ac:dyDescent="0.3">
      <c r="A246" t="s">
        <v>454</v>
      </c>
      <c r="B246" t="s">
        <v>455</v>
      </c>
      <c r="C246" t="s">
        <v>8</v>
      </c>
      <c r="D246">
        <v>14.205</v>
      </c>
      <c r="E246" s="4">
        <v>4546</v>
      </c>
      <c r="F246" t="str">
        <f>HYPERLINK("https://www.google.com/maps/search/?api=1&amp;query=24.82022623,46.77454046", "View Map")</f>
        <v>View Map</v>
      </c>
    </row>
    <row r="247" spans="1:7" x14ac:dyDescent="0.3">
      <c r="A247" t="s">
        <v>46</v>
      </c>
      <c r="B247" t="s">
        <v>456</v>
      </c>
      <c r="C247" t="s">
        <v>8</v>
      </c>
      <c r="D247">
        <v>14.135</v>
      </c>
      <c r="E247" s="4">
        <v>4523</v>
      </c>
      <c r="F247" t="str">
        <f>HYPERLINK("https://www.google.com/maps/search/?api=1&amp;query=24.81243589,46.82744311", "View Map")</f>
        <v>View Map</v>
      </c>
      <c r="G247" s="2">
        <v>0.73610842537057086</v>
      </c>
    </row>
    <row r="248" spans="1:7" x14ac:dyDescent="0.3">
      <c r="A248" t="s">
        <v>457</v>
      </c>
      <c r="B248" t="s">
        <v>458</v>
      </c>
      <c r="C248" t="s">
        <v>8</v>
      </c>
      <c r="D248">
        <v>14.05</v>
      </c>
      <c r="E248" s="4">
        <v>4496</v>
      </c>
      <c r="F248" t="str">
        <f>HYPERLINK("https://www.google.com/maps/search/?api=1&amp;query=24.77025071,46.66617964", "View Map")</f>
        <v>View Map</v>
      </c>
      <c r="G248" s="2">
        <v>0.43824182499706621</v>
      </c>
    </row>
    <row r="249" spans="1:7" x14ac:dyDescent="0.3">
      <c r="A249" t="s">
        <v>459</v>
      </c>
      <c r="B249" t="s">
        <v>460</v>
      </c>
      <c r="C249" t="s">
        <v>286</v>
      </c>
      <c r="D249">
        <v>14.038</v>
      </c>
      <c r="E249" s="4">
        <v>4492</v>
      </c>
      <c r="F249" t="str">
        <f>HYPERLINK("https://www.google.com/maps/search/?api=1&amp;query=25.21797302,45.26699082", "View Map")</f>
        <v>View Map</v>
      </c>
      <c r="G249" s="2">
        <v>0.74774601580911093</v>
      </c>
    </row>
    <row r="250" spans="1:7" x14ac:dyDescent="0.3">
      <c r="A250" t="s">
        <v>461</v>
      </c>
      <c r="B250" t="s">
        <v>462</v>
      </c>
      <c r="C250" t="s">
        <v>8</v>
      </c>
      <c r="D250">
        <v>13.994</v>
      </c>
      <c r="E250" s="4">
        <v>4478</v>
      </c>
      <c r="F250" t="str">
        <f>HYPERLINK("https://www.google.com/maps/search/?api=1&amp;query=24.6908,46.6269", "View Map")</f>
        <v>View Map</v>
      </c>
      <c r="G250" s="2">
        <v>0.83216504925624657</v>
      </c>
    </row>
    <row r="251" spans="1:7" x14ac:dyDescent="0.3">
      <c r="A251" t="s">
        <v>46</v>
      </c>
      <c r="B251" t="s">
        <v>463</v>
      </c>
      <c r="C251" t="s">
        <v>8</v>
      </c>
      <c r="D251">
        <v>13.992000000000001</v>
      </c>
      <c r="E251" s="4">
        <v>4477</v>
      </c>
      <c r="F251" t="str">
        <f>HYPERLINK("https://www.google.com/maps/search/?api=1&amp;query=24.84848672,46.81388526", "View Map")</f>
        <v>View Map</v>
      </c>
      <c r="G251" s="2">
        <v>0.6207276685743216</v>
      </c>
    </row>
    <row r="252" spans="1:7" x14ac:dyDescent="0.3">
      <c r="A252" t="s">
        <v>464</v>
      </c>
      <c r="B252" t="s">
        <v>465</v>
      </c>
      <c r="C252" t="s">
        <v>466</v>
      </c>
      <c r="D252">
        <v>13.859</v>
      </c>
      <c r="E252" s="4">
        <v>4435</v>
      </c>
      <c r="F252" t="str">
        <f>HYPERLINK("https://www.google.com/maps/search/?api=1&amp;query=24.5908024,46.13035834", "View Map")</f>
        <v>View Map</v>
      </c>
      <c r="G252" s="2">
        <v>0.57865642749985313</v>
      </c>
    </row>
    <row r="253" spans="1:7" x14ac:dyDescent="0.3">
      <c r="A253" t="s">
        <v>467</v>
      </c>
      <c r="B253" t="s">
        <v>468</v>
      </c>
      <c r="C253" t="s">
        <v>8</v>
      </c>
      <c r="D253">
        <v>13.801</v>
      </c>
      <c r="E253" s="4">
        <v>4416</v>
      </c>
      <c r="F253" t="str">
        <f>HYPERLINK("https://www.google.com/maps/search/?api=1&amp;query=24.56246651,46.64444749", "View Map")</f>
        <v>View Map</v>
      </c>
      <c r="G253" s="2">
        <v>0.43590278932835252</v>
      </c>
    </row>
    <row r="254" spans="1:7" x14ac:dyDescent="0.3">
      <c r="A254" t="s">
        <v>469</v>
      </c>
      <c r="B254" t="s">
        <v>470</v>
      </c>
      <c r="C254" t="s">
        <v>8</v>
      </c>
      <c r="D254">
        <v>13.775</v>
      </c>
      <c r="E254" s="4">
        <v>4408</v>
      </c>
      <c r="F254" t="str">
        <f>HYPERLINK("https://www.google.com/maps/search/?api=1&amp;query=24.79351,46.77427", "View Map")</f>
        <v>View Map</v>
      </c>
      <c r="G254" s="2">
        <v>0.64309345021135267</v>
      </c>
    </row>
    <row r="255" spans="1:7" x14ac:dyDescent="0.3">
      <c r="A255" t="s">
        <v>471</v>
      </c>
      <c r="B255" t="s">
        <v>472</v>
      </c>
      <c r="C255" t="s">
        <v>8</v>
      </c>
      <c r="D255">
        <v>13.769</v>
      </c>
      <c r="E255" s="4">
        <v>4406</v>
      </c>
      <c r="F255" t="str">
        <f>HYPERLINK("https://www.google.com/maps/search/?api=1&amp;query=24.73232027,46.68662811", "View Map")</f>
        <v>View Map</v>
      </c>
      <c r="G255" s="2">
        <v>0.58859992681313744</v>
      </c>
    </row>
    <row r="256" spans="1:7" x14ac:dyDescent="0.3">
      <c r="A256" t="s">
        <v>473</v>
      </c>
      <c r="B256" t="s">
        <v>474</v>
      </c>
      <c r="C256" t="s">
        <v>8</v>
      </c>
      <c r="D256">
        <v>13.722</v>
      </c>
      <c r="E256" s="4">
        <v>4391</v>
      </c>
      <c r="F256" t="str">
        <f>HYPERLINK("https://www.google.com/maps/search/?api=1&amp;query=24.59613063,46.71067492", "View Map")</f>
        <v>View Map</v>
      </c>
      <c r="G256" s="2">
        <v>0.43011829099982662</v>
      </c>
    </row>
    <row r="257" spans="1:7" x14ac:dyDescent="0.3">
      <c r="A257" t="s">
        <v>146</v>
      </c>
      <c r="B257" t="s">
        <v>475</v>
      </c>
      <c r="C257" t="s">
        <v>8</v>
      </c>
      <c r="D257">
        <v>13.702999999999999</v>
      </c>
      <c r="E257" s="4">
        <v>4385</v>
      </c>
      <c r="F257" t="str">
        <f>HYPERLINK("https://www.google.com/maps/search/?api=1&amp;query=24.56218376,46.57032725", "View Map")</f>
        <v>View Map</v>
      </c>
      <c r="G257" s="2">
        <v>0.7897084238792097</v>
      </c>
    </row>
    <row r="258" spans="1:7" x14ac:dyDescent="0.3">
      <c r="A258" t="s">
        <v>476</v>
      </c>
      <c r="B258" t="s">
        <v>477</v>
      </c>
      <c r="C258" t="s">
        <v>8</v>
      </c>
      <c r="D258">
        <v>13.689</v>
      </c>
      <c r="E258" s="4">
        <v>4380</v>
      </c>
      <c r="F258" t="str">
        <f>HYPERLINK("https://www.google.com/maps/search/?api=1&amp;query=24.62418346,46.74383133", "View Map")</f>
        <v>View Map</v>
      </c>
      <c r="G258" s="2">
        <v>0.38565495418287299</v>
      </c>
    </row>
    <row r="259" spans="1:7" x14ac:dyDescent="0.3">
      <c r="A259" t="s">
        <v>150</v>
      </c>
      <c r="B259" t="s">
        <v>478</v>
      </c>
      <c r="C259" t="s">
        <v>8</v>
      </c>
      <c r="D259">
        <v>13.686</v>
      </c>
      <c r="E259" s="4">
        <v>4379</v>
      </c>
      <c r="F259" t="str">
        <f>HYPERLINK("https://www.google.com/maps/search/?api=1&amp;query=24.79307551,46.76440138", "View Map")</f>
        <v>View Map</v>
      </c>
    </row>
    <row r="260" spans="1:7" x14ac:dyDescent="0.3">
      <c r="A260" t="s">
        <v>479</v>
      </c>
      <c r="B260" t="s">
        <v>480</v>
      </c>
      <c r="C260" t="s">
        <v>364</v>
      </c>
      <c r="D260">
        <v>13.631</v>
      </c>
      <c r="E260" s="4">
        <v>4362</v>
      </c>
      <c r="F260" t="str">
        <f>HYPERLINK("https://www.google.com/maps/search/?api=1&amp;query=25.16284177,45.79747487", "View Map")</f>
        <v>View Map</v>
      </c>
      <c r="G260" s="2">
        <v>0.62634375523517827</v>
      </c>
    </row>
    <row r="261" spans="1:7" x14ac:dyDescent="0.3">
      <c r="A261" t="s">
        <v>481</v>
      </c>
      <c r="B261" t="s">
        <v>482</v>
      </c>
      <c r="C261" t="s">
        <v>8</v>
      </c>
      <c r="D261">
        <v>13.576000000000001</v>
      </c>
      <c r="E261" s="4">
        <v>4344</v>
      </c>
      <c r="F261" t="str">
        <f>HYPERLINK("https://www.google.com/maps/search/?api=1&amp;query=24.81351193,46.63982027", "View Map")</f>
        <v>View Map</v>
      </c>
      <c r="G261" s="2">
        <v>0.3530324734274421</v>
      </c>
    </row>
    <row r="262" spans="1:7" x14ac:dyDescent="0.3">
      <c r="A262" t="s">
        <v>461</v>
      </c>
      <c r="B262" t="s">
        <v>483</v>
      </c>
      <c r="C262" t="s">
        <v>8</v>
      </c>
      <c r="D262">
        <v>13.534000000000001</v>
      </c>
      <c r="E262" s="4">
        <v>4331</v>
      </c>
      <c r="F262" t="str">
        <f>HYPERLINK("https://www.google.com/maps/search/?api=1&amp;query=24.6807,46.61716", "View Map")</f>
        <v>View Map</v>
      </c>
      <c r="G262" s="2">
        <v>0.75752409016340738</v>
      </c>
    </row>
    <row r="263" spans="1:7" x14ac:dyDescent="0.3">
      <c r="A263" t="s">
        <v>484</v>
      </c>
      <c r="B263" t="s">
        <v>485</v>
      </c>
      <c r="C263" t="s">
        <v>8</v>
      </c>
      <c r="D263">
        <v>13.473000000000001</v>
      </c>
      <c r="E263" s="4">
        <v>4311</v>
      </c>
      <c r="F263" t="str">
        <f>HYPERLINK("https://www.google.com/maps/search/?api=1&amp;query=24.81650648,46.77273439", "View Map")</f>
        <v>View Map</v>
      </c>
      <c r="G263" s="2">
        <v>0.55565612884609672</v>
      </c>
    </row>
    <row r="264" spans="1:7" x14ac:dyDescent="0.3">
      <c r="A264" t="s">
        <v>46</v>
      </c>
      <c r="B264" t="s">
        <v>486</v>
      </c>
      <c r="C264" t="s">
        <v>8</v>
      </c>
      <c r="D264">
        <v>13.467000000000001</v>
      </c>
      <c r="E264" s="4">
        <v>4309</v>
      </c>
      <c r="F264" t="str">
        <f>HYPERLINK("https://www.google.com/maps/search/?api=1&amp;query=24.61947042,46.83782531", "View Map")</f>
        <v>View Map</v>
      </c>
      <c r="G264" s="2">
        <v>0.64993323319625584</v>
      </c>
    </row>
    <row r="265" spans="1:7" x14ac:dyDescent="0.3">
      <c r="A265" t="s">
        <v>487</v>
      </c>
      <c r="B265" t="s">
        <v>488</v>
      </c>
      <c r="C265" t="s">
        <v>8</v>
      </c>
      <c r="D265">
        <v>13.371</v>
      </c>
      <c r="E265" s="4">
        <v>4279</v>
      </c>
      <c r="F265" t="str">
        <f>HYPERLINK("https://www.google.com/maps/search/?api=1&amp;query=24.8157958,46.79362523", "View Map")</f>
        <v>View Map</v>
      </c>
      <c r="G265" s="2">
        <v>0.75640416964192136</v>
      </c>
    </row>
    <row r="266" spans="1:7" x14ac:dyDescent="0.3">
      <c r="A266" t="s">
        <v>489</v>
      </c>
      <c r="B266" t="s">
        <v>490</v>
      </c>
      <c r="C266" t="s">
        <v>8</v>
      </c>
      <c r="D266">
        <v>13.351000000000001</v>
      </c>
      <c r="E266" s="4">
        <v>4272</v>
      </c>
      <c r="F266" t="str">
        <f>HYPERLINK("https://www.google.com/maps/search/?api=1&amp;query=24.59883664,46.68591839", "View Map")</f>
        <v>View Map</v>
      </c>
      <c r="G266" s="2">
        <v>0.87510928161830781</v>
      </c>
    </row>
    <row r="267" spans="1:7" x14ac:dyDescent="0.3">
      <c r="A267" t="s">
        <v>491</v>
      </c>
      <c r="B267" t="s">
        <v>492</v>
      </c>
      <c r="C267" t="s">
        <v>8</v>
      </c>
      <c r="D267">
        <v>13.346</v>
      </c>
      <c r="E267" s="4">
        <v>4271</v>
      </c>
      <c r="F267" t="str">
        <f>HYPERLINK("https://www.google.com/maps/search/?api=1&amp;query=24.81032301,46.61099192", "View Map")</f>
        <v>View Map</v>
      </c>
      <c r="G267" s="2">
        <v>0.58184253584914725</v>
      </c>
    </row>
    <row r="268" spans="1:7" x14ac:dyDescent="0.3">
      <c r="A268" t="s">
        <v>493</v>
      </c>
      <c r="B268" t="s">
        <v>494</v>
      </c>
      <c r="C268" t="s">
        <v>55</v>
      </c>
      <c r="D268">
        <v>13.323</v>
      </c>
      <c r="E268" s="4">
        <v>4263</v>
      </c>
      <c r="F268" t="str">
        <f>HYPERLINK("https://www.google.com/maps/search/?api=1&amp;query=24.78929589,46.4258794", "View Map")</f>
        <v>View Map</v>
      </c>
      <c r="G268" s="2">
        <v>0.58453497178852576</v>
      </c>
    </row>
    <row r="269" spans="1:7" x14ac:dyDescent="0.3">
      <c r="A269" t="s">
        <v>495</v>
      </c>
      <c r="B269" t="s">
        <v>496</v>
      </c>
      <c r="C269" t="s">
        <v>8</v>
      </c>
      <c r="D269">
        <v>13.279</v>
      </c>
      <c r="E269" s="4">
        <v>4249</v>
      </c>
      <c r="F269" t="str">
        <f>HYPERLINK("https://www.google.com/maps/search/?api=1&amp;query=24.7350782,46.64576413", "View Map")</f>
        <v>View Map</v>
      </c>
      <c r="G269" s="2">
        <v>0.62327977521657474</v>
      </c>
    </row>
    <row r="270" spans="1:7" x14ac:dyDescent="0.3">
      <c r="A270" t="s">
        <v>497</v>
      </c>
      <c r="B270" t="s">
        <v>498</v>
      </c>
      <c r="C270" t="s">
        <v>8</v>
      </c>
      <c r="D270">
        <v>13.259</v>
      </c>
      <c r="E270" s="4">
        <v>4243</v>
      </c>
      <c r="F270" t="str">
        <f>HYPERLINK("https://www.google.com/maps/search/?api=1&amp;query=24.82324652,46.64278055", "View Map")</f>
        <v>View Map</v>
      </c>
      <c r="G270" s="2">
        <v>0.51805571063181188</v>
      </c>
    </row>
    <row r="271" spans="1:7" x14ac:dyDescent="0.3">
      <c r="A271" t="s">
        <v>437</v>
      </c>
      <c r="B271" t="s">
        <v>499</v>
      </c>
      <c r="C271" t="s">
        <v>8</v>
      </c>
      <c r="D271">
        <v>13.257</v>
      </c>
      <c r="E271" s="4">
        <v>4242</v>
      </c>
      <c r="F271" t="str">
        <f>HYPERLINK("https://www.google.com/maps/search/?api=1&amp;query=24.70711492,46.78274636", "View Map")</f>
        <v>View Map</v>
      </c>
      <c r="G271" s="2">
        <v>0.63751782544422975</v>
      </c>
    </row>
    <row r="272" spans="1:7" x14ac:dyDescent="0.3">
      <c r="A272" t="s">
        <v>500</v>
      </c>
      <c r="B272" t="s">
        <v>501</v>
      </c>
      <c r="C272" t="s">
        <v>8</v>
      </c>
      <c r="D272">
        <v>13.23</v>
      </c>
      <c r="E272" s="4">
        <v>4234</v>
      </c>
      <c r="F272" t="str">
        <f>HYPERLINK("https://www.google.com/maps/search/?api=1&amp;query=24.56722617,46.77511662", "View Map")</f>
        <v>View Map</v>
      </c>
      <c r="G272" s="2">
        <v>0.63199394572325862</v>
      </c>
    </row>
    <row r="273" spans="1:7" x14ac:dyDescent="0.3">
      <c r="A273" t="s">
        <v>502</v>
      </c>
      <c r="B273" t="s">
        <v>503</v>
      </c>
      <c r="C273" t="s">
        <v>8</v>
      </c>
      <c r="D273">
        <v>13.207000000000001</v>
      </c>
      <c r="E273" s="4">
        <v>4226</v>
      </c>
      <c r="F273" t="str">
        <f>HYPERLINK("https://www.google.com/maps/search/?api=1&amp;query=24.66598522,46.7009511", "View Map")</f>
        <v>View Map</v>
      </c>
    </row>
    <row r="274" spans="1:7" x14ac:dyDescent="0.3">
      <c r="A274" t="s">
        <v>116</v>
      </c>
      <c r="B274" t="s">
        <v>504</v>
      </c>
      <c r="C274" t="s">
        <v>77</v>
      </c>
      <c r="D274">
        <v>13.134</v>
      </c>
      <c r="E274" s="4">
        <v>4203</v>
      </c>
      <c r="F274" t="str">
        <f>HYPERLINK("https://www.google.com/maps/search/?api=1&amp;query=22.28827317,46.72144073", "View Map")</f>
        <v>View Map</v>
      </c>
    </row>
    <row r="275" spans="1:7" x14ac:dyDescent="0.3">
      <c r="A275" t="s">
        <v>505</v>
      </c>
      <c r="B275" t="s">
        <v>506</v>
      </c>
      <c r="C275" t="s">
        <v>8</v>
      </c>
      <c r="D275">
        <v>13.132999999999999</v>
      </c>
      <c r="E275" s="4">
        <v>4203</v>
      </c>
      <c r="F275" t="str">
        <f>HYPERLINK("https://www.google.com/maps/search/?api=1&amp;query=24.56381494,46.70718724", "View Map")</f>
        <v>View Map</v>
      </c>
    </row>
    <row r="276" spans="1:7" x14ac:dyDescent="0.3">
      <c r="A276" t="s">
        <v>150</v>
      </c>
      <c r="B276" t="s">
        <v>507</v>
      </c>
      <c r="C276" t="s">
        <v>8</v>
      </c>
      <c r="D276">
        <v>13.106</v>
      </c>
      <c r="E276" s="4">
        <v>4194</v>
      </c>
      <c r="F276" t="str">
        <f>HYPERLINK("https://www.google.com/maps/search/?api=1&amp;query=24.82942092,46.68542883", "View Map")</f>
        <v>View Map</v>
      </c>
      <c r="G276" s="2">
        <v>0.39882339628174829</v>
      </c>
    </row>
    <row r="277" spans="1:7" x14ac:dyDescent="0.3">
      <c r="A277" t="s">
        <v>508</v>
      </c>
      <c r="B277" t="s">
        <v>509</v>
      </c>
      <c r="C277" t="s">
        <v>291</v>
      </c>
      <c r="D277">
        <v>13.086</v>
      </c>
      <c r="E277" s="4">
        <v>4187</v>
      </c>
      <c r="F277" t="str">
        <f>HYPERLINK("https://www.google.com/maps/search/?api=1&amp;query=23.77546139,44.7838122", "View Map")</f>
        <v>View Map</v>
      </c>
      <c r="G277" s="2">
        <v>0.82963052680563254</v>
      </c>
    </row>
    <row r="278" spans="1:7" x14ac:dyDescent="0.3">
      <c r="A278" t="s">
        <v>510</v>
      </c>
      <c r="B278" t="s">
        <v>511</v>
      </c>
      <c r="C278" t="s">
        <v>291</v>
      </c>
      <c r="D278">
        <v>13.071</v>
      </c>
      <c r="E278" s="4">
        <v>4183</v>
      </c>
      <c r="F278" t="str">
        <f>HYPERLINK("https://www.google.com/maps/search/?api=1&amp;query=24.08460266,45.32580326", "View Map")</f>
        <v>View Map</v>
      </c>
      <c r="G278" s="2">
        <v>0.34865873710596601</v>
      </c>
    </row>
    <row r="279" spans="1:7" x14ac:dyDescent="0.3">
      <c r="A279" t="s">
        <v>512</v>
      </c>
      <c r="B279" t="s">
        <v>513</v>
      </c>
      <c r="C279" t="s">
        <v>8</v>
      </c>
      <c r="D279">
        <v>12.996</v>
      </c>
      <c r="E279" s="4">
        <v>4159</v>
      </c>
      <c r="F279" t="str">
        <f>HYPERLINK("https://www.google.com/maps/search/?api=1&amp;query=24.80129235,46.74042935", "View Map")</f>
        <v>View Map</v>
      </c>
    </row>
    <row r="280" spans="1:7" x14ac:dyDescent="0.3">
      <c r="A280" t="s">
        <v>46</v>
      </c>
      <c r="B280" t="s">
        <v>514</v>
      </c>
      <c r="C280" t="s">
        <v>8</v>
      </c>
      <c r="D280">
        <v>12.994</v>
      </c>
      <c r="E280" s="4">
        <v>4158</v>
      </c>
      <c r="F280" t="str">
        <f>HYPERLINK("https://www.google.com/maps/search/?api=1&amp;query=24.78706105,46.87565385", "View Map")</f>
        <v>View Map</v>
      </c>
      <c r="G280" s="2">
        <v>0.37664157735578557</v>
      </c>
    </row>
    <row r="281" spans="1:7" x14ac:dyDescent="0.3">
      <c r="A281" t="s">
        <v>515</v>
      </c>
      <c r="B281" t="s">
        <v>516</v>
      </c>
      <c r="C281" t="s">
        <v>8</v>
      </c>
      <c r="D281">
        <v>12.92</v>
      </c>
      <c r="E281" s="4">
        <v>4134</v>
      </c>
      <c r="F281" t="str">
        <f>HYPERLINK("https://www.google.com/maps/search/?api=1&amp;query=24.7529,46.87116", "View Map")</f>
        <v>View Map</v>
      </c>
      <c r="G281" s="2">
        <v>1.0067749297238919</v>
      </c>
    </row>
    <row r="282" spans="1:7" x14ac:dyDescent="0.3">
      <c r="A282" t="s">
        <v>517</v>
      </c>
      <c r="B282" t="s">
        <v>518</v>
      </c>
      <c r="C282" t="s">
        <v>8</v>
      </c>
      <c r="D282">
        <v>12.853999999999999</v>
      </c>
      <c r="E282" s="4">
        <v>4113</v>
      </c>
      <c r="F282" t="str">
        <f>HYPERLINK("https://www.google.com/maps/search/?api=1&amp;query=24.60350696,46.66371151", "View Map")</f>
        <v>View Map</v>
      </c>
      <c r="G282" s="2">
        <v>0.53852150495564421</v>
      </c>
    </row>
    <row r="283" spans="1:7" x14ac:dyDescent="0.3">
      <c r="A283" t="s">
        <v>519</v>
      </c>
      <c r="B283" t="s">
        <v>520</v>
      </c>
      <c r="C283" t="s">
        <v>8</v>
      </c>
      <c r="D283">
        <v>12.829000000000001</v>
      </c>
      <c r="E283" s="4">
        <v>4105</v>
      </c>
      <c r="F283" t="str">
        <f>HYPERLINK("https://www.google.com/maps/search/?api=1&amp;query=24.79112,46.71663", "View Map")</f>
        <v>View Map</v>
      </c>
      <c r="G283" s="2">
        <v>0.57549029719243183</v>
      </c>
    </row>
    <row r="284" spans="1:7" x14ac:dyDescent="0.3">
      <c r="A284" t="s">
        <v>521</v>
      </c>
      <c r="B284" t="s">
        <v>522</v>
      </c>
      <c r="C284" t="s">
        <v>8</v>
      </c>
      <c r="D284">
        <v>12.808999999999999</v>
      </c>
      <c r="E284" s="4">
        <v>4099</v>
      </c>
      <c r="F284" t="str">
        <f>HYPERLINK("https://www.google.com/maps/search/?api=1&amp;query=24.71041136,46.61485027", "View Map")</f>
        <v>View Map</v>
      </c>
      <c r="G284" s="2">
        <v>0.43489196605130359</v>
      </c>
    </row>
    <row r="285" spans="1:7" x14ac:dyDescent="0.3">
      <c r="A285" t="s">
        <v>523</v>
      </c>
      <c r="B285" t="s">
        <v>524</v>
      </c>
      <c r="C285" t="s">
        <v>8</v>
      </c>
      <c r="D285">
        <v>12.79</v>
      </c>
      <c r="E285" s="4">
        <v>4093</v>
      </c>
      <c r="F285" t="str">
        <f>HYPERLINK("https://www.google.com/maps/search/?api=1&amp;query=24.72941517,46.64848986", "View Map")</f>
        <v>View Map</v>
      </c>
      <c r="G285" s="2">
        <v>0.65401368897286172</v>
      </c>
    </row>
    <row r="286" spans="1:7" x14ac:dyDescent="0.3">
      <c r="A286" t="s">
        <v>28</v>
      </c>
      <c r="B286" t="s">
        <v>525</v>
      </c>
      <c r="C286" t="s">
        <v>30</v>
      </c>
      <c r="D286">
        <v>12.778</v>
      </c>
      <c r="E286" s="4">
        <v>4089</v>
      </c>
      <c r="F286" t="str">
        <f>HYPERLINK("https://www.google.com/maps/search/?api=1&amp;query=24.13955011,47.27518753", "View Map")</f>
        <v>View Map</v>
      </c>
      <c r="G286" s="2">
        <v>0.52922113698519768</v>
      </c>
    </row>
    <row r="287" spans="1:7" x14ac:dyDescent="0.3">
      <c r="A287" t="s">
        <v>46</v>
      </c>
      <c r="B287" t="s">
        <v>526</v>
      </c>
      <c r="C287" t="s">
        <v>8</v>
      </c>
      <c r="D287">
        <v>12.766</v>
      </c>
      <c r="E287" s="4">
        <v>4085</v>
      </c>
      <c r="F287" t="str">
        <f>HYPERLINK("https://www.google.com/maps/search/?api=1&amp;query=24.83227,46.64166", "View Map")</f>
        <v>View Map</v>
      </c>
      <c r="G287" s="2">
        <v>0.59516619953311301</v>
      </c>
    </row>
    <row r="288" spans="1:7" x14ac:dyDescent="0.3">
      <c r="A288" t="s">
        <v>73</v>
      </c>
      <c r="B288" t="s">
        <v>527</v>
      </c>
      <c r="C288" t="s">
        <v>8</v>
      </c>
      <c r="D288">
        <v>12.746</v>
      </c>
      <c r="E288" s="4">
        <v>4079</v>
      </c>
      <c r="F288" t="str">
        <f>HYPERLINK("https://www.google.com/maps/search/?api=1&amp;query=24.82120776,46.60274635", "View Map")</f>
        <v>View Map</v>
      </c>
      <c r="G288" s="2">
        <v>0.52297200673432842</v>
      </c>
    </row>
    <row r="289" spans="1:7" x14ac:dyDescent="0.3">
      <c r="A289" t="s">
        <v>528</v>
      </c>
      <c r="B289" t="s">
        <v>529</v>
      </c>
      <c r="C289" t="s">
        <v>8</v>
      </c>
      <c r="D289">
        <v>12.688000000000001</v>
      </c>
      <c r="E289" s="4">
        <v>4060</v>
      </c>
      <c r="F289" t="str">
        <f>HYPERLINK("https://www.google.com/maps/search/?api=1&amp;query=24.69646524,46.78867533", "View Map")</f>
        <v>View Map</v>
      </c>
      <c r="G289" s="2">
        <v>0.61967594701740303</v>
      </c>
    </row>
    <row r="290" spans="1:7" x14ac:dyDescent="0.3">
      <c r="A290" t="s">
        <v>530</v>
      </c>
      <c r="B290" t="s">
        <v>531</v>
      </c>
      <c r="C290" t="s">
        <v>8</v>
      </c>
      <c r="D290">
        <v>12.65</v>
      </c>
      <c r="E290" s="4">
        <v>4048</v>
      </c>
      <c r="F290" t="str">
        <f>HYPERLINK("https://www.google.com/maps/search/?api=1&amp;query=24.76053985,46.77389475", "View Map")</f>
        <v>View Map</v>
      </c>
      <c r="G290" s="2">
        <v>0.75703918180624385</v>
      </c>
    </row>
    <row r="291" spans="1:7" x14ac:dyDescent="0.3">
      <c r="A291" t="s">
        <v>46</v>
      </c>
      <c r="B291" t="s">
        <v>532</v>
      </c>
      <c r="C291" t="s">
        <v>8</v>
      </c>
      <c r="D291">
        <v>12.644</v>
      </c>
      <c r="E291" s="4">
        <v>4046</v>
      </c>
      <c r="F291" t="str">
        <f>HYPERLINK("https://www.google.com/maps/search/?api=1&amp;query=24.83991516,46.76439191", "View Map")</f>
        <v>View Map</v>
      </c>
      <c r="G291" s="2">
        <v>0.36174301685704169</v>
      </c>
    </row>
    <row r="292" spans="1:7" x14ac:dyDescent="0.3">
      <c r="A292" t="s">
        <v>533</v>
      </c>
      <c r="B292" t="s">
        <v>534</v>
      </c>
      <c r="C292" t="s">
        <v>8</v>
      </c>
      <c r="D292">
        <v>12.608000000000001</v>
      </c>
      <c r="E292" s="4">
        <v>4034</v>
      </c>
      <c r="F292" t="str">
        <f>HYPERLINK("https://www.google.com/maps/search/?api=1&amp;query=24.81903905,46.72484647", "View Map")</f>
        <v>View Map</v>
      </c>
      <c r="G292" s="2">
        <v>0.78031818819736831</v>
      </c>
    </row>
    <row r="293" spans="1:7" x14ac:dyDescent="0.3">
      <c r="A293" t="s">
        <v>535</v>
      </c>
      <c r="B293" t="s">
        <v>536</v>
      </c>
      <c r="C293" t="s">
        <v>241</v>
      </c>
      <c r="D293">
        <v>12.584</v>
      </c>
      <c r="E293" s="4">
        <v>4027</v>
      </c>
      <c r="F293" t="str">
        <f>HYPERLINK("https://www.google.com/maps/search/?api=1&amp;query=20.44948124,44.84848058", "View Map")</f>
        <v>View Map</v>
      </c>
      <c r="G293" s="2">
        <v>0.35036735654408951</v>
      </c>
    </row>
    <row r="294" spans="1:7" x14ac:dyDescent="0.3">
      <c r="A294" t="s">
        <v>46</v>
      </c>
      <c r="B294" t="s">
        <v>537</v>
      </c>
      <c r="C294" t="s">
        <v>8</v>
      </c>
      <c r="D294">
        <v>12.568</v>
      </c>
      <c r="E294" s="4">
        <v>4022</v>
      </c>
      <c r="F294" t="str">
        <f>HYPERLINK("https://www.google.com/maps/search/?api=1&amp;query=24.62811641,46.52462515", "View Map")</f>
        <v>View Map</v>
      </c>
      <c r="G294" s="2">
        <v>0.50899532322625007</v>
      </c>
    </row>
    <row r="295" spans="1:7" x14ac:dyDescent="0.3">
      <c r="A295" t="s">
        <v>46</v>
      </c>
      <c r="B295" t="s">
        <v>538</v>
      </c>
      <c r="C295" t="s">
        <v>55</v>
      </c>
      <c r="D295">
        <v>12.53</v>
      </c>
      <c r="E295" s="4">
        <v>4010</v>
      </c>
      <c r="F295" t="str">
        <f>HYPERLINK("https://www.google.com/maps/search/?api=1&amp;query=24.77141234,46.58162402", "View Map")</f>
        <v>View Map</v>
      </c>
      <c r="G295" s="2">
        <v>0.38932296820090362</v>
      </c>
    </row>
    <row r="296" spans="1:7" x14ac:dyDescent="0.3">
      <c r="A296" t="s">
        <v>539</v>
      </c>
      <c r="B296" t="s">
        <v>540</v>
      </c>
      <c r="C296" t="s">
        <v>137</v>
      </c>
      <c r="D296">
        <v>12.488</v>
      </c>
      <c r="E296" s="4">
        <v>3996</v>
      </c>
      <c r="F296" t="str">
        <f>HYPERLINK("https://www.google.com/maps/search/?api=1&amp;query=23.53012053,46.83201069", "View Map")</f>
        <v>View Map</v>
      </c>
      <c r="G296" s="2">
        <v>0.85438666936596064</v>
      </c>
    </row>
    <row r="297" spans="1:7" x14ac:dyDescent="0.3">
      <c r="A297" t="s">
        <v>46</v>
      </c>
      <c r="B297" t="s">
        <v>541</v>
      </c>
      <c r="C297" t="s">
        <v>8</v>
      </c>
      <c r="D297">
        <v>12.465</v>
      </c>
      <c r="E297" s="4">
        <v>3989</v>
      </c>
      <c r="F297" t="str">
        <f>HYPERLINK("https://www.google.com/maps/search/?api=1&amp;query=24.62069505,46.76202884", "View Map")</f>
        <v>View Map</v>
      </c>
      <c r="G297" s="2">
        <v>0.40440775827406711</v>
      </c>
    </row>
    <row r="298" spans="1:7" x14ac:dyDescent="0.3">
      <c r="A298" t="s">
        <v>150</v>
      </c>
      <c r="B298" t="s">
        <v>542</v>
      </c>
      <c r="C298" t="s">
        <v>8</v>
      </c>
      <c r="D298">
        <v>12.423999999999999</v>
      </c>
      <c r="E298" s="4">
        <v>3976</v>
      </c>
      <c r="F298" t="str">
        <f>HYPERLINK("https://www.google.com/maps/search/?api=1&amp;query=24.83112837,46.6431487", "View Map")</f>
        <v>View Map</v>
      </c>
      <c r="G298" s="2">
        <v>0.71533728164707677</v>
      </c>
    </row>
    <row r="299" spans="1:7" x14ac:dyDescent="0.3">
      <c r="A299" t="s">
        <v>543</v>
      </c>
      <c r="B299" t="s">
        <v>544</v>
      </c>
      <c r="C299" t="s">
        <v>8</v>
      </c>
      <c r="D299">
        <v>12.419</v>
      </c>
      <c r="E299" s="4">
        <v>3974</v>
      </c>
      <c r="F299" t="str">
        <f>HYPERLINK("https://www.google.com/maps/search/?api=1&amp;query=24.8023764,46.80238528", "View Map")</f>
        <v>View Map</v>
      </c>
      <c r="G299" s="2">
        <v>0.67184724306934163</v>
      </c>
    </row>
    <row r="300" spans="1:7" x14ac:dyDescent="0.3">
      <c r="A300" t="s">
        <v>545</v>
      </c>
      <c r="B300" t="s">
        <v>546</v>
      </c>
      <c r="C300" t="s">
        <v>8</v>
      </c>
      <c r="D300">
        <v>12.401</v>
      </c>
      <c r="E300" s="4">
        <v>3968</v>
      </c>
      <c r="F300" t="str">
        <f>HYPERLINK("https://www.google.com/maps/search/?api=1&amp;query=24.66706887,46.74262083", "View Map")</f>
        <v>View Map</v>
      </c>
    </row>
    <row r="301" spans="1:7" x14ac:dyDescent="0.3">
      <c r="A301" t="s">
        <v>73</v>
      </c>
      <c r="B301" t="s">
        <v>547</v>
      </c>
      <c r="C301" t="s">
        <v>8</v>
      </c>
      <c r="D301">
        <v>12.356</v>
      </c>
      <c r="E301" s="4">
        <v>3954</v>
      </c>
      <c r="F301" t="str">
        <f>HYPERLINK("https://www.google.com/maps/search/?api=1&amp;query=24.63540454,46.55433271", "View Map")</f>
        <v>View Map</v>
      </c>
      <c r="G301" s="2">
        <v>0.44864951660739388</v>
      </c>
    </row>
    <row r="302" spans="1:7" x14ac:dyDescent="0.3">
      <c r="A302" t="s">
        <v>46</v>
      </c>
      <c r="B302" t="s">
        <v>548</v>
      </c>
      <c r="C302" t="s">
        <v>8</v>
      </c>
      <c r="D302">
        <v>12.331</v>
      </c>
      <c r="E302" s="4">
        <v>3946</v>
      </c>
      <c r="F302" t="str">
        <f>HYPERLINK("https://www.google.com/maps/search/?api=1&amp;query=24.85297,46.65071", "View Map")</f>
        <v>View Map</v>
      </c>
      <c r="G302" s="2">
        <v>0.67344930128192404</v>
      </c>
    </row>
    <row r="303" spans="1:7" x14ac:dyDescent="0.3">
      <c r="A303" t="s">
        <v>549</v>
      </c>
      <c r="B303" t="s">
        <v>550</v>
      </c>
      <c r="C303" t="s">
        <v>8</v>
      </c>
      <c r="D303">
        <v>12.304</v>
      </c>
      <c r="E303" s="4">
        <v>3937</v>
      </c>
      <c r="F303" t="str">
        <f>HYPERLINK("https://www.google.com/maps/search/?api=1&amp;query=24.5641861,46.79203736", "View Map")</f>
        <v>View Map</v>
      </c>
    </row>
    <row r="304" spans="1:7" x14ac:dyDescent="0.3">
      <c r="A304" t="s">
        <v>551</v>
      </c>
      <c r="B304" t="s">
        <v>552</v>
      </c>
      <c r="C304" t="s">
        <v>8</v>
      </c>
      <c r="D304">
        <v>12.263</v>
      </c>
      <c r="E304" s="4">
        <v>3924</v>
      </c>
      <c r="F304" t="str">
        <f>HYPERLINK("https://www.google.com/maps/search/?api=1&amp;query=24.6729878,46.75500375", "View Map")</f>
        <v>View Map</v>
      </c>
      <c r="G304" s="2">
        <v>0.84005294437740896</v>
      </c>
    </row>
    <row r="305" spans="1:7" x14ac:dyDescent="0.3">
      <c r="A305" t="s">
        <v>553</v>
      </c>
      <c r="B305" t="s">
        <v>554</v>
      </c>
      <c r="C305" t="s">
        <v>30</v>
      </c>
      <c r="D305">
        <v>12.257999999999999</v>
      </c>
      <c r="E305" s="4">
        <v>3923</v>
      </c>
      <c r="F305" t="str">
        <f>HYPERLINK("https://www.google.com/maps/search/?api=1&amp;query=24.13584247,47.35314122", "View Map")</f>
        <v>View Map</v>
      </c>
      <c r="G305" s="2">
        <v>0.4741701320633504</v>
      </c>
    </row>
    <row r="306" spans="1:7" x14ac:dyDescent="0.3">
      <c r="A306" t="s">
        <v>46</v>
      </c>
      <c r="B306" t="s">
        <v>555</v>
      </c>
      <c r="C306" t="s">
        <v>8</v>
      </c>
      <c r="D306">
        <v>12.255000000000001</v>
      </c>
      <c r="E306" s="4">
        <v>3922</v>
      </c>
      <c r="F306" t="str">
        <f>HYPERLINK("https://www.google.com/maps/search/?api=1&amp;query=24.83743043,46.79815654", "View Map")</f>
        <v>View Map</v>
      </c>
      <c r="G306" s="2">
        <v>0.55933783677450843</v>
      </c>
    </row>
    <row r="307" spans="1:7" x14ac:dyDescent="0.3">
      <c r="A307" t="s">
        <v>556</v>
      </c>
      <c r="B307" t="s">
        <v>557</v>
      </c>
      <c r="C307" t="s">
        <v>8</v>
      </c>
      <c r="D307">
        <v>12.254</v>
      </c>
      <c r="E307" s="4">
        <v>3921</v>
      </c>
      <c r="F307" t="str">
        <f>HYPERLINK("https://www.google.com/maps/search/?api=1&amp;query=24.68607,46.56311", "View Map")</f>
        <v>View Map</v>
      </c>
      <c r="G307" s="2">
        <v>0.56915036847483025</v>
      </c>
    </row>
    <row r="308" spans="1:7" x14ac:dyDescent="0.3">
      <c r="A308" t="s">
        <v>558</v>
      </c>
      <c r="B308" t="s">
        <v>559</v>
      </c>
      <c r="C308" t="s">
        <v>8</v>
      </c>
      <c r="D308">
        <v>12.241</v>
      </c>
      <c r="E308" s="4">
        <v>3917</v>
      </c>
      <c r="F308" t="str">
        <f>HYPERLINK("https://www.google.com/maps/search/?api=1&amp;query=24.7378628,46.61243436", "View Map")</f>
        <v>View Map</v>
      </c>
      <c r="G308" s="2">
        <v>0.7565293546160109</v>
      </c>
    </row>
    <row r="309" spans="1:7" x14ac:dyDescent="0.3">
      <c r="A309" t="s">
        <v>46</v>
      </c>
      <c r="B309" t="s">
        <v>560</v>
      </c>
      <c r="C309" t="s">
        <v>8</v>
      </c>
      <c r="D309">
        <v>12.173</v>
      </c>
      <c r="E309" s="4">
        <v>3895</v>
      </c>
      <c r="F309" t="str">
        <f>HYPERLINK("https://www.google.com/maps/search/?api=1&amp;query=24.83368578,46.78245431", "View Map")</f>
        <v>View Map</v>
      </c>
    </row>
    <row r="310" spans="1:7" x14ac:dyDescent="0.3">
      <c r="A310" t="s">
        <v>561</v>
      </c>
      <c r="B310" t="s">
        <v>562</v>
      </c>
      <c r="C310" t="s">
        <v>8</v>
      </c>
      <c r="D310">
        <v>12.166</v>
      </c>
      <c r="E310" s="4">
        <v>3893</v>
      </c>
      <c r="F310" t="str">
        <f>HYPERLINK("https://www.google.com/maps/search/?api=1&amp;query=24.59055247,46.67017034", "View Map")</f>
        <v>View Map</v>
      </c>
      <c r="G310" s="2">
        <v>0.59040179733103348</v>
      </c>
    </row>
    <row r="311" spans="1:7" x14ac:dyDescent="0.3">
      <c r="A311" t="s">
        <v>563</v>
      </c>
      <c r="B311" t="s">
        <v>564</v>
      </c>
      <c r="C311" t="s">
        <v>8</v>
      </c>
      <c r="D311">
        <v>12.151</v>
      </c>
      <c r="E311" s="4">
        <v>3888</v>
      </c>
      <c r="F311" t="str">
        <f>HYPERLINK("https://www.google.com/maps/search/?api=1&amp;query=24.72106303,46.78516465", "View Map")</f>
        <v>View Map</v>
      </c>
      <c r="G311" s="2">
        <v>0.54238779819926541</v>
      </c>
    </row>
    <row r="312" spans="1:7" x14ac:dyDescent="0.3">
      <c r="A312" t="s">
        <v>565</v>
      </c>
      <c r="B312" t="s">
        <v>566</v>
      </c>
      <c r="C312" t="s">
        <v>8</v>
      </c>
      <c r="D312">
        <v>12.14</v>
      </c>
      <c r="E312" s="4">
        <v>3885</v>
      </c>
      <c r="F312" t="str">
        <f>HYPERLINK("https://www.google.com/maps/search/?api=1&amp;query=24.48979644,46.61598214", "View Map")</f>
        <v>View Map</v>
      </c>
      <c r="G312" s="2">
        <v>0.72398363412392708</v>
      </c>
    </row>
    <row r="313" spans="1:7" x14ac:dyDescent="0.3">
      <c r="A313" t="s">
        <v>567</v>
      </c>
      <c r="B313" t="s">
        <v>568</v>
      </c>
      <c r="C313" t="s">
        <v>8</v>
      </c>
      <c r="D313">
        <v>12.119</v>
      </c>
      <c r="E313" s="4">
        <v>3878</v>
      </c>
      <c r="F313" t="str">
        <f>HYPERLINK("https://www.google.com/maps/search/?api=1&amp;query=24.61142882,46.70484649", "View Map")</f>
        <v>View Map</v>
      </c>
      <c r="G313" s="2">
        <v>0.69778819027420136</v>
      </c>
    </row>
    <row r="314" spans="1:7" x14ac:dyDescent="0.3">
      <c r="A314" t="s">
        <v>569</v>
      </c>
      <c r="B314" t="s">
        <v>570</v>
      </c>
      <c r="C314" t="s">
        <v>30</v>
      </c>
      <c r="D314">
        <v>12.081</v>
      </c>
      <c r="E314" s="4">
        <v>3866</v>
      </c>
      <c r="F314" t="str">
        <f>HYPERLINK("https://www.google.com/maps/search/?api=1&amp;query=24.12679216,47.27874723", "View Map")</f>
        <v>View Map</v>
      </c>
      <c r="G314" s="2">
        <v>0.69865670338769126</v>
      </c>
    </row>
    <row r="315" spans="1:7" x14ac:dyDescent="0.3">
      <c r="A315" t="s">
        <v>46</v>
      </c>
      <c r="B315" t="s">
        <v>571</v>
      </c>
      <c r="C315" t="s">
        <v>8</v>
      </c>
      <c r="D315">
        <v>12.073</v>
      </c>
      <c r="E315" s="4">
        <v>3863</v>
      </c>
      <c r="F315" t="str">
        <f>HYPERLINK("https://www.google.com/maps/search/?api=1&amp;query=24.92334319,46.82037301", "View Map")</f>
        <v>View Map</v>
      </c>
      <c r="G315" s="2">
        <v>0.38314463386473618</v>
      </c>
    </row>
    <row r="316" spans="1:7" x14ac:dyDescent="0.3">
      <c r="A316" t="s">
        <v>46</v>
      </c>
      <c r="B316" t="s">
        <v>572</v>
      </c>
      <c r="C316" t="s">
        <v>8</v>
      </c>
      <c r="D316">
        <v>12.064</v>
      </c>
      <c r="E316" s="4">
        <v>3861</v>
      </c>
      <c r="F316" t="str">
        <f>HYPERLINK("https://www.google.com/maps/search/?api=1&amp;query=24.8933,46.6367", "View Map")</f>
        <v>View Map</v>
      </c>
      <c r="G316" s="2">
        <v>0.46701613697703442</v>
      </c>
    </row>
    <row r="317" spans="1:7" x14ac:dyDescent="0.3">
      <c r="A317" t="s">
        <v>573</v>
      </c>
      <c r="B317" t="s">
        <v>574</v>
      </c>
      <c r="C317" t="s">
        <v>8</v>
      </c>
      <c r="D317">
        <v>12.057</v>
      </c>
      <c r="E317" s="4">
        <v>3858</v>
      </c>
      <c r="F317" t="str">
        <f>HYPERLINK("https://www.google.com/maps/search/?api=1&amp;query=24.7915941,46.65051766", "View Map")</f>
        <v>View Map</v>
      </c>
      <c r="G317" s="2">
        <v>0.48827889849200751</v>
      </c>
    </row>
    <row r="318" spans="1:7" x14ac:dyDescent="0.3">
      <c r="A318" t="s">
        <v>46</v>
      </c>
      <c r="B318" t="s">
        <v>575</v>
      </c>
      <c r="C318" t="s">
        <v>8</v>
      </c>
      <c r="D318">
        <v>12.007999999999999</v>
      </c>
      <c r="E318" s="4">
        <v>3842</v>
      </c>
      <c r="F318" t="str">
        <f>HYPERLINK("https://www.google.com/maps/search/?api=1&amp;query=24.84300835,46.7751923", "View Map")</f>
        <v>View Map</v>
      </c>
      <c r="G318" s="2">
        <v>0.67244411437458884</v>
      </c>
    </row>
    <row r="319" spans="1:7" x14ac:dyDescent="0.3">
      <c r="A319" t="s">
        <v>576</v>
      </c>
      <c r="B319" t="s">
        <v>577</v>
      </c>
      <c r="C319" t="s">
        <v>8</v>
      </c>
      <c r="D319">
        <v>11.981</v>
      </c>
      <c r="E319" s="4">
        <v>3834</v>
      </c>
      <c r="F319" t="str">
        <f>HYPERLINK("https://www.google.com/maps/search/?api=1&amp;query=24.53701108,46.72293121", "View Map")</f>
        <v>View Map</v>
      </c>
      <c r="G319" s="2">
        <v>0.58537169539552969</v>
      </c>
    </row>
    <row r="320" spans="1:7" x14ac:dyDescent="0.3">
      <c r="A320" t="s">
        <v>146</v>
      </c>
      <c r="B320" t="s">
        <v>578</v>
      </c>
      <c r="C320" t="s">
        <v>8</v>
      </c>
      <c r="D320">
        <v>11.968999999999999</v>
      </c>
      <c r="E320" s="4">
        <v>3830</v>
      </c>
      <c r="F320" t="str">
        <f>HYPERLINK("https://www.google.com/maps/search/?api=1&amp;query=24.5572,46.5258", "View Map")</f>
        <v>View Map</v>
      </c>
      <c r="G320" s="2">
        <v>0.79870581275235475</v>
      </c>
    </row>
    <row r="321" spans="1:7" x14ac:dyDescent="0.3">
      <c r="A321" t="s">
        <v>579</v>
      </c>
      <c r="B321" t="s">
        <v>580</v>
      </c>
      <c r="C321" t="s">
        <v>8</v>
      </c>
      <c r="D321">
        <v>11.96</v>
      </c>
      <c r="E321" s="4">
        <v>3827</v>
      </c>
      <c r="F321" t="str">
        <f>HYPERLINK("https://www.google.com/maps/search/?api=1&amp;query=24.57351722,46.6148052", "View Map")</f>
        <v>View Map</v>
      </c>
      <c r="G321" s="2">
        <v>0.81489797887868576</v>
      </c>
    </row>
    <row r="322" spans="1:7" x14ac:dyDescent="0.3">
      <c r="A322" t="s">
        <v>146</v>
      </c>
      <c r="B322" t="s">
        <v>581</v>
      </c>
      <c r="C322" t="s">
        <v>8</v>
      </c>
      <c r="D322">
        <v>11.936</v>
      </c>
      <c r="E322" s="4">
        <v>3819</v>
      </c>
      <c r="F322" t="str">
        <f>HYPERLINK("https://www.google.com/maps/search/?api=1&amp;query=24.68074,46.57364", "View Map")</f>
        <v>View Map</v>
      </c>
      <c r="G322" s="2">
        <v>0.56095619695787002</v>
      </c>
    </row>
    <row r="323" spans="1:7" x14ac:dyDescent="0.3">
      <c r="A323" t="s">
        <v>46</v>
      </c>
      <c r="B323" t="s">
        <v>582</v>
      </c>
      <c r="C323" t="s">
        <v>8</v>
      </c>
      <c r="D323">
        <v>11.917999999999999</v>
      </c>
      <c r="E323" s="4">
        <v>3814</v>
      </c>
      <c r="F323" t="str">
        <f>HYPERLINK("https://www.google.com/maps/search/?api=1&amp;query=24.64672947,46.5638687", "View Map")</f>
        <v>View Map</v>
      </c>
      <c r="G323" s="2">
        <v>0.41102639366218868</v>
      </c>
    </row>
    <row r="324" spans="1:7" x14ac:dyDescent="0.3">
      <c r="A324" t="s">
        <v>583</v>
      </c>
      <c r="B324" t="s">
        <v>584</v>
      </c>
      <c r="C324" t="s">
        <v>255</v>
      </c>
      <c r="D324">
        <v>11.895</v>
      </c>
      <c r="E324" s="4">
        <v>3806</v>
      </c>
      <c r="F324" t="str">
        <f>HYPERLINK("https://www.google.com/maps/search/?api=1&amp;query=24.73457848,43.7884768", "View Map")</f>
        <v>View Map</v>
      </c>
      <c r="G324" s="2">
        <v>0.74419274241522904</v>
      </c>
    </row>
    <row r="325" spans="1:7" x14ac:dyDescent="0.3">
      <c r="A325" t="s">
        <v>585</v>
      </c>
      <c r="B325" t="s">
        <v>586</v>
      </c>
      <c r="C325" t="s">
        <v>8</v>
      </c>
      <c r="D325">
        <v>11.891999999999999</v>
      </c>
      <c r="E325" s="4">
        <v>3805</v>
      </c>
      <c r="F325" t="str">
        <f>HYPERLINK("https://www.google.com/maps/search/?api=1&amp;query=24.80787682,46.86147383", "View Map")</f>
        <v>View Map</v>
      </c>
    </row>
    <row r="326" spans="1:7" x14ac:dyDescent="0.3">
      <c r="A326" t="s">
        <v>587</v>
      </c>
      <c r="B326" t="s">
        <v>588</v>
      </c>
      <c r="C326" t="s">
        <v>8</v>
      </c>
      <c r="D326">
        <v>11.84</v>
      </c>
      <c r="E326" s="4">
        <v>3789</v>
      </c>
      <c r="F326" t="str">
        <f>HYPERLINK("https://www.google.com/maps/search/?api=1&amp;query=24.58819031,46.57208541", "View Map")</f>
        <v>View Map</v>
      </c>
      <c r="G326" s="2">
        <v>0.31908520484159841</v>
      </c>
    </row>
    <row r="327" spans="1:7" x14ac:dyDescent="0.3">
      <c r="A327" t="s">
        <v>589</v>
      </c>
      <c r="B327" t="s">
        <v>590</v>
      </c>
      <c r="C327" t="s">
        <v>291</v>
      </c>
      <c r="D327">
        <v>11.821</v>
      </c>
      <c r="E327" s="4">
        <v>3783</v>
      </c>
      <c r="F327" t="str">
        <f>HYPERLINK("https://www.google.com/maps/search/?api=1&amp;query=24.06063716,45.27954389", "View Map")</f>
        <v>View Map</v>
      </c>
      <c r="G327" s="2">
        <v>0.76152494636739942</v>
      </c>
    </row>
    <row r="328" spans="1:7" x14ac:dyDescent="0.3">
      <c r="A328" t="s">
        <v>46</v>
      </c>
      <c r="B328" t="s">
        <v>591</v>
      </c>
      <c r="C328" t="s">
        <v>8</v>
      </c>
      <c r="D328">
        <v>11.782999999999999</v>
      </c>
      <c r="E328" s="4">
        <v>3771</v>
      </c>
      <c r="F328" t="str">
        <f>HYPERLINK("https://www.google.com/maps/search/?api=1&amp;query=24.75067195,46.75744096", "View Map")</f>
        <v>View Map</v>
      </c>
      <c r="G328" s="2">
        <v>0.63444643865321548</v>
      </c>
    </row>
    <row r="329" spans="1:7" x14ac:dyDescent="0.3">
      <c r="A329" t="s">
        <v>592</v>
      </c>
      <c r="B329" t="s">
        <v>593</v>
      </c>
      <c r="C329" t="s">
        <v>8</v>
      </c>
      <c r="D329">
        <v>11.757</v>
      </c>
      <c r="E329" s="4">
        <v>3762</v>
      </c>
      <c r="F329" t="str">
        <f>HYPERLINK("https://www.google.com/maps/search/?api=1&amp;query=24.63454616,46.68208697", "View Map")</f>
        <v>View Map</v>
      </c>
      <c r="G329" s="2">
        <v>0.64686415958177979</v>
      </c>
    </row>
    <row r="330" spans="1:7" x14ac:dyDescent="0.3">
      <c r="A330" t="s">
        <v>594</v>
      </c>
      <c r="B330" t="s">
        <v>595</v>
      </c>
      <c r="C330" t="s">
        <v>8</v>
      </c>
      <c r="D330">
        <v>11.75</v>
      </c>
      <c r="E330" s="4">
        <v>3760</v>
      </c>
      <c r="F330" t="str">
        <f>HYPERLINK("https://www.google.com/maps/search/?api=1&amp;query=24.73636058,46.78950131", "View Map")</f>
        <v>View Map</v>
      </c>
    </row>
    <row r="331" spans="1:7" x14ac:dyDescent="0.3">
      <c r="A331" t="s">
        <v>46</v>
      </c>
      <c r="B331" t="s">
        <v>596</v>
      </c>
      <c r="C331" t="s">
        <v>55</v>
      </c>
      <c r="D331">
        <v>11.74</v>
      </c>
      <c r="E331" s="4">
        <v>3757</v>
      </c>
      <c r="F331" t="str">
        <f>HYPERLINK("https://www.google.com/maps/search/?api=1&amp;query=24.77072396,46.58629832", "View Map")</f>
        <v>View Map</v>
      </c>
    </row>
    <row r="332" spans="1:7" x14ac:dyDescent="0.3">
      <c r="A332" t="s">
        <v>597</v>
      </c>
      <c r="B332" t="s">
        <v>598</v>
      </c>
      <c r="C332" t="s">
        <v>8</v>
      </c>
      <c r="D332">
        <v>11.722</v>
      </c>
      <c r="E332" s="4">
        <v>3751</v>
      </c>
      <c r="F332" t="str">
        <f>HYPERLINK("https://www.google.com/maps/search/?api=1&amp;query=24.68915115,46.80418445", "View Map")</f>
        <v>View Map</v>
      </c>
      <c r="G332" s="2">
        <v>0.48818121307951828</v>
      </c>
    </row>
    <row r="333" spans="1:7" x14ac:dyDescent="0.3">
      <c r="A333" t="s">
        <v>73</v>
      </c>
      <c r="B333" t="s">
        <v>599</v>
      </c>
      <c r="C333" t="s">
        <v>55</v>
      </c>
      <c r="D333">
        <v>11.718999999999999</v>
      </c>
      <c r="E333" s="4">
        <v>3750</v>
      </c>
      <c r="F333" t="str">
        <f>HYPERLINK("https://www.google.com/maps/search/?api=1&amp;query=24.74563765,46.59197015", "View Map")</f>
        <v>View Map</v>
      </c>
    </row>
    <row r="334" spans="1:7" x14ac:dyDescent="0.3">
      <c r="A334" t="s">
        <v>600</v>
      </c>
      <c r="B334" t="s">
        <v>601</v>
      </c>
      <c r="C334" t="s">
        <v>8</v>
      </c>
      <c r="D334">
        <v>11.712999999999999</v>
      </c>
      <c r="E334" s="4">
        <v>3748</v>
      </c>
      <c r="F334" t="str">
        <f>HYPERLINK("https://www.google.com/maps/search/?api=1&amp;query=24.61438633,46.71976303", "View Map")</f>
        <v>View Map</v>
      </c>
    </row>
    <row r="335" spans="1:7" x14ac:dyDescent="0.3">
      <c r="A335" t="s">
        <v>46</v>
      </c>
      <c r="B335" t="s">
        <v>602</v>
      </c>
      <c r="C335" t="s">
        <v>8</v>
      </c>
      <c r="D335">
        <v>11.622999999999999</v>
      </c>
      <c r="E335" s="4">
        <v>3719</v>
      </c>
      <c r="F335" t="str">
        <f>HYPERLINK("https://www.google.com/maps/search/?api=1&amp;query=24.8224203,46.73908315", "View Map")</f>
        <v>View Map</v>
      </c>
      <c r="G335" s="2">
        <v>0.80726392595873075</v>
      </c>
    </row>
    <row r="336" spans="1:7" x14ac:dyDescent="0.3">
      <c r="A336" t="s">
        <v>603</v>
      </c>
      <c r="B336" t="s">
        <v>604</v>
      </c>
      <c r="C336" t="s">
        <v>8</v>
      </c>
      <c r="D336">
        <v>11.597</v>
      </c>
      <c r="E336" s="4">
        <v>3711</v>
      </c>
      <c r="F336" t="str">
        <f>HYPERLINK("https://www.google.com/maps/search/?api=1&amp;query=24.80083616,46.64942101", "View Map")</f>
        <v>View Map</v>
      </c>
    </row>
    <row r="337" spans="1:7" x14ac:dyDescent="0.3">
      <c r="A337" t="s">
        <v>215</v>
      </c>
      <c r="B337" t="s">
        <v>605</v>
      </c>
      <c r="C337" t="s">
        <v>8</v>
      </c>
      <c r="D337">
        <v>11.579000000000001</v>
      </c>
      <c r="E337" s="4">
        <v>3705</v>
      </c>
      <c r="F337" t="str">
        <f>HYPERLINK("https://www.google.com/maps/search/?api=1&amp;query=24.68834519,46.68858984", "View Map")</f>
        <v>View Map</v>
      </c>
      <c r="G337" s="2">
        <v>0.76836981837215457</v>
      </c>
    </row>
    <row r="338" spans="1:7" x14ac:dyDescent="0.3">
      <c r="A338" t="s">
        <v>606</v>
      </c>
      <c r="B338" t="s">
        <v>607</v>
      </c>
      <c r="C338" t="s">
        <v>8</v>
      </c>
      <c r="D338">
        <v>11.577</v>
      </c>
      <c r="E338" s="4">
        <v>3705</v>
      </c>
      <c r="F338" t="str">
        <f>HYPERLINK("https://www.google.com/maps/search/?api=1&amp;query=24.82941374,46.74639906", "View Map")</f>
        <v>View Map</v>
      </c>
      <c r="G338" s="2">
        <v>0.38519801927252112</v>
      </c>
    </row>
    <row r="339" spans="1:7" x14ac:dyDescent="0.3">
      <c r="A339" t="s">
        <v>608</v>
      </c>
      <c r="B339" t="s">
        <v>609</v>
      </c>
      <c r="C339" t="s">
        <v>8</v>
      </c>
      <c r="D339">
        <v>11.554</v>
      </c>
      <c r="E339" s="4">
        <v>3697</v>
      </c>
      <c r="F339" t="str">
        <f>HYPERLINK("https://www.google.com/maps/search/?api=1&amp;query=24.59429692,46.77229409", "View Map")</f>
        <v>View Map</v>
      </c>
      <c r="G339" s="2">
        <v>0.41988651632690599</v>
      </c>
    </row>
    <row r="340" spans="1:7" x14ac:dyDescent="0.3">
      <c r="A340" t="s">
        <v>610</v>
      </c>
      <c r="B340" t="s">
        <v>611</v>
      </c>
      <c r="C340" t="s">
        <v>8</v>
      </c>
      <c r="D340">
        <v>11.525</v>
      </c>
      <c r="E340" s="4">
        <v>3688</v>
      </c>
      <c r="F340" t="str">
        <f>HYPERLINK("https://www.google.com/maps/search/?api=1&amp;query=24.81224366,46.66457489", "View Map")</f>
        <v>View Map</v>
      </c>
      <c r="G340" s="2">
        <v>0.58605269066811405</v>
      </c>
    </row>
    <row r="341" spans="1:7" x14ac:dyDescent="0.3">
      <c r="A341" t="s">
        <v>210</v>
      </c>
      <c r="B341" t="s">
        <v>612</v>
      </c>
      <c r="C341" t="s">
        <v>8</v>
      </c>
      <c r="D341">
        <v>11.521000000000001</v>
      </c>
      <c r="E341" s="4">
        <v>3687</v>
      </c>
      <c r="F341" t="str">
        <f>HYPERLINK("https://www.google.com/maps/search/?api=1&amp;query=24.63679652,46.75307336", "View Map")</f>
        <v>View Map</v>
      </c>
      <c r="G341" s="2">
        <v>0.72318570991386066</v>
      </c>
    </row>
    <row r="342" spans="1:7" x14ac:dyDescent="0.3">
      <c r="A342" t="s">
        <v>613</v>
      </c>
      <c r="B342" t="s">
        <v>614</v>
      </c>
      <c r="C342" t="s">
        <v>8</v>
      </c>
      <c r="D342">
        <v>11.510999999999999</v>
      </c>
      <c r="E342" s="4">
        <v>3683</v>
      </c>
      <c r="F342" t="str">
        <f>HYPERLINK("https://www.google.com/maps/search/?api=1&amp;query=24.77589286,46.68995651", "View Map")</f>
        <v>View Map</v>
      </c>
      <c r="G342" s="2">
        <v>0.83062564674631334</v>
      </c>
    </row>
    <row r="343" spans="1:7" x14ac:dyDescent="0.3">
      <c r="A343" t="s">
        <v>146</v>
      </c>
      <c r="B343" t="s">
        <v>615</v>
      </c>
      <c r="C343" t="s">
        <v>8</v>
      </c>
      <c r="D343">
        <v>11.500999999999999</v>
      </c>
      <c r="E343" s="4">
        <v>3680</v>
      </c>
      <c r="F343" t="str">
        <f>HYPERLINK("https://www.google.com/maps/search/?api=1&amp;query=24.5411,46.5192", "View Map")</f>
        <v>View Map</v>
      </c>
      <c r="G343" s="2">
        <v>0.60045477740564257</v>
      </c>
    </row>
    <row r="344" spans="1:7" x14ac:dyDescent="0.3">
      <c r="A344" t="s">
        <v>616</v>
      </c>
      <c r="B344" t="s">
        <v>617</v>
      </c>
      <c r="C344" t="s">
        <v>8</v>
      </c>
      <c r="D344">
        <v>11.484</v>
      </c>
      <c r="E344" s="4">
        <v>3675</v>
      </c>
      <c r="F344" t="str">
        <f>HYPERLINK("https://www.google.com/maps/search/?api=1&amp;query=24.55521717,46.7860748", "View Map")</f>
        <v>View Map</v>
      </c>
      <c r="G344" s="2">
        <v>0.61755599865239075</v>
      </c>
    </row>
    <row r="345" spans="1:7" x14ac:dyDescent="0.3">
      <c r="A345" t="s">
        <v>28</v>
      </c>
      <c r="B345" t="s">
        <v>618</v>
      </c>
      <c r="C345" t="s">
        <v>30</v>
      </c>
      <c r="D345">
        <v>11.467000000000001</v>
      </c>
      <c r="E345" s="4">
        <v>3670</v>
      </c>
      <c r="F345" t="str">
        <f>HYPERLINK("https://www.google.com/maps/search/?api=1&amp;query=24.16766464,47.30466869", "View Map")</f>
        <v>View Map</v>
      </c>
    </row>
    <row r="346" spans="1:7" x14ac:dyDescent="0.3">
      <c r="A346" t="s">
        <v>619</v>
      </c>
      <c r="B346" t="s">
        <v>620</v>
      </c>
      <c r="C346" t="s">
        <v>8</v>
      </c>
      <c r="D346">
        <v>11.441000000000001</v>
      </c>
      <c r="E346" s="4">
        <v>3661</v>
      </c>
      <c r="F346" t="str">
        <f>HYPERLINK("https://www.google.com/maps/search/?api=1&amp;query=24.63543151,46.66348217", "View Map")</f>
        <v>View Map</v>
      </c>
      <c r="G346" s="2">
        <v>0.70549186418786736</v>
      </c>
    </row>
    <row r="347" spans="1:7" x14ac:dyDescent="0.3">
      <c r="A347" t="s">
        <v>621</v>
      </c>
      <c r="B347" t="s">
        <v>622</v>
      </c>
      <c r="C347" t="s">
        <v>8</v>
      </c>
      <c r="D347">
        <v>11.369</v>
      </c>
      <c r="E347" s="4">
        <v>3638</v>
      </c>
      <c r="F347" t="str">
        <f>HYPERLINK("https://www.google.com/maps/search/?api=1&amp;query=24.71378224,46.66415674", "View Map")</f>
        <v>View Map</v>
      </c>
      <c r="G347" s="2">
        <v>0.57196192129374779</v>
      </c>
    </row>
    <row r="348" spans="1:7" x14ac:dyDescent="0.3">
      <c r="A348" t="s">
        <v>623</v>
      </c>
      <c r="B348" t="s">
        <v>624</v>
      </c>
      <c r="C348" t="s">
        <v>8</v>
      </c>
      <c r="D348">
        <v>11.366</v>
      </c>
      <c r="E348" s="4">
        <v>3637</v>
      </c>
      <c r="F348" t="str">
        <f>HYPERLINK("https://www.google.com/maps/search/?api=1&amp;query=24.74580983,46.83531074", "View Map")</f>
        <v>View Map</v>
      </c>
      <c r="G348" s="2">
        <v>0.58354295179490812</v>
      </c>
    </row>
    <row r="349" spans="1:7" x14ac:dyDescent="0.3">
      <c r="A349" t="s">
        <v>625</v>
      </c>
      <c r="B349" t="s">
        <v>626</v>
      </c>
      <c r="C349" t="s">
        <v>55</v>
      </c>
      <c r="D349">
        <v>11.342000000000001</v>
      </c>
      <c r="E349" s="4">
        <v>3629</v>
      </c>
      <c r="F349" t="str">
        <f>HYPERLINK("https://www.google.com/maps/search/?api=1&amp;query=24.77574319,46.58338538", "View Map")</f>
        <v>View Map</v>
      </c>
      <c r="G349" s="2">
        <v>0.5933616716465836</v>
      </c>
    </row>
    <row r="350" spans="1:7" x14ac:dyDescent="0.3">
      <c r="A350" t="s">
        <v>627</v>
      </c>
      <c r="B350" t="s">
        <v>628</v>
      </c>
      <c r="C350" t="s">
        <v>8</v>
      </c>
      <c r="D350">
        <v>11.272</v>
      </c>
      <c r="E350" s="4">
        <v>3607</v>
      </c>
      <c r="F350" t="str">
        <f>HYPERLINK("https://www.google.com/maps/search/?api=1&amp;query=24.74132,46.61862", "View Map")</f>
        <v>View Map</v>
      </c>
      <c r="G350" s="2">
        <v>0.76390404852565008</v>
      </c>
    </row>
    <row r="351" spans="1:7" x14ac:dyDescent="0.3">
      <c r="A351" t="s">
        <v>380</v>
      </c>
      <c r="B351" t="s">
        <v>629</v>
      </c>
      <c r="C351" t="s">
        <v>214</v>
      </c>
      <c r="D351">
        <v>11.250999999999999</v>
      </c>
      <c r="E351" s="4">
        <v>3600</v>
      </c>
      <c r="F351" t="str">
        <f>HYPERLINK("https://www.google.com/maps/search/?api=1&amp;query=25.69980448,45.88108272", "View Map")</f>
        <v>View Map</v>
      </c>
      <c r="G351" s="2">
        <v>0.68307199580751732</v>
      </c>
    </row>
    <row r="352" spans="1:7" x14ac:dyDescent="0.3">
      <c r="A352" t="s">
        <v>630</v>
      </c>
      <c r="B352" t="s">
        <v>631</v>
      </c>
      <c r="C352" t="s">
        <v>8</v>
      </c>
      <c r="D352">
        <v>11.234</v>
      </c>
      <c r="E352" s="4">
        <v>3595</v>
      </c>
      <c r="F352" t="str">
        <f>HYPERLINK("https://www.google.com/maps/search/?api=1&amp;query=24.61632806,46.64672449", "View Map")</f>
        <v>View Map</v>
      </c>
      <c r="G352" s="2">
        <v>0.35304954796882559</v>
      </c>
    </row>
    <row r="353" spans="1:7" x14ac:dyDescent="0.3">
      <c r="A353" t="s">
        <v>632</v>
      </c>
      <c r="B353" t="s">
        <v>633</v>
      </c>
      <c r="C353" t="s">
        <v>8</v>
      </c>
      <c r="D353">
        <v>11.23</v>
      </c>
      <c r="E353" s="4">
        <v>3594</v>
      </c>
      <c r="F353" t="str">
        <f>HYPERLINK("https://www.google.com/maps/search/?api=1&amp;query=24.626032,46.67015535", "View Map")</f>
        <v>View Map</v>
      </c>
      <c r="G353" s="2">
        <v>0.46401836223439191</v>
      </c>
    </row>
    <row r="354" spans="1:7" x14ac:dyDescent="0.3">
      <c r="A354" t="s">
        <v>22</v>
      </c>
      <c r="B354" t="s">
        <v>634</v>
      </c>
      <c r="C354" t="s">
        <v>8</v>
      </c>
      <c r="D354">
        <v>11.215999999999999</v>
      </c>
      <c r="E354" s="4">
        <v>3589</v>
      </c>
      <c r="F354" t="str">
        <f>HYPERLINK("https://www.google.com/maps/search/?api=1&amp;query=24.72351589,46.64698108", "View Map")</f>
        <v>View Map</v>
      </c>
      <c r="G354" s="2">
        <v>0.68719548198790159</v>
      </c>
    </row>
    <row r="355" spans="1:7" x14ac:dyDescent="0.3">
      <c r="A355" t="s">
        <v>635</v>
      </c>
      <c r="B355" t="s">
        <v>636</v>
      </c>
      <c r="C355" t="s">
        <v>8</v>
      </c>
      <c r="D355">
        <v>11.202999999999999</v>
      </c>
      <c r="E355" s="4">
        <v>3585</v>
      </c>
      <c r="F355" t="str">
        <f>HYPERLINK("https://www.google.com/maps/search/?api=1&amp;query=24.80553186,46.76491938", "View Map")</f>
        <v>View Map</v>
      </c>
    </row>
    <row r="356" spans="1:7" x14ac:dyDescent="0.3">
      <c r="A356" t="s">
        <v>637</v>
      </c>
      <c r="B356" t="s">
        <v>638</v>
      </c>
      <c r="C356" t="s">
        <v>8</v>
      </c>
      <c r="D356">
        <v>11.196999999999999</v>
      </c>
      <c r="E356" s="4">
        <v>3583</v>
      </c>
      <c r="F356" t="str">
        <f>HYPERLINK("https://www.google.com/maps/search/?api=1&amp;query=24.81133093,46.61878903", "View Map")</f>
        <v>View Map</v>
      </c>
      <c r="G356" s="2">
        <v>0.67131714160666212</v>
      </c>
    </row>
    <row r="357" spans="1:7" x14ac:dyDescent="0.3">
      <c r="A357" t="s">
        <v>46</v>
      </c>
      <c r="B357" t="s">
        <v>639</v>
      </c>
      <c r="C357" t="s">
        <v>8</v>
      </c>
      <c r="D357">
        <v>11.18</v>
      </c>
      <c r="E357" s="4">
        <v>3578</v>
      </c>
      <c r="F357" t="str">
        <f>HYPERLINK("https://www.google.com/maps/search/?api=1&amp;query=24.81908134,46.6605319", "View Map")</f>
        <v>View Map</v>
      </c>
      <c r="G357" s="2">
        <v>0.38705571298622138</v>
      </c>
    </row>
    <row r="358" spans="1:7" x14ac:dyDescent="0.3">
      <c r="A358" t="s">
        <v>640</v>
      </c>
      <c r="B358" t="s">
        <v>641</v>
      </c>
      <c r="C358" t="s">
        <v>8</v>
      </c>
      <c r="D358">
        <v>11.166</v>
      </c>
      <c r="E358" s="4">
        <v>3573</v>
      </c>
      <c r="F358" t="str">
        <f>HYPERLINK("https://www.google.com/maps/search/?api=1&amp;query=24.75492832,46.64334662", "View Map")</f>
        <v>View Map</v>
      </c>
      <c r="G358" s="2">
        <v>0.57548521532586572</v>
      </c>
    </row>
    <row r="359" spans="1:7" x14ac:dyDescent="0.3">
      <c r="A359" t="s">
        <v>642</v>
      </c>
      <c r="B359" t="s">
        <v>643</v>
      </c>
      <c r="C359" t="s">
        <v>8</v>
      </c>
      <c r="D359">
        <v>11.143000000000001</v>
      </c>
      <c r="E359" s="4">
        <v>3566</v>
      </c>
      <c r="F359" t="str">
        <f>HYPERLINK("https://www.google.com/maps/search/?api=1&amp;query=24.68022,46.62634", "View Map")</f>
        <v>View Map</v>
      </c>
      <c r="G359" s="2">
        <v>0.67159723934807958</v>
      </c>
    </row>
    <row r="360" spans="1:7" x14ac:dyDescent="0.3">
      <c r="A360" t="s">
        <v>644</v>
      </c>
      <c r="B360" t="s">
        <v>645</v>
      </c>
      <c r="C360" t="s">
        <v>646</v>
      </c>
      <c r="D360">
        <v>11.125</v>
      </c>
      <c r="E360" s="4">
        <v>3560</v>
      </c>
      <c r="F360" t="str">
        <f>HYPERLINK("https://www.google.com/maps/search/?api=1&amp;query=20.45828528,45.60095048", "View Map")</f>
        <v>View Map</v>
      </c>
      <c r="G360" s="2">
        <v>0.44915050524723232</v>
      </c>
    </row>
    <row r="361" spans="1:7" x14ac:dyDescent="0.3">
      <c r="A361" t="s">
        <v>647</v>
      </c>
      <c r="B361" t="s">
        <v>648</v>
      </c>
      <c r="C361" t="s">
        <v>8</v>
      </c>
      <c r="D361">
        <v>11.124000000000001</v>
      </c>
      <c r="E361" s="4">
        <v>3560</v>
      </c>
      <c r="F361" t="str">
        <f>HYPERLINK("https://www.google.com/maps/search/?api=1&amp;query=24.75627161,46.79285684", "View Map")</f>
        <v>View Map</v>
      </c>
      <c r="G361" s="2">
        <v>0.50989738516731231</v>
      </c>
    </row>
    <row r="362" spans="1:7" x14ac:dyDescent="0.3">
      <c r="A362" t="s">
        <v>649</v>
      </c>
      <c r="B362" t="s">
        <v>650</v>
      </c>
      <c r="C362" t="s">
        <v>8</v>
      </c>
      <c r="D362">
        <v>11.121</v>
      </c>
      <c r="E362" s="4">
        <v>3559</v>
      </c>
      <c r="F362" t="str">
        <f>HYPERLINK("https://www.google.com/maps/search/?api=1&amp;query=24.71462786,46.80416291", "View Map")</f>
        <v>View Map</v>
      </c>
      <c r="G362" s="2">
        <v>0.76914675139826694</v>
      </c>
    </row>
    <row r="363" spans="1:7" x14ac:dyDescent="0.3">
      <c r="A363" t="s">
        <v>651</v>
      </c>
      <c r="B363" t="s">
        <v>652</v>
      </c>
      <c r="C363" t="s">
        <v>270</v>
      </c>
      <c r="D363">
        <v>11.058999999999999</v>
      </c>
      <c r="E363" s="4">
        <v>3539</v>
      </c>
      <c r="F363" t="str">
        <f>HYPERLINK("https://www.google.com/maps/search/?api=1&amp;query=23.99563646,47.1238727", "View Map")</f>
        <v>View Map</v>
      </c>
    </row>
    <row r="364" spans="1:7" x14ac:dyDescent="0.3">
      <c r="A364" t="s">
        <v>146</v>
      </c>
      <c r="B364" t="s">
        <v>653</v>
      </c>
      <c r="C364" t="s">
        <v>8</v>
      </c>
      <c r="D364">
        <v>11.053000000000001</v>
      </c>
      <c r="E364" s="4">
        <v>3537</v>
      </c>
      <c r="F364" t="str">
        <f>HYPERLINK("https://www.google.com/maps/search/?api=1&amp;query=24.51901915,46.6729652", "View Map")</f>
        <v>View Map</v>
      </c>
      <c r="G364" s="2">
        <v>0.55941906778069139</v>
      </c>
    </row>
    <row r="365" spans="1:7" x14ac:dyDescent="0.3">
      <c r="A365" t="s">
        <v>654</v>
      </c>
      <c r="B365" t="s">
        <v>655</v>
      </c>
      <c r="C365" t="s">
        <v>8</v>
      </c>
      <c r="D365">
        <v>11.048</v>
      </c>
      <c r="E365" s="4">
        <v>3535</v>
      </c>
      <c r="F365" t="str">
        <f>HYPERLINK("https://www.google.com/maps/search/?api=1&amp;query=24.65678285,46.67067659", "View Map")</f>
        <v>View Map</v>
      </c>
      <c r="G365" s="2">
        <v>0.43076205553847341</v>
      </c>
    </row>
    <row r="366" spans="1:7" x14ac:dyDescent="0.3">
      <c r="A366" t="s">
        <v>46</v>
      </c>
      <c r="B366" t="s">
        <v>656</v>
      </c>
      <c r="C366" t="s">
        <v>55</v>
      </c>
      <c r="D366">
        <v>11.028</v>
      </c>
      <c r="E366" s="4">
        <v>3529</v>
      </c>
      <c r="F366" t="str">
        <f>HYPERLINK("https://www.google.com/maps/search/?api=1&amp;query=24.78281,46.56064", "View Map")</f>
        <v>View Map</v>
      </c>
      <c r="G366" s="2">
        <v>0.54145546697081726</v>
      </c>
    </row>
    <row r="367" spans="1:7" x14ac:dyDescent="0.3">
      <c r="A367" t="s">
        <v>657</v>
      </c>
      <c r="B367" t="s">
        <v>658</v>
      </c>
      <c r="C367" t="s">
        <v>296</v>
      </c>
      <c r="D367">
        <v>11.026</v>
      </c>
      <c r="E367" s="4">
        <v>3528</v>
      </c>
      <c r="F367" t="str">
        <f>HYPERLINK("https://www.google.com/maps/search/?api=1&amp;query=24.45073409,46.30022976", "View Map")</f>
        <v>View Map</v>
      </c>
      <c r="G367" s="2">
        <v>0.42868763208934618</v>
      </c>
    </row>
    <row r="368" spans="1:7" x14ac:dyDescent="0.3">
      <c r="A368" t="s">
        <v>659</v>
      </c>
      <c r="B368" t="s">
        <v>660</v>
      </c>
      <c r="C368" t="s">
        <v>270</v>
      </c>
      <c r="D368">
        <v>11.023999999999999</v>
      </c>
      <c r="E368" s="4">
        <v>3528</v>
      </c>
      <c r="F368" t="str">
        <f>HYPERLINK("https://www.google.com/maps/search/?api=1&amp;query=23.95827861,47.11796616", "View Map")</f>
        <v>View Map</v>
      </c>
      <c r="G368" s="2">
        <v>0.59468395005089969</v>
      </c>
    </row>
    <row r="369" spans="1:7" x14ac:dyDescent="0.3">
      <c r="A369" t="s">
        <v>661</v>
      </c>
      <c r="B369" t="s">
        <v>662</v>
      </c>
      <c r="C369" t="s">
        <v>214</v>
      </c>
      <c r="D369">
        <v>11.013999999999999</v>
      </c>
      <c r="E369" s="4">
        <v>3524</v>
      </c>
      <c r="F369" t="str">
        <f>HYPERLINK("https://www.google.com/maps/search/?api=1&amp;query=25.70480561,45.45324623", "View Map")</f>
        <v>View Map</v>
      </c>
      <c r="G369" s="2">
        <v>0.59478800702756662</v>
      </c>
    </row>
    <row r="370" spans="1:7" x14ac:dyDescent="0.3">
      <c r="A370" t="s">
        <v>663</v>
      </c>
      <c r="B370" t="s">
        <v>664</v>
      </c>
      <c r="C370" t="s">
        <v>77</v>
      </c>
      <c r="D370">
        <v>11.006</v>
      </c>
      <c r="E370" s="4">
        <v>3522</v>
      </c>
      <c r="F370" t="str">
        <f>HYPERLINK("https://www.google.com/maps/search/?api=1&amp;query=22.30212061,46.70328734", "View Map")</f>
        <v>View Map</v>
      </c>
      <c r="G370" s="2">
        <v>0.42054435909149568</v>
      </c>
    </row>
    <row r="371" spans="1:7" x14ac:dyDescent="0.3">
      <c r="A371" t="s">
        <v>665</v>
      </c>
      <c r="B371" t="s">
        <v>666</v>
      </c>
      <c r="C371" t="s">
        <v>8</v>
      </c>
      <c r="D371">
        <v>10.967000000000001</v>
      </c>
      <c r="E371" s="4">
        <v>3510</v>
      </c>
      <c r="F371" t="str">
        <f>HYPERLINK("https://www.google.com/maps/search/?api=1&amp;query=24.71878225,46.7552068", "View Map")</f>
        <v>View Map</v>
      </c>
      <c r="G371" s="2">
        <v>0.65939012032073319</v>
      </c>
    </row>
    <row r="372" spans="1:7" x14ac:dyDescent="0.3">
      <c r="A372" t="s">
        <v>667</v>
      </c>
      <c r="B372" t="s">
        <v>668</v>
      </c>
      <c r="C372" t="s">
        <v>8</v>
      </c>
      <c r="D372">
        <v>10.962</v>
      </c>
      <c r="E372" s="4">
        <v>3508</v>
      </c>
      <c r="F372" t="str">
        <f>HYPERLINK("https://www.google.com/maps/search/?api=1&amp;query=24.67720409,46.72228396", "View Map")</f>
        <v>View Map</v>
      </c>
      <c r="G372" s="2">
        <v>0.77677650758244032</v>
      </c>
    </row>
    <row r="373" spans="1:7" x14ac:dyDescent="0.3">
      <c r="A373" t="s">
        <v>669</v>
      </c>
      <c r="B373" t="s">
        <v>670</v>
      </c>
      <c r="C373" t="s">
        <v>8</v>
      </c>
      <c r="D373">
        <v>10.962</v>
      </c>
      <c r="E373" s="4">
        <v>3508</v>
      </c>
      <c r="F373" t="str">
        <f>HYPERLINK("https://www.google.com/maps/search/?api=1&amp;query=24.53272717,46.65771573", "View Map")</f>
        <v>View Map</v>
      </c>
      <c r="G373" s="2">
        <v>0.60141523230781524</v>
      </c>
    </row>
    <row r="374" spans="1:7" x14ac:dyDescent="0.3">
      <c r="A374" t="s">
        <v>671</v>
      </c>
      <c r="B374" t="s">
        <v>672</v>
      </c>
      <c r="C374" t="s">
        <v>8</v>
      </c>
      <c r="D374">
        <v>10.935</v>
      </c>
      <c r="E374" s="4">
        <v>3499</v>
      </c>
      <c r="F374" t="str">
        <f>HYPERLINK("https://www.google.com/maps/search/?api=1&amp;query=24.78821659,46.64503146", "View Map")</f>
        <v>View Map</v>
      </c>
      <c r="G374" s="2">
        <v>0.50947475942153642</v>
      </c>
    </row>
    <row r="375" spans="1:7" x14ac:dyDescent="0.3">
      <c r="A375" t="s">
        <v>46</v>
      </c>
      <c r="B375" t="s">
        <v>673</v>
      </c>
      <c r="C375" t="s">
        <v>8</v>
      </c>
      <c r="D375">
        <v>10.933</v>
      </c>
      <c r="E375" s="4">
        <v>3499</v>
      </c>
      <c r="F375" t="str">
        <f>HYPERLINK("https://www.google.com/maps/search/?api=1&amp;query=24.73728402,46.78538541", "View Map")</f>
        <v>View Map</v>
      </c>
      <c r="G375" s="2">
        <v>0.45162880936826277</v>
      </c>
    </row>
    <row r="376" spans="1:7" x14ac:dyDescent="0.3">
      <c r="A376" t="s">
        <v>674</v>
      </c>
      <c r="B376" t="s">
        <v>675</v>
      </c>
      <c r="C376" t="s">
        <v>8</v>
      </c>
      <c r="D376">
        <v>10.925000000000001</v>
      </c>
      <c r="E376" s="4">
        <v>3496</v>
      </c>
      <c r="F376" t="str">
        <f>HYPERLINK("https://www.google.com/maps/search/?api=1&amp;query=24.75026011,46.67943946", "View Map")</f>
        <v>View Map</v>
      </c>
      <c r="G376" s="2">
        <v>0.45464182713964613</v>
      </c>
    </row>
    <row r="377" spans="1:7" x14ac:dyDescent="0.3">
      <c r="A377" t="s">
        <v>676</v>
      </c>
      <c r="B377" t="s">
        <v>677</v>
      </c>
      <c r="C377" t="s">
        <v>8</v>
      </c>
      <c r="D377">
        <v>10.898</v>
      </c>
      <c r="E377" s="4">
        <v>3487</v>
      </c>
      <c r="F377" t="str">
        <f>HYPERLINK("https://www.google.com/maps/search/?api=1&amp;query=24.68959386,46.61181068", "View Map")</f>
        <v>View Map</v>
      </c>
      <c r="G377" s="2">
        <v>0.47480566463562401</v>
      </c>
    </row>
    <row r="378" spans="1:7" x14ac:dyDescent="0.3">
      <c r="A378" t="s">
        <v>678</v>
      </c>
      <c r="B378" t="s">
        <v>679</v>
      </c>
      <c r="C378" t="s">
        <v>21</v>
      </c>
      <c r="D378">
        <v>10.868</v>
      </c>
      <c r="E378" s="4">
        <v>3478</v>
      </c>
      <c r="F378" t="str">
        <f>HYPERLINK("https://www.google.com/maps/search/?api=1&amp;query=26.2750392,44.83346738", "View Map")</f>
        <v>View Map</v>
      </c>
      <c r="G378" s="2">
        <v>0.66722885967373069</v>
      </c>
    </row>
    <row r="379" spans="1:7" x14ac:dyDescent="0.3">
      <c r="A379" t="s">
        <v>680</v>
      </c>
      <c r="B379" t="s">
        <v>681</v>
      </c>
      <c r="C379" t="s">
        <v>8</v>
      </c>
      <c r="D379">
        <v>10.85</v>
      </c>
      <c r="E379" s="4">
        <v>3472</v>
      </c>
      <c r="F379" t="str">
        <f>HYPERLINK("https://www.google.com/maps/search/?api=1&amp;query=24.601876,46.648235", "View Map")</f>
        <v>View Map</v>
      </c>
      <c r="G379" s="2">
        <v>0.5428896005007624</v>
      </c>
    </row>
    <row r="380" spans="1:7" x14ac:dyDescent="0.3">
      <c r="A380" t="s">
        <v>682</v>
      </c>
      <c r="B380" t="s">
        <v>683</v>
      </c>
      <c r="C380" t="s">
        <v>8</v>
      </c>
      <c r="D380">
        <v>10.837999999999999</v>
      </c>
      <c r="E380" s="4">
        <v>3468</v>
      </c>
      <c r="F380" t="str">
        <f>HYPERLINK("https://www.google.com/maps/search/?api=1&amp;query=24.80437328,46.64869483", "View Map")</f>
        <v>View Map</v>
      </c>
      <c r="G380" s="2">
        <v>0.76543441798004208</v>
      </c>
    </row>
    <row r="381" spans="1:7" x14ac:dyDescent="0.3">
      <c r="A381" t="s">
        <v>684</v>
      </c>
      <c r="B381" t="s">
        <v>685</v>
      </c>
      <c r="C381" t="s">
        <v>8</v>
      </c>
      <c r="D381">
        <v>10.82</v>
      </c>
      <c r="E381" s="4">
        <v>3462</v>
      </c>
      <c r="F381" t="str">
        <f>HYPERLINK("https://www.google.com/maps/search/?api=1&amp;query=24.78612007,46.71853143", "View Map")</f>
        <v>View Map</v>
      </c>
    </row>
    <row r="382" spans="1:7" x14ac:dyDescent="0.3">
      <c r="A382" t="s">
        <v>686</v>
      </c>
      <c r="B382" t="s">
        <v>687</v>
      </c>
      <c r="C382" t="s">
        <v>8</v>
      </c>
      <c r="D382">
        <v>10.818</v>
      </c>
      <c r="E382" s="4">
        <v>3462</v>
      </c>
      <c r="F382" t="str">
        <f>HYPERLINK("https://www.google.com/maps/search/?api=1&amp;query=24.72976975,46.6530934", "View Map")</f>
        <v>View Map</v>
      </c>
      <c r="G382" s="2">
        <v>0.63132369072413141</v>
      </c>
    </row>
    <row r="383" spans="1:7" x14ac:dyDescent="0.3">
      <c r="A383" t="s">
        <v>433</v>
      </c>
      <c r="B383" t="s">
        <v>688</v>
      </c>
      <c r="C383" t="s">
        <v>137</v>
      </c>
      <c r="D383">
        <v>10.791</v>
      </c>
      <c r="E383" s="4">
        <v>3453</v>
      </c>
      <c r="F383" t="str">
        <f>HYPERLINK("https://www.google.com/maps/search/?api=1&amp;query=23.48928235,46.87721383", "View Map")</f>
        <v>View Map</v>
      </c>
      <c r="G383" s="2">
        <v>0.51463444479133424</v>
      </c>
    </row>
    <row r="384" spans="1:7" x14ac:dyDescent="0.3">
      <c r="A384" t="s">
        <v>689</v>
      </c>
      <c r="B384" t="s">
        <v>690</v>
      </c>
      <c r="C384" t="s">
        <v>8</v>
      </c>
      <c r="D384">
        <v>10.775</v>
      </c>
      <c r="E384" s="4">
        <v>3448</v>
      </c>
      <c r="F384" t="str">
        <f>HYPERLINK("https://www.google.com/maps/search/?api=1&amp;query=24.65306179,46.65133897", "View Map")</f>
        <v>View Map</v>
      </c>
      <c r="G384" s="2">
        <v>0.61375111276956218</v>
      </c>
    </row>
    <row r="385" spans="1:7" x14ac:dyDescent="0.3">
      <c r="A385" t="s">
        <v>691</v>
      </c>
      <c r="B385" t="s">
        <v>692</v>
      </c>
      <c r="C385" t="s">
        <v>8</v>
      </c>
      <c r="D385">
        <v>10.754</v>
      </c>
      <c r="E385" s="4">
        <v>3441</v>
      </c>
      <c r="F385" t="str">
        <f>HYPERLINK("https://www.google.com/maps/search/?api=1&amp;query=24.6585166,46.80513643", "View Map")</f>
        <v>View Map</v>
      </c>
      <c r="G385" s="2">
        <v>0.75291148680059305</v>
      </c>
    </row>
    <row r="386" spans="1:7" x14ac:dyDescent="0.3">
      <c r="A386" t="s">
        <v>693</v>
      </c>
      <c r="B386" t="s">
        <v>694</v>
      </c>
      <c r="C386" t="s">
        <v>55</v>
      </c>
      <c r="D386">
        <v>10.744</v>
      </c>
      <c r="E386" s="4">
        <v>3438</v>
      </c>
      <c r="F386" t="str">
        <f>HYPERLINK("https://www.google.com/maps/search/?api=1&amp;query=24.74393078,46.59568889", "View Map")</f>
        <v>View Map</v>
      </c>
      <c r="G386" s="2">
        <v>0.55012938272002865</v>
      </c>
    </row>
    <row r="387" spans="1:7" x14ac:dyDescent="0.3">
      <c r="A387" t="s">
        <v>695</v>
      </c>
      <c r="B387" t="s">
        <v>696</v>
      </c>
      <c r="C387" t="s">
        <v>214</v>
      </c>
      <c r="D387">
        <v>10.737</v>
      </c>
      <c r="E387" s="4">
        <v>3436</v>
      </c>
      <c r="F387" t="str">
        <f>HYPERLINK("https://www.google.com/maps/search/?api=1&amp;query=25.62758335,45.5764935", "View Map")</f>
        <v>View Map</v>
      </c>
      <c r="G387" s="2">
        <v>0.61512067982767427</v>
      </c>
    </row>
    <row r="388" spans="1:7" x14ac:dyDescent="0.3">
      <c r="A388" t="s">
        <v>697</v>
      </c>
      <c r="B388" t="s">
        <v>698</v>
      </c>
      <c r="C388" t="s">
        <v>699</v>
      </c>
      <c r="D388">
        <v>10.734999999999999</v>
      </c>
      <c r="E388" s="4">
        <v>3435</v>
      </c>
      <c r="F388" t="str">
        <f>HYPERLINK("https://www.google.com/maps/search/?api=1&amp;query=25.07028395,45.45310802", "View Map")</f>
        <v>View Map</v>
      </c>
      <c r="G388" s="2">
        <v>0.46146075758395799</v>
      </c>
    </row>
    <row r="389" spans="1:7" x14ac:dyDescent="0.3">
      <c r="A389" t="s">
        <v>700</v>
      </c>
      <c r="B389" t="s">
        <v>701</v>
      </c>
      <c r="C389" t="s">
        <v>55</v>
      </c>
      <c r="D389">
        <v>10.73</v>
      </c>
      <c r="E389" s="4">
        <v>3434</v>
      </c>
      <c r="F389" t="str">
        <f>HYPERLINK("https://www.google.com/maps/search/?api=1&amp;query=24.74095,46.57136", "View Map")</f>
        <v>View Map</v>
      </c>
      <c r="G389" s="2">
        <v>0.3635113290985072</v>
      </c>
    </row>
    <row r="390" spans="1:7" x14ac:dyDescent="0.3">
      <c r="A390" t="s">
        <v>46</v>
      </c>
      <c r="B390" t="s">
        <v>702</v>
      </c>
      <c r="C390" t="s">
        <v>8</v>
      </c>
      <c r="D390">
        <v>10.723000000000001</v>
      </c>
      <c r="E390" s="4">
        <v>3431</v>
      </c>
      <c r="F390" t="str">
        <f>HYPERLINK("https://www.google.com/maps/search/?api=1&amp;query=24.82910127,46.63398993", "View Map")</f>
        <v>View Map</v>
      </c>
      <c r="G390" s="2">
        <v>0.46962103624385509</v>
      </c>
    </row>
    <row r="391" spans="1:7" x14ac:dyDescent="0.3">
      <c r="A391" t="s">
        <v>46</v>
      </c>
      <c r="B391" t="s">
        <v>703</v>
      </c>
      <c r="C391" t="s">
        <v>8</v>
      </c>
      <c r="D391">
        <v>10.718999999999999</v>
      </c>
      <c r="E391" s="4">
        <v>3430</v>
      </c>
      <c r="F391" t="str">
        <f>HYPERLINK("https://www.google.com/maps/search/?api=1&amp;query=24.85203405,46.82693237", "View Map")</f>
        <v>View Map</v>
      </c>
      <c r="G391" s="2">
        <v>0.50702348340347192</v>
      </c>
    </row>
    <row r="392" spans="1:7" x14ac:dyDescent="0.3">
      <c r="A392" t="s">
        <v>704</v>
      </c>
      <c r="B392" t="s">
        <v>705</v>
      </c>
      <c r="C392" t="s">
        <v>8</v>
      </c>
      <c r="D392">
        <v>10.715</v>
      </c>
      <c r="E392" s="4">
        <v>3429</v>
      </c>
      <c r="F392" t="str">
        <f>HYPERLINK("https://www.google.com/maps/search/?api=1&amp;query=24.71939877,46.85284179", "View Map")</f>
        <v>View Map</v>
      </c>
      <c r="G392" s="2">
        <v>0.43914962949774111</v>
      </c>
    </row>
    <row r="393" spans="1:7" x14ac:dyDescent="0.3">
      <c r="A393" t="s">
        <v>706</v>
      </c>
      <c r="B393" t="s">
        <v>707</v>
      </c>
      <c r="C393" t="s">
        <v>8</v>
      </c>
      <c r="D393">
        <v>10.704000000000001</v>
      </c>
      <c r="E393" s="4">
        <v>3425</v>
      </c>
      <c r="F393" t="str">
        <f>HYPERLINK("https://www.google.com/maps/search/?api=1&amp;query=24.52107792,46.66468675", "View Map")</f>
        <v>View Map</v>
      </c>
      <c r="G393" s="2">
        <v>0.68386138724440915</v>
      </c>
    </row>
    <row r="394" spans="1:7" x14ac:dyDescent="0.3">
      <c r="A394" t="s">
        <v>627</v>
      </c>
      <c r="B394" t="s">
        <v>708</v>
      </c>
      <c r="C394" t="s">
        <v>55</v>
      </c>
      <c r="D394">
        <v>10.701000000000001</v>
      </c>
      <c r="E394" s="4">
        <v>3424</v>
      </c>
      <c r="F394" t="str">
        <f>HYPERLINK("https://www.google.com/maps/search/?api=1&amp;query=24.74331904,46.57984013", "View Map")</f>
        <v>View Map</v>
      </c>
    </row>
    <row r="395" spans="1:7" x14ac:dyDescent="0.3">
      <c r="A395" t="s">
        <v>150</v>
      </c>
      <c r="B395" t="s">
        <v>709</v>
      </c>
      <c r="C395" t="s">
        <v>8</v>
      </c>
      <c r="D395">
        <v>10.65</v>
      </c>
      <c r="E395" s="4">
        <v>3408</v>
      </c>
      <c r="F395" t="str">
        <f>HYPERLINK("https://www.google.com/maps/search/?api=1&amp;query=24.81083538,46.7401432", "View Map")</f>
        <v>View Map</v>
      </c>
      <c r="G395" s="2">
        <v>0.47931149745920199</v>
      </c>
    </row>
    <row r="396" spans="1:7" x14ac:dyDescent="0.3">
      <c r="A396" t="s">
        <v>146</v>
      </c>
      <c r="B396" t="s">
        <v>710</v>
      </c>
      <c r="C396" t="s">
        <v>8</v>
      </c>
      <c r="D396">
        <v>10.629</v>
      </c>
      <c r="E396" s="4">
        <v>3401</v>
      </c>
      <c r="F396" t="str">
        <f>HYPERLINK("https://www.google.com/maps/search/?api=1&amp;query=24.67851479,46.57639115", "View Map")</f>
        <v>View Map</v>
      </c>
      <c r="G396" s="2">
        <v>0.78443471361180006</v>
      </c>
    </row>
    <row r="397" spans="1:7" x14ac:dyDescent="0.3">
      <c r="A397" t="s">
        <v>711</v>
      </c>
      <c r="B397" t="s">
        <v>712</v>
      </c>
      <c r="C397" t="s">
        <v>8</v>
      </c>
      <c r="D397">
        <v>10.629</v>
      </c>
      <c r="E397" s="4">
        <v>3401</v>
      </c>
      <c r="F397" t="str">
        <f>HYPERLINK("https://www.google.com/maps/search/?api=1&amp;query=24.70921421,46.76989273", "View Map")</f>
        <v>View Map</v>
      </c>
      <c r="G397" s="2">
        <v>0.443875065363042</v>
      </c>
    </row>
    <row r="398" spans="1:7" x14ac:dyDescent="0.3">
      <c r="A398" t="s">
        <v>713</v>
      </c>
      <c r="B398" t="s">
        <v>714</v>
      </c>
      <c r="C398" t="s">
        <v>8</v>
      </c>
      <c r="D398">
        <v>10.587999999999999</v>
      </c>
      <c r="E398" s="4">
        <v>3388</v>
      </c>
      <c r="F398" t="str">
        <f>HYPERLINK("https://www.google.com/maps/search/?api=1&amp;query=24.64249818,46.70717456", "View Map")</f>
        <v>View Map</v>
      </c>
      <c r="G398" s="2">
        <v>0.53415413533834588</v>
      </c>
    </row>
    <row r="399" spans="1:7" x14ac:dyDescent="0.3">
      <c r="A399" t="s">
        <v>715</v>
      </c>
      <c r="B399" t="s">
        <v>716</v>
      </c>
      <c r="C399" t="s">
        <v>8</v>
      </c>
      <c r="D399">
        <v>10.571999999999999</v>
      </c>
      <c r="E399" s="4">
        <v>3383</v>
      </c>
      <c r="F399" t="str">
        <f>HYPERLINK("https://www.google.com/maps/search/?api=1&amp;query=24.68166379,46.80459328", "View Map")</f>
        <v>View Map</v>
      </c>
      <c r="G399" s="2">
        <v>0.50412856350427393</v>
      </c>
    </row>
    <row r="400" spans="1:7" x14ac:dyDescent="0.3">
      <c r="A400" t="s">
        <v>717</v>
      </c>
      <c r="B400" t="s">
        <v>718</v>
      </c>
      <c r="C400" t="s">
        <v>255</v>
      </c>
      <c r="D400">
        <v>10.565</v>
      </c>
      <c r="E400" s="4">
        <v>3381</v>
      </c>
      <c r="F400" t="str">
        <f>HYPERLINK("https://www.google.com/maps/search/?api=1&amp;query=24.52590159,44.39200649", "View Map")</f>
        <v>View Map</v>
      </c>
      <c r="G400" s="2">
        <v>0.6750478796972067</v>
      </c>
    </row>
    <row r="401" spans="1:7" x14ac:dyDescent="0.3">
      <c r="A401" t="s">
        <v>719</v>
      </c>
      <c r="B401" t="s">
        <v>720</v>
      </c>
      <c r="C401" t="s">
        <v>8</v>
      </c>
      <c r="D401">
        <v>10.557</v>
      </c>
      <c r="E401" s="4">
        <v>3378</v>
      </c>
      <c r="F401" t="str">
        <f>HYPERLINK("https://www.google.com/maps/search/?api=1&amp;query=24.67988475,46.81956778", "View Map")</f>
        <v>View Map</v>
      </c>
      <c r="G401" s="2">
        <v>0.36203951500851839</v>
      </c>
    </row>
    <row r="402" spans="1:7" x14ac:dyDescent="0.3">
      <c r="A402" t="s">
        <v>721</v>
      </c>
      <c r="B402" t="s">
        <v>722</v>
      </c>
      <c r="C402" t="s">
        <v>296</v>
      </c>
      <c r="D402">
        <v>10.538</v>
      </c>
      <c r="E402" s="4">
        <v>3372</v>
      </c>
      <c r="F402" t="str">
        <f>HYPERLINK("https://www.google.com/maps/search/?api=1&amp;query=24.4605639,46.29787354", "View Map")</f>
        <v>View Map</v>
      </c>
      <c r="G402" s="2">
        <v>0.53285272932448602</v>
      </c>
    </row>
    <row r="403" spans="1:7" x14ac:dyDescent="0.3">
      <c r="A403" t="s">
        <v>150</v>
      </c>
      <c r="B403" t="s">
        <v>723</v>
      </c>
      <c r="C403" t="s">
        <v>8</v>
      </c>
      <c r="D403">
        <v>10.526999999999999</v>
      </c>
      <c r="E403" s="4">
        <v>3369</v>
      </c>
      <c r="F403" t="str">
        <f>HYPERLINK("https://www.google.com/maps/search/?api=1&amp;query=24.81463592,46.9093383", "View Map")</f>
        <v>View Map</v>
      </c>
      <c r="G403" s="2">
        <v>0.42811380446954811</v>
      </c>
    </row>
    <row r="404" spans="1:7" x14ac:dyDescent="0.3">
      <c r="A404" t="s">
        <v>724</v>
      </c>
      <c r="B404" t="s">
        <v>725</v>
      </c>
      <c r="C404" t="s">
        <v>8</v>
      </c>
      <c r="D404">
        <v>10.502000000000001</v>
      </c>
      <c r="E404" s="4">
        <v>3361</v>
      </c>
      <c r="F404" t="str">
        <f>HYPERLINK("https://www.google.com/maps/search/?api=1&amp;query=24.791792,46.65668941", "View Map")</f>
        <v>View Map</v>
      </c>
    </row>
    <row r="405" spans="1:7" x14ac:dyDescent="0.3">
      <c r="A405" t="s">
        <v>726</v>
      </c>
      <c r="B405" t="s">
        <v>727</v>
      </c>
      <c r="C405" t="s">
        <v>8</v>
      </c>
      <c r="D405">
        <v>10.483000000000001</v>
      </c>
      <c r="E405" s="4">
        <v>3355</v>
      </c>
      <c r="F405" t="str">
        <f>HYPERLINK("https://www.google.com/maps/search/?api=1&amp;query=24.5901523,46.77267602", "View Map")</f>
        <v>View Map</v>
      </c>
      <c r="G405" s="2">
        <v>0.61569645215196911</v>
      </c>
    </row>
    <row r="406" spans="1:7" x14ac:dyDescent="0.3">
      <c r="A406" t="s">
        <v>728</v>
      </c>
      <c r="B406" t="s">
        <v>729</v>
      </c>
      <c r="C406" t="s">
        <v>214</v>
      </c>
      <c r="D406">
        <v>10.483000000000001</v>
      </c>
      <c r="E406" s="4">
        <v>3355</v>
      </c>
      <c r="F406" t="str">
        <f>HYPERLINK("https://www.google.com/maps/search/?api=1&amp;query=25.90012722,45.36758724", "View Map")</f>
        <v>View Map</v>
      </c>
      <c r="G406" s="2">
        <v>0.54419491371535722</v>
      </c>
    </row>
    <row r="407" spans="1:7" x14ac:dyDescent="0.3">
      <c r="A407" t="s">
        <v>146</v>
      </c>
      <c r="B407" t="s">
        <v>730</v>
      </c>
      <c r="C407" t="s">
        <v>8</v>
      </c>
      <c r="D407">
        <v>10.473000000000001</v>
      </c>
      <c r="E407" s="4">
        <v>3351</v>
      </c>
      <c r="F407" t="str">
        <f>HYPERLINK("https://www.google.com/maps/search/?api=1&amp;query=24.6122,46.7017", "View Map")</f>
        <v>View Map</v>
      </c>
    </row>
    <row r="408" spans="1:7" x14ac:dyDescent="0.3">
      <c r="A408" t="s">
        <v>731</v>
      </c>
      <c r="B408" t="s">
        <v>732</v>
      </c>
      <c r="C408" t="s">
        <v>8</v>
      </c>
      <c r="D408">
        <v>10.464</v>
      </c>
      <c r="E408" s="4">
        <v>3349</v>
      </c>
      <c r="F408" t="str">
        <f>HYPERLINK("https://www.google.com/maps/search/?api=1&amp;query=24.73153205,46.64280987", "View Map")</f>
        <v>View Map</v>
      </c>
      <c r="G408" s="2">
        <v>0.51520458415453596</v>
      </c>
    </row>
    <row r="409" spans="1:7" x14ac:dyDescent="0.3">
      <c r="A409" t="s">
        <v>150</v>
      </c>
      <c r="B409" t="s">
        <v>733</v>
      </c>
      <c r="C409" t="s">
        <v>8</v>
      </c>
      <c r="D409">
        <v>10.441000000000001</v>
      </c>
      <c r="E409" s="4">
        <v>3341</v>
      </c>
      <c r="F409" t="str">
        <f>HYPERLINK("https://www.google.com/maps/search/?api=1&amp;query=24.68923446,46.57416266", "View Map")</f>
        <v>View Map</v>
      </c>
      <c r="G409" s="2">
        <v>0.54284512742343805</v>
      </c>
    </row>
    <row r="410" spans="1:7" x14ac:dyDescent="0.3">
      <c r="A410" t="s">
        <v>734</v>
      </c>
      <c r="B410" t="s">
        <v>735</v>
      </c>
      <c r="C410" t="s">
        <v>214</v>
      </c>
      <c r="D410">
        <v>10.436999999999999</v>
      </c>
      <c r="E410" s="4">
        <v>3340</v>
      </c>
      <c r="F410" t="str">
        <f>HYPERLINK("https://www.google.com/maps/search/?api=1&amp;query=25.9142345,45.38042345", "View Map")</f>
        <v>View Map</v>
      </c>
      <c r="G410" s="2">
        <v>0.64449822318252781</v>
      </c>
    </row>
    <row r="411" spans="1:7" x14ac:dyDescent="0.3">
      <c r="A411" t="s">
        <v>736</v>
      </c>
      <c r="B411" t="s">
        <v>737</v>
      </c>
      <c r="C411" t="s">
        <v>738</v>
      </c>
      <c r="D411">
        <v>10.404</v>
      </c>
      <c r="E411" s="4">
        <v>3329</v>
      </c>
      <c r="F411" t="str">
        <f>HYPERLINK("https://www.google.com/maps/search/?api=1&amp;query=25.11112499,46.0953707", "View Map")</f>
        <v>View Map</v>
      </c>
      <c r="G411" s="2">
        <v>0.62173838579312957</v>
      </c>
    </row>
    <row r="412" spans="1:7" x14ac:dyDescent="0.3">
      <c r="A412" t="s">
        <v>459</v>
      </c>
      <c r="B412" t="s">
        <v>739</v>
      </c>
      <c r="C412" t="s">
        <v>286</v>
      </c>
      <c r="D412">
        <v>10.388</v>
      </c>
      <c r="E412" s="4">
        <v>3324</v>
      </c>
      <c r="F412" t="str">
        <f>HYPERLINK("https://www.google.com/maps/search/?api=1&amp;query=25.30138419,45.53439916", "View Map")</f>
        <v>View Map</v>
      </c>
      <c r="G412" s="2">
        <v>0.66895781859106807</v>
      </c>
    </row>
    <row r="413" spans="1:7" x14ac:dyDescent="0.3">
      <c r="A413" t="s">
        <v>740</v>
      </c>
      <c r="B413" t="s">
        <v>741</v>
      </c>
      <c r="C413" t="s">
        <v>8</v>
      </c>
      <c r="D413">
        <v>10.372999999999999</v>
      </c>
      <c r="E413" s="4">
        <v>3319</v>
      </c>
      <c r="F413" t="str">
        <f>HYPERLINK("https://www.google.com/maps/search/?api=1&amp;query=24.67036033,46.79370774", "View Map")</f>
        <v>View Map</v>
      </c>
      <c r="G413" s="2">
        <v>0.544702144745842</v>
      </c>
    </row>
    <row r="414" spans="1:7" x14ac:dyDescent="0.3">
      <c r="A414" t="s">
        <v>742</v>
      </c>
      <c r="B414" t="s">
        <v>743</v>
      </c>
      <c r="C414" t="s">
        <v>255</v>
      </c>
      <c r="D414">
        <v>10.37</v>
      </c>
      <c r="E414" s="4">
        <v>3318</v>
      </c>
      <c r="F414" t="str">
        <f>HYPERLINK("https://www.google.com/maps/search/?api=1&amp;query=25.17930951,44.60393932", "View Map")</f>
        <v>View Map</v>
      </c>
      <c r="G414" s="2">
        <v>0.69495133318324154</v>
      </c>
    </row>
    <row r="415" spans="1:7" x14ac:dyDescent="0.3">
      <c r="A415" t="s">
        <v>744</v>
      </c>
      <c r="B415" t="s">
        <v>745</v>
      </c>
      <c r="C415" t="s">
        <v>8</v>
      </c>
      <c r="D415">
        <v>10.366</v>
      </c>
      <c r="E415" s="4">
        <v>3317</v>
      </c>
      <c r="F415" t="str">
        <f>HYPERLINK("https://www.google.com/maps/search/?api=1&amp;query=24.76349582,46.73857398", "View Map")</f>
        <v>View Map</v>
      </c>
      <c r="G415" s="2">
        <v>0.37655788731163009</v>
      </c>
    </row>
    <row r="416" spans="1:7" x14ac:dyDescent="0.3">
      <c r="A416" t="s">
        <v>46</v>
      </c>
      <c r="B416" t="s">
        <v>746</v>
      </c>
      <c r="C416" t="s">
        <v>8</v>
      </c>
      <c r="D416">
        <v>10.352</v>
      </c>
      <c r="E416" s="4">
        <v>3313</v>
      </c>
      <c r="F416" t="str">
        <f>HYPERLINK("https://www.google.com/maps/search/?api=1&amp;query=24.83112837,46.6431487", "View Map")</f>
        <v>View Map</v>
      </c>
      <c r="G416" s="2">
        <v>0.48117364722843131</v>
      </c>
    </row>
    <row r="417" spans="1:7" x14ac:dyDescent="0.3">
      <c r="A417" t="s">
        <v>46</v>
      </c>
      <c r="B417" t="s">
        <v>747</v>
      </c>
      <c r="C417" t="s">
        <v>8</v>
      </c>
      <c r="D417">
        <v>10.345000000000001</v>
      </c>
      <c r="E417" s="4">
        <v>3310</v>
      </c>
      <c r="F417" t="str">
        <f>HYPERLINK("https://www.google.com/maps/search/?api=1&amp;query=24.81563896,46.76323527", "View Map")</f>
        <v>View Map</v>
      </c>
      <c r="G417" s="2">
        <v>0.55427719496177164</v>
      </c>
    </row>
    <row r="418" spans="1:7" x14ac:dyDescent="0.3">
      <c r="A418" t="s">
        <v>748</v>
      </c>
      <c r="B418" t="s">
        <v>749</v>
      </c>
      <c r="C418" t="s">
        <v>8</v>
      </c>
      <c r="D418">
        <v>10.343</v>
      </c>
      <c r="E418" s="4">
        <v>3310</v>
      </c>
      <c r="F418" t="str">
        <f>HYPERLINK("https://www.google.com/maps/search/?api=1&amp;query=24.67259,46.71596", "View Map")</f>
        <v>View Map</v>
      </c>
      <c r="G418" s="2">
        <v>0.7134979773943404</v>
      </c>
    </row>
    <row r="419" spans="1:7" x14ac:dyDescent="0.3">
      <c r="A419" t="s">
        <v>750</v>
      </c>
      <c r="B419" t="s">
        <v>751</v>
      </c>
      <c r="C419" t="s">
        <v>8</v>
      </c>
      <c r="D419">
        <v>10.331</v>
      </c>
      <c r="E419" s="4">
        <v>3306</v>
      </c>
      <c r="F419" t="str">
        <f>HYPERLINK("https://www.google.com/maps/search/?api=1&amp;query=24.61552342,46.69592561", "View Map")</f>
        <v>View Map</v>
      </c>
      <c r="G419" s="2">
        <v>0.4194993495196051</v>
      </c>
    </row>
    <row r="420" spans="1:7" x14ac:dyDescent="0.3">
      <c r="A420" t="s">
        <v>752</v>
      </c>
      <c r="B420" t="s">
        <v>753</v>
      </c>
      <c r="C420" t="s">
        <v>30</v>
      </c>
      <c r="D420">
        <v>10.324999999999999</v>
      </c>
      <c r="E420" s="4">
        <v>3304</v>
      </c>
      <c r="F420" t="str">
        <f>HYPERLINK("https://www.google.com/maps/search/?api=1&amp;query=24.16857854,47.35939734", "View Map")</f>
        <v>View Map</v>
      </c>
      <c r="G420" s="2">
        <v>0.60887307466679241</v>
      </c>
    </row>
    <row r="421" spans="1:7" x14ac:dyDescent="0.3">
      <c r="A421" t="s">
        <v>754</v>
      </c>
      <c r="B421" t="s">
        <v>755</v>
      </c>
      <c r="C421" t="s">
        <v>8</v>
      </c>
      <c r="D421">
        <v>10.318</v>
      </c>
      <c r="E421" s="4">
        <v>3302</v>
      </c>
      <c r="F421" t="str">
        <f>HYPERLINK("https://www.google.com/maps/search/?api=1&amp;query=24.73685094,46.76052308", "View Map")</f>
        <v>View Map</v>
      </c>
      <c r="G421" s="2">
        <v>0.69802352871451956</v>
      </c>
    </row>
    <row r="422" spans="1:7" x14ac:dyDescent="0.3">
      <c r="A422" t="s">
        <v>756</v>
      </c>
      <c r="B422" t="s">
        <v>757</v>
      </c>
      <c r="C422" t="s">
        <v>8</v>
      </c>
      <c r="D422">
        <v>10.314</v>
      </c>
      <c r="E422" s="4">
        <v>3300</v>
      </c>
      <c r="F422" t="str">
        <f>HYPERLINK("https://www.google.com/maps/search/?api=1&amp;query=24.69716626,46.75205603", "View Map")</f>
        <v>View Map</v>
      </c>
    </row>
    <row r="423" spans="1:7" x14ac:dyDescent="0.3">
      <c r="A423" t="s">
        <v>758</v>
      </c>
      <c r="B423" t="s">
        <v>759</v>
      </c>
      <c r="C423" t="s">
        <v>214</v>
      </c>
      <c r="D423">
        <v>10.303000000000001</v>
      </c>
      <c r="E423" s="4">
        <v>3297</v>
      </c>
      <c r="F423" t="str">
        <f>HYPERLINK("https://www.google.com/maps/search/?api=1&amp;query=25.55667534,45.68171065", "View Map")</f>
        <v>View Map</v>
      </c>
      <c r="G423" s="2">
        <v>0.62589596018616878</v>
      </c>
    </row>
    <row r="424" spans="1:7" x14ac:dyDescent="0.3">
      <c r="A424" t="s">
        <v>760</v>
      </c>
      <c r="B424" t="s">
        <v>761</v>
      </c>
      <c r="C424" t="s">
        <v>270</v>
      </c>
      <c r="D424">
        <v>10.294</v>
      </c>
      <c r="E424" s="4">
        <v>3294</v>
      </c>
      <c r="F424" t="str">
        <f>HYPERLINK("https://www.google.com/maps/search/?api=1&amp;query=23.9886,47.1644", "View Map")</f>
        <v>View Map</v>
      </c>
      <c r="G424" s="2">
        <v>0.57731155636638865</v>
      </c>
    </row>
    <row r="425" spans="1:7" x14ac:dyDescent="0.3">
      <c r="A425" t="s">
        <v>762</v>
      </c>
      <c r="B425" t="s">
        <v>763</v>
      </c>
      <c r="C425" t="s">
        <v>8</v>
      </c>
      <c r="D425">
        <v>10.292999999999999</v>
      </c>
      <c r="E425" s="4">
        <v>3294</v>
      </c>
      <c r="F425" t="str">
        <f>HYPERLINK("https://www.google.com/maps/search/?api=1&amp;query=24.79833816,46.70643161", "View Map")</f>
        <v>View Map</v>
      </c>
      <c r="G425" s="2">
        <v>0.72289194079560903</v>
      </c>
    </row>
    <row r="426" spans="1:7" x14ac:dyDescent="0.3">
      <c r="A426" t="s">
        <v>150</v>
      </c>
      <c r="B426" t="s">
        <v>764</v>
      </c>
      <c r="C426" t="s">
        <v>8</v>
      </c>
      <c r="D426">
        <v>10.273999999999999</v>
      </c>
      <c r="E426" s="4">
        <v>3288</v>
      </c>
      <c r="F426" t="str">
        <f>HYPERLINK("https://www.google.com/maps/search/?api=1&amp;query=24.81756076,46.77037614", "View Map")</f>
        <v>View Map</v>
      </c>
    </row>
    <row r="427" spans="1:7" x14ac:dyDescent="0.3">
      <c r="A427" t="s">
        <v>765</v>
      </c>
      <c r="B427" t="s">
        <v>766</v>
      </c>
      <c r="C427" t="s">
        <v>8</v>
      </c>
      <c r="D427">
        <v>10.259</v>
      </c>
      <c r="E427" s="4">
        <v>3283</v>
      </c>
      <c r="F427" t="str">
        <f>HYPERLINK("https://www.google.com/maps/search/?api=1&amp;query=24.68890721,46.77067909", "View Map")</f>
        <v>View Map</v>
      </c>
      <c r="G427" s="2">
        <v>0.43734541941052418</v>
      </c>
    </row>
    <row r="428" spans="1:7" x14ac:dyDescent="0.3">
      <c r="A428" t="s">
        <v>767</v>
      </c>
      <c r="B428" t="s">
        <v>768</v>
      </c>
      <c r="C428" t="s">
        <v>8</v>
      </c>
      <c r="D428">
        <v>10.212999999999999</v>
      </c>
      <c r="E428" s="4">
        <v>3268</v>
      </c>
      <c r="F428" t="str">
        <f>HYPERLINK("https://www.google.com/maps/search/?api=1&amp;query=24.73160227,46.69385327", "View Map")</f>
        <v>View Map</v>
      </c>
      <c r="G428" s="2">
        <v>0.71100063583136541</v>
      </c>
    </row>
    <row r="429" spans="1:7" x14ac:dyDescent="0.3">
      <c r="A429" t="s">
        <v>769</v>
      </c>
      <c r="B429" t="s">
        <v>770</v>
      </c>
      <c r="C429" t="s">
        <v>8</v>
      </c>
      <c r="D429">
        <v>10.167</v>
      </c>
      <c r="E429" s="4">
        <v>3253</v>
      </c>
      <c r="F429" t="str">
        <f>HYPERLINK("https://www.google.com/maps/search/?api=1&amp;query=24.73843638,46.79563318", "View Map")</f>
        <v>View Map</v>
      </c>
      <c r="G429" s="2">
        <v>0.6476962781078196</v>
      </c>
    </row>
    <row r="430" spans="1:7" x14ac:dyDescent="0.3">
      <c r="A430" t="s">
        <v>771</v>
      </c>
      <c r="B430" t="s">
        <v>772</v>
      </c>
      <c r="C430" t="s">
        <v>8</v>
      </c>
      <c r="D430">
        <v>10.145</v>
      </c>
      <c r="E430" s="4">
        <v>3246</v>
      </c>
      <c r="F430" t="str">
        <f>HYPERLINK("https://www.google.com/maps/search/?api=1&amp;query=24.73033882,46.65855522", "View Map")</f>
        <v>View Map</v>
      </c>
      <c r="G430" s="2">
        <v>0.66329215909318906</v>
      </c>
    </row>
    <row r="431" spans="1:7" x14ac:dyDescent="0.3">
      <c r="A431" t="s">
        <v>773</v>
      </c>
      <c r="B431" t="s">
        <v>774</v>
      </c>
      <c r="C431" t="s">
        <v>8</v>
      </c>
      <c r="D431">
        <v>10.11</v>
      </c>
      <c r="E431" s="4">
        <v>3235</v>
      </c>
      <c r="F431" t="str">
        <f>HYPERLINK("https://www.google.com/maps/search/?api=1&amp;query=24.58976787,46.73712067", "View Map")</f>
        <v>View Map</v>
      </c>
      <c r="G431" s="2">
        <v>0.39313861591184068</v>
      </c>
    </row>
    <row r="432" spans="1:7" x14ac:dyDescent="0.3">
      <c r="A432" t="s">
        <v>775</v>
      </c>
      <c r="B432" t="s">
        <v>776</v>
      </c>
      <c r="C432" t="s">
        <v>8</v>
      </c>
      <c r="D432">
        <v>10.086</v>
      </c>
      <c r="E432" s="4">
        <v>3227</v>
      </c>
      <c r="F432" t="str">
        <f>HYPERLINK("https://www.google.com/maps/search/?api=1&amp;query=24.5919537,46.7471375", "View Map")</f>
        <v>View Map</v>
      </c>
      <c r="G432" s="2">
        <v>0.83861995977461223</v>
      </c>
    </row>
    <row r="433" spans="1:7" x14ac:dyDescent="0.3">
      <c r="A433" t="s">
        <v>777</v>
      </c>
      <c r="B433" t="s">
        <v>778</v>
      </c>
      <c r="C433" t="s">
        <v>8</v>
      </c>
      <c r="D433">
        <v>10.042</v>
      </c>
      <c r="E433" s="4">
        <v>3214</v>
      </c>
      <c r="F433" t="str">
        <f>HYPERLINK("https://www.google.com/maps/search/?api=1&amp;query=24.73579043,46.85265709", "View Map")</f>
        <v>View Map</v>
      </c>
    </row>
    <row r="434" spans="1:7" x14ac:dyDescent="0.3">
      <c r="A434" t="s">
        <v>189</v>
      </c>
      <c r="B434" t="s">
        <v>779</v>
      </c>
      <c r="C434" t="s">
        <v>8</v>
      </c>
      <c r="D434">
        <v>10.016</v>
      </c>
      <c r="E434" s="4">
        <v>3205</v>
      </c>
      <c r="F434" t="str">
        <f>HYPERLINK("https://www.google.com/maps/search/?api=1&amp;query=24.58333482,46.77321823", "View Map")</f>
        <v>View Map</v>
      </c>
    </row>
    <row r="435" spans="1:7" x14ac:dyDescent="0.3">
      <c r="A435" t="s">
        <v>780</v>
      </c>
      <c r="B435" t="s">
        <v>781</v>
      </c>
      <c r="C435" t="s">
        <v>8</v>
      </c>
      <c r="D435">
        <v>10.006</v>
      </c>
      <c r="E435" s="4">
        <v>3202</v>
      </c>
      <c r="F435" t="str">
        <f>HYPERLINK("https://www.google.com/maps/search/?api=1&amp;query=24.67481433,46.64755393", "View Map")</f>
        <v>View Map</v>
      </c>
      <c r="G435" s="2">
        <v>0.91665125294752003</v>
      </c>
    </row>
    <row r="436" spans="1:7" x14ac:dyDescent="0.3">
      <c r="A436" t="s">
        <v>782</v>
      </c>
      <c r="B436" t="s">
        <v>783</v>
      </c>
      <c r="C436" t="s">
        <v>8</v>
      </c>
      <c r="D436">
        <v>9.9990000000000006</v>
      </c>
      <c r="E436" s="4">
        <v>3200</v>
      </c>
      <c r="F436" t="str">
        <f>HYPERLINK("https://www.google.com/maps/search/?api=1&amp;query=24.74253944,46.68709447", "View Map")</f>
        <v>View Map</v>
      </c>
      <c r="G436" s="2">
        <v>0.49542843894150068</v>
      </c>
    </row>
    <row r="437" spans="1:7" x14ac:dyDescent="0.3">
      <c r="A437" t="s">
        <v>784</v>
      </c>
      <c r="B437" t="s">
        <v>785</v>
      </c>
      <c r="C437" t="s">
        <v>8</v>
      </c>
      <c r="D437">
        <v>9.99</v>
      </c>
      <c r="E437" s="4">
        <v>3197</v>
      </c>
      <c r="F437" t="str">
        <f>HYPERLINK("https://www.google.com/maps/search/?api=1&amp;query=24.73519123,46.79249913", "View Map")</f>
        <v>View Map</v>
      </c>
      <c r="G437" s="2">
        <v>0.38255669750365201</v>
      </c>
    </row>
    <row r="438" spans="1:7" x14ac:dyDescent="0.3">
      <c r="A438" t="s">
        <v>786</v>
      </c>
      <c r="B438" t="s">
        <v>787</v>
      </c>
      <c r="C438" t="s">
        <v>8</v>
      </c>
      <c r="D438">
        <v>9.9749999999999996</v>
      </c>
      <c r="E438" s="4">
        <v>3192</v>
      </c>
      <c r="F438" t="str">
        <f>HYPERLINK("https://www.google.com/maps/search/?api=1&amp;query=24.64,46.6964", "View Map")</f>
        <v>View Map</v>
      </c>
      <c r="G438" s="2">
        <v>0.66283712874532119</v>
      </c>
    </row>
    <row r="439" spans="1:7" x14ac:dyDescent="0.3">
      <c r="A439" t="s">
        <v>46</v>
      </c>
      <c r="B439" t="s">
        <v>788</v>
      </c>
      <c r="C439" t="s">
        <v>8</v>
      </c>
      <c r="D439">
        <v>9.9529999999999994</v>
      </c>
      <c r="E439" s="4">
        <v>3185</v>
      </c>
      <c r="F439" t="str">
        <f>HYPERLINK("https://www.google.com/maps/search/?api=1&amp;query=24.82043797,46.58948209", "View Map")</f>
        <v>View Map</v>
      </c>
      <c r="G439" s="2">
        <v>0.54519315700734339</v>
      </c>
    </row>
    <row r="440" spans="1:7" x14ac:dyDescent="0.3">
      <c r="A440" t="s">
        <v>789</v>
      </c>
      <c r="B440" t="s">
        <v>790</v>
      </c>
      <c r="C440" t="s">
        <v>8</v>
      </c>
      <c r="D440">
        <v>9.9179999999999993</v>
      </c>
      <c r="E440" s="4">
        <v>3174</v>
      </c>
      <c r="F440" t="str">
        <f>HYPERLINK("https://www.google.com/maps/search/?api=1&amp;query=24.79239853,46.77130603", "View Map")</f>
        <v>View Map</v>
      </c>
      <c r="G440" s="2">
        <v>0.5072585832422345</v>
      </c>
    </row>
    <row r="441" spans="1:7" x14ac:dyDescent="0.3">
      <c r="A441" t="s">
        <v>791</v>
      </c>
      <c r="B441" t="s">
        <v>792</v>
      </c>
      <c r="C441" t="s">
        <v>8</v>
      </c>
      <c r="D441">
        <v>9.8859999999999992</v>
      </c>
      <c r="E441" s="4">
        <v>3163</v>
      </c>
      <c r="F441" t="str">
        <f>HYPERLINK("https://www.google.com/maps/search/?api=1&amp;query=24.5894657,46.79147885", "View Map")</f>
        <v>View Map</v>
      </c>
      <c r="G441" s="2">
        <v>1.3514492730636061</v>
      </c>
    </row>
    <row r="442" spans="1:7" x14ac:dyDescent="0.3">
      <c r="A442" t="s">
        <v>793</v>
      </c>
      <c r="B442" t="s">
        <v>794</v>
      </c>
      <c r="C442" t="s">
        <v>8</v>
      </c>
      <c r="D442">
        <v>9.8800000000000008</v>
      </c>
      <c r="E442" s="4">
        <v>3161</v>
      </c>
      <c r="F442" t="str">
        <f>HYPERLINK("https://www.google.com/maps/search/?api=1&amp;query=24.8161,46.6872", "View Map")</f>
        <v>View Map</v>
      </c>
      <c r="G442" s="2">
        <v>0.42858563148819562</v>
      </c>
    </row>
    <row r="443" spans="1:7" x14ac:dyDescent="0.3">
      <c r="A443" t="s">
        <v>795</v>
      </c>
      <c r="B443" t="s">
        <v>796</v>
      </c>
      <c r="C443" t="s">
        <v>8</v>
      </c>
      <c r="D443">
        <v>9.8689999999999998</v>
      </c>
      <c r="E443" s="4">
        <v>3158</v>
      </c>
      <c r="F443" t="str">
        <f>HYPERLINK("https://www.google.com/maps/search/?api=1&amp;query=24.70531838,46.76942957", "View Map")</f>
        <v>View Map</v>
      </c>
      <c r="G443" s="2">
        <v>0.54746624743807903</v>
      </c>
    </row>
    <row r="444" spans="1:7" x14ac:dyDescent="0.3">
      <c r="A444" t="s">
        <v>146</v>
      </c>
      <c r="B444" t="s">
        <v>797</v>
      </c>
      <c r="C444" t="s">
        <v>8</v>
      </c>
      <c r="D444">
        <v>9.8640000000000008</v>
      </c>
      <c r="E444" s="4">
        <v>3156</v>
      </c>
      <c r="F444" t="str">
        <f>HYPERLINK("https://www.google.com/maps/search/?api=1&amp;query=24.51032709,46.67249126", "View Map")</f>
        <v>View Map</v>
      </c>
      <c r="G444" s="2">
        <v>0.5925082249481467</v>
      </c>
    </row>
    <row r="445" spans="1:7" x14ac:dyDescent="0.3">
      <c r="A445" t="s">
        <v>798</v>
      </c>
      <c r="B445" t="s">
        <v>799</v>
      </c>
      <c r="C445" t="s">
        <v>8</v>
      </c>
      <c r="D445">
        <v>9.8620000000000001</v>
      </c>
      <c r="E445" s="4">
        <v>3156</v>
      </c>
      <c r="F445" t="str">
        <f>HYPERLINK("https://www.google.com/maps/search/?api=1&amp;query=24.71517356,46.68629492", "View Map")</f>
        <v>View Map</v>
      </c>
      <c r="G445" s="2">
        <v>0.7352672131154554</v>
      </c>
    </row>
    <row r="446" spans="1:7" x14ac:dyDescent="0.3">
      <c r="A446" t="s">
        <v>800</v>
      </c>
      <c r="B446" t="s">
        <v>801</v>
      </c>
      <c r="C446" t="s">
        <v>21</v>
      </c>
      <c r="D446">
        <v>9.8529999999999998</v>
      </c>
      <c r="E446" s="4">
        <v>3153</v>
      </c>
      <c r="F446" t="str">
        <f>HYPERLINK("https://www.google.com/maps/search/?api=1&amp;query=26.29568917,44.80257633", "View Map")</f>
        <v>View Map</v>
      </c>
      <c r="G446" s="2">
        <v>0.64329900152758046</v>
      </c>
    </row>
    <row r="447" spans="1:7" x14ac:dyDescent="0.3">
      <c r="A447" t="s">
        <v>46</v>
      </c>
      <c r="B447" t="s">
        <v>802</v>
      </c>
      <c r="C447" t="s">
        <v>8</v>
      </c>
      <c r="D447">
        <v>9.8219999999999992</v>
      </c>
      <c r="E447" s="4">
        <v>3143</v>
      </c>
      <c r="F447" t="str">
        <f>HYPERLINK("https://www.google.com/maps/search/?api=1&amp;query=24.79414024,46.73328974", "View Map")</f>
        <v>View Map</v>
      </c>
      <c r="G447" s="2">
        <v>0.61054012034250194</v>
      </c>
    </row>
    <row r="448" spans="1:7" x14ac:dyDescent="0.3">
      <c r="A448" t="s">
        <v>803</v>
      </c>
      <c r="B448" t="s">
        <v>804</v>
      </c>
      <c r="C448" t="s">
        <v>291</v>
      </c>
      <c r="D448">
        <v>9.8079999999999998</v>
      </c>
      <c r="E448" s="4">
        <v>3139</v>
      </c>
      <c r="F448" t="str">
        <f>HYPERLINK("https://www.google.com/maps/search/?api=1&amp;query=24.34412284,45.81146383", "View Map")</f>
        <v>View Map</v>
      </c>
      <c r="G448" s="2">
        <v>0.54593220601796066</v>
      </c>
    </row>
    <row r="449" spans="1:7" x14ac:dyDescent="0.3">
      <c r="A449" t="s">
        <v>805</v>
      </c>
      <c r="B449" t="s">
        <v>806</v>
      </c>
      <c r="C449" t="s">
        <v>291</v>
      </c>
      <c r="D449">
        <v>9.7859999999999996</v>
      </c>
      <c r="E449" s="4">
        <v>3131</v>
      </c>
      <c r="F449" t="str">
        <f>HYPERLINK("https://www.google.com/maps/search/?api=1&amp;query=24.06148414,45.27587126", "View Map")</f>
        <v>View Map</v>
      </c>
      <c r="G449" s="2">
        <v>0.54354738284651549</v>
      </c>
    </row>
    <row r="450" spans="1:7" x14ac:dyDescent="0.3">
      <c r="A450" t="s">
        <v>807</v>
      </c>
      <c r="B450" t="s">
        <v>808</v>
      </c>
      <c r="C450" t="s">
        <v>8</v>
      </c>
      <c r="D450">
        <v>9.7789999999999999</v>
      </c>
      <c r="E450" s="4">
        <v>3129</v>
      </c>
      <c r="F450" t="str">
        <f>HYPERLINK("https://www.google.com/maps/search/?api=1&amp;query=24.75528654,46.80413415", "View Map")</f>
        <v>View Map</v>
      </c>
    </row>
    <row r="451" spans="1:7" x14ac:dyDescent="0.3">
      <c r="A451" t="s">
        <v>809</v>
      </c>
      <c r="B451" t="s">
        <v>810</v>
      </c>
      <c r="C451" t="s">
        <v>8</v>
      </c>
      <c r="D451">
        <v>9.7759999999999998</v>
      </c>
      <c r="E451" s="4">
        <v>3128</v>
      </c>
      <c r="F451" t="str">
        <f>HYPERLINK("https://www.google.com/maps/search/?api=1&amp;query=24.74676282,46.77700217", "View Map")</f>
        <v>View Map</v>
      </c>
      <c r="G451" s="2">
        <v>0.53396585886407</v>
      </c>
    </row>
    <row r="452" spans="1:7" x14ac:dyDescent="0.3">
      <c r="A452" t="s">
        <v>811</v>
      </c>
      <c r="B452" t="s">
        <v>812</v>
      </c>
      <c r="C452" t="s">
        <v>8</v>
      </c>
      <c r="D452">
        <v>9.7710000000000008</v>
      </c>
      <c r="E452" s="4">
        <v>3127</v>
      </c>
      <c r="F452" t="str">
        <f>HYPERLINK("https://www.google.com/maps/search/?api=1&amp;query=24.79033084,46.70312404", "View Map")</f>
        <v>View Map</v>
      </c>
      <c r="G452" s="2">
        <v>0.3963435704457296</v>
      </c>
    </row>
    <row r="453" spans="1:7" x14ac:dyDescent="0.3">
      <c r="A453" t="s">
        <v>813</v>
      </c>
      <c r="B453" t="s">
        <v>814</v>
      </c>
      <c r="C453" t="s">
        <v>8</v>
      </c>
      <c r="D453">
        <v>9.7129999999999992</v>
      </c>
      <c r="E453" s="4">
        <v>3108</v>
      </c>
      <c r="F453" t="str">
        <f>HYPERLINK("https://www.google.com/maps/search/?api=1&amp;query=24.73271,46.65093", "View Map")</f>
        <v>View Map</v>
      </c>
    </row>
    <row r="454" spans="1:7" x14ac:dyDescent="0.3">
      <c r="A454" t="s">
        <v>815</v>
      </c>
      <c r="B454" t="s">
        <v>816</v>
      </c>
      <c r="C454" t="s">
        <v>30</v>
      </c>
      <c r="D454">
        <v>9.7080000000000002</v>
      </c>
      <c r="E454" s="4">
        <v>3107</v>
      </c>
      <c r="F454" t="str">
        <f>HYPERLINK("https://www.google.com/maps/search/?api=1&amp;query=24.21256254,47.19673791", "View Map")</f>
        <v>View Map</v>
      </c>
      <c r="G454" s="2">
        <v>0.73532607838083763</v>
      </c>
    </row>
    <row r="455" spans="1:7" x14ac:dyDescent="0.3">
      <c r="A455" t="s">
        <v>817</v>
      </c>
      <c r="B455" t="s">
        <v>818</v>
      </c>
      <c r="C455" t="s">
        <v>30</v>
      </c>
      <c r="D455">
        <v>9.7029999999999994</v>
      </c>
      <c r="E455" s="4">
        <v>3105</v>
      </c>
      <c r="F455" t="str">
        <f>HYPERLINK("https://www.google.com/maps/search/?api=1&amp;query=24.13352099,47.28804134", "View Map")</f>
        <v>View Map</v>
      </c>
      <c r="G455" s="2">
        <v>0.59728493362195545</v>
      </c>
    </row>
    <row r="456" spans="1:7" x14ac:dyDescent="0.3">
      <c r="A456" t="s">
        <v>46</v>
      </c>
      <c r="B456" t="s">
        <v>819</v>
      </c>
      <c r="C456" t="s">
        <v>820</v>
      </c>
      <c r="D456">
        <v>9.7010000000000005</v>
      </c>
      <c r="E456" s="4">
        <v>3104</v>
      </c>
      <c r="F456" t="str">
        <f>HYPERLINK("https://www.google.com/maps/search/?api=1&amp;query=0.0,0.0", "View Map")</f>
        <v>View Map</v>
      </c>
      <c r="G456" s="2">
        <v>0.59986922815040067</v>
      </c>
    </row>
    <row r="457" spans="1:7" x14ac:dyDescent="0.3">
      <c r="A457" t="s">
        <v>821</v>
      </c>
      <c r="B457" t="s">
        <v>822</v>
      </c>
      <c r="C457" t="s">
        <v>8</v>
      </c>
      <c r="D457">
        <v>9.6959999999999997</v>
      </c>
      <c r="E457" s="4">
        <v>3103</v>
      </c>
      <c r="F457" t="str">
        <f>HYPERLINK("https://www.google.com/maps/search/?api=1&amp;query=24.77880728,46.80676614", "View Map")</f>
        <v>View Map</v>
      </c>
      <c r="G457" s="2">
        <v>0.6541581151299708</v>
      </c>
    </row>
    <row r="458" spans="1:7" x14ac:dyDescent="0.3">
      <c r="A458" t="s">
        <v>823</v>
      </c>
      <c r="B458" t="s">
        <v>824</v>
      </c>
      <c r="C458" t="s">
        <v>8</v>
      </c>
      <c r="D458">
        <v>9.6940000000000008</v>
      </c>
      <c r="E458" s="4">
        <v>3102</v>
      </c>
      <c r="F458" t="str">
        <f>HYPERLINK("https://www.google.com/maps/search/?api=1&amp;query=24.73949871,46.65047424", "View Map")</f>
        <v>View Map</v>
      </c>
      <c r="G458" s="2">
        <v>0.60653370234507886</v>
      </c>
    </row>
    <row r="459" spans="1:7" x14ac:dyDescent="0.3">
      <c r="A459" t="s">
        <v>825</v>
      </c>
      <c r="B459" t="s">
        <v>826</v>
      </c>
      <c r="C459" t="s">
        <v>8</v>
      </c>
      <c r="D459">
        <v>9.6910000000000007</v>
      </c>
      <c r="E459" s="4">
        <v>3101</v>
      </c>
      <c r="F459" t="str">
        <f>HYPERLINK("https://www.google.com/maps/search/?api=1&amp;query=24.82311751,46.77345016", "View Map")</f>
        <v>View Map</v>
      </c>
      <c r="G459" s="2">
        <v>0.53400428574094139</v>
      </c>
    </row>
    <row r="460" spans="1:7" x14ac:dyDescent="0.3">
      <c r="A460" t="s">
        <v>46</v>
      </c>
      <c r="B460" t="s">
        <v>827</v>
      </c>
      <c r="C460" t="s">
        <v>55</v>
      </c>
      <c r="D460">
        <v>9.6850000000000005</v>
      </c>
      <c r="E460" s="4">
        <v>3099</v>
      </c>
      <c r="F460" t="str">
        <f>HYPERLINK("https://www.google.com/maps/search/?api=1&amp;query=24.77969,46.56469", "View Map")</f>
        <v>View Map</v>
      </c>
    </row>
    <row r="461" spans="1:7" x14ac:dyDescent="0.3">
      <c r="A461" t="s">
        <v>828</v>
      </c>
      <c r="B461" t="s">
        <v>829</v>
      </c>
      <c r="C461" t="s">
        <v>8</v>
      </c>
      <c r="D461">
        <v>9.6850000000000005</v>
      </c>
      <c r="E461" s="4">
        <v>3099</v>
      </c>
      <c r="F461" t="str">
        <f>HYPERLINK("https://www.google.com/maps/search/?api=1&amp;query=24.68048832,46.75019139", "View Map")</f>
        <v>View Map</v>
      </c>
      <c r="G461" s="2">
        <v>0.37751132385845371</v>
      </c>
    </row>
    <row r="462" spans="1:7" x14ac:dyDescent="0.3">
      <c r="A462" t="s">
        <v>830</v>
      </c>
      <c r="B462" t="s">
        <v>831</v>
      </c>
      <c r="C462" t="s">
        <v>8</v>
      </c>
      <c r="D462">
        <v>9.6709999999999994</v>
      </c>
      <c r="E462" s="4">
        <v>3095</v>
      </c>
      <c r="F462" t="str">
        <f>HYPERLINK("https://www.google.com/maps/search/?api=1&amp;query=24.73137056,46.85275576", "View Map")</f>
        <v>View Map</v>
      </c>
    </row>
    <row r="463" spans="1:7" x14ac:dyDescent="0.3">
      <c r="A463" t="s">
        <v>832</v>
      </c>
      <c r="B463" t="s">
        <v>833</v>
      </c>
      <c r="C463" t="s">
        <v>8</v>
      </c>
      <c r="D463">
        <v>9.6620000000000008</v>
      </c>
      <c r="E463" s="4">
        <v>3092</v>
      </c>
      <c r="F463" t="str">
        <f>HYPERLINK("https://www.google.com/maps/search/?api=1&amp;query=24.73787535,46.75838404", "View Map")</f>
        <v>View Map</v>
      </c>
      <c r="G463" s="2">
        <v>0.53976905915208762</v>
      </c>
    </row>
    <row r="464" spans="1:7" x14ac:dyDescent="0.3">
      <c r="A464" t="s">
        <v>834</v>
      </c>
      <c r="B464" t="s">
        <v>835</v>
      </c>
      <c r="C464" t="s">
        <v>8</v>
      </c>
      <c r="D464">
        <v>9.65</v>
      </c>
      <c r="E464" s="4">
        <v>3088</v>
      </c>
      <c r="F464" t="str">
        <f>HYPERLINK("https://www.google.com/maps/search/?api=1&amp;query=24.71016165,46.69043979", "View Map")</f>
        <v>View Map</v>
      </c>
      <c r="G464" s="2">
        <v>0.59470765178321661</v>
      </c>
    </row>
    <row r="465" spans="1:7" x14ac:dyDescent="0.3">
      <c r="A465" t="s">
        <v>46</v>
      </c>
      <c r="B465" t="s">
        <v>836</v>
      </c>
      <c r="C465" t="s">
        <v>8</v>
      </c>
      <c r="D465">
        <v>9.6240000000000006</v>
      </c>
      <c r="E465" s="4">
        <v>3080</v>
      </c>
      <c r="F465" t="str">
        <f>HYPERLINK("https://www.google.com/maps/search/?api=1&amp;query=24.75768663,46.75600076", "View Map")</f>
        <v>View Map</v>
      </c>
      <c r="G465" s="2">
        <v>0.49048257956816133</v>
      </c>
    </row>
    <row r="466" spans="1:7" x14ac:dyDescent="0.3">
      <c r="A466" t="s">
        <v>150</v>
      </c>
      <c r="B466" t="s">
        <v>837</v>
      </c>
      <c r="C466" t="s">
        <v>8</v>
      </c>
      <c r="D466">
        <v>9.6210000000000004</v>
      </c>
      <c r="E466" s="4">
        <v>3079</v>
      </c>
      <c r="F466" t="str">
        <f>HYPERLINK("https://www.google.com/maps/search/?api=1&amp;query=24.78065677,46.58766811", "View Map")</f>
        <v>View Map</v>
      </c>
      <c r="G466" s="2">
        <v>0.54660569299079642</v>
      </c>
    </row>
    <row r="467" spans="1:7" x14ac:dyDescent="0.3">
      <c r="A467" t="s">
        <v>838</v>
      </c>
      <c r="B467" t="s">
        <v>839</v>
      </c>
      <c r="C467" t="s">
        <v>30</v>
      </c>
      <c r="D467">
        <v>9.6039999999999992</v>
      </c>
      <c r="E467" s="4">
        <v>3073</v>
      </c>
      <c r="F467" t="str">
        <f>HYPERLINK("https://www.google.com/maps/search/?api=1&amp;query=24.21638332,47.32697028", "View Map")</f>
        <v>View Map</v>
      </c>
      <c r="G467" s="2">
        <v>0.80868006253316693</v>
      </c>
    </row>
    <row r="468" spans="1:7" x14ac:dyDescent="0.3">
      <c r="A468" t="s">
        <v>840</v>
      </c>
      <c r="B468" t="s">
        <v>841</v>
      </c>
      <c r="C468" t="s">
        <v>8</v>
      </c>
      <c r="D468">
        <v>9.6029999999999998</v>
      </c>
      <c r="E468" s="4">
        <v>3073</v>
      </c>
      <c r="F468" t="str">
        <f>HYPERLINK("https://www.google.com/maps/search/?api=1&amp;query=24.5489,46.7144", "View Map")</f>
        <v>View Map</v>
      </c>
      <c r="G468" s="2">
        <v>0.63659607530248141</v>
      </c>
    </row>
    <row r="469" spans="1:7" x14ac:dyDescent="0.3">
      <c r="A469" t="s">
        <v>46</v>
      </c>
      <c r="B469" t="s">
        <v>842</v>
      </c>
      <c r="C469" t="s">
        <v>8</v>
      </c>
      <c r="D469">
        <v>9.5969999999999995</v>
      </c>
      <c r="E469" s="4">
        <v>3071</v>
      </c>
      <c r="F469" t="str">
        <f>HYPERLINK("https://www.google.com/maps/search/?api=1&amp;query=24.61704107,46.72934435", "View Map")</f>
        <v>View Map</v>
      </c>
      <c r="G469" s="2">
        <v>0.42091088737630639</v>
      </c>
    </row>
    <row r="470" spans="1:7" x14ac:dyDescent="0.3">
      <c r="A470" t="s">
        <v>843</v>
      </c>
      <c r="B470" t="s">
        <v>844</v>
      </c>
      <c r="C470" t="s">
        <v>8</v>
      </c>
      <c r="D470">
        <v>9.5779999999999994</v>
      </c>
      <c r="E470" s="4">
        <v>3065</v>
      </c>
      <c r="F470" t="str">
        <f>HYPERLINK("https://www.google.com/maps/search/?api=1&amp;query=24.6348789,46.72995099", "View Map")</f>
        <v>View Map</v>
      </c>
      <c r="G470" s="2">
        <v>0.35984666929295539</v>
      </c>
    </row>
    <row r="471" spans="1:7" x14ac:dyDescent="0.3">
      <c r="A471" t="s">
        <v>845</v>
      </c>
      <c r="B471" t="s">
        <v>846</v>
      </c>
      <c r="C471" t="s">
        <v>8</v>
      </c>
      <c r="D471">
        <v>9.5739999999999998</v>
      </c>
      <c r="E471" s="4">
        <v>3064</v>
      </c>
      <c r="F471" t="str">
        <f>HYPERLINK("https://www.google.com/maps/search/?api=1&amp;query=24.78809276,46.64128075", "View Map")</f>
        <v>View Map</v>
      </c>
      <c r="G471" s="2">
        <v>0.7860491482850831</v>
      </c>
    </row>
    <row r="472" spans="1:7" x14ac:dyDescent="0.3">
      <c r="A472" t="s">
        <v>847</v>
      </c>
      <c r="B472" t="s">
        <v>848</v>
      </c>
      <c r="C472" t="s">
        <v>8</v>
      </c>
      <c r="D472">
        <v>9.5739999999999998</v>
      </c>
      <c r="E472" s="4">
        <v>3064</v>
      </c>
      <c r="F472" t="str">
        <f>HYPERLINK("https://www.google.com/maps/search/?api=1&amp;query=24.71842281,46.77646545", "View Map")</f>
        <v>View Map</v>
      </c>
      <c r="G472" s="2">
        <v>0.53996120079948451</v>
      </c>
    </row>
    <row r="473" spans="1:7" x14ac:dyDescent="0.3">
      <c r="A473" t="s">
        <v>385</v>
      </c>
      <c r="B473" t="s">
        <v>849</v>
      </c>
      <c r="C473" t="s">
        <v>255</v>
      </c>
      <c r="D473">
        <v>9.5730000000000004</v>
      </c>
      <c r="E473" s="4">
        <v>3063</v>
      </c>
      <c r="F473" t="str">
        <f>HYPERLINK("https://www.google.com/maps/search/?api=1&amp;query=24.92980305,44.713495", "View Map")</f>
        <v>View Map</v>
      </c>
      <c r="G473" s="2">
        <v>0.69624470018170792</v>
      </c>
    </row>
    <row r="474" spans="1:7" x14ac:dyDescent="0.3">
      <c r="A474" t="s">
        <v>850</v>
      </c>
      <c r="B474" t="s">
        <v>851</v>
      </c>
      <c r="C474" t="s">
        <v>214</v>
      </c>
      <c r="D474">
        <v>9.5440000000000005</v>
      </c>
      <c r="E474" s="4">
        <v>3054</v>
      </c>
      <c r="F474" t="str">
        <f>HYPERLINK("https://www.google.com/maps/search/?api=1&amp;query=25.69811975,45.88575973", "View Map")</f>
        <v>View Map</v>
      </c>
      <c r="G474" s="2">
        <v>0.57439542827989842</v>
      </c>
    </row>
    <row r="475" spans="1:7" x14ac:dyDescent="0.3">
      <c r="A475" t="s">
        <v>852</v>
      </c>
      <c r="B475" t="s">
        <v>853</v>
      </c>
      <c r="C475" t="s">
        <v>8</v>
      </c>
      <c r="D475">
        <v>9.5280000000000005</v>
      </c>
      <c r="E475" s="4">
        <v>3049</v>
      </c>
      <c r="F475" t="str">
        <f>HYPERLINK("https://www.google.com/maps/search/?api=1&amp;query=24.68306407,46.71265569", "View Map")</f>
        <v>View Map</v>
      </c>
    </row>
    <row r="476" spans="1:7" x14ac:dyDescent="0.3">
      <c r="A476" t="s">
        <v>854</v>
      </c>
      <c r="B476" t="s">
        <v>855</v>
      </c>
      <c r="C476" t="s">
        <v>8</v>
      </c>
      <c r="D476">
        <v>9.4990000000000006</v>
      </c>
      <c r="E476" s="4">
        <v>3040</v>
      </c>
      <c r="F476" t="str">
        <f>HYPERLINK("https://www.google.com/maps/search/?api=1&amp;query=24.73451893,46.65339147", "View Map")</f>
        <v>View Map</v>
      </c>
      <c r="G476" s="2">
        <v>0.36612787994947171</v>
      </c>
    </row>
    <row r="477" spans="1:7" x14ac:dyDescent="0.3">
      <c r="A477" t="s">
        <v>856</v>
      </c>
      <c r="B477" t="s">
        <v>857</v>
      </c>
      <c r="C477" t="s">
        <v>8</v>
      </c>
      <c r="D477">
        <v>9.4879999999999995</v>
      </c>
      <c r="E477" s="4">
        <v>3036</v>
      </c>
      <c r="F477" t="str">
        <f>HYPERLINK("https://www.google.com/maps/search/?api=1&amp;query=24.68061524,46.7845886", "View Map")</f>
        <v>View Map</v>
      </c>
    </row>
    <row r="478" spans="1:7" x14ac:dyDescent="0.3">
      <c r="A478" t="s">
        <v>858</v>
      </c>
      <c r="B478" t="s">
        <v>859</v>
      </c>
      <c r="C478" t="s">
        <v>8</v>
      </c>
      <c r="D478">
        <v>9.4730000000000008</v>
      </c>
      <c r="E478" s="4">
        <v>3031</v>
      </c>
      <c r="F478" t="str">
        <f>HYPERLINK("https://www.google.com/maps/search/?api=1&amp;query=24.7432809,46.78827508", "View Map")</f>
        <v>View Map</v>
      </c>
      <c r="G478" s="2">
        <v>0.48863241604838997</v>
      </c>
    </row>
    <row r="479" spans="1:7" x14ac:dyDescent="0.3">
      <c r="A479" t="s">
        <v>860</v>
      </c>
      <c r="B479" t="s">
        <v>861</v>
      </c>
      <c r="C479" t="s">
        <v>8</v>
      </c>
      <c r="D479">
        <v>9.4610000000000003</v>
      </c>
      <c r="E479" s="4">
        <v>3028</v>
      </c>
      <c r="F479" t="str">
        <f>HYPERLINK("https://www.google.com/maps/search/?api=1&amp;query=24.69569309,46.86418031", "View Map")</f>
        <v>View Map</v>
      </c>
      <c r="G479" s="2">
        <v>0.84950914152678958</v>
      </c>
    </row>
    <row r="480" spans="1:7" x14ac:dyDescent="0.3">
      <c r="A480" t="s">
        <v>862</v>
      </c>
      <c r="B480" t="s">
        <v>863</v>
      </c>
      <c r="C480" t="s">
        <v>8</v>
      </c>
      <c r="D480">
        <v>9.4540000000000006</v>
      </c>
      <c r="E480" s="4">
        <v>3025</v>
      </c>
      <c r="F480" t="str">
        <f>HYPERLINK("https://www.google.com/maps/search/?api=1&amp;query=24.74898477,46.62586132", "View Map")</f>
        <v>View Map</v>
      </c>
      <c r="G480" s="2">
        <v>0.56591463239617912</v>
      </c>
    </row>
    <row r="481" spans="1:7" x14ac:dyDescent="0.3">
      <c r="A481" t="s">
        <v>864</v>
      </c>
      <c r="B481" t="s">
        <v>865</v>
      </c>
      <c r="C481" t="s">
        <v>8</v>
      </c>
      <c r="D481">
        <v>9.4540000000000006</v>
      </c>
      <c r="E481" s="4">
        <v>3025</v>
      </c>
      <c r="F481" t="str">
        <f>HYPERLINK("https://www.google.com/maps/search/?api=1&amp;query=24.58650894,46.56472162", "View Map")</f>
        <v>View Map</v>
      </c>
      <c r="G481" s="2">
        <v>0.41117006330983291</v>
      </c>
    </row>
    <row r="482" spans="1:7" x14ac:dyDescent="0.3">
      <c r="A482" t="s">
        <v>146</v>
      </c>
      <c r="B482" t="s">
        <v>866</v>
      </c>
      <c r="C482" t="s">
        <v>8</v>
      </c>
      <c r="D482">
        <v>9.4489999999999998</v>
      </c>
      <c r="E482" s="4">
        <v>3024</v>
      </c>
      <c r="F482" t="str">
        <f>HYPERLINK("https://www.google.com/maps/search/?api=1&amp;query=24.55322867,46.62017845", "View Map")</f>
        <v>View Map</v>
      </c>
    </row>
    <row r="483" spans="1:7" x14ac:dyDescent="0.3">
      <c r="A483" t="s">
        <v>867</v>
      </c>
      <c r="B483" t="s">
        <v>868</v>
      </c>
      <c r="C483" t="s">
        <v>30</v>
      </c>
      <c r="D483">
        <v>9.4280000000000008</v>
      </c>
      <c r="E483" s="4">
        <v>3017</v>
      </c>
      <c r="F483" t="str">
        <f>HYPERLINK("https://www.google.com/maps/search/?api=1&amp;query=24.17494047,47.34780505", "View Map")</f>
        <v>View Map</v>
      </c>
      <c r="G483" s="2">
        <v>0.61000992088044814</v>
      </c>
    </row>
    <row r="484" spans="1:7" x14ac:dyDescent="0.3">
      <c r="A484" t="s">
        <v>869</v>
      </c>
      <c r="B484" t="s">
        <v>870</v>
      </c>
      <c r="C484" t="s">
        <v>8</v>
      </c>
      <c r="D484">
        <v>9.4239999999999995</v>
      </c>
      <c r="E484" s="4">
        <v>3016</v>
      </c>
      <c r="F484" t="str">
        <f>HYPERLINK("https://www.google.com/maps/search/?api=1&amp;query=24.55822512,46.78889101", "View Map")</f>
        <v>View Map</v>
      </c>
      <c r="G484" s="2">
        <v>0.63337282945648876</v>
      </c>
    </row>
    <row r="485" spans="1:7" x14ac:dyDescent="0.3">
      <c r="A485" t="s">
        <v>871</v>
      </c>
      <c r="B485" t="s">
        <v>872</v>
      </c>
      <c r="C485" t="s">
        <v>8</v>
      </c>
      <c r="D485">
        <v>9.4090000000000007</v>
      </c>
      <c r="E485" s="4">
        <v>3011</v>
      </c>
      <c r="F485" t="str">
        <f>HYPERLINK("https://www.google.com/maps/search/?api=1&amp;query=24.58069407,46.67935242", "View Map")</f>
        <v>View Map</v>
      </c>
      <c r="G485" s="2">
        <v>0.70285840051724624</v>
      </c>
    </row>
    <row r="486" spans="1:7" x14ac:dyDescent="0.3">
      <c r="A486" t="s">
        <v>873</v>
      </c>
      <c r="B486" t="s">
        <v>874</v>
      </c>
      <c r="C486" t="s">
        <v>8</v>
      </c>
      <c r="D486">
        <v>9.3659999999999997</v>
      </c>
      <c r="E486" s="4">
        <v>2997</v>
      </c>
      <c r="F486" t="str">
        <f>HYPERLINK("https://www.google.com/maps/search/?api=1&amp;query=24.68786992,46.81217155", "View Map")</f>
        <v>View Map</v>
      </c>
      <c r="G486" s="2">
        <v>0.58256403442290849</v>
      </c>
    </row>
    <row r="487" spans="1:7" x14ac:dyDescent="0.3">
      <c r="A487" t="s">
        <v>875</v>
      </c>
      <c r="B487" t="s">
        <v>876</v>
      </c>
      <c r="C487" t="s">
        <v>8</v>
      </c>
      <c r="D487">
        <v>9.3640000000000008</v>
      </c>
      <c r="E487" s="4">
        <v>2997</v>
      </c>
      <c r="F487" t="str">
        <f>HYPERLINK("https://www.google.com/maps/search/?api=1&amp;query=24.65423286,46.72382132", "View Map")</f>
        <v>View Map</v>
      </c>
      <c r="G487" s="2">
        <v>0.42585811399559409</v>
      </c>
    </row>
    <row r="488" spans="1:7" x14ac:dyDescent="0.3">
      <c r="A488" t="s">
        <v>877</v>
      </c>
      <c r="B488" t="s">
        <v>878</v>
      </c>
      <c r="C488" t="s">
        <v>8</v>
      </c>
      <c r="D488">
        <v>9.3510000000000009</v>
      </c>
      <c r="E488" s="4">
        <v>2992</v>
      </c>
      <c r="F488" t="str">
        <f>HYPERLINK("https://www.google.com/maps/search/?api=1&amp;query=24.74151075,46.82299896", "View Map")</f>
        <v>View Map</v>
      </c>
      <c r="G488" s="2">
        <v>0.56155909785602609</v>
      </c>
    </row>
    <row r="489" spans="1:7" x14ac:dyDescent="0.3">
      <c r="A489" t="s">
        <v>879</v>
      </c>
      <c r="B489" t="s">
        <v>880</v>
      </c>
      <c r="C489" t="s">
        <v>8</v>
      </c>
      <c r="D489">
        <v>9.3179999999999996</v>
      </c>
      <c r="E489" s="4">
        <v>2982</v>
      </c>
      <c r="F489" t="str">
        <f>HYPERLINK("https://www.google.com/maps/search/?api=1&amp;query=24.57951555,46.6602676", "View Map")</f>
        <v>View Map</v>
      </c>
      <c r="G489" s="2">
        <v>0.67650749704818414</v>
      </c>
    </row>
    <row r="490" spans="1:7" x14ac:dyDescent="0.3">
      <c r="A490" t="s">
        <v>881</v>
      </c>
      <c r="B490" t="s">
        <v>882</v>
      </c>
      <c r="C490" t="s">
        <v>883</v>
      </c>
      <c r="D490">
        <v>9.3049999999999997</v>
      </c>
      <c r="E490" s="4">
        <v>2978</v>
      </c>
      <c r="F490" t="str">
        <f>HYPERLINK("https://www.google.com/maps/search/?api=1&amp;query=25.542916,47.17302172", "View Map")</f>
        <v>View Map</v>
      </c>
      <c r="G490" s="2">
        <v>0.68593443525632258</v>
      </c>
    </row>
    <row r="491" spans="1:7" x14ac:dyDescent="0.3">
      <c r="A491" t="s">
        <v>884</v>
      </c>
      <c r="B491" t="s">
        <v>885</v>
      </c>
      <c r="C491" t="s">
        <v>8</v>
      </c>
      <c r="D491">
        <v>9.2750000000000004</v>
      </c>
      <c r="E491" s="4">
        <v>2968</v>
      </c>
      <c r="F491" t="str">
        <f>HYPERLINK("https://www.google.com/maps/search/?api=1&amp;query=24.69615548,46.64198336", "View Map")</f>
        <v>View Map</v>
      </c>
      <c r="G491" s="2">
        <v>0.59346087362270272</v>
      </c>
    </row>
    <row r="492" spans="1:7" x14ac:dyDescent="0.3">
      <c r="A492" t="s">
        <v>46</v>
      </c>
      <c r="B492" t="s">
        <v>886</v>
      </c>
      <c r="C492" t="s">
        <v>8</v>
      </c>
      <c r="D492">
        <v>9.2720000000000002</v>
      </c>
      <c r="E492" s="4">
        <v>2967</v>
      </c>
      <c r="F492" t="str">
        <f>HYPERLINK("https://www.google.com/maps/search/?api=1&amp;query=24.9017873,46.61425903", "View Map")</f>
        <v>View Map</v>
      </c>
      <c r="G492" s="2">
        <v>0.5960077406263008</v>
      </c>
    </row>
    <row r="493" spans="1:7" x14ac:dyDescent="0.3">
      <c r="A493" t="s">
        <v>887</v>
      </c>
      <c r="B493" t="s">
        <v>888</v>
      </c>
      <c r="C493" t="s">
        <v>8</v>
      </c>
      <c r="D493">
        <v>9.24</v>
      </c>
      <c r="E493" s="4">
        <v>2957</v>
      </c>
      <c r="F493" t="str">
        <f>HYPERLINK("https://www.google.com/maps/search/?api=1&amp;query=24.66000596,46.72130472", "View Map")</f>
        <v>View Map</v>
      </c>
      <c r="G493" s="2">
        <v>0.42735421639749033</v>
      </c>
    </row>
    <row r="494" spans="1:7" x14ac:dyDescent="0.3">
      <c r="A494" t="s">
        <v>889</v>
      </c>
      <c r="B494" t="s">
        <v>890</v>
      </c>
      <c r="C494" t="s">
        <v>8</v>
      </c>
      <c r="D494">
        <v>9.2189999999999994</v>
      </c>
      <c r="E494" s="4">
        <v>2950</v>
      </c>
      <c r="F494" t="str">
        <f>HYPERLINK("https://www.google.com/maps/search/?api=1&amp;query=24.77926497,46.62438618", "View Map")</f>
        <v>View Map</v>
      </c>
      <c r="G494" s="2">
        <v>0.70858215390408874</v>
      </c>
    </row>
    <row r="495" spans="1:7" x14ac:dyDescent="0.3">
      <c r="A495" t="s">
        <v>891</v>
      </c>
      <c r="B495" t="s">
        <v>892</v>
      </c>
      <c r="C495" t="s">
        <v>30</v>
      </c>
      <c r="D495">
        <v>9.2089999999999996</v>
      </c>
      <c r="E495" s="4">
        <v>2947</v>
      </c>
      <c r="F495" t="str">
        <f>HYPERLINK("https://www.google.com/maps/search/?api=1&amp;query=24.15499071,47.31498239", "View Map")</f>
        <v>View Map</v>
      </c>
      <c r="G495" s="2">
        <v>0.42247635631578651</v>
      </c>
    </row>
    <row r="496" spans="1:7" x14ac:dyDescent="0.3">
      <c r="A496" t="s">
        <v>893</v>
      </c>
      <c r="B496" t="s">
        <v>894</v>
      </c>
      <c r="C496" t="s">
        <v>8</v>
      </c>
      <c r="D496">
        <v>9.202</v>
      </c>
      <c r="E496" s="4">
        <v>2945</v>
      </c>
      <c r="F496" t="str">
        <f>HYPERLINK("https://www.google.com/maps/search/?api=1&amp;query=24.7016225,46.6596974", "View Map")</f>
        <v>View Map</v>
      </c>
      <c r="G496" s="2">
        <v>0.64895849116332238</v>
      </c>
    </row>
    <row r="497" spans="1:7" x14ac:dyDescent="0.3">
      <c r="A497" t="s">
        <v>895</v>
      </c>
      <c r="B497" t="s">
        <v>896</v>
      </c>
      <c r="C497" t="s">
        <v>8</v>
      </c>
      <c r="D497">
        <v>9.19</v>
      </c>
      <c r="E497" s="4">
        <v>2941</v>
      </c>
      <c r="F497" t="str">
        <f>HYPERLINK("https://www.google.com/maps/search/?api=1&amp;query=24.75013626,46.71003316", "View Map")</f>
        <v>View Map</v>
      </c>
      <c r="G497" s="2">
        <v>0.55592228335528171</v>
      </c>
    </row>
    <row r="498" spans="1:7" x14ac:dyDescent="0.3">
      <c r="A498" t="s">
        <v>897</v>
      </c>
      <c r="B498" t="s">
        <v>898</v>
      </c>
      <c r="C498" t="s">
        <v>8</v>
      </c>
      <c r="D498">
        <v>9.1859999999999999</v>
      </c>
      <c r="E498" s="4">
        <v>2940</v>
      </c>
      <c r="F498" t="str">
        <f>HYPERLINK("https://www.google.com/maps/search/?api=1&amp;query=24.68188405,46.68902352", "View Map")</f>
        <v>View Map</v>
      </c>
    </row>
    <row r="499" spans="1:7" x14ac:dyDescent="0.3">
      <c r="A499" t="s">
        <v>899</v>
      </c>
      <c r="B499" t="s">
        <v>900</v>
      </c>
      <c r="C499" t="s">
        <v>8</v>
      </c>
      <c r="D499">
        <v>9.1449999999999996</v>
      </c>
      <c r="E499" s="4">
        <v>2927</v>
      </c>
      <c r="F499" t="str">
        <f>HYPERLINK("https://www.google.com/maps/search/?api=1&amp;query=24.76779662,46.63119513", "View Map")</f>
        <v>View Map</v>
      </c>
      <c r="G499" s="2">
        <v>0.60630399406628399</v>
      </c>
    </row>
    <row r="500" spans="1:7" x14ac:dyDescent="0.3">
      <c r="A500" t="s">
        <v>901</v>
      </c>
      <c r="B500" t="s">
        <v>902</v>
      </c>
      <c r="C500" t="s">
        <v>21</v>
      </c>
      <c r="D500">
        <v>9.141</v>
      </c>
      <c r="E500" s="4">
        <v>2925</v>
      </c>
      <c r="F500" t="str">
        <f>HYPERLINK("https://www.google.com/maps/search/?api=1&amp;query=26.34080743,44.78830225", "View Map")</f>
        <v>View Map</v>
      </c>
      <c r="G500" s="2">
        <v>0.8193571635288599</v>
      </c>
    </row>
    <row r="501" spans="1:7" x14ac:dyDescent="0.3">
      <c r="A501" t="s">
        <v>903</v>
      </c>
      <c r="B501" t="s">
        <v>904</v>
      </c>
      <c r="C501" t="s">
        <v>8</v>
      </c>
      <c r="D501">
        <v>9.0839999999999996</v>
      </c>
      <c r="E501" s="4">
        <v>2907</v>
      </c>
      <c r="F501" t="str">
        <f>HYPERLINK("https://www.google.com/maps/search/?api=1&amp;query=24.7549957,46.72114823", "View Map")</f>
        <v>View Map</v>
      </c>
    </row>
    <row r="502" spans="1:7" x14ac:dyDescent="0.3">
      <c r="A502" t="s">
        <v>146</v>
      </c>
      <c r="B502" t="s">
        <v>905</v>
      </c>
      <c r="C502" t="s">
        <v>8</v>
      </c>
      <c r="D502">
        <v>9.0730000000000004</v>
      </c>
      <c r="E502" s="4">
        <v>2904</v>
      </c>
      <c r="F502" t="str">
        <f>HYPERLINK("https://www.google.com/maps/search/?api=1&amp;query=24.55574042,46.53210576", "View Map")</f>
        <v>View Map</v>
      </c>
      <c r="G502" s="2">
        <v>0.57801594642734289</v>
      </c>
    </row>
    <row r="503" spans="1:7" x14ac:dyDescent="0.3">
      <c r="A503" t="s">
        <v>906</v>
      </c>
      <c r="B503" t="s">
        <v>907</v>
      </c>
      <c r="C503" t="s">
        <v>30</v>
      </c>
      <c r="D503">
        <v>9.0289999999999999</v>
      </c>
      <c r="E503" s="4">
        <v>2889</v>
      </c>
      <c r="F503" t="str">
        <f>HYPERLINK("https://www.google.com/maps/search/?api=1&amp;query=24.16634665,47.3552089", "View Map")</f>
        <v>View Map</v>
      </c>
      <c r="G503" s="2">
        <v>0.66588629752515349</v>
      </c>
    </row>
    <row r="504" spans="1:7" x14ac:dyDescent="0.3">
      <c r="A504" t="s">
        <v>908</v>
      </c>
      <c r="B504" t="s">
        <v>909</v>
      </c>
      <c r="C504" t="s">
        <v>8</v>
      </c>
      <c r="D504">
        <v>8.9849999999999994</v>
      </c>
      <c r="E504" s="4">
        <v>2875</v>
      </c>
      <c r="F504" t="str">
        <f>HYPERLINK("https://www.google.com/maps/search/?api=1&amp;query=24.7825397,46.61671202", "View Map")</f>
        <v>View Map</v>
      </c>
    </row>
    <row r="505" spans="1:7" x14ac:dyDescent="0.3">
      <c r="A505" t="s">
        <v>910</v>
      </c>
      <c r="B505" t="s">
        <v>911</v>
      </c>
      <c r="C505" t="s">
        <v>214</v>
      </c>
      <c r="D505">
        <v>8.9559999999999995</v>
      </c>
      <c r="E505" s="4">
        <v>2866</v>
      </c>
      <c r="F505" t="str">
        <f>HYPERLINK("https://www.google.com/maps/search/?api=1&amp;query=25.5886303,45.6929573", "View Map")</f>
        <v>View Map</v>
      </c>
      <c r="G505" s="2">
        <v>0.53020197918447998</v>
      </c>
    </row>
    <row r="506" spans="1:7" x14ac:dyDescent="0.3">
      <c r="A506" t="s">
        <v>73</v>
      </c>
      <c r="B506" t="s">
        <v>912</v>
      </c>
      <c r="C506" t="s">
        <v>8</v>
      </c>
      <c r="D506">
        <v>8.952</v>
      </c>
      <c r="E506" s="4">
        <v>2865</v>
      </c>
      <c r="F506" t="str">
        <f>HYPERLINK("https://www.google.com/maps/search/?api=1&amp;query=24.74195971,46.7134947", "View Map")</f>
        <v>View Map</v>
      </c>
      <c r="G506" s="2">
        <v>0.63062606778462149</v>
      </c>
    </row>
    <row r="507" spans="1:7" x14ac:dyDescent="0.3">
      <c r="A507" t="s">
        <v>46</v>
      </c>
      <c r="B507" t="s">
        <v>913</v>
      </c>
      <c r="C507" t="s">
        <v>8</v>
      </c>
      <c r="D507">
        <v>8.9480000000000004</v>
      </c>
      <c r="E507" s="4">
        <v>2863</v>
      </c>
      <c r="F507" t="str">
        <f>HYPERLINK("https://www.google.com/maps/search/?api=1&amp;query=24.84452324,46.62858748", "View Map")</f>
        <v>View Map</v>
      </c>
    </row>
    <row r="508" spans="1:7" x14ac:dyDescent="0.3">
      <c r="A508" t="s">
        <v>150</v>
      </c>
      <c r="B508" t="s">
        <v>914</v>
      </c>
      <c r="C508" t="s">
        <v>8</v>
      </c>
      <c r="D508">
        <v>8.9480000000000004</v>
      </c>
      <c r="E508" s="4">
        <v>2863</v>
      </c>
      <c r="F508" t="str">
        <f>HYPERLINK("https://www.google.com/maps/search/?api=1&amp;query=24.81078765,46.74026016", "View Map")</f>
        <v>View Map</v>
      </c>
      <c r="G508" s="2">
        <v>0.53429014554602061</v>
      </c>
    </row>
    <row r="509" spans="1:7" x14ac:dyDescent="0.3">
      <c r="A509" t="s">
        <v>915</v>
      </c>
      <c r="B509" t="s">
        <v>916</v>
      </c>
      <c r="C509" t="s">
        <v>255</v>
      </c>
      <c r="D509">
        <v>8.92</v>
      </c>
      <c r="E509" s="4">
        <v>2854</v>
      </c>
      <c r="F509" t="str">
        <f>HYPERLINK("https://www.google.com/maps/search/?api=1&amp;query=25.18153362,44.59708181", "View Map")</f>
        <v>View Map</v>
      </c>
      <c r="G509" s="2">
        <v>0.53947884791531031</v>
      </c>
    </row>
    <row r="510" spans="1:7" x14ac:dyDescent="0.3">
      <c r="A510" t="s">
        <v>46</v>
      </c>
      <c r="B510" t="s">
        <v>917</v>
      </c>
      <c r="C510" t="s">
        <v>8</v>
      </c>
      <c r="D510">
        <v>8.9139999999999997</v>
      </c>
      <c r="E510" s="4">
        <v>2852</v>
      </c>
      <c r="F510" t="str">
        <f>HYPERLINK("https://www.google.com/maps/search/?api=1&amp;query=24.82624901,46.79934931", "View Map")</f>
        <v>View Map</v>
      </c>
      <c r="G510" s="2">
        <v>0.36402297633936748</v>
      </c>
    </row>
    <row r="511" spans="1:7" x14ac:dyDescent="0.3">
      <c r="A511" t="s">
        <v>918</v>
      </c>
      <c r="B511" t="s">
        <v>919</v>
      </c>
      <c r="C511" t="s">
        <v>255</v>
      </c>
      <c r="D511">
        <v>8.8919999999999995</v>
      </c>
      <c r="E511" s="4">
        <v>2845</v>
      </c>
      <c r="F511" t="str">
        <f>HYPERLINK("https://www.google.com/maps/search/?api=1&amp;query=25.20253973,44.59991507", "View Map")</f>
        <v>View Map</v>
      </c>
      <c r="G511" s="2">
        <v>0.64073988942087323</v>
      </c>
    </row>
    <row r="512" spans="1:7" x14ac:dyDescent="0.3">
      <c r="A512" t="s">
        <v>920</v>
      </c>
      <c r="B512" t="s">
        <v>921</v>
      </c>
      <c r="C512" t="s">
        <v>30</v>
      </c>
      <c r="D512">
        <v>8.8870000000000005</v>
      </c>
      <c r="E512" s="4">
        <v>2844</v>
      </c>
      <c r="F512" t="str">
        <f>HYPERLINK("https://www.google.com/maps/search/?api=1&amp;query=24.1446886,47.35863788", "View Map")</f>
        <v>View Map</v>
      </c>
      <c r="G512" s="2">
        <v>0.54452062905962995</v>
      </c>
    </row>
    <row r="513" spans="1:7" x14ac:dyDescent="0.3">
      <c r="A513" t="s">
        <v>922</v>
      </c>
      <c r="B513" t="s">
        <v>923</v>
      </c>
      <c r="C513" t="s">
        <v>8</v>
      </c>
      <c r="D513">
        <v>8.8789999999999996</v>
      </c>
      <c r="E513" s="4">
        <v>2841</v>
      </c>
      <c r="F513" t="str">
        <f>HYPERLINK("https://www.google.com/maps/search/?api=1&amp;query=24.58820307,46.61441952", "View Map")</f>
        <v>View Map</v>
      </c>
      <c r="G513" s="2">
        <v>0.60210498590506567</v>
      </c>
    </row>
    <row r="514" spans="1:7" x14ac:dyDescent="0.3">
      <c r="A514" t="s">
        <v>924</v>
      </c>
      <c r="B514" t="s">
        <v>925</v>
      </c>
      <c r="C514" t="s">
        <v>30</v>
      </c>
      <c r="D514">
        <v>8.8670000000000009</v>
      </c>
      <c r="E514" s="4">
        <v>2837</v>
      </c>
      <c r="F514" t="str">
        <f>HYPERLINK("https://www.google.com/maps/search/?api=1&amp;query=24.18819948,47.26896588", "View Map")</f>
        <v>View Map</v>
      </c>
      <c r="G514" s="2">
        <v>0.6801219639140218</v>
      </c>
    </row>
    <row r="515" spans="1:7" x14ac:dyDescent="0.3">
      <c r="A515" t="s">
        <v>926</v>
      </c>
      <c r="B515" t="s">
        <v>927</v>
      </c>
      <c r="C515" t="s">
        <v>30</v>
      </c>
      <c r="D515">
        <v>8.8610000000000007</v>
      </c>
      <c r="E515" s="4">
        <v>2836</v>
      </c>
      <c r="F515" t="str">
        <f>HYPERLINK("https://www.google.com/maps/search/?api=1&amp;query=24.08650327,47.22018749", "View Map")</f>
        <v>View Map</v>
      </c>
      <c r="G515" s="2">
        <v>0.72552925467783325</v>
      </c>
    </row>
    <row r="516" spans="1:7" x14ac:dyDescent="0.3">
      <c r="A516" t="s">
        <v>928</v>
      </c>
      <c r="B516" t="s">
        <v>929</v>
      </c>
      <c r="C516" t="s">
        <v>393</v>
      </c>
      <c r="D516">
        <v>8.8510000000000009</v>
      </c>
      <c r="E516" s="4">
        <v>2832</v>
      </c>
      <c r="F516" t="str">
        <f>HYPERLINK("https://www.google.com/maps/search/?api=1&amp;query=22.53108548,45.07763164", "View Map")</f>
        <v>View Map</v>
      </c>
      <c r="G516" s="2">
        <v>0.4038597479954158</v>
      </c>
    </row>
    <row r="517" spans="1:7" x14ac:dyDescent="0.3">
      <c r="A517" t="s">
        <v>930</v>
      </c>
      <c r="B517" t="s">
        <v>931</v>
      </c>
      <c r="C517" t="s">
        <v>30</v>
      </c>
      <c r="D517">
        <v>8.8450000000000006</v>
      </c>
      <c r="E517" s="4">
        <v>2830</v>
      </c>
      <c r="F517" t="str">
        <f>HYPERLINK("https://www.google.com/maps/search/?api=1&amp;query=24.13314947,47.34355138", "View Map")</f>
        <v>View Map</v>
      </c>
      <c r="G517" s="2">
        <v>0.39791458597716473</v>
      </c>
    </row>
    <row r="518" spans="1:7" x14ac:dyDescent="0.3">
      <c r="A518" t="s">
        <v>932</v>
      </c>
      <c r="B518" t="s">
        <v>933</v>
      </c>
      <c r="C518" t="s">
        <v>8</v>
      </c>
      <c r="D518">
        <v>8.8320000000000007</v>
      </c>
      <c r="E518" s="4">
        <v>2826</v>
      </c>
      <c r="F518" t="str">
        <f>HYPERLINK("https://www.google.com/maps/search/?api=1&amp;query=24.76040456,46.8216772", "View Map")</f>
        <v>View Map</v>
      </c>
      <c r="G518" s="2">
        <v>0.44486412173377771</v>
      </c>
    </row>
    <row r="519" spans="1:7" x14ac:dyDescent="0.3">
      <c r="A519" t="s">
        <v>934</v>
      </c>
      <c r="B519" t="s">
        <v>935</v>
      </c>
      <c r="C519" t="s">
        <v>8</v>
      </c>
      <c r="D519">
        <v>8.8290000000000006</v>
      </c>
      <c r="E519" s="4">
        <v>2825</v>
      </c>
      <c r="F519" t="str">
        <f>HYPERLINK("https://www.google.com/maps/search/?api=1&amp;query=24.64718083,46.81012662", "View Map")</f>
        <v>View Map</v>
      </c>
      <c r="G519" s="2">
        <v>0.78546021369617547</v>
      </c>
    </row>
    <row r="520" spans="1:7" x14ac:dyDescent="0.3">
      <c r="A520" t="s">
        <v>936</v>
      </c>
      <c r="B520" t="s">
        <v>937</v>
      </c>
      <c r="C520" t="s">
        <v>8</v>
      </c>
      <c r="D520">
        <v>8.8149999999999995</v>
      </c>
      <c r="E520" s="4">
        <v>2821</v>
      </c>
      <c r="F520" t="str">
        <f>HYPERLINK("https://www.google.com/maps/search/?api=1&amp;query=24.57850436,46.70339837", "View Map")</f>
        <v>View Map</v>
      </c>
      <c r="G520" s="2">
        <v>0.89226306554282009</v>
      </c>
    </row>
    <row r="521" spans="1:7" x14ac:dyDescent="0.3">
      <c r="A521" t="s">
        <v>938</v>
      </c>
      <c r="B521" t="s">
        <v>939</v>
      </c>
      <c r="C521" t="s">
        <v>8</v>
      </c>
      <c r="D521">
        <v>8.798</v>
      </c>
      <c r="E521" s="4">
        <v>2815</v>
      </c>
      <c r="F521" t="str">
        <f>HYPERLINK("https://www.google.com/maps/search/?api=1&amp;query=24.72266972,46.82456923", "View Map")</f>
        <v>View Map</v>
      </c>
    </row>
    <row r="522" spans="1:7" x14ac:dyDescent="0.3">
      <c r="A522" t="s">
        <v>46</v>
      </c>
      <c r="B522" t="s">
        <v>940</v>
      </c>
      <c r="C522" t="s">
        <v>8</v>
      </c>
      <c r="D522">
        <v>8.7959999999999994</v>
      </c>
      <c r="E522" s="4">
        <v>2815</v>
      </c>
      <c r="F522" t="str">
        <f>HYPERLINK("https://www.google.com/maps/search/?api=1&amp;query=24.8067,46.8792", "View Map")</f>
        <v>View Map</v>
      </c>
      <c r="G522" s="2">
        <v>0.60272010256612807</v>
      </c>
    </row>
    <row r="523" spans="1:7" x14ac:dyDescent="0.3">
      <c r="A523" t="s">
        <v>941</v>
      </c>
      <c r="B523" t="s">
        <v>942</v>
      </c>
      <c r="C523" t="s">
        <v>8</v>
      </c>
      <c r="D523">
        <v>8.7690000000000001</v>
      </c>
      <c r="E523" s="4">
        <v>2806</v>
      </c>
      <c r="F523" t="str">
        <f>HYPERLINK("https://www.google.com/maps/search/?api=1&amp;query=24.58210422,46.83014168", "View Map")</f>
        <v>View Map</v>
      </c>
      <c r="G523" s="2">
        <v>0.59518903310923144</v>
      </c>
    </row>
    <row r="524" spans="1:7" x14ac:dyDescent="0.3">
      <c r="A524" t="s">
        <v>943</v>
      </c>
      <c r="B524" t="s">
        <v>944</v>
      </c>
      <c r="C524" t="s">
        <v>8</v>
      </c>
      <c r="D524">
        <v>8.7680000000000007</v>
      </c>
      <c r="E524" s="4">
        <v>2806</v>
      </c>
      <c r="F524" t="str">
        <f>HYPERLINK("https://www.google.com/maps/search/?api=1&amp;query=24.78109607,46.68228071", "View Map")</f>
        <v>View Map</v>
      </c>
    </row>
    <row r="525" spans="1:7" x14ac:dyDescent="0.3">
      <c r="A525" t="s">
        <v>945</v>
      </c>
      <c r="B525" t="s">
        <v>946</v>
      </c>
      <c r="C525" t="s">
        <v>8</v>
      </c>
      <c r="D525">
        <v>8.7449999999999992</v>
      </c>
      <c r="E525" s="4">
        <v>2798</v>
      </c>
      <c r="F525" t="str">
        <f>HYPERLINK("https://www.google.com/maps/search/?api=1&amp;query=24.63565497,46.73478913", "View Map")</f>
        <v>View Map</v>
      </c>
      <c r="G525" s="2">
        <v>0.53556347462510046</v>
      </c>
    </row>
    <row r="526" spans="1:7" x14ac:dyDescent="0.3">
      <c r="A526" t="s">
        <v>947</v>
      </c>
      <c r="B526" t="s">
        <v>948</v>
      </c>
      <c r="C526" t="s">
        <v>8</v>
      </c>
      <c r="D526">
        <v>8.7420000000000009</v>
      </c>
      <c r="E526" s="4">
        <v>2797</v>
      </c>
      <c r="F526" t="str">
        <f>HYPERLINK("https://www.google.com/maps/search/?api=1&amp;query=24.5711092,46.8365653", "View Map")</f>
        <v>View Map</v>
      </c>
      <c r="G526" s="2">
        <v>2.2046238141494792</v>
      </c>
    </row>
    <row r="527" spans="1:7" x14ac:dyDescent="0.3">
      <c r="A527" t="s">
        <v>949</v>
      </c>
      <c r="B527" t="s">
        <v>950</v>
      </c>
      <c r="C527" t="s">
        <v>442</v>
      </c>
      <c r="D527">
        <v>8.7390000000000008</v>
      </c>
      <c r="E527" s="4">
        <v>2797</v>
      </c>
      <c r="F527" t="str">
        <f>HYPERLINK("https://www.google.com/maps/search/?api=1&amp;query=23.63773281,46.51039062", "View Map")</f>
        <v>View Map</v>
      </c>
      <c r="G527" s="2">
        <v>0.80350227611790459</v>
      </c>
    </row>
    <row r="528" spans="1:7" x14ac:dyDescent="0.3">
      <c r="A528" t="s">
        <v>951</v>
      </c>
      <c r="B528" t="s">
        <v>952</v>
      </c>
      <c r="C528" t="s">
        <v>8</v>
      </c>
      <c r="D528">
        <v>8.7370000000000001</v>
      </c>
      <c r="E528" s="4">
        <v>2796</v>
      </c>
      <c r="F528" t="str">
        <f>HYPERLINK("https://www.google.com/maps/search/?api=1&amp;query=24.77867952,46.65492895", "View Map")</f>
        <v>View Map</v>
      </c>
    </row>
    <row r="529" spans="1:7" x14ac:dyDescent="0.3">
      <c r="A529" t="s">
        <v>953</v>
      </c>
      <c r="B529" t="s">
        <v>954</v>
      </c>
      <c r="C529" t="s">
        <v>8</v>
      </c>
      <c r="D529">
        <v>8.734</v>
      </c>
      <c r="E529" s="4">
        <v>2795</v>
      </c>
      <c r="F529" t="str">
        <f>HYPERLINK("https://www.google.com/maps/search/?api=1&amp;query=24.74786077,46.64960265", "View Map")</f>
        <v>View Map</v>
      </c>
    </row>
    <row r="530" spans="1:7" x14ac:dyDescent="0.3">
      <c r="A530" t="s">
        <v>146</v>
      </c>
      <c r="B530" t="s">
        <v>955</v>
      </c>
      <c r="C530" t="s">
        <v>8</v>
      </c>
      <c r="D530">
        <v>8.7330000000000005</v>
      </c>
      <c r="E530" s="4">
        <v>2795</v>
      </c>
      <c r="F530" t="str">
        <f>HYPERLINK("https://www.google.com/maps/search/?api=1&amp;query=24.61958456,46.71918604", "View Map")</f>
        <v>View Map</v>
      </c>
    </row>
    <row r="531" spans="1:7" x14ac:dyDescent="0.3">
      <c r="A531" t="s">
        <v>956</v>
      </c>
      <c r="B531" t="s">
        <v>957</v>
      </c>
      <c r="C531" t="s">
        <v>8</v>
      </c>
      <c r="D531">
        <v>8.7089999999999996</v>
      </c>
      <c r="E531" s="4">
        <v>2787</v>
      </c>
      <c r="F531" t="str">
        <f>HYPERLINK("https://www.google.com/maps/search/?api=1&amp;query=24.75964203,46.78409231", "View Map")</f>
        <v>View Map</v>
      </c>
      <c r="G531" s="2">
        <v>0.48210360384416212</v>
      </c>
    </row>
    <row r="532" spans="1:7" x14ac:dyDescent="0.3">
      <c r="A532" t="s">
        <v>958</v>
      </c>
      <c r="B532" t="s">
        <v>959</v>
      </c>
      <c r="C532" t="s">
        <v>8</v>
      </c>
      <c r="D532">
        <v>8.6869999999999994</v>
      </c>
      <c r="E532" s="4">
        <v>2780</v>
      </c>
      <c r="F532" t="str">
        <f>HYPERLINK("https://www.google.com/maps/search/?api=1&amp;query=24.55324627,46.68157371", "View Map")</f>
        <v>View Map</v>
      </c>
      <c r="G532" s="2">
        <v>0.65714159574742492</v>
      </c>
    </row>
    <row r="533" spans="1:7" x14ac:dyDescent="0.3">
      <c r="A533" t="s">
        <v>46</v>
      </c>
      <c r="B533" t="s">
        <v>960</v>
      </c>
      <c r="C533" t="s">
        <v>8</v>
      </c>
      <c r="D533">
        <v>8.673</v>
      </c>
      <c r="E533" s="4">
        <v>2775</v>
      </c>
      <c r="F533" t="str">
        <f>HYPERLINK("https://www.google.com/maps/search/?api=1&amp;query=24.80732227,46.73790035", "View Map")</f>
        <v>View Map</v>
      </c>
      <c r="G533" s="2">
        <v>0.56086689321292738</v>
      </c>
    </row>
    <row r="534" spans="1:7" x14ac:dyDescent="0.3">
      <c r="A534" t="s">
        <v>961</v>
      </c>
      <c r="B534" t="s">
        <v>962</v>
      </c>
      <c r="C534" t="s">
        <v>8</v>
      </c>
      <c r="D534">
        <v>8.6669999999999998</v>
      </c>
      <c r="E534" s="4">
        <v>2773</v>
      </c>
      <c r="F534" t="str">
        <f>HYPERLINK("https://www.google.com/maps/search/?api=1&amp;query=24.58082044,46.68156942", "View Map")</f>
        <v>View Map</v>
      </c>
      <c r="G534" s="2">
        <v>0.62427178596293353</v>
      </c>
    </row>
    <row r="535" spans="1:7" x14ac:dyDescent="0.3">
      <c r="A535" t="s">
        <v>963</v>
      </c>
      <c r="B535" t="s">
        <v>964</v>
      </c>
      <c r="C535" t="s">
        <v>241</v>
      </c>
      <c r="D535">
        <v>8.66</v>
      </c>
      <c r="E535" s="4">
        <v>2771</v>
      </c>
      <c r="F535" t="str">
        <f>HYPERLINK("https://www.google.com/maps/search/?api=1&amp;query=20.43414579,44.87712767", "View Map")</f>
        <v>View Map</v>
      </c>
      <c r="G535" s="2">
        <v>0.38094278009909999</v>
      </c>
    </row>
    <row r="536" spans="1:7" x14ac:dyDescent="0.3">
      <c r="A536" t="s">
        <v>150</v>
      </c>
      <c r="B536" t="s">
        <v>965</v>
      </c>
      <c r="C536" t="s">
        <v>8</v>
      </c>
      <c r="D536">
        <v>8.657</v>
      </c>
      <c r="E536" s="4">
        <v>2770</v>
      </c>
      <c r="F536" t="str">
        <f>HYPERLINK("https://www.google.com/maps/search/?api=1&amp;query=24.70789208,46.83324805", "View Map")</f>
        <v>View Map</v>
      </c>
      <c r="G536" s="2">
        <v>0.37917993239519338</v>
      </c>
    </row>
    <row r="537" spans="1:7" x14ac:dyDescent="0.3">
      <c r="A537" t="s">
        <v>46</v>
      </c>
      <c r="B537" t="s">
        <v>966</v>
      </c>
      <c r="C537" t="s">
        <v>8</v>
      </c>
      <c r="D537">
        <v>8.6489999999999991</v>
      </c>
      <c r="E537" s="4">
        <v>2768</v>
      </c>
      <c r="F537" t="str">
        <f>HYPERLINK("https://www.google.com/maps/search/?api=1&amp;query=24.5596323,46.8080934", "View Map")</f>
        <v>View Map</v>
      </c>
      <c r="G537" s="2">
        <v>0.49206205610703713</v>
      </c>
    </row>
    <row r="538" spans="1:7" x14ac:dyDescent="0.3">
      <c r="A538" t="s">
        <v>967</v>
      </c>
      <c r="B538" t="s">
        <v>968</v>
      </c>
      <c r="C538" t="s">
        <v>8</v>
      </c>
      <c r="D538">
        <v>8.6270000000000007</v>
      </c>
      <c r="E538" s="4">
        <v>2761</v>
      </c>
      <c r="F538" t="str">
        <f>HYPERLINK("https://www.google.com/maps/search/?api=1&amp;query=24.67626846,46.81616517", "View Map")</f>
        <v>View Map</v>
      </c>
    </row>
    <row r="539" spans="1:7" x14ac:dyDescent="0.3">
      <c r="A539" t="s">
        <v>969</v>
      </c>
      <c r="B539" t="s">
        <v>970</v>
      </c>
      <c r="C539" t="s">
        <v>8</v>
      </c>
      <c r="D539">
        <v>8.6120000000000001</v>
      </c>
      <c r="E539" s="4">
        <v>2756</v>
      </c>
      <c r="F539" t="str">
        <f>HYPERLINK("https://www.google.com/maps/search/?api=1&amp;query=24.57658581,46.61862011", "View Map")</f>
        <v>View Map</v>
      </c>
      <c r="G539" s="2">
        <v>0.86208073764221071</v>
      </c>
    </row>
    <row r="540" spans="1:7" x14ac:dyDescent="0.3">
      <c r="A540" t="s">
        <v>971</v>
      </c>
      <c r="B540" t="s">
        <v>972</v>
      </c>
      <c r="C540" t="s">
        <v>8</v>
      </c>
      <c r="D540">
        <v>8.6</v>
      </c>
      <c r="E540" s="4">
        <v>2752</v>
      </c>
      <c r="F540" t="str">
        <f>HYPERLINK("https://www.google.com/maps/search/?api=1&amp;query=24.79599263,46.62389353", "View Map")</f>
        <v>View Map</v>
      </c>
    </row>
    <row r="541" spans="1:7" x14ac:dyDescent="0.3">
      <c r="A541" t="s">
        <v>973</v>
      </c>
      <c r="B541" t="s">
        <v>974</v>
      </c>
      <c r="C541" t="s">
        <v>8</v>
      </c>
      <c r="D541">
        <v>8.5990000000000002</v>
      </c>
      <c r="E541" s="4">
        <v>2752</v>
      </c>
      <c r="F541" t="str">
        <f>HYPERLINK("https://www.google.com/maps/search/?api=1&amp;query=24.84124936,46.8070651", "View Map")</f>
        <v>View Map</v>
      </c>
      <c r="G541" s="2">
        <v>0.4890170936784296</v>
      </c>
    </row>
    <row r="542" spans="1:7" x14ac:dyDescent="0.3">
      <c r="A542" t="s">
        <v>975</v>
      </c>
      <c r="B542" t="s">
        <v>976</v>
      </c>
      <c r="C542" t="s">
        <v>8</v>
      </c>
      <c r="D542">
        <v>8.5909999999999993</v>
      </c>
      <c r="E542" s="4">
        <v>2749</v>
      </c>
      <c r="F542" t="str">
        <f>HYPERLINK("https://www.google.com/maps/search/?api=1&amp;query=24.76235781,46.70546629", "View Map")</f>
        <v>View Map</v>
      </c>
      <c r="G542" s="2">
        <v>0.77763615987547452</v>
      </c>
    </row>
    <row r="543" spans="1:7" x14ac:dyDescent="0.3">
      <c r="A543" t="s">
        <v>977</v>
      </c>
      <c r="B543" t="s">
        <v>978</v>
      </c>
      <c r="C543" t="s">
        <v>8</v>
      </c>
      <c r="D543">
        <v>8.5879999999999992</v>
      </c>
      <c r="E543" s="4">
        <v>2748</v>
      </c>
      <c r="F543" t="str">
        <f>HYPERLINK("https://www.google.com/maps/search/?api=1&amp;query=24.6788181,46.82417938", "View Map")</f>
        <v>View Map</v>
      </c>
      <c r="G543" s="2">
        <v>0.4669997510091351</v>
      </c>
    </row>
    <row r="544" spans="1:7" x14ac:dyDescent="0.3">
      <c r="A544" t="s">
        <v>678</v>
      </c>
      <c r="B544" t="s">
        <v>979</v>
      </c>
      <c r="C544" t="s">
        <v>21</v>
      </c>
      <c r="D544">
        <v>8.5790000000000006</v>
      </c>
      <c r="E544" s="4">
        <v>2745</v>
      </c>
      <c r="F544" t="str">
        <f>HYPERLINK("https://www.google.com/maps/search/?api=1&amp;query=26.23762735,44.80722975", "View Map")</f>
        <v>View Map</v>
      </c>
      <c r="G544" s="2">
        <v>0.70078269591679532</v>
      </c>
    </row>
    <row r="545" spans="1:7" x14ac:dyDescent="0.3">
      <c r="A545" t="s">
        <v>980</v>
      </c>
      <c r="B545" t="s">
        <v>981</v>
      </c>
      <c r="C545" t="s">
        <v>393</v>
      </c>
      <c r="D545">
        <v>8.5589999999999993</v>
      </c>
      <c r="E545" s="4">
        <v>2739</v>
      </c>
      <c r="F545" t="str">
        <f>HYPERLINK("https://www.google.com/maps/search/?api=1&amp;query=23.54735269,45.48600393", "View Map")</f>
        <v>View Map</v>
      </c>
      <c r="G545" s="2">
        <v>0.69817054169281689</v>
      </c>
    </row>
    <row r="546" spans="1:7" x14ac:dyDescent="0.3">
      <c r="A546" t="s">
        <v>433</v>
      </c>
      <c r="B546" t="s">
        <v>982</v>
      </c>
      <c r="C546" t="s">
        <v>137</v>
      </c>
      <c r="D546">
        <v>8.532</v>
      </c>
      <c r="E546" s="4">
        <v>2730</v>
      </c>
      <c r="F546" t="str">
        <f>HYPERLINK("https://www.google.com/maps/search/?api=1&amp;query=23.49260601,46.87017804", "View Map")</f>
        <v>View Map</v>
      </c>
      <c r="G546" s="2">
        <v>0.63362814510268795</v>
      </c>
    </row>
    <row r="547" spans="1:7" x14ac:dyDescent="0.3">
      <c r="A547" t="s">
        <v>983</v>
      </c>
      <c r="B547" t="s">
        <v>984</v>
      </c>
      <c r="C547" t="s">
        <v>30</v>
      </c>
      <c r="D547">
        <v>8.5030000000000001</v>
      </c>
      <c r="E547" s="4">
        <v>2721</v>
      </c>
      <c r="F547" t="str">
        <f>HYPERLINK("https://www.google.com/maps/search/?api=1&amp;query=24.17338817,47.34686633", "View Map")</f>
        <v>View Map</v>
      </c>
      <c r="G547" s="2">
        <v>0.68787840808490741</v>
      </c>
    </row>
    <row r="548" spans="1:7" x14ac:dyDescent="0.3">
      <c r="A548" t="s">
        <v>985</v>
      </c>
      <c r="B548" t="s">
        <v>986</v>
      </c>
      <c r="C548" t="s">
        <v>8</v>
      </c>
      <c r="D548">
        <v>8.4969999999999999</v>
      </c>
      <c r="E548" s="4">
        <v>2719</v>
      </c>
      <c r="F548" t="str">
        <f>HYPERLINK("https://www.google.com/maps/search/?api=1&amp;query=24.73936669,46.60787857", "View Map")</f>
        <v>View Map</v>
      </c>
      <c r="G548" s="2">
        <v>0.35574851915843603</v>
      </c>
    </row>
    <row r="549" spans="1:7" x14ac:dyDescent="0.3">
      <c r="A549" t="s">
        <v>150</v>
      </c>
      <c r="B549" t="s">
        <v>987</v>
      </c>
      <c r="C549" t="s">
        <v>8</v>
      </c>
      <c r="D549">
        <v>8.4909999999999997</v>
      </c>
      <c r="E549" s="4">
        <v>2717</v>
      </c>
      <c r="F549" t="str">
        <f>HYPERLINK("https://www.google.com/maps/search/?api=1&amp;query=24.81519369,46.74698505", "View Map")</f>
        <v>View Map</v>
      </c>
      <c r="G549" s="2">
        <v>0.37496050986449958</v>
      </c>
    </row>
    <row r="550" spans="1:7" x14ac:dyDescent="0.3">
      <c r="A550" t="s">
        <v>988</v>
      </c>
      <c r="B550" t="s">
        <v>989</v>
      </c>
      <c r="C550" t="s">
        <v>8</v>
      </c>
      <c r="D550">
        <v>8.49</v>
      </c>
      <c r="E550" s="4">
        <v>2717</v>
      </c>
      <c r="F550" t="str">
        <f>HYPERLINK("https://www.google.com/maps/search/?api=1&amp;query=24.63351133,46.75650956", "View Map")</f>
        <v>View Map</v>
      </c>
      <c r="G550" s="2">
        <v>0.37993767522368732</v>
      </c>
    </row>
    <row r="551" spans="1:7" x14ac:dyDescent="0.3">
      <c r="A551" t="s">
        <v>990</v>
      </c>
      <c r="B551" t="s">
        <v>991</v>
      </c>
      <c r="C551" t="s">
        <v>8</v>
      </c>
      <c r="D551">
        <v>8.4849999999999994</v>
      </c>
      <c r="E551" s="4">
        <v>2715</v>
      </c>
      <c r="F551" t="str">
        <f>HYPERLINK("https://www.google.com/maps/search/?api=1&amp;query=24.68816397,46.79045601", "View Map")</f>
        <v>View Map</v>
      </c>
    </row>
    <row r="552" spans="1:7" x14ac:dyDescent="0.3">
      <c r="A552" t="s">
        <v>992</v>
      </c>
      <c r="B552" t="s">
        <v>993</v>
      </c>
      <c r="C552" t="s">
        <v>8</v>
      </c>
      <c r="D552">
        <v>8.4770000000000003</v>
      </c>
      <c r="E552" s="4">
        <v>2713</v>
      </c>
      <c r="F552" t="str">
        <f>HYPERLINK("https://www.google.com/maps/search/?api=1&amp;query=24.73238448,46.7794887", "View Map")</f>
        <v>View Map</v>
      </c>
      <c r="G552" s="2">
        <v>0.70168205093131997</v>
      </c>
    </row>
    <row r="553" spans="1:7" x14ac:dyDescent="0.3">
      <c r="A553" t="s">
        <v>994</v>
      </c>
      <c r="B553" t="s">
        <v>995</v>
      </c>
      <c r="C553" t="s">
        <v>8</v>
      </c>
      <c r="D553">
        <v>8.4659999999999993</v>
      </c>
      <c r="E553" s="4">
        <v>2709</v>
      </c>
      <c r="F553" t="str">
        <f>HYPERLINK("https://www.google.com/maps/search/?api=1&amp;query=24.58436535,46.76394362", "View Map")</f>
        <v>View Map</v>
      </c>
      <c r="G553" s="2">
        <v>0.47465341950574502</v>
      </c>
    </row>
    <row r="554" spans="1:7" x14ac:dyDescent="0.3">
      <c r="A554" t="s">
        <v>46</v>
      </c>
      <c r="B554" t="s">
        <v>996</v>
      </c>
      <c r="C554" t="s">
        <v>8</v>
      </c>
      <c r="D554">
        <v>8.4480000000000004</v>
      </c>
      <c r="E554" s="4">
        <v>2703</v>
      </c>
      <c r="F554" t="str">
        <f>HYPERLINK("https://www.google.com/maps/search/?api=1&amp;query=24.83047201,46.60662697", "View Map")</f>
        <v>View Map</v>
      </c>
      <c r="G554" s="2">
        <v>0.49668522528800152</v>
      </c>
    </row>
    <row r="555" spans="1:7" x14ac:dyDescent="0.3">
      <c r="A555" t="s">
        <v>997</v>
      </c>
      <c r="B555" t="s">
        <v>998</v>
      </c>
      <c r="C555" t="s">
        <v>8</v>
      </c>
      <c r="D555">
        <v>8.4190000000000005</v>
      </c>
      <c r="E555" s="4">
        <v>2694</v>
      </c>
      <c r="F555" t="str">
        <f>HYPERLINK("https://www.google.com/maps/search/?api=1&amp;query=24.77136132,46.77601617", "View Map")</f>
        <v>View Map</v>
      </c>
      <c r="G555" s="2">
        <v>0.72139714619379458</v>
      </c>
    </row>
    <row r="556" spans="1:7" x14ac:dyDescent="0.3">
      <c r="A556" t="s">
        <v>999</v>
      </c>
      <c r="B556" t="s">
        <v>1000</v>
      </c>
      <c r="C556" t="s">
        <v>8</v>
      </c>
      <c r="D556">
        <v>8.4109999999999996</v>
      </c>
      <c r="E556" s="4">
        <v>2691</v>
      </c>
      <c r="F556" t="str">
        <f>HYPERLINK("https://www.google.com/maps/search/?api=1&amp;query=24.58050058,46.76986772", "View Map")</f>
        <v>View Map</v>
      </c>
      <c r="G556" s="2">
        <v>0.67435805084144684</v>
      </c>
    </row>
    <row r="557" spans="1:7" x14ac:dyDescent="0.3">
      <c r="A557" t="s">
        <v>46</v>
      </c>
      <c r="B557" t="s">
        <v>1001</v>
      </c>
      <c r="C557" t="s">
        <v>8</v>
      </c>
      <c r="D557">
        <v>8.3940000000000001</v>
      </c>
      <c r="E557" s="4">
        <v>2686</v>
      </c>
      <c r="F557" t="str">
        <f>HYPERLINK("https://www.google.com/maps/search/?api=1&amp;query=24.81598812,46.72746", "View Map")</f>
        <v>View Map</v>
      </c>
    </row>
    <row r="558" spans="1:7" x14ac:dyDescent="0.3">
      <c r="A558" t="s">
        <v>1002</v>
      </c>
      <c r="B558" t="s">
        <v>1003</v>
      </c>
      <c r="C558" t="s">
        <v>214</v>
      </c>
      <c r="D558">
        <v>8.3840000000000003</v>
      </c>
      <c r="E558" s="4">
        <v>2683</v>
      </c>
      <c r="F558" t="str">
        <f>HYPERLINK("https://www.google.com/maps/search/?api=1&amp;query=25.91560952,45.39291536", "View Map")</f>
        <v>View Map</v>
      </c>
      <c r="G558" s="2">
        <v>0.4864330563895703</v>
      </c>
    </row>
    <row r="559" spans="1:7" x14ac:dyDescent="0.3">
      <c r="A559" t="s">
        <v>259</v>
      </c>
      <c r="B559" t="s">
        <v>1004</v>
      </c>
      <c r="C559" t="s">
        <v>8</v>
      </c>
      <c r="D559">
        <v>8.3780000000000001</v>
      </c>
      <c r="E559" s="4">
        <v>2681</v>
      </c>
      <c r="F559" t="str">
        <f>HYPERLINK("https://www.google.com/maps/search/?api=1&amp;query=24.70510695,46.66334575", "View Map")</f>
        <v>View Map</v>
      </c>
      <c r="G559" s="2">
        <v>0.63868454484156034</v>
      </c>
    </row>
    <row r="560" spans="1:7" x14ac:dyDescent="0.3">
      <c r="A560" t="s">
        <v>1005</v>
      </c>
      <c r="B560" t="s">
        <v>1006</v>
      </c>
      <c r="C560" t="s">
        <v>8</v>
      </c>
      <c r="D560">
        <v>8.3759999999999994</v>
      </c>
      <c r="E560" s="4">
        <v>2680</v>
      </c>
      <c r="F560" t="str">
        <f>HYPERLINK("https://www.google.com/maps/search/?api=1&amp;query=24.70246352,46.83920778", "View Map")</f>
        <v>View Map</v>
      </c>
      <c r="G560" s="2">
        <v>0.49316001682512117</v>
      </c>
    </row>
    <row r="561" spans="1:7" x14ac:dyDescent="0.3">
      <c r="A561" t="s">
        <v>1007</v>
      </c>
      <c r="B561" t="s">
        <v>1008</v>
      </c>
      <c r="C561" t="s">
        <v>8</v>
      </c>
      <c r="D561">
        <v>8.3409999999999993</v>
      </c>
      <c r="E561" s="4">
        <v>2669</v>
      </c>
      <c r="F561" t="str">
        <f>HYPERLINK("https://www.google.com/maps/search/?api=1&amp;query=24.58650463,46.68320732", "View Map")</f>
        <v>View Map</v>
      </c>
      <c r="G561" s="2">
        <v>0.50223091842002066</v>
      </c>
    </row>
    <row r="562" spans="1:7" x14ac:dyDescent="0.3">
      <c r="A562" t="s">
        <v>1009</v>
      </c>
      <c r="B562" t="s">
        <v>1010</v>
      </c>
      <c r="C562" t="s">
        <v>8</v>
      </c>
      <c r="D562">
        <v>8.3309999999999995</v>
      </c>
      <c r="E562" s="4">
        <v>2666</v>
      </c>
      <c r="F562" t="str">
        <f>HYPERLINK("https://www.google.com/maps/search/?api=1&amp;query=24.56869511,46.69673166", "View Map")</f>
        <v>View Map</v>
      </c>
      <c r="G562" s="2">
        <v>0.47556157507597319</v>
      </c>
    </row>
    <row r="563" spans="1:7" x14ac:dyDescent="0.3">
      <c r="A563" t="s">
        <v>46</v>
      </c>
      <c r="B563" t="s">
        <v>1011</v>
      </c>
      <c r="C563" t="s">
        <v>8</v>
      </c>
      <c r="D563">
        <v>8.3190000000000008</v>
      </c>
      <c r="E563" s="4">
        <v>2662</v>
      </c>
      <c r="F563" t="str">
        <f>HYPERLINK("https://www.google.com/maps/search/?api=1&amp;query=24.85509467,46.65538219", "View Map")</f>
        <v>View Map</v>
      </c>
      <c r="G563" s="2">
        <v>0.63885609266171917</v>
      </c>
    </row>
    <row r="564" spans="1:7" x14ac:dyDescent="0.3">
      <c r="A564" t="s">
        <v>1012</v>
      </c>
      <c r="B564" t="s">
        <v>1013</v>
      </c>
      <c r="C564" t="s">
        <v>8</v>
      </c>
      <c r="D564">
        <v>8.31</v>
      </c>
      <c r="E564" s="4">
        <v>2659</v>
      </c>
      <c r="F564" t="str">
        <f>HYPERLINK("https://www.google.com/maps/search/?api=1&amp;query=24.67867249,46.79019099", "View Map")</f>
        <v>View Map</v>
      </c>
      <c r="G564" s="2">
        <v>0.6224415995638628</v>
      </c>
    </row>
    <row r="565" spans="1:7" x14ac:dyDescent="0.3">
      <c r="A565" t="s">
        <v>997</v>
      </c>
      <c r="B565" t="s">
        <v>1014</v>
      </c>
      <c r="C565" t="s">
        <v>8</v>
      </c>
      <c r="D565">
        <v>8.2959999999999994</v>
      </c>
      <c r="E565" s="4">
        <v>2655</v>
      </c>
      <c r="F565" t="str">
        <f>HYPERLINK("https://www.google.com/maps/search/?api=1&amp;query=24.77136506,46.77602207", "View Map")</f>
        <v>View Map</v>
      </c>
      <c r="G565" s="2">
        <v>0.7033002499348785</v>
      </c>
    </row>
    <row r="566" spans="1:7" x14ac:dyDescent="0.3">
      <c r="A566" t="s">
        <v>1015</v>
      </c>
      <c r="B566" t="s">
        <v>1016</v>
      </c>
      <c r="C566" t="s">
        <v>8</v>
      </c>
      <c r="D566">
        <v>8.2759999999999998</v>
      </c>
      <c r="E566" s="4">
        <v>2648</v>
      </c>
      <c r="F566" t="str">
        <f>HYPERLINK("https://www.google.com/maps/search/?api=1&amp;query=24.74282844,46.76123553", "View Map")</f>
        <v>View Map</v>
      </c>
      <c r="G566" s="2">
        <v>0.42210138304218869</v>
      </c>
    </row>
    <row r="567" spans="1:7" x14ac:dyDescent="0.3">
      <c r="A567" t="s">
        <v>1017</v>
      </c>
      <c r="B567" t="s">
        <v>1018</v>
      </c>
      <c r="C567" t="s">
        <v>8</v>
      </c>
      <c r="D567">
        <v>8.2479999999999993</v>
      </c>
      <c r="E567" s="4">
        <v>2639</v>
      </c>
      <c r="F567" t="str">
        <f>HYPERLINK("https://www.google.com/maps/search/?api=1&amp;query=24.58311375,46.67311891", "View Map")</f>
        <v>View Map</v>
      </c>
      <c r="G567" s="2">
        <v>0.51297413624574972</v>
      </c>
    </row>
    <row r="568" spans="1:7" x14ac:dyDescent="0.3">
      <c r="A568" t="s">
        <v>46</v>
      </c>
      <c r="B568" t="s">
        <v>1019</v>
      </c>
      <c r="C568" t="s">
        <v>8</v>
      </c>
      <c r="D568">
        <v>8.2409999999999997</v>
      </c>
      <c r="E568" s="4">
        <v>2637</v>
      </c>
      <c r="F568" t="str">
        <f>HYPERLINK("https://www.google.com/maps/search/?api=1&amp;query=24.86585165,46.67032626", "View Map")</f>
        <v>View Map</v>
      </c>
      <c r="G568" s="2">
        <v>0.30536250369296758</v>
      </c>
    </row>
    <row r="569" spans="1:7" x14ac:dyDescent="0.3">
      <c r="A569" t="s">
        <v>1020</v>
      </c>
      <c r="B569" t="s">
        <v>1021</v>
      </c>
      <c r="C569" t="s">
        <v>8</v>
      </c>
      <c r="D569">
        <v>8.2379999999999995</v>
      </c>
      <c r="E569" s="4">
        <v>2636</v>
      </c>
      <c r="F569" t="str">
        <f>HYPERLINK("https://www.google.com/maps/search/?api=1&amp;query=24.53392485,46.6891485", "View Map")</f>
        <v>View Map</v>
      </c>
      <c r="G569" s="2">
        <v>0.65051478526579942</v>
      </c>
    </row>
    <row r="570" spans="1:7" x14ac:dyDescent="0.3">
      <c r="A570" t="s">
        <v>1022</v>
      </c>
      <c r="B570" t="s">
        <v>1023</v>
      </c>
      <c r="C570" t="s">
        <v>8</v>
      </c>
      <c r="D570">
        <v>8.23</v>
      </c>
      <c r="E570" s="4">
        <v>2634</v>
      </c>
      <c r="F570" t="str">
        <f>HYPERLINK("https://www.google.com/maps/search/?api=1&amp;query=24.76045268,46.66736514", "View Map")</f>
        <v>View Map</v>
      </c>
      <c r="G570" s="2">
        <v>0.51002645061756835</v>
      </c>
    </row>
    <row r="571" spans="1:7" x14ac:dyDescent="0.3">
      <c r="A571" t="s">
        <v>1024</v>
      </c>
      <c r="B571" t="s">
        <v>1025</v>
      </c>
      <c r="C571" t="s">
        <v>291</v>
      </c>
      <c r="D571">
        <v>8.2140000000000004</v>
      </c>
      <c r="E571" s="4">
        <v>2629</v>
      </c>
      <c r="F571" t="str">
        <f>HYPERLINK("https://www.google.com/maps/search/?api=1&amp;query=24.47537055,45.67232534", "View Map")</f>
        <v>View Map</v>
      </c>
      <c r="G571" s="2">
        <v>0.62888235617781274</v>
      </c>
    </row>
    <row r="572" spans="1:7" x14ac:dyDescent="0.3">
      <c r="A572" t="s">
        <v>46</v>
      </c>
      <c r="B572" t="s">
        <v>1026</v>
      </c>
      <c r="C572" t="s">
        <v>8</v>
      </c>
      <c r="D572">
        <v>8.2100000000000009</v>
      </c>
      <c r="E572" s="4">
        <v>2627</v>
      </c>
      <c r="F572" t="str">
        <f>HYPERLINK("https://www.google.com/maps/search/?api=1&amp;query=24.76371,46.69553", "View Map")</f>
        <v>View Map</v>
      </c>
    </row>
    <row r="573" spans="1:7" x14ac:dyDescent="0.3">
      <c r="A573" t="s">
        <v>1027</v>
      </c>
      <c r="B573" t="s">
        <v>1028</v>
      </c>
      <c r="C573" t="s">
        <v>8</v>
      </c>
      <c r="D573">
        <v>8.2080000000000002</v>
      </c>
      <c r="E573" s="4">
        <v>2627</v>
      </c>
      <c r="F573" t="str">
        <f>HYPERLINK("https://www.google.com/maps/search/?api=1&amp;query=24.75376616,46.70238851", "View Map")</f>
        <v>View Map</v>
      </c>
      <c r="G573" s="2">
        <v>0.36105804224007149</v>
      </c>
    </row>
    <row r="574" spans="1:7" x14ac:dyDescent="0.3">
      <c r="A574" t="s">
        <v>46</v>
      </c>
      <c r="B574" t="s">
        <v>1029</v>
      </c>
      <c r="C574" t="s">
        <v>8</v>
      </c>
      <c r="D574">
        <v>8.2040000000000006</v>
      </c>
      <c r="E574" s="4">
        <v>2625</v>
      </c>
      <c r="F574" t="str">
        <f>HYPERLINK("https://www.google.com/maps/search/?api=1&amp;query=24.8135129,46.87169413", "View Map")</f>
        <v>View Map</v>
      </c>
      <c r="G574" s="2">
        <v>0.35480455041743481</v>
      </c>
    </row>
    <row r="575" spans="1:7" x14ac:dyDescent="0.3">
      <c r="A575" t="s">
        <v>146</v>
      </c>
      <c r="B575" t="s">
        <v>1030</v>
      </c>
      <c r="C575" t="s">
        <v>8</v>
      </c>
      <c r="D575">
        <v>8.202</v>
      </c>
      <c r="E575" s="4">
        <v>2625</v>
      </c>
      <c r="F575" t="str">
        <f>HYPERLINK("https://www.google.com/maps/search/?api=1&amp;query=24.67075781,46.74287983", "View Map")</f>
        <v>View Map</v>
      </c>
      <c r="G575" s="2">
        <v>0.40543969130912272</v>
      </c>
    </row>
    <row r="576" spans="1:7" x14ac:dyDescent="0.3">
      <c r="A576" t="s">
        <v>1031</v>
      </c>
      <c r="B576" t="s">
        <v>1032</v>
      </c>
      <c r="C576" t="s">
        <v>8</v>
      </c>
      <c r="D576">
        <v>8.1999999999999993</v>
      </c>
      <c r="E576" s="4">
        <v>2624</v>
      </c>
      <c r="F576" t="str">
        <f>HYPERLINK("https://www.google.com/maps/search/?api=1&amp;query=24.63539422,46.72565958", "View Map")</f>
        <v>View Map</v>
      </c>
      <c r="G576" s="2">
        <v>0.36862446430945878</v>
      </c>
    </row>
    <row r="577" spans="1:7" x14ac:dyDescent="0.3">
      <c r="A577" t="s">
        <v>46</v>
      </c>
      <c r="B577" t="s">
        <v>1033</v>
      </c>
      <c r="C577" t="s">
        <v>820</v>
      </c>
      <c r="D577">
        <v>8.1950000000000003</v>
      </c>
      <c r="E577" s="4">
        <v>2622</v>
      </c>
      <c r="F577" t="str">
        <f>HYPERLINK("https://www.google.com/maps/search/?api=1&amp;query=0.0,0.0", "View Map")</f>
        <v>View Map</v>
      </c>
      <c r="G577" s="2">
        <v>0.63270940860399849</v>
      </c>
    </row>
    <row r="578" spans="1:7" x14ac:dyDescent="0.3">
      <c r="A578" t="s">
        <v>1034</v>
      </c>
      <c r="B578" t="s">
        <v>1035</v>
      </c>
      <c r="C578" t="s">
        <v>8</v>
      </c>
      <c r="D578">
        <v>8.1920000000000002</v>
      </c>
      <c r="E578" s="4">
        <v>2621</v>
      </c>
      <c r="F578" t="str">
        <f>HYPERLINK("https://www.google.com/maps/search/?api=1&amp;query=24.77773437,46.7627915", "View Map")</f>
        <v>View Map</v>
      </c>
      <c r="G578" s="2">
        <v>0.39187401024275043</v>
      </c>
    </row>
    <row r="579" spans="1:7" x14ac:dyDescent="0.3">
      <c r="A579" t="s">
        <v>1036</v>
      </c>
      <c r="B579" t="s">
        <v>1037</v>
      </c>
      <c r="C579" t="s">
        <v>8</v>
      </c>
      <c r="D579">
        <v>8.1470000000000002</v>
      </c>
      <c r="E579" s="4">
        <v>2607</v>
      </c>
      <c r="F579" t="str">
        <f>HYPERLINK("https://www.google.com/maps/search/?api=1&amp;query=24.69985,46.61384", "View Map")</f>
        <v>View Map</v>
      </c>
      <c r="G579" s="2">
        <v>0.64895421894788474</v>
      </c>
    </row>
    <row r="580" spans="1:7" x14ac:dyDescent="0.3">
      <c r="A580" t="s">
        <v>1038</v>
      </c>
      <c r="B580" t="s">
        <v>1039</v>
      </c>
      <c r="C580" t="s">
        <v>8</v>
      </c>
      <c r="D580">
        <v>8.1340000000000003</v>
      </c>
      <c r="E580" s="4">
        <v>2603</v>
      </c>
      <c r="F580" t="str">
        <f>HYPERLINK("https://www.google.com/maps/search/?api=1&amp;query=24.77764025,46.70036209", "View Map")</f>
        <v>View Map</v>
      </c>
      <c r="G580" s="2">
        <v>0.65844580519560059</v>
      </c>
    </row>
    <row r="581" spans="1:7" x14ac:dyDescent="0.3">
      <c r="A581" t="s">
        <v>963</v>
      </c>
      <c r="B581" t="s">
        <v>1040</v>
      </c>
      <c r="C581" t="s">
        <v>241</v>
      </c>
      <c r="D581">
        <v>8.1189999999999998</v>
      </c>
      <c r="E581" s="4">
        <v>2598</v>
      </c>
      <c r="F581" t="str">
        <f>HYPERLINK("https://www.google.com/maps/search/?api=1&amp;query=20.44978469,44.77434045", "View Map")</f>
        <v>View Map</v>
      </c>
      <c r="G581" s="2">
        <v>0.57357802433652405</v>
      </c>
    </row>
    <row r="582" spans="1:7" x14ac:dyDescent="0.3">
      <c r="A582" t="s">
        <v>1041</v>
      </c>
      <c r="B582" t="s">
        <v>1042</v>
      </c>
      <c r="C582" t="s">
        <v>8</v>
      </c>
      <c r="D582">
        <v>8.1039999999999992</v>
      </c>
      <c r="E582" s="4">
        <v>2593</v>
      </c>
      <c r="F582" t="str">
        <f>HYPERLINK("https://www.google.com/maps/search/?api=1&amp;query=24.70161253,46.81505033", "View Map")</f>
        <v>View Map</v>
      </c>
    </row>
    <row r="583" spans="1:7" x14ac:dyDescent="0.3">
      <c r="A583" t="s">
        <v>1043</v>
      </c>
      <c r="B583" t="s">
        <v>1044</v>
      </c>
      <c r="C583" t="s">
        <v>8</v>
      </c>
      <c r="D583">
        <v>8.0990000000000002</v>
      </c>
      <c r="E583" s="4">
        <v>2592</v>
      </c>
      <c r="F583" t="str">
        <f>HYPERLINK("https://www.google.com/maps/search/?api=1&amp;query=24.77883873,46.62993097", "View Map")</f>
        <v>View Map</v>
      </c>
      <c r="G583" s="2">
        <v>0.80160771156659782</v>
      </c>
    </row>
    <row r="584" spans="1:7" x14ac:dyDescent="0.3">
      <c r="A584" t="s">
        <v>46</v>
      </c>
      <c r="B584" t="s">
        <v>1045</v>
      </c>
      <c r="C584" t="s">
        <v>8</v>
      </c>
      <c r="D584">
        <v>8.0879999999999992</v>
      </c>
      <c r="E584" s="4">
        <v>2588</v>
      </c>
      <c r="F584" t="str">
        <f>HYPERLINK("https://www.google.com/maps/search/?api=1&amp;query=24.78699481,46.60725271", "View Map")</f>
        <v>View Map</v>
      </c>
      <c r="G584" s="2">
        <v>0.58298465938621868</v>
      </c>
    </row>
    <row r="585" spans="1:7" x14ac:dyDescent="0.3">
      <c r="A585" t="s">
        <v>1046</v>
      </c>
      <c r="B585" t="s">
        <v>1047</v>
      </c>
      <c r="C585" t="s">
        <v>8</v>
      </c>
      <c r="D585">
        <v>8.0790000000000006</v>
      </c>
      <c r="E585" s="4">
        <v>2585</v>
      </c>
      <c r="F585" t="str">
        <f>HYPERLINK("https://www.google.com/maps/search/?api=1&amp;query=24.71303789,46.81407533", "View Map")</f>
        <v>View Map</v>
      </c>
    </row>
    <row r="586" spans="1:7" x14ac:dyDescent="0.3">
      <c r="A586" t="s">
        <v>335</v>
      </c>
      <c r="B586" t="s">
        <v>1048</v>
      </c>
      <c r="C586" t="s">
        <v>21</v>
      </c>
      <c r="D586">
        <v>8.077</v>
      </c>
      <c r="E586" s="4">
        <v>2585</v>
      </c>
      <c r="F586" t="str">
        <f>HYPERLINK("https://www.google.com/maps/search/?api=1&amp;query=26.30506907,44.80998338", "View Map")</f>
        <v>View Map</v>
      </c>
      <c r="G586" s="2">
        <v>0.42934160697175711</v>
      </c>
    </row>
    <row r="587" spans="1:7" x14ac:dyDescent="0.3">
      <c r="A587" t="s">
        <v>46</v>
      </c>
      <c r="B587" t="s">
        <v>1049</v>
      </c>
      <c r="C587" t="s">
        <v>8</v>
      </c>
      <c r="D587">
        <v>8.0730000000000004</v>
      </c>
      <c r="E587" s="4">
        <v>2583</v>
      </c>
      <c r="F587" t="str">
        <f>HYPERLINK("https://www.google.com/maps/search/?api=1&amp;query=24.78988799,46.69180053", "View Map")</f>
        <v>View Map</v>
      </c>
    </row>
    <row r="588" spans="1:7" x14ac:dyDescent="0.3">
      <c r="A588" t="s">
        <v>46</v>
      </c>
      <c r="B588" t="s">
        <v>1050</v>
      </c>
      <c r="C588" t="s">
        <v>8</v>
      </c>
      <c r="D588">
        <v>8.0670000000000002</v>
      </c>
      <c r="E588" s="4">
        <v>2582</v>
      </c>
      <c r="F588" t="str">
        <f>HYPERLINK("https://www.google.com/maps/search/?api=1&amp;query=24.81972881,46.75291477", "View Map")</f>
        <v>View Map</v>
      </c>
    </row>
    <row r="589" spans="1:7" x14ac:dyDescent="0.3">
      <c r="A589" t="s">
        <v>1051</v>
      </c>
      <c r="B589" t="s">
        <v>1052</v>
      </c>
      <c r="C589" t="s">
        <v>214</v>
      </c>
      <c r="D589">
        <v>8.0429999999999993</v>
      </c>
      <c r="E589" s="4">
        <v>2574</v>
      </c>
      <c r="F589" t="str">
        <f>HYPERLINK("https://www.google.com/maps/search/?api=1&amp;query=26.42395464,45.16643909", "View Map")</f>
        <v>View Map</v>
      </c>
      <c r="G589" s="2">
        <v>0.75580699208492785</v>
      </c>
    </row>
    <row r="590" spans="1:7" x14ac:dyDescent="0.3">
      <c r="A590" t="s">
        <v>1053</v>
      </c>
      <c r="B590" t="s">
        <v>1054</v>
      </c>
      <c r="C590" t="s">
        <v>8</v>
      </c>
      <c r="D590">
        <v>8.0419999999999998</v>
      </c>
      <c r="E590" s="4">
        <v>2573</v>
      </c>
      <c r="F590" t="str">
        <f>HYPERLINK("https://www.google.com/maps/search/?api=1&amp;query=24.66213054,46.80220782", "View Map")</f>
        <v>View Map</v>
      </c>
      <c r="G590" s="2">
        <v>0.46294711090166568</v>
      </c>
    </row>
    <row r="591" spans="1:7" x14ac:dyDescent="0.3">
      <c r="A591" t="s">
        <v>1055</v>
      </c>
      <c r="B591" t="s">
        <v>1056</v>
      </c>
      <c r="C591" t="s">
        <v>8</v>
      </c>
      <c r="D591">
        <v>8.0419999999999998</v>
      </c>
      <c r="E591" s="4">
        <v>2574</v>
      </c>
      <c r="F591" t="str">
        <f>HYPERLINK("https://www.google.com/maps/search/?api=1&amp;query=24.55460023,46.70358808", "View Map")</f>
        <v>View Map</v>
      </c>
      <c r="G591" s="2">
        <v>0.40427156050518959</v>
      </c>
    </row>
    <row r="592" spans="1:7" x14ac:dyDescent="0.3">
      <c r="A592" t="s">
        <v>1057</v>
      </c>
      <c r="B592" t="s">
        <v>1058</v>
      </c>
      <c r="C592" t="s">
        <v>8</v>
      </c>
      <c r="D592">
        <v>8.0280000000000005</v>
      </c>
      <c r="E592" s="4">
        <v>2569</v>
      </c>
      <c r="F592" t="str">
        <f>HYPERLINK("https://www.google.com/maps/search/?api=1&amp;query=24.66241953,46.70152815", "View Map")</f>
        <v>View Map</v>
      </c>
      <c r="G592" s="2">
        <v>0.66896754241690526</v>
      </c>
    </row>
    <row r="593" spans="1:7" x14ac:dyDescent="0.3">
      <c r="A593" t="s">
        <v>1059</v>
      </c>
      <c r="B593" t="s">
        <v>1060</v>
      </c>
      <c r="C593" t="s">
        <v>16</v>
      </c>
      <c r="D593">
        <v>8.0229999999999997</v>
      </c>
      <c r="E593" s="4">
        <v>2567</v>
      </c>
      <c r="F593" t="str">
        <f>HYPERLINK("https://www.google.com/maps/search/?api=1&amp;query=23.91686527,42.92406133", "View Map")</f>
        <v>View Map</v>
      </c>
    </row>
    <row r="594" spans="1:7" x14ac:dyDescent="0.3">
      <c r="A594" t="s">
        <v>678</v>
      </c>
      <c r="B594" t="s">
        <v>1061</v>
      </c>
      <c r="C594" t="s">
        <v>21</v>
      </c>
      <c r="D594">
        <v>8.0190000000000001</v>
      </c>
      <c r="E594" s="4">
        <v>2566</v>
      </c>
      <c r="F594" t="str">
        <f>HYPERLINK("https://www.google.com/maps/search/?api=1&amp;query=26.33586435,44.80312445", "View Map")</f>
        <v>View Map</v>
      </c>
      <c r="G594" s="2">
        <v>0.58905157695551746</v>
      </c>
    </row>
    <row r="595" spans="1:7" x14ac:dyDescent="0.3">
      <c r="A595" t="s">
        <v>1062</v>
      </c>
      <c r="B595" t="s">
        <v>1063</v>
      </c>
      <c r="C595" t="s">
        <v>8</v>
      </c>
      <c r="D595">
        <v>8.016</v>
      </c>
      <c r="E595" s="4">
        <v>2565</v>
      </c>
      <c r="F595" t="str">
        <f>HYPERLINK("https://www.google.com/maps/search/?api=1&amp;query=24.5502942,46.67884709", "View Map")</f>
        <v>View Map</v>
      </c>
    </row>
    <row r="596" spans="1:7" x14ac:dyDescent="0.3">
      <c r="A596" t="s">
        <v>1064</v>
      </c>
      <c r="B596" t="s">
        <v>1065</v>
      </c>
      <c r="C596" t="s">
        <v>8</v>
      </c>
      <c r="D596">
        <v>8.0120000000000005</v>
      </c>
      <c r="E596" s="4">
        <v>2564</v>
      </c>
      <c r="F596" t="str">
        <f>HYPERLINK("https://www.google.com/maps/search/?api=1&amp;query=24.57383797,46.78921138", "View Map")</f>
        <v>View Map</v>
      </c>
      <c r="G596" s="2">
        <v>0.47523147780422992</v>
      </c>
    </row>
    <row r="597" spans="1:7" x14ac:dyDescent="0.3">
      <c r="A597" t="s">
        <v>1066</v>
      </c>
      <c r="B597" t="s">
        <v>1067</v>
      </c>
      <c r="C597" t="s">
        <v>8</v>
      </c>
      <c r="D597">
        <v>8.0030000000000001</v>
      </c>
      <c r="E597" s="4">
        <v>2561</v>
      </c>
      <c r="F597" t="str">
        <f>HYPERLINK("https://www.google.com/maps/search/?api=1&amp;query=24.80888206,46.62844027", "View Map")</f>
        <v>View Map</v>
      </c>
      <c r="G597" s="2">
        <v>0.58390710281201075</v>
      </c>
    </row>
    <row r="598" spans="1:7" x14ac:dyDescent="0.3">
      <c r="A598" t="s">
        <v>46</v>
      </c>
      <c r="B598" t="s">
        <v>1068</v>
      </c>
      <c r="C598" t="s">
        <v>8</v>
      </c>
      <c r="D598">
        <v>8.0020000000000007</v>
      </c>
      <c r="E598" s="4">
        <v>2561</v>
      </c>
      <c r="F598" t="str">
        <f>HYPERLINK("https://www.google.com/maps/search/?api=1&amp;query=24.84047586,46.632355", "View Map")</f>
        <v>View Map</v>
      </c>
    </row>
    <row r="599" spans="1:7" x14ac:dyDescent="0.3">
      <c r="A599" t="s">
        <v>46</v>
      </c>
      <c r="B599" t="s">
        <v>1069</v>
      </c>
      <c r="C599" t="s">
        <v>8</v>
      </c>
      <c r="D599">
        <v>7.9989999999999997</v>
      </c>
      <c r="E599" s="4">
        <v>2560</v>
      </c>
      <c r="F599" t="str">
        <f>HYPERLINK("https://www.google.com/maps/search/?api=1&amp;query=24.88566615,46.80618013", "View Map")</f>
        <v>View Map</v>
      </c>
      <c r="G599" s="2">
        <v>0.65438884632881833</v>
      </c>
    </row>
    <row r="600" spans="1:7" x14ac:dyDescent="0.3">
      <c r="A600" t="s">
        <v>1070</v>
      </c>
      <c r="B600" t="s">
        <v>1071</v>
      </c>
      <c r="C600" t="s">
        <v>8</v>
      </c>
      <c r="D600">
        <v>7.99</v>
      </c>
      <c r="E600" s="4">
        <v>2557</v>
      </c>
      <c r="F600" t="str">
        <f>HYPERLINK("https://www.google.com/maps/search/?api=1&amp;query=24.79035264,46.81383299", "View Map")</f>
        <v>View Map</v>
      </c>
      <c r="G600" s="2">
        <v>0.50143685281881045</v>
      </c>
    </row>
    <row r="601" spans="1:7" x14ac:dyDescent="0.3">
      <c r="A601" t="s">
        <v>464</v>
      </c>
      <c r="B601" t="s">
        <v>1072</v>
      </c>
      <c r="C601" t="s">
        <v>466</v>
      </c>
      <c r="D601">
        <v>7.9640000000000004</v>
      </c>
      <c r="E601" s="4">
        <v>2548</v>
      </c>
      <c r="F601" t="str">
        <f>HYPERLINK("https://www.google.com/maps/search/?api=1&amp;query=24.59521066,46.10587349", "View Map")</f>
        <v>View Map</v>
      </c>
      <c r="G601" s="2">
        <v>0.67208407790513069</v>
      </c>
    </row>
    <row r="602" spans="1:7" x14ac:dyDescent="0.3">
      <c r="A602" t="s">
        <v>1073</v>
      </c>
      <c r="B602" t="s">
        <v>1074</v>
      </c>
      <c r="C602" t="s">
        <v>291</v>
      </c>
      <c r="D602">
        <v>7.9610000000000003</v>
      </c>
      <c r="E602" s="4">
        <v>2547</v>
      </c>
      <c r="F602" t="str">
        <f>HYPERLINK("https://www.google.com/maps/search/?api=1&amp;query=24.33484622,45.80896281", "View Map")</f>
        <v>View Map</v>
      </c>
      <c r="G602" s="2">
        <v>0.58375587864329237</v>
      </c>
    </row>
    <row r="603" spans="1:7" x14ac:dyDescent="0.3">
      <c r="A603" t="s">
        <v>1075</v>
      </c>
      <c r="B603" t="s">
        <v>1076</v>
      </c>
      <c r="C603" t="s">
        <v>8</v>
      </c>
      <c r="D603">
        <v>7.9569999999999999</v>
      </c>
      <c r="E603" s="4">
        <v>2546</v>
      </c>
      <c r="F603" t="str">
        <f>HYPERLINK("https://www.google.com/maps/search/?api=1&amp;query=24.7585534,46.65049362", "View Map")</f>
        <v>View Map</v>
      </c>
    </row>
    <row r="604" spans="1:7" x14ac:dyDescent="0.3">
      <c r="A604" t="s">
        <v>1077</v>
      </c>
      <c r="B604" t="s">
        <v>1078</v>
      </c>
      <c r="C604" t="s">
        <v>8</v>
      </c>
      <c r="D604">
        <v>7.9480000000000004</v>
      </c>
      <c r="E604" s="4">
        <v>2543</v>
      </c>
      <c r="F604" t="str">
        <f>HYPERLINK("https://www.google.com/maps/search/?api=1&amp;query=24.71732238,46.77786977", "View Map")</f>
        <v>View Map</v>
      </c>
      <c r="G604" s="2">
        <v>0.45797440781052551</v>
      </c>
    </row>
    <row r="605" spans="1:7" x14ac:dyDescent="0.3">
      <c r="A605" t="s">
        <v>46</v>
      </c>
      <c r="B605" t="s">
        <v>1079</v>
      </c>
      <c r="C605" t="s">
        <v>8</v>
      </c>
      <c r="D605">
        <v>7.9429999999999996</v>
      </c>
      <c r="E605" s="4">
        <v>2542</v>
      </c>
      <c r="F605" t="str">
        <f>HYPERLINK("https://www.google.com/maps/search/?api=1&amp;query=24.83307,46.68694", "View Map")</f>
        <v>View Map</v>
      </c>
    </row>
    <row r="606" spans="1:7" x14ac:dyDescent="0.3">
      <c r="A606" t="s">
        <v>1080</v>
      </c>
      <c r="B606" t="s">
        <v>1081</v>
      </c>
      <c r="C606" t="s">
        <v>8</v>
      </c>
      <c r="D606">
        <v>7.9320000000000004</v>
      </c>
      <c r="E606" s="4">
        <v>2538</v>
      </c>
      <c r="F606" t="str">
        <f>HYPERLINK("https://www.google.com/maps/search/?api=1&amp;query=24.78701492,46.73868576", "View Map")</f>
        <v>View Map</v>
      </c>
      <c r="G606" s="2">
        <v>0.58610390857441519</v>
      </c>
    </row>
    <row r="607" spans="1:7" x14ac:dyDescent="0.3">
      <c r="A607" t="s">
        <v>46</v>
      </c>
      <c r="B607" t="s">
        <v>1082</v>
      </c>
      <c r="C607" t="s">
        <v>820</v>
      </c>
      <c r="D607">
        <v>7.9240000000000004</v>
      </c>
      <c r="E607" s="4">
        <v>2536</v>
      </c>
      <c r="F607" t="str">
        <f>HYPERLINK("https://www.google.com/maps/search/?api=1&amp;query=0.0,0.0", "View Map")</f>
        <v>View Map</v>
      </c>
      <c r="G607" s="2">
        <v>0.60824870998761038</v>
      </c>
    </row>
    <row r="608" spans="1:7" x14ac:dyDescent="0.3">
      <c r="A608" t="s">
        <v>1083</v>
      </c>
      <c r="B608" t="s">
        <v>1084</v>
      </c>
      <c r="C608" t="s">
        <v>8</v>
      </c>
      <c r="D608">
        <v>7.9219999999999997</v>
      </c>
      <c r="E608" s="4">
        <v>2535</v>
      </c>
      <c r="F608" t="str">
        <f>HYPERLINK("https://www.google.com/maps/search/?api=1&amp;query=24.75112788,46.65064676", "View Map")</f>
        <v>View Map</v>
      </c>
      <c r="G608" s="2">
        <v>0.57462993639847226</v>
      </c>
    </row>
    <row r="609" spans="1:7" x14ac:dyDescent="0.3">
      <c r="A609" t="s">
        <v>1085</v>
      </c>
      <c r="B609" t="s">
        <v>1086</v>
      </c>
      <c r="C609" t="s">
        <v>291</v>
      </c>
      <c r="D609">
        <v>7.915</v>
      </c>
      <c r="E609" s="4">
        <v>2533</v>
      </c>
      <c r="F609" t="str">
        <f>HYPERLINK("https://www.google.com/maps/search/?api=1&amp;query=23.66352275,44.72388227", "View Map")</f>
        <v>View Map</v>
      </c>
      <c r="G609" s="2">
        <v>0.69713048328832206</v>
      </c>
    </row>
    <row r="610" spans="1:7" x14ac:dyDescent="0.3">
      <c r="A610" t="s">
        <v>146</v>
      </c>
      <c r="B610" t="s">
        <v>1087</v>
      </c>
      <c r="C610" t="s">
        <v>8</v>
      </c>
      <c r="D610">
        <v>7.9089999999999998</v>
      </c>
      <c r="E610" s="4">
        <v>2531</v>
      </c>
      <c r="F610" t="str">
        <f>HYPERLINK("https://www.google.com/maps/search/?api=1&amp;query=24.6125,46.7017", "View Map")</f>
        <v>View Map</v>
      </c>
    </row>
    <row r="611" spans="1:7" x14ac:dyDescent="0.3">
      <c r="A611" t="s">
        <v>1088</v>
      </c>
      <c r="B611" t="s">
        <v>1089</v>
      </c>
      <c r="C611" t="s">
        <v>255</v>
      </c>
      <c r="D611">
        <v>7.9020000000000001</v>
      </c>
      <c r="E611" s="4">
        <v>2529</v>
      </c>
      <c r="F611" t="str">
        <f>HYPERLINK("https://www.google.com/maps/search/?api=1&amp;query=25.20257864,44.59703068", "View Map")</f>
        <v>View Map</v>
      </c>
      <c r="G611" s="2">
        <v>0.68496810004830944</v>
      </c>
    </row>
    <row r="612" spans="1:7" x14ac:dyDescent="0.3">
      <c r="A612" t="s">
        <v>1090</v>
      </c>
      <c r="B612" t="s">
        <v>1091</v>
      </c>
      <c r="C612" t="s">
        <v>883</v>
      </c>
      <c r="D612">
        <v>7.9</v>
      </c>
      <c r="E612" s="4">
        <v>2528</v>
      </c>
      <c r="F612" t="str">
        <f>HYPERLINK("https://www.google.com/maps/search/?api=1&amp;query=25.56981422,47.1471895", "View Map")</f>
        <v>View Map</v>
      </c>
      <c r="G612" s="2">
        <v>0.76492742287288096</v>
      </c>
    </row>
    <row r="613" spans="1:7" x14ac:dyDescent="0.3">
      <c r="A613" t="s">
        <v>1092</v>
      </c>
      <c r="B613" t="s">
        <v>1093</v>
      </c>
      <c r="C613" t="s">
        <v>8</v>
      </c>
      <c r="D613">
        <v>7.8949999999999996</v>
      </c>
      <c r="E613" s="4">
        <v>2526</v>
      </c>
      <c r="F613" t="str">
        <f>HYPERLINK("https://www.google.com/maps/search/?api=1&amp;query=24.74185043,46.792993", "View Map")</f>
        <v>View Map</v>
      </c>
      <c r="G613" s="2">
        <v>0.76915412549363249</v>
      </c>
    </row>
    <row r="614" spans="1:7" x14ac:dyDescent="0.3">
      <c r="A614" t="s">
        <v>858</v>
      </c>
      <c r="B614" t="s">
        <v>1094</v>
      </c>
      <c r="C614" t="s">
        <v>8</v>
      </c>
      <c r="D614">
        <v>7.8949999999999996</v>
      </c>
      <c r="E614" s="4">
        <v>2526</v>
      </c>
      <c r="F614" t="str">
        <f>HYPERLINK("https://www.google.com/maps/search/?api=1&amp;query=24.754226,46.77333975", "View Map")</f>
        <v>View Map</v>
      </c>
    </row>
    <row r="615" spans="1:7" x14ac:dyDescent="0.3">
      <c r="A615" t="s">
        <v>46</v>
      </c>
      <c r="B615" t="s">
        <v>1095</v>
      </c>
      <c r="C615" t="s">
        <v>8</v>
      </c>
      <c r="D615">
        <v>7.89</v>
      </c>
      <c r="E615" s="4">
        <v>2525</v>
      </c>
      <c r="F615" t="str">
        <f>HYPERLINK("https://www.google.com/maps/search/?api=1&amp;query=24.6137815,46.75777171", "View Map")</f>
        <v>View Map</v>
      </c>
    </row>
    <row r="616" spans="1:7" x14ac:dyDescent="0.3">
      <c r="A616" t="s">
        <v>1096</v>
      </c>
      <c r="B616" t="s">
        <v>1097</v>
      </c>
      <c r="C616" t="s">
        <v>241</v>
      </c>
      <c r="D616">
        <v>7.8840000000000003</v>
      </c>
      <c r="E616" s="4">
        <v>2523</v>
      </c>
      <c r="F616" t="str">
        <f>HYPERLINK("https://www.google.com/maps/search/?api=1&amp;query=20.48200068,44.77792373", "View Map")</f>
        <v>View Map</v>
      </c>
      <c r="G616" s="2">
        <v>0.40209614471567151</v>
      </c>
    </row>
    <row r="617" spans="1:7" x14ac:dyDescent="0.3">
      <c r="A617" t="s">
        <v>146</v>
      </c>
      <c r="B617" t="s">
        <v>1098</v>
      </c>
      <c r="C617" t="s">
        <v>8</v>
      </c>
      <c r="D617">
        <v>7.8819999999999997</v>
      </c>
      <c r="E617" s="4">
        <v>2522</v>
      </c>
      <c r="F617" t="str">
        <f>HYPERLINK("https://www.google.com/maps/search/?api=1&amp;query=24.69169,46.57999", "View Map")</f>
        <v>View Map</v>
      </c>
      <c r="G617" s="2">
        <v>0.53065028411984227</v>
      </c>
    </row>
    <row r="618" spans="1:7" x14ac:dyDescent="0.3">
      <c r="A618" t="s">
        <v>1099</v>
      </c>
      <c r="B618" t="s">
        <v>1100</v>
      </c>
      <c r="C618" t="s">
        <v>30</v>
      </c>
      <c r="D618">
        <v>7.87</v>
      </c>
      <c r="E618" s="4">
        <v>2519</v>
      </c>
      <c r="F618" t="str">
        <f>HYPERLINK("https://www.google.com/maps/search/?api=1&amp;query=24.117,47.939", "View Map")</f>
        <v>View Map</v>
      </c>
      <c r="G618" s="2">
        <v>0.55506426249892171</v>
      </c>
    </row>
    <row r="619" spans="1:7" x14ac:dyDescent="0.3">
      <c r="A619" t="s">
        <v>1101</v>
      </c>
      <c r="B619" t="s">
        <v>1102</v>
      </c>
      <c r="C619" t="s">
        <v>8</v>
      </c>
      <c r="D619">
        <v>7.859</v>
      </c>
      <c r="E619" s="4">
        <v>2515</v>
      </c>
      <c r="F619" t="str">
        <f>HYPERLINK("https://www.google.com/maps/search/?api=1&amp;query=24.80595262,46.60508968", "View Map")</f>
        <v>View Map</v>
      </c>
      <c r="G619" s="2">
        <v>0.45075323608432971</v>
      </c>
    </row>
    <row r="620" spans="1:7" x14ac:dyDescent="0.3">
      <c r="A620" t="s">
        <v>46</v>
      </c>
      <c r="B620" t="s">
        <v>1103</v>
      </c>
      <c r="C620" t="s">
        <v>8</v>
      </c>
      <c r="D620">
        <v>7.859</v>
      </c>
      <c r="E620" s="4">
        <v>2515</v>
      </c>
      <c r="F620" t="str">
        <f>HYPERLINK("https://www.google.com/maps/search/?api=1&amp;query=24.67053403,46.54612797", "View Map")</f>
        <v>View Map</v>
      </c>
      <c r="G620" s="2">
        <v>0.548650949874113</v>
      </c>
    </row>
    <row r="621" spans="1:7" x14ac:dyDescent="0.3">
      <c r="A621" t="s">
        <v>1104</v>
      </c>
      <c r="B621" t="s">
        <v>1105</v>
      </c>
      <c r="C621" t="s">
        <v>8</v>
      </c>
      <c r="D621">
        <v>7.8380000000000001</v>
      </c>
      <c r="E621" s="4">
        <v>2508</v>
      </c>
      <c r="F621" t="str">
        <f>HYPERLINK("https://www.google.com/maps/search/?api=1&amp;query=24.72750417,46.7666192", "View Map")</f>
        <v>View Map</v>
      </c>
      <c r="G621" s="2">
        <v>0.5067898626001579</v>
      </c>
    </row>
    <row r="622" spans="1:7" x14ac:dyDescent="0.3">
      <c r="A622" t="s">
        <v>1106</v>
      </c>
      <c r="B622" t="s">
        <v>1107</v>
      </c>
      <c r="C622" t="s">
        <v>8</v>
      </c>
      <c r="D622">
        <v>7.8369999999999997</v>
      </c>
      <c r="E622" s="4">
        <v>2508</v>
      </c>
      <c r="F622" t="str">
        <f>HYPERLINK("https://www.google.com/maps/search/?api=1&amp;query=24.72711563,46.65582048", "View Map")</f>
        <v>View Map</v>
      </c>
    </row>
    <row r="623" spans="1:7" x14ac:dyDescent="0.3">
      <c r="A623" t="s">
        <v>1108</v>
      </c>
      <c r="B623" t="s">
        <v>1109</v>
      </c>
      <c r="C623" t="s">
        <v>30</v>
      </c>
      <c r="D623">
        <v>7.835</v>
      </c>
      <c r="E623" s="4">
        <v>2507</v>
      </c>
      <c r="F623" t="str">
        <f>HYPERLINK("https://www.google.com/maps/search/?api=1&amp;query=24.16025664,47.31870038", "View Map")</f>
        <v>View Map</v>
      </c>
    </row>
    <row r="624" spans="1:7" x14ac:dyDescent="0.3">
      <c r="A624" t="s">
        <v>1110</v>
      </c>
      <c r="B624" t="s">
        <v>1111</v>
      </c>
      <c r="C624" t="s">
        <v>1112</v>
      </c>
      <c r="D624">
        <v>7.8289999999999997</v>
      </c>
      <c r="E624" s="4">
        <v>2505</v>
      </c>
      <c r="F624" t="str">
        <f>HYPERLINK("https://www.google.com/maps/search/?api=1&amp;query=26.01802025,44.92578941", "View Map")</f>
        <v>View Map</v>
      </c>
      <c r="G624" s="2">
        <v>0.42405183960186049</v>
      </c>
    </row>
    <row r="625" spans="1:7" x14ac:dyDescent="0.3">
      <c r="A625" t="s">
        <v>1113</v>
      </c>
      <c r="B625" t="s">
        <v>1114</v>
      </c>
      <c r="C625" t="s">
        <v>8</v>
      </c>
      <c r="D625">
        <v>7.8259999999999996</v>
      </c>
      <c r="E625" s="4">
        <v>2504</v>
      </c>
      <c r="F625" t="str">
        <f>HYPERLINK("https://www.google.com/maps/search/?api=1&amp;query=24.7129834,46.79048354", "View Map")</f>
        <v>View Map</v>
      </c>
    </row>
    <row r="626" spans="1:7" x14ac:dyDescent="0.3">
      <c r="A626" t="s">
        <v>146</v>
      </c>
      <c r="B626" t="s">
        <v>1115</v>
      </c>
      <c r="C626" t="s">
        <v>8</v>
      </c>
      <c r="D626">
        <v>7.8220000000000001</v>
      </c>
      <c r="E626" s="4">
        <v>2503</v>
      </c>
      <c r="F626" t="str">
        <f>HYPERLINK("https://www.google.com/maps/search/?api=1&amp;query=24.56143855,46.55122751", "View Map")</f>
        <v>View Map</v>
      </c>
    </row>
    <row r="627" spans="1:7" x14ac:dyDescent="0.3">
      <c r="A627" t="s">
        <v>1116</v>
      </c>
      <c r="B627" t="s">
        <v>1117</v>
      </c>
      <c r="C627" t="s">
        <v>8</v>
      </c>
      <c r="D627">
        <v>7.819</v>
      </c>
      <c r="E627" s="4">
        <v>2502</v>
      </c>
      <c r="F627" t="str">
        <f>HYPERLINK("https://www.google.com/maps/search/?api=1&amp;query=24.76381798,46.66711131", "View Map")</f>
        <v>View Map</v>
      </c>
    </row>
    <row r="628" spans="1:7" x14ac:dyDescent="0.3">
      <c r="A628" t="s">
        <v>1118</v>
      </c>
      <c r="B628" t="s">
        <v>1119</v>
      </c>
      <c r="C628" t="s">
        <v>8</v>
      </c>
      <c r="D628">
        <v>7.7949999999999999</v>
      </c>
      <c r="E628" s="4">
        <v>2494</v>
      </c>
      <c r="F628" t="str">
        <f>HYPERLINK("https://www.google.com/maps/search/?api=1&amp;query=24.80948888,46.63975357", "View Map")</f>
        <v>View Map</v>
      </c>
      <c r="G628" s="2">
        <v>0.69081960319617397</v>
      </c>
    </row>
    <row r="629" spans="1:7" x14ac:dyDescent="0.3">
      <c r="A629" t="s">
        <v>1120</v>
      </c>
      <c r="B629" t="s">
        <v>1121</v>
      </c>
      <c r="C629" t="s">
        <v>8</v>
      </c>
      <c r="D629">
        <v>7.7830000000000004</v>
      </c>
      <c r="E629" s="4">
        <v>2490</v>
      </c>
      <c r="F629" t="str">
        <f>HYPERLINK("https://www.google.com/maps/search/?api=1&amp;query=24.78604308,46.76298235", "View Map")</f>
        <v>View Map</v>
      </c>
    </row>
    <row r="630" spans="1:7" x14ac:dyDescent="0.3">
      <c r="A630" t="s">
        <v>1122</v>
      </c>
      <c r="B630" t="s">
        <v>1123</v>
      </c>
      <c r="C630" t="s">
        <v>214</v>
      </c>
      <c r="D630">
        <v>7.7779999999999996</v>
      </c>
      <c r="E630" s="4">
        <v>2489</v>
      </c>
      <c r="F630" t="str">
        <f>HYPERLINK("https://www.google.com/maps/search/?api=1&amp;query=25.70312563,45.59412699", "View Map")</f>
        <v>View Map</v>
      </c>
      <c r="G630" s="2">
        <v>0.56378777588866602</v>
      </c>
    </row>
    <row r="631" spans="1:7" x14ac:dyDescent="0.3">
      <c r="A631" t="s">
        <v>1124</v>
      </c>
      <c r="B631" t="s">
        <v>1125</v>
      </c>
      <c r="C631" t="s">
        <v>8</v>
      </c>
      <c r="D631">
        <v>7.7679999999999998</v>
      </c>
      <c r="E631" s="4">
        <v>2486</v>
      </c>
      <c r="F631" t="str">
        <f>HYPERLINK("https://www.google.com/maps/search/?api=1&amp;query=24.65996461,46.74198876", "View Map")</f>
        <v>View Map</v>
      </c>
      <c r="G631" s="2">
        <v>0.2599472833794963</v>
      </c>
    </row>
    <row r="632" spans="1:7" x14ac:dyDescent="0.3">
      <c r="A632" t="s">
        <v>1126</v>
      </c>
      <c r="B632" t="s">
        <v>1127</v>
      </c>
      <c r="C632" t="s">
        <v>8</v>
      </c>
      <c r="D632">
        <v>7.7629999999999999</v>
      </c>
      <c r="E632" s="4">
        <v>2484</v>
      </c>
      <c r="F632" t="str">
        <f>HYPERLINK("https://www.google.com/maps/search/?api=1&amp;query=24.59596687,46.63667737", "View Map")</f>
        <v>View Map</v>
      </c>
    </row>
    <row r="633" spans="1:7" x14ac:dyDescent="0.3">
      <c r="A633" t="s">
        <v>1128</v>
      </c>
      <c r="B633" t="s">
        <v>1129</v>
      </c>
      <c r="C633" t="s">
        <v>30</v>
      </c>
      <c r="D633">
        <v>7.7519999999999998</v>
      </c>
      <c r="E633" s="4">
        <v>2481</v>
      </c>
      <c r="F633" t="str">
        <f>HYPERLINK("https://www.google.com/maps/search/?api=1&amp;query=24.12010915,47.27391282", "View Map")</f>
        <v>View Map</v>
      </c>
      <c r="G633" s="2">
        <v>0.60873605317888613</v>
      </c>
    </row>
    <row r="634" spans="1:7" x14ac:dyDescent="0.3">
      <c r="A634" t="s">
        <v>1130</v>
      </c>
      <c r="B634" t="s">
        <v>1131</v>
      </c>
      <c r="C634" t="s">
        <v>8</v>
      </c>
      <c r="D634">
        <v>7.7430000000000003</v>
      </c>
      <c r="E634" s="4">
        <v>2478</v>
      </c>
      <c r="F634" t="str">
        <f>HYPERLINK("https://www.google.com/maps/search/?api=1&amp;query=24.69581022,46.64611761", "View Map")</f>
        <v>View Map</v>
      </c>
    </row>
    <row r="635" spans="1:7" x14ac:dyDescent="0.3">
      <c r="A635" t="s">
        <v>1132</v>
      </c>
      <c r="B635" t="s">
        <v>1133</v>
      </c>
      <c r="C635" t="s">
        <v>466</v>
      </c>
      <c r="D635">
        <v>7.7359999999999998</v>
      </c>
      <c r="E635" s="4">
        <v>2476</v>
      </c>
      <c r="F635" t="str">
        <f>HYPERLINK("https://www.google.com/maps/search/?api=1&amp;query=24.49004984,46.17018803", "View Map")</f>
        <v>View Map</v>
      </c>
      <c r="G635" s="2">
        <v>0.45994425646412312</v>
      </c>
    </row>
    <row r="636" spans="1:7" x14ac:dyDescent="0.3">
      <c r="A636" t="s">
        <v>289</v>
      </c>
      <c r="B636" t="s">
        <v>1134</v>
      </c>
      <c r="C636" t="s">
        <v>291</v>
      </c>
      <c r="D636">
        <v>7.71</v>
      </c>
      <c r="E636" s="4">
        <v>2467</v>
      </c>
      <c r="F636" t="str">
        <f>HYPERLINK("https://www.google.com/maps/search/?api=1&amp;query=24.08557491,45.33983807", "View Map")</f>
        <v>View Map</v>
      </c>
      <c r="G636" s="2">
        <v>0.70285541382771144</v>
      </c>
    </row>
    <row r="637" spans="1:7" x14ac:dyDescent="0.3">
      <c r="A637" t="s">
        <v>1135</v>
      </c>
      <c r="B637" t="s">
        <v>1136</v>
      </c>
      <c r="C637" t="s">
        <v>8</v>
      </c>
      <c r="D637">
        <v>7.6920000000000002</v>
      </c>
      <c r="E637" s="4">
        <v>2462</v>
      </c>
      <c r="F637" t="str">
        <f>HYPERLINK("https://www.google.com/maps/search/?api=1&amp;query=24.73280569,46.66256694", "View Map")</f>
        <v>View Map</v>
      </c>
    </row>
    <row r="638" spans="1:7" x14ac:dyDescent="0.3">
      <c r="A638" t="s">
        <v>1137</v>
      </c>
      <c r="B638" t="s">
        <v>1138</v>
      </c>
      <c r="C638" t="s">
        <v>8</v>
      </c>
      <c r="D638">
        <v>7.6829999999999998</v>
      </c>
      <c r="E638" s="4">
        <v>2459</v>
      </c>
      <c r="F638" t="str">
        <f>HYPERLINK("https://www.google.com/maps/search/?api=1&amp;query=24.71149664,46.77371062", "View Map")</f>
        <v>View Map</v>
      </c>
      <c r="G638" s="2">
        <v>1.3601472843183551</v>
      </c>
    </row>
    <row r="639" spans="1:7" x14ac:dyDescent="0.3">
      <c r="A639" t="s">
        <v>1139</v>
      </c>
      <c r="B639" t="s">
        <v>1140</v>
      </c>
      <c r="C639" t="s">
        <v>8</v>
      </c>
      <c r="D639">
        <v>7.681</v>
      </c>
      <c r="E639" s="4">
        <v>2458</v>
      </c>
      <c r="F639" t="str">
        <f>HYPERLINK("https://www.google.com/maps/search/?api=1&amp;query=24.6757,46.63011", "View Map")</f>
        <v>View Map</v>
      </c>
      <c r="G639" s="2">
        <v>0.67764635007038221</v>
      </c>
    </row>
    <row r="640" spans="1:7" x14ac:dyDescent="0.3">
      <c r="A640" t="s">
        <v>1141</v>
      </c>
      <c r="B640" t="s">
        <v>1142</v>
      </c>
      <c r="C640" t="s">
        <v>8</v>
      </c>
      <c r="D640">
        <v>7.6760000000000002</v>
      </c>
      <c r="E640" s="4">
        <v>2456</v>
      </c>
      <c r="F640" t="str">
        <f>HYPERLINK("https://www.google.com/maps/search/?api=1&amp;query=24.65289934,46.55807417", "View Map")</f>
        <v>View Map</v>
      </c>
    </row>
    <row r="641" spans="1:7" x14ac:dyDescent="0.3">
      <c r="A641" t="s">
        <v>1143</v>
      </c>
      <c r="B641" t="s">
        <v>1144</v>
      </c>
      <c r="C641" t="s">
        <v>296</v>
      </c>
      <c r="D641">
        <v>7.6710000000000003</v>
      </c>
      <c r="E641" s="4">
        <v>2455</v>
      </c>
      <c r="F641" t="str">
        <f>HYPERLINK("https://www.google.com/maps/search/?api=1&amp;query=24.4598844,46.2605871", "View Map")</f>
        <v>View Map</v>
      </c>
      <c r="G641" s="2">
        <v>0.44506472928696489</v>
      </c>
    </row>
    <row r="642" spans="1:7" x14ac:dyDescent="0.3">
      <c r="A642" t="s">
        <v>706</v>
      </c>
      <c r="B642" t="s">
        <v>1145</v>
      </c>
      <c r="C642" t="s">
        <v>8</v>
      </c>
      <c r="D642">
        <v>7.665</v>
      </c>
      <c r="E642" s="4">
        <v>2453</v>
      </c>
      <c r="F642" t="str">
        <f>HYPERLINK("https://www.google.com/maps/search/?api=1&amp;query=24.56920344,46.5368839", "View Map")</f>
        <v>View Map</v>
      </c>
    </row>
    <row r="643" spans="1:7" x14ac:dyDescent="0.3">
      <c r="A643" t="s">
        <v>146</v>
      </c>
      <c r="B643" t="s">
        <v>1146</v>
      </c>
      <c r="C643" t="s">
        <v>8</v>
      </c>
      <c r="D643">
        <v>7.6630000000000003</v>
      </c>
      <c r="E643" s="4">
        <v>2452</v>
      </c>
      <c r="F643" t="str">
        <f>HYPERLINK("https://www.google.com/maps/search/?api=1&amp;query=24.62704288,46.70263391", "View Map")</f>
        <v>View Map</v>
      </c>
    </row>
    <row r="644" spans="1:7" x14ac:dyDescent="0.3">
      <c r="A644" t="s">
        <v>146</v>
      </c>
      <c r="B644" t="s">
        <v>1147</v>
      </c>
      <c r="C644" t="s">
        <v>8</v>
      </c>
      <c r="D644">
        <v>7.65</v>
      </c>
      <c r="E644" s="4">
        <v>2448</v>
      </c>
      <c r="F644" t="str">
        <f>HYPERLINK("https://www.google.com/maps/search/?api=1&amp;query=24.55363955,46.6674507", "View Map")</f>
        <v>View Map</v>
      </c>
    </row>
    <row r="645" spans="1:7" x14ac:dyDescent="0.3">
      <c r="A645" t="s">
        <v>1148</v>
      </c>
      <c r="B645" t="s">
        <v>1149</v>
      </c>
      <c r="C645" t="s">
        <v>8</v>
      </c>
      <c r="D645">
        <v>7.6440000000000001</v>
      </c>
      <c r="E645" s="4">
        <v>2446</v>
      </c>
      <c r="F645" t="str">
        <f>HYPERLINK("https://www.google.com/maps/search/?api=1&amp;query=24.56681704,46.68363232", "View Map")</f>
        <v>View Map</v>
      </c>
      <c r="G645" s="2">
        <v>0.58942734559807641</v>
      </c>
    </row>
    <row r="646" spans="1:7" x14ac:dyDescent="0.3">
      <c r="A646" t="s">
        <v>1150</v>
      </c>
      <c r="B646" t="s">
        <v>1151</v>
      </c>
      <c r="C646" t="s">
        <v>8</v>
      </c>
      <c r="D646">
        <v>7.6280000000000001</v>
      </c>
      <c r="E646" s="4">
        <v>2441</v>
      </c>
      <c r="F646" t="str">
        <f>HYPERLINK("https://www.google.com/maps/search/?api=1&amp;query=24.69643018,46.86031652", "View Map")</f>
        <v>View Map</v>
      </c>
      <c r="G646" s="2">
        <v>0.50551515733131869</v>
      </c>
    </row>
    <row r="647" spans="1:7" x14ac:dyDescent="0.3">
      <c r="A647" t="s">
        <v>1152</v>
      </c>
      <c r="B647" t="s">
        <v>1153</v>
      </c>
      <c r="C647" t="s">
        <v>8</v>
      </c>
      <c r="D647">
        <v>7.6219999999999999</v>
      </c>
      <c r="E647" s="4">
        <v>2439</v>
      </c>
      <c r="F647" t="str">
        <f>HYPERLINK("https://www.google.com/maps/search/?api=1&amp;query=24.76530146,46.62392789", "View Map")</f>
        <v>View Map</v>
      </c>
      <c r="G647" s="2">
        <v>0.56345961020875412</v>
      </c>
    </row>
    <row r="648" spans="1:7" x14ac:dyDescent="0.3">
      <c r="A648" t="s">
        <v>1154</v>
      </c>
      <c r="B648" t="s">
        <v>1155</v>
      </c>
      <c r="C648" t="s">
        <v>8</v>
      </c>
      <c r="D648">
        <v>7.6219999999999999</v>
      </c>
      <c r="E648" s="4">
        <v>2439</v>
      </c>
      <c r="F648" t="str">
        <f>HYPERLINK("https://www.google.com/maps/search/?api=1&amp;query=24.64746215,46.79678856", "View Map")</f>
        <v>View Map</v>
      </c>
      <c r="G648" s="2">
        <v>0.54562475560209189</v>
      </c>
    </row>
    <row r="649" spans="1:7" x14ac:dyDescent="0.3">
      <c r="A649" t="s">
        <v>1156</v>
      </c>
      <c r="B649" t="s">
        <v>1157</v>
      </c>
      <c r="C649" t="s">
        <v>8</v>
      </c>
      <c r="D649">
        <v>7.6189999999999998</v>
      </c>
      <c r="E649" s="4">
        <v>2438</v>
      </c>
      <c r="F649" t="str">
        <f>HYPERLINK("https://www.google.com/maps/search/?api=1&amp;query=24.7526,46.70686", "View Map")</f>
        <v>View Map</v>
      </c>
      <c r="G649" s="2">
        <v>0.6227035496164719</v>
      </c>
    </row>
    <row r="650" spans="1:7" x14ac:dyDescent="0.3">
      <c r="A650" t="s">
        <v>1158</v>
      </c>
      <c r="B650" t="s">
        <v>1159</v>
      </c>
      <c r="C650" t="s">
        <v>8</v>
      </c>
      <c r="D650">
        <v>7.6139999999999999</v>
      </c>
      <c r="E650" s="4">
        <v>2436</v>
      </c>
      <c r="F650" t="str">
        <f>HYPERLINK("https://www.google.com/maps/search/?api=1&amp;query=24.73141341,46.81933181", "View Map")</f>
        <v>View Map</v>
      </c>
      <c r="G650" s="2">
        <v>0.3737565529553632</v>
      </c>
    </row>
    <row r="651" spans="1:7" x14ac:dyDescent="0.3">
      <c r="A651" t="s">
        <v>1160</v>
      </c>
      <c r="B651" t="s">
        <v>1161</v>
      </c>
      <c r="C651" t="s">
        <v>291</v>
      </c>
      <c r="D651">
        <v>7.6020000000000003</v>
      </c>
      <c r="E651" s="4">
        <v>2433</v>
      </c>
      <c r="F651" t="str">
        <f>HYPERLINK("https://www.google.com/maps/search/?api=1&amp;query=23.72264249,44.65141602", "View Map")</f>
        <v>View Map</v>
      </c>
      <c r="G651" s="2">
        <v>0.50738085181189052</v>
      </c>
    </row>
    <row r="652" spans="1:7" x14ac:dyDescent="0.3">
      <c r="A652" t="s">
        <v>1162</v>
      </c>
      <c r="B652" t="s">
        <v>1163</v>
      </c>
      <c r="C652" t="s">
        <v>8</v>
      </c>
      <c r="D652">
        <v>7.5819999999999999</v>
      </c>
      <c r="E652" s="4">
        <v>2426</v>
      </c>
      <c r="F652" t="str">
        <f>HYPERLINK("https://www.google.com/maps/search/?api=1&amp;query=24.76065,46.73701", "View Map")</f>
        <v>View Map</v>
      </c>
    </row>
    <row r="653" spans="1:7" x14ac:dyDescent="0.3">
      <c r="A653" t="s">
        <v>1164</v>
      </c>
      <c r="B653" t="s">
        <v>1165</v>
      </c>
      <c r="C653" t="s">
        <v>8</v>
      </c>
      <c r="D653">
        <v>7.577</v>
      </c>
      <c r="E653" s="4">
        <v>2425</v>
      </c>
      <c r="F653" t="str">
        <f>HYPERLINK("https://www.google.com/maps/search/?api=1&amp;query=24.78580006,46.64839887", "View Map")</f>
        <v>View Map</v>
      </c>
    </row>
    <row r="654" spans="1:7" x14ac:dyDescent="0.3">
      <c r="A654" t="s">
        <v>150</v>
      </c>
      <c r="B654" t="s">
        <v>1166</v>
      </c>
      <c r="C654" t="s">
        <v>8</v>
      </c>
      <c r="D654">
        <v>7.5469999999999997</v>
      </c>
      <c r="E654" s="4">
        <v>2415</v>
      </c>
      <c r="F654" t="str">
        <f>HYPERLINK("https://www.google.com/maps/search/?api=1&amp;query=24.82038687,46.60498046", "View Map")</f>
        <v>View Map</v>
      </c>
      <c r="G654" s="2">
        <v>0.50687838820788589</v>
      </c>
    </row>
    <row r="655" spans="1:7" x14ac:dyDescent="0.3">
      <c r="A655" t="s">
        <v>1167</v>
      </c>
      <c r="B655" t="s">
        <v>1168</v>
      </c>
      <c r="C655" t="s">
        <v>8</v>
      </c>
      <c r="D655">
        <v>7.5439999999999996</v>
      </c>
      <c r="E655" s="4">
        <v>2414</v>
      </c>
      <c r="F655" t="str">
        <f>HYPERLINK("https://www.google.com/maps/search/?api=1&amp;query=24.74905368,46.62230801", "View Map")</f>
        <v>View Map</v>
      </c>
      <c r="G655" s="2">
        <v>0.36719869970116781</v>
      </c>
    </row>
    <row r="656" spans="1:7" x14ac:dyDescent="0.3">
      <c r="A656" t="s">
        <v>1169</v>
      </c>
      <c r="B656" t="s">
        <v>1170</v>
      </c>
      <c r="C656" t="s">
        <v>8</v>
      </c>
      <c r="D656">
        <v>7.54</v>
      </c>
      <c r="E656" s="4">
        <v>2413</v>
      </c>
      <c r="F656" t="str">
        <f>HYPERLINK("https://www.google.com/maps/search/?api=1&amp;query=24.6269,46.6867", "View Map")</f>
        <v>View Map</v>
      </c>
      <c r="G656" s="2">
        <v>0.7515141325986322</v>
      </c>
    </row>
    <row r="657" spans="1:7" x14ac:dyDescent="0.3">
      <c r="A657" t="s">
        <v>795</v>
      </c>
      <c r="B657" t="s">
        <v>1171</v>
      </c>
      <c r="C657" t="s">
        <v>8</v>
      </c>
      <c r="D657">
        <v>7.5380000000000003</v>
      </c>
      <c r="E657" s="4">
        <v>2412</v>
      </c>
      <c r="F657" t="str">
        <f>HYPERLINK("https://www.google.com/maps/search/?api=1&amp;query=24.70479326,46.77123185", "View Map")</f>
        <v>View Map</v>
      </c>
      <c r="G657" s="2">
        <v>0.3910035233797739</v>
      </c>
    </row>
    <row r="658" spans="1:7" x14ac:dyDescent="0.3">
      <c r="A658" t="s">
        <v>1172</v>
      </c>
      <c r="B658" t="s">
        <v>1173</v>
      </c>
      <c r="C658" t="s">
        <v>8</v>
      </c>
      <c r="D658">
        <v>7.5250000000000004</v>
      </c>
      <c r="E658" s="4">
        <v>2408</v>
      </c>
      <c r="F658" t="str">
        <f>HYPERLINK("https://www.google.com/maps/search/?api=1&amp;query=24.7089,46.7492", "View Map")</f>
        <v>View Map</v>
      </c>
      <c r="G658" s="2">
        <v>0.40804070156157141</v>
      </c>
    </row>
    <row r="659" spans="1:7" x14ac:dyDescent="0.3">
      <c r="A659" t="s">
        <v>1174</v>
      </c>
      <c r="B659" t="s">
        <v>1175</v>
      </c>
      <c r="C659" t="s">
        <v>8</v>
      </c>
      <c r="D659">
        <v>7.5129999999999999</v>
      </c>
      <c r="E659" s="4">
        <v>2404</v>
      </c>
      <c r="F659" t="str">
        <f>HYPERLINK("https://www.google.com/maps/search/?api=1&amp;query=24.64598,46.70929", "View Map")</f>
        <v>View Map</v>
      </c>
      <c r="G659" s="2">
        <v>0.68433394385889856</v>
      </c>
    </row>
    <row r="660" spans="1:7" x14ac:dyDescent="0.3">
      <c r="A660" t="s">
        <v>990</v>
      </c>
      <c r="B660" t="s">
        <v>1176</v>
      </c>
      <c r="C660" t="s">
        <v>8</v>
      </c>
      <c r="D660">
        <v>7.4880000000000004</v>
      </c>
      <c r="E660" s="4">
        <v>2396</v>
      </c>
      <c r="F660" t="str">
        <f>HYPERLINK("https://www.google.com/maps/search/?api=1&amp;query=24.69013529,46.78902388", "View Map")</f>
        <v>View Map</v>
      </c>
      <c r="G660" s="2">
        <v>0.57340015319143167</v>
      </c>
    </row>
    <row r="661" spans="1:7" x14ac:dyDescent="0.3">
      <c r="A661" t="s">
        <v>678</v>
      </c>
      <c r="B661" t="s">
        <v>1177</v>
      </c>
      <c r="C661" t="s">
        <v>21</v>
      </c>
      <c r="D661">
        <v>7.4729999999999999</v>
      </c>
      <c r="E661" s="4">
        <v>2391</v>
      </c>
      <c r="F661" t="str">
        <f>HYPERLINK("https://www.google.com/maps/search/?api=1&amp;query=26.32287771,44.80793044", "View Map")</f>
        <v>View Map</v>
      </c>
    </row>
    <row r="662" spans="1:7" x14ac:dyDescent="0.3">
      <c r="A662" t="s">
        <v>46</v>
      </c>
      <c r="B662" t="s">
        <v>1178</v>
      </c>
      <c r="C662" t="s">
        <v>8</v>
      </c>
      <c r="D662">
        <v>7.47</v>
      </c>
      <c r="E662" s="4">
        <v>2390</v>
      </c>
      <c r="F662" t="str">
        <f>HYPERLINK("https://www.google.com/maps/search/?api=1&amp;query=24.79032223,46.59870231", "View Map")</f>
        <v>View Map</v>
      </c>
    </row>
    <row r="663" spans="1:7" x14ac:dyDescent="0.3">
      <c r="A663" t="s">
        <v>150</v>
      </c>
      <c r="B663" t="s">
        <v>1179</v>
      </c>
      <c r="C663" t="s">
        <v>8</v>
      </c>
      <c r="D663">
        <v>7.4610000000000003</v>
      </c>
      <c r="E663" s="4">
        <v>2387</v>
      </c>
      <c r="F663" t="str">
        <f>HYPERLINK("https://www.google.com/maps/search/?api=1&amp;query=24.83148734,46.88593313", "View Map")</f>
        <v>View Map</v>
      </c>
      <c r="G663" s="2">
        <v>0.69859608577675969</v>
      </c>
    </row>
    <row r="664" spans="1:7" x14ac:dyDescent="0.3">
      <c r="A664" t="s">
        <v>1180</v>
      </c>
      <c r="B664" t="s">
        <v>1181</v>
      </c>
      <c r="C664" t="s">
        <v>8</v>
      </c>
      <c r="D664">
        <v>7.4569999999999999</v>
      </c>
      <c r="E664" s="4">
        <v>2386</v>
      </c>
      <c r="F664" t="str">
        <f>HYPERLINK("https://www.google.com/maps/search/?api=1&amp;query=24.76524922,46.6271013", "View Map")</f>
        <v>View Map</v>
      </c>
    </row>
    <row r="665" spans="1:7" x14ac:dyDescent="0.3">
      <c r="A665" t="s">
        <v>46</v>
      </c>
      <c r="B665" t="s">
        <v>1182</v>
      </c>
      <c r="C665" t="s">
        <v>8</v>
      </c>
      <c r="D665">
        <v>7.4530000000000003</v>
      </c>
      <c r="E665" s="4">
        <v>2385</v>
      </c>
      <c r="F665" t="str">
        <f>HYPERLINK("https://www.google.com/maps/search/?api=1&amp;query=24.83703111,46.77066822", "View Map")</f>
        <v>View Map</v>
      </c>
    </row>
    <row r="666" spans="1:7" x14ac:dyDescent="0.3">
      <c r="A666" t="s">
        <v>1183</v>
      </c>
      <c r="B666" t="s">
        <v>1184</v>
      </c>
      <c r="C666" t="s">
        <v>255</v>
      </c>
      <c r="D666">
        <v>7.4509999999999996</v>
      </c>
      <c r="E666" s="4">
        <v>2384</v>
      </c>
      <c r="F666" t="str">
        <f>HYPERLINK("https://www.google.com/maps/search/?api=1&amp;query=25.14664767,44.64067248", "View Map")</f>
        <v>View Map</v>
      </c>
      <c r="G666" s="2">
        <v>0.5492063158461683</v>
      </c>
    </row>
    <row r="667" spans="1:7" x14ac:dyDescent="0.3">
      <c r="A667" t="s">
        <v>1185</v>
      </c>
      <c r="B667" t="s">
        <v>1186</v>
      </c>
      <c r="C667" t="s">
        <v>8</v>
      </c>
      <c r="D667">
        <v>7.4390000000000001</v>
      </c>
      <c r="E667" s="4">
        <v>2381</v>
      </c>
      <c r="F667" t="str">
        <f>HYPERLINK("https://www.google.com/maps/search/?api=1&amp;query=24.68401806,46.67712572", "View Map")</f>
        <v>View Map</v>
      </c>
      <c r="G667" s="2">
        <v>0.44259807946310642</v>
      </c>
    </row>
    <row r="668" spans="1:7" x14ac:dyDescent="0.3">
      <c r="A668" t="s">
        <v>1187</v>
      </c>
      <c r="B668" t="s">
        <v>1188</v>
      </c>
      <c r="C668" t="s">
        <v>466</v>
      </c>
      <c r="D668">
        <v>7.4359999999999999</v>
      </c>
      <c r="E668" s="4">
        <v>2380</v>
      </c>
      <c r="F668" t="str">
        <f>HYPERLINK("https://www.google.com/maps/search/?api=1&amp;query=24.60876391,46.10454253", "View Map")</f>
        <v>View Map</v>
      </c>
      <c r="G668" s="2">
        <v>0.77945094327561715</v>
      </c>
    </row>
    <row r="669" spans="1:7" x14ac:dyDescent="0.3">
      <c r="A669" t="s">
        <v>1189</v>
      </c>
      <c r="B669" t="s">
        <v>1190</v>
      </c>
      <c r="C669" t="s">
        <v>255</v>
      </c>
      <c r="D669">
        <v>7.4290000000000003</v>
      </c>
      <c r="E669" s="4">
        <v>2377</v>
      </c>
      <c r="F669" t="str">
        <f>HYPERLINK("https://www.google.com/maps/search/?api=1&amp;query=24.51158247,44.40098811", "View Map")</f>
        <v>View Map</v>
      </c>
      <c r="G669" s="2">
        <v>0.5847041550346741</v>
      </c>
    </row>
    <row r="670" spans="1:7" x14ac:dyDescent="0.3">
      <c r="A670" t="s">
        <v>46</v>
      </c>
      <c r="B670" t="s">
        <v>1191</v>
      </c>
      <c r="C670" t="s">
        <v>8</v>
      </c>
      <c r="D670">
        <v>7.4279999999999999</v>
      </c>
      <c r="E670" s="4">
        <v>2377</v>
      </c>
      <c r="F670" t="str">
        <f>HYPERLINK("https://www.google.com/maps/search/?api=1&amp;query=24.8756,46.6261", "View Map")</f>
        <v>View Map</v>
      </c>
      <c r="G670" s="2">
        <v>0.43961137913057008</v>
      </c>
    </row>
    <row r="671" spans="1:7" x14ac:dyDescent="0.3">
      <c r="A671" t="s">
        <v>1192</v>
      </c>
      <c r="B671" t="s">
        <v>1193</v>
      </c>
      <c r="C671" t="s">
        <v>8</v>
      </c>
      <c r="D671">
        <v>7.4240000000000004</v>
      </c>
      <c r="E671" s="4">
        <v>2376</v>
      </c>
      <c r="F671" t="str">
        <f>HYPERLINK("https://www.google.com/maps/search/?api=1&amp;query=24.75329868,46.79574182", "View Map")</f>
        <v>View Map</v>
      </c>
      <c r="G671" s="2">
        <v>0.57381278672320368</v>
      </c>
    </row>
    <row r="672" spans="1:7" x14ac:dyDescent="0.3">
      <c r="A672" t="s">
        <v>46</v>
      </c>
      <c r="B672" t="s">
        <v>1194</v>
      </c>
      <c r="C672" t="s">
        <v>8</v>
      </c>
      <c r="D672">
        <v>7.4219999999999997</v>
      </c>
      <c r="E672" s="4">
        <v>2375</v>
      </c>
      <c r="F672" t="str">
        <f>HYPERLINK("https://www.google.com/maps/search/?api=1&amp;query=24.56362419,46.80326295", "View Map")</f>
        <v>View Map</v>
      </c>
    </row>
    <row r="673" spans="1:7" x14ac:dyDescent="0.3">
      <c r="A673" t="s">
        <v>1195</v>
      </c>
      <c r="B673" t="s">
        <v>1196</v>
      </c>
      <c r="C673" t="s">
        <v>8</v>
      </c>
      <c r="D673">
        <v>7.4169999999999998</v>
      </c>
      <c r="E673" s="4">
        <v>2374</v>
      </c>
      <c r="F673" t="str">
        <f>HYPERLINK("https://www.google.com/maps/search/?api=1&amp;query=24.70025958,46.63927743", "View Map")</f>
        <v>View Map</v>
      </c>
      <c r="G673" s="2">
        <v>0.44787922570983713</v>
      </c>
    </row>
    <row r="674" spans="1:7" x14ac:dyDescent="0.3">
      <c r="A674" t="s">
        <v>1197</v>
      </c>
      <c r="B674" t="s">
        <v>1198</v>
      </c>
      <c r="C674" t="s">
        <v>8</v>
      </c>
      <c r="D674">
        <v>7.4119999999999999</v>
      </c>
      <c r="E674" s="4">
        <v>2372</v>
      </c>
      <c r="F674" t="str">
        <f>HYPERLINK("https://www.google.com/maps/search/?api=1&amp;query=24.73914909,46.82461504", "View Map")</f>
        <v>View Map</v>
      </c>
    </row>
    <row r="675" spans="1:7" x14ac:dyDescent="0.3">
      <c r="A675" t="s">
        <v>889</v>
      </c>
      <c r="B675" t="s">
        <v>1199</v>
      </c>
      <c r="C675" t="s">
        <v>8</v>
      </c>
      <c r="D675">
        <v>7.4080000000000004</v>
      </c>
      <c r="E675" s="4">
        <v>2371</v>
      </c>
      <c r="F675" t="str">
        <f>HYPERLINK("https://www.google.com/maps/search/?api=1&amp;query=24.75797935,46.63136185", "View Map")</f>
        <v>View Map</v>
      </c>
      <c r="G675" s="2">
        <v>0.36490247502342171</v>
      </c>
    </row>
    <row r="676" spans="1:7" x14ac:dyDescent="0.3">
      <c r="A676" t="s">
        <v>1200</v>
      </c>
      <c r="B676" t="s">
        <v>1201</v>
      </c>
      <c r="C676" t="s">
        <v>21</v>
      </c>
      <c r="D676">
        <v>7.4059999999999997</v>
      </c>
      <c r="E676" s="4">
        <v>2370</v>
      </c>
      <c r="F676" t="str">
        <f>HYPERLINK("https://www.google.com/maps/search/?api=1&amp;query=26.29793091,44.81972532", "View Map")</f>
        <v>View Map</v>
      </c>
      <c r="G676" s="2">
        <v>0.73093515737996073</v>
      </c>
    </row>
    <row r="677" spans="1:7" x14ac:dyDescent="0.3">
      <c r="A677" t="s">
        <v>1202</v>
      </c>
      <c r="B677" t="s">
        <v>1203</v>
      </c>
      <c r="C677" t="s">
        <v>8</v>
      </c>
      <c r="D677">
        <v>7.4050000000000002</v>
      </c>
      <c r="E677" s="4">
        <v>2370</v>
      </c>
      <c r="F677" t="str">
        <f>HYPERLINK("https://www.google.com/maps/search/?api=1&amp;query=24.78433462,46.79192822", "View Map")</f>
        <v>View Map</v>
      </c>
      <c r="G677" s="2">
        <v>0.43337719215874221</v>
      </c>
    </row>
    <row r="678" spans="1:7" x14ac:dyDescent="0.3">
      <c r="A678" t="s">
        <v>1204</v>
      </c>
      <c r="B678" t="s">
        <v>1205</v>
      </c>
      <c r="C678" t="s">
        <v>8</v>
      </c>
      <c r="D678">
        <v>7.4009999999999998</v>
      </c>
      <c r="E678" s="4">
        <v>2368</v>
      </c>
      <c r="F678" t="str">
        <f>HYPERLINK("https://www.google.com/maps/search/?api=1&amp;query=24.72287947,46.68626833", "View Map")</f>
        <v>View Map</v>
      </c>
      <c r="G678" s="2">
        <v>0.62036212721758655</v>
      </c>
    </row>
    <row r="679" spans="1:7" x14ac:dyDescent="0.3">
      <c r="A679" t="s">
        <v>1206</v>
      </c>
      <c r="B679" t="s">
        <v>1207</v>
      </c>
      <c r="C679" t="s">
        <v>8</v>
      </c>
      <c r="D679">
        <v>7.3920000000000003</v>
      </c>
      <c r="E679" s="4">
        <v>2366</v>
      </c>
      <c r="F679" t="str">
        <f>HYPERLINK("https://www.google.com/maps/search/?api=1&amp;query=24.68909814,46.80700506", "View Map")</f>
        <v>View Map</v>
      </c>
      <c r="G679" s="2">
        <v>0.65599385797658949</v>
      </c>
    </row>
    <row r="680" spans="1:7" x14ac:dyDescent="0.3">
      <c r="A680" t="s">
        <v>1208</v>
      </c>
      <c r="B680" t="s">
        <v>1209</v>
      </c>
      <c r="C680" t="s">
        <v>8</v>
      </c>
      <c r="D680">
        <v>7.37</v>
      </c>
      <c r="E680" s="4">
        <v>2358</v>
      </c>
      <c r="F680" t="str">
        <f>HYPERLINK("https://www.google.com/maps/search/?api=1&amp;query=24.62,46.6947", "View Map")</f>
        <v>View Map</v>
      </c>
    </row>
    <row r="681" spans="1:7" x14ac:dyDescent="0.3">
      <c r="A681" t="s">
        <v>1210</v>
      </c>
      <c r="B681" t="s">
        <v>1211</v>
      </c>
      <c r="C681" t="s">
        <v>8</v>
      </c>
      <c r="D681">
        <v>7.359</v>
      </c>
      <c r="E681" s="4">
        <v>2355</v>
      </c>
      <c r="F681" t="str">
        <f>HYPERLINK("https://www.google.com/maps/search/?api=1&amp;query=24.83062609,46.7415232", "View Map")</f>
        <v>View Map</v>
      </c>
      <c r="G681" s="2">
        <v>0.47124000704600749</v>
      </c>
    </row>
    <row r="682" spans="1:7" x14ac:dyDescent="0.3">
      <c r="A682" t="s">
        <v>1210</v>
      </c>
      <c r="B682" t="s">
        <v>1212</v>
      </c>
      <c r="C682" t="s">
        <v>8</v>
      </c>
      <c r="D682">
        <v>7.3570000000000002</v>
      </c>
      <c r="E682" s="4">
        <v>2354</v>
      </c>
      <c r="F682" t="str">
        <f>HYPERLINK("https://www.google.com/maps/search/?api=1&amp;query=24.83062743,46.74152634", "View Map")</f>
        <v>View Map</v>
      </c>
      <c r="G682" s="2">
        <v>0.77709476672708144</v>
      </c>
    </row>
    <row r="683" spans="1:7" x14ac:dyDescent="0.3">
      <c r="A683" t="s">
        <v>1213</v>
      </c>
      <c r="B683" t="s">
        <v>1214</v>
      </c>
      <c r="C683" t="s">
        <v>255</v>
      </c>
      <c r="D683">
        <v>7.3470000000000004</v>
      </c>
      <c r="E683" s="4">
        <v>2351</v>
      </c>
      <c r="F683" t="str">
        <f>HYPERLINK("https://www.google.com/maps/search/?api=1&amp;query=25.18033673,44.59412089", "View Map")</f>
        <v>View Map</v>
      </c>
      <c r="G683" s="2">
        <v>0.52352825570351358</v>
      </c>
    </row>
    <row r="684" spans="1:7" x14ac:dyDescent="0.3">
      <c r="A684" t="s">
        <v>1215</v>
      </c>
      <c r="B684" t="s">
        <v>1216</v>
      </c>
      <c r="C684" t="s">
        <v>8</v>
      </c>
      <c r="D684">
        <v>7.3460000000000001</v>
      </c>
      <c r="E684" s="4">
        <v>2351</v>
      </c>
      <c r="F684" t="str">
        <f>HYPERLINK("https://www.google.com/maps/search/?api=1&amp;query=24.78854595,46.65750142", "View Map")</f>
        <v>View Map</v>
      </c>
      <c r="G684" s="2">
        <v>0.54058470879003162</v>
      </c>
    </row>
    <row r="685" spans="1:7" x14ac:dyDescent="0.3">
      <c r="A685" t="s">
        <v>1217</v>
      </c>
      <c r="B685" t="s">
        <v>1218</v>
      </c>
      <c r="C685" t="s">
        <v>8</v>
      </c>
      <c r="D685">
        <v>7.343</v>
      </c>
      <c r="E685" s="4">
        <v>2350</v>
      </c>
      <c r="F685" t="str">
        <f>HYPERLINK("https://www.google.com/maps/search/?api=1&amp;query=24.71676687,46.83745102", "View Map")</f>
        <v>View Map</v>
      </c>
      <c r="G685" s="2">
        <v>0.6491801870180971</v>
      </c>
    </row>
    <row r="686" spans="1:7" x14ac:dyDescent="0.3">
      <c r="A686" t="s">
        <v>1219</v>
      </c>
      <c r="B686" t="s">
        <v>1220</v>
      </c>
      <c r="C686" t="s">
        <v>8</v>
      </c>
      <c r="D686">
        <v>7.3319999999999999</v>
      </c>
      <c r="E686" s="4">
        <v>2346</v>
      </c>
      <c r="F686" t="str">
        <f>HYPERLINK("https://www.google.com/maps/search/?api=1&amp;query=24.70893355,46.78726012", "View Map")</f>
        <v>View Map</v>
      </c>
      <c r="G686" s="2">
        <v>0.32656647561592123</v>
      </c>
    </row>
    <row r="687" spans="1:7" x14ac:dyDescent="0.3">
      <c r="A687" t="s">
        <v>1221</v>
      </c>
      <c r="B687" t="s">
        <v>1222</v>
      </c>
      <c r="C687" t="s">
        <v>8</v>
      </c>
      <c r="D687">
        <v>7.3230000000000004</v>
      </c>
      <c r="E687" s="4">
        <v>2344</v>
      </c>
      <c r="F687" t="str">
        <f>HYPERLINK("https://www.google.com/maps/search/?api=1&amp;query=24.58888553,46.78430336", "View Map")</f>
        <v>View Map</v>
      </c>
      <c r="G687" s="2">
        <v>0.70041619777684483</v>
      </c>
    </row>
    <row r="688" spans="1:7" x14ac:dyDescent="0.3">
      <c r="A688" t="s">
        <v>385</v>
      </c>
      <c r="B688" t="s">
        <v>1223</v>
      </c>
      <c r="C688" t="s">
        <v>255</v>
      </c>
      <c r="D688">
        <v>7.31</v>
      </c>
      <c r="E688" s="4">
        <v>2339</v>
      </c>
      <c r="F688" t="str">
        <f>HYPERLINK("https://www.google.com/maps/search/?api=1&amp;query=24.54542547,44.42274401", "View Map")</f>
        <v>View Map</v>
      </c>
      <c r="G688" s="2">
        <v>0.63977886363082681</v>
      </c>
    </row>
    <row r="689" spans="1:7" x14ac:dyDescent="0.3">
      <c r="A689" t="s">
        <v>1224</v>
      </c>
      <c r="B689" t="s">
        <v>1225</v>
      </c>
      <c r="C689" t="s">
        <v>8</v>
      </c>
      <c r="D689">
        <v>7.3049999999999997</v>
      </c>
      <c r="E689" s="4">
        <v>2338</v>
      </c>
      <c r="F689" t="str">
        <f>HYPERLINK("https://www.google.com/maps/search/?api=1&amp;query=24.64237849,46.69975979", "View Map")</f>
        <v>View Map</v>
      </c>
      <c r="G689" s="2">
        <v>0.9145476383752712</v>
      </c>
    </row>
    <row r="690" spans="1:7" x14ac:dyDescent="0.3">
      <c r="A690" t="s">
        <v>1226</v>
      </c>
      <c r="B690" t="s">
        <v>1227</v>
      </c>
      <c r="C690" t="s">
        <v>214</v>
      </c>
      <c r="D690">
        <v>7.2859999999999996</v>
      </c>
      <c r="E690" s="4">
        <v>2332</v>
      </c>
      <c r="F690" t="str">
        <f>HYPERLINK("https://www.google.com/maps/search/?api=1&amp;query=25.90137549,45.33808059", "View Map")</f>
        <v>View Map</v>
      </c>
    </row>
    <row r="691" spans="1:7" x14ac:dyDescent="0.3">
      <c r="A691" t="s">
        <v>1228</v>
      </c>
      <c r="B691" t="s">
        <v>1229</v>
      </c>
      <c r="C691" t="s">
        <v>296</v>
      </c>
      <c r="D691">
        <v>7.282</v>
      </c>
      <c r="E691" s="4">
        <v>2330</v>
      </c>
      <c r="F691" t="str">
        <f>HYPERLINK("https://www.google.com/maps/search/?api=1&amp;query=24.47012967,46.27849951", "View Map")</f>
        <v>View Map</v>
      </c>
      <c r="G691" s="2">
        <v>0.5898382690818107</v>
      </c>
    </row>
    <row r="692" spans="1:7" x14ac:dyDescent="0.3">
      <c r="A692" t="s">
        <v>1230</v>
      </c>
      <c r="B692" t="s">
        <v>1231</v>
      </c>
      <c r="C692" t="s">
        <v>466</v>
      </c>
      <c r="D692">
        <v>7.282</v>
      </c>
      <c r="E692" s="4">
        <v>2330</v>
      </c>
      <c r="F692" t="str">
        <f>HYPERLINK("https://www.google.com/maps/search/?api=1&amp;query=24.59424125,46.12436657", "View Map")</f>
        <v>View Map</v>
      </c>
      <c r="G692" s="2">
        <v>0.46106276492438741</v>
      </c>
    </row>
    <row r="693" spans="1:7" x14ac:dyDescent="0.3">
      <c r="A693" t="s">
        <v>1232</v>
      </c>
      <c r="B693" t="s">
        <v>1233</v>
      </c>
      <c r="C693" t="s">
        <v>8</v>
      </c>
      <c r="D693">
        <v>7.2720000000000002</v>
      </c>
      <c r="E693" s="4">
        <v>2327</v>
      </c>
      <c r="F693" t="str">
        <f>HYPERLINK("https://www.google.com/maps/search/?api=1&amp;query=24.73929471,46.7187042", "View Map")</f>
        <v>View Map</v>
      </c>
      <c r="G693" s="2">
        <v>0.47391569619745749</v>
      </c>
    </row>
    <row r="694" spans="1:7" x14ac:dyDescent="0.3">
      <c r="A694" t="s">
        <v>1234</v>
      </c>
      <c r="B694" t="s">
        <v>1235</v>
      </c>
      <c r="C694" t="s">
        <v>8</v>
      </c>
      <c r="D694">
        <v>7.2640000000000002</v>
      </c>
      <c r="E694" s="4">
        <v>2325</v>
      </c>
      <c r="F694" t="str">
        <f>HYPERLINK("https://www.google.com/maps/search/?api=1&amp;query=24.58589189,46.78317575", "View Map")</f>
        <v>View Map</v>
      </c>
      <c r="G694" s="2">
        <v>0.46851945417370239</v>
      </c>
    </row>
    <row r="695" spans="1:7" x14ac:dyDescent="0.3">
      <c r="A695" t="s">
        <v>46</v>
      </c>
      <c r="B695" t="s">
        <v>1236</v>
      </c>
      <c r="C695" t="s">
        <v>8</v>
      </c>
      <c r="D695">
        <v>7.2640000000000002</v>
      </c>
      <c r="E695" s="4">
        <v>2325</v>
      </c>
      <c r="F695" t="str">
        <f>HYPERLINK("https://www.google.com/maps/search/?api=1&amp;query=24.8007155,46.72669667", "View Map")</f>
        <v>View Map</v>
      </c>
    </row>
    <row r="696" spans="1:7" x14ac:dyDescent="0.3">
      <c r="A696" t="s">
        <v>1237</v>
      </c>
      <c r="B696" t="s">
        <v>1238</v>
      </c>
      <c r="C696" t="s">
        <v>8</v>
      </c>
      <c r="D696">
        <v>7.258</v>
      </c>
      <c r="E696" s="4">
        <v>2323</v>
      </c>
      <c r="F696" t="str">
        <f>HYPERLINK("https://www.google.com/maps/search/?api=1&amp;query=24.62866987,46.72821145", "View Map")</f>
        <v>View Map</v>
      </c>
    </row>
    <row r="697" spans="1:7" x14ac:dyDescent="0.3">
      <c r="A697" t="s">
        <v>1239</v>
      </c>
      <c r="B697" t="s">
        <v>1240</v>
      </c>
      <c r="C697" t="s">
        <v>8</v>
      </c>
      <c r="D697">
        <v>7.24</v>
      </c>
      <c r="E697" s="4">
        <v>2317</v>
      </c>
      <c r="F697" t="str">
        <f>HYPERLINK("https://www.google.com/maps/search/?api=1&amp;query=24.57960877,46.77533728", "View Map")</f>
        <v>View Map</v>
      </c>
    </row>
    <row r="698" spans="1:7" x14ac:dyDescent="0.3">
      <c r="A698" t="s">
        <v>1241</v>
      </c>
      <c r="B698" t="s">
        <v>1242</v>
      </c>
      <c r="C698" t="s">
        <v>646</v>
      </c>
      <c r="D698">
        <v>7.2359999999999998</v>
      </c>
      <c r="E698" s="4">
        <v>2316</v>
      </c>
      <c r="F698" t="str">
        <f>HYPERLINK("https://www.google.com/maps/search/?api=1&amp;query=20.46089548,45.54705527", "View Map")</f>
        <v>View Map</v>
      </c>
      <c r="G698" s="2">
        <v>0.87809401659804953</v>
      </c>
    </row>
    <row r="699" spans="1:7" x14ac:dyDescent="0.3">
      <c r="A699" t="s">
        <v>1243</v>
      </c>
      <c r="B699" t="s">
        <v>1244</v>
      </c>
      <c r="C699" t="s">
        <v>8</v>
      </c>
      <c r="D699">
        <v>7.2270000000000003</v>
      </c>
      <c r="E699" s="4">
        <v>2313</v>
      </c>
      <c r="F699" t="str">
        <f>HYPERLINK("https://www.google.com/maps/search/?api=1&amp;query=24.67828762,46.64568013", "View Map")</f>
        <v>View Map</v>
      </c>
      <c r="G699" s="2">
        <v>0.74507306261662554</v>
      </c>
    </row>
    <row r="700" spans="1:7" x14ac:dyDescent="0.3">
      <c r="A700" t="s">
        <v>1245</v>
      </c>
      <c r="B700" t="s">
        <v>1246</v>
      </c>
      <c r="C700" t="s">
        <v>8</v>
      </c>
      <c r="D700">
        <v>7.2210000000000001</v>
      </c>
      <c r="E700" s="4">
        <v>2311</v>
      </c>
      <c r="F700" t="str">
        <f>HYPERLINK("https://www.google.com/maps/search/?api=1&amp;query=24.67828205,46.74011348", "View Map")</f>
        <v>View Map</v>
      </c>
      <c r="G700" s="2">
        <v>0.63617914499483885</v>
      </c>
    </row>
    <row r="701" spans="1:7" x14ac:dyDescent="0.3">
      <c r="A701" t="s">
        <v>46</v>
      </c>
      <c r="B701" t="s">
        <v>1247</v>
      </c>
      <c r="C701" t="s">
        <v>8</v>
      </c>
      <c r="D701">
        <v>7.1929999999999996</v>
      </c>
      <c r="E701" s="4">
        <v>2302</v>
      </c>
      <c r="F701" t="str">
        <f>HYPERLINK("https://www.google.com/maps/search/?api=1&amp;query=24.69122129,46.8444315", "View Map")</f>
        <v>View Map</v>
      </c>
      <c r="G701" s="2">
        <v>0.6355831050003794</v>
      </c>
    </row>
    <row r="702" spans="1:7" x14ac:dyDescent="0.3">
      <c r="A702" t="s">
        <v>146</v>
      </c>
      <c r="B702" t="s">
        <v>1248</v>
      </c>
      <c r="C702" t="s">
        <v>8</v>
      </c>
      <c r="D702">
        <v>7.1849999999999996</v>
      </c>
      <c r="E702" s="4">
        <v>2299</v>
      </c>
      <c r="F702" t="str">
        <f>HYPERLINK("https://www.google.com/maps/search/?api=1&amp;query=24.57820144,46.51800233", "View Map")</f>
        <v>View Map</v>
      </c>
      <c r="G702" s="2">
        <v>0.46237327501047559</v>
      </c>
    </row>
    <row r="703" spans="1:7" x14ac:dyDescent="0.3">
      <c r="A703" t="s">
        <v>73</v>
      </c>
      <c r="B703" t="s">
        <v>1249</v>
      </c>
      <c r="C703" t="s">
        <v>8</v>
      </c>
      <c r="D703">
        <v>7.1790000000000003</v>
      </c>
      <c r="E703" s="4">
        <v>2297</v>
      </c>
      <c r="F703" t="str">
        <f>HYPERLINK("https://www.google.com/maps/search/?api=1&amp;query=24.81286174,46.68884191", "View Map")</f>
        <v>View Map</v>
      </c>
      <c r="G703" s="2">
        <v>0.51329665777003253</v>
      </c>
    </row>
    <row r="704" spans="1:7" x14ac:dyDescent="0.3">
      <c r="A704" t="s">
        <v>934</v>
      </c>
      <c r="B704" t="s">
        <v>1250</v>
      </c>
      <c r="C704" t="s">
        <v>8</v>
      </c>
      <c r="D704">
        <v>7.1779999999999999</v>
      </c>
      <c r="E704" s="4">
        <v>2297</v>
      </c>
      <c r="F704" t="str">
        <f>HYPERLINK("https://www.google.com/maps/search/?api=1&amp;query=24.64886805,46.80071501", "View Map")</f>
        <v>View Map</v>
      </c>
      <c r="G704" s="2">
        <v>0.39822180052474287</v>
      </c>
    </row>
    <row r="705" spans="1:7" x14ac:dyDescent="0.3">
      <c r="A705" t="s">
        <v>1251</v>
      </c>
      <c r="B705" t="s">
        <v>1252</v>
      </c>
      <c r="C705" t="s">
        <v>8</v>
      </c>
      <c r="D705">
        <v>7.16</v>
      </c>
      <c r="E705" s="4">
        <v>2291</v>
      </c>
      <c r="F705" t="str">
        <f>HYPERLINK("https://www.google.com/maps/search/?api=1&amp;query=24.65144119,46.57818116", "View Map")</f>
        <v>View Map</v>
      </c>
      <c r="G705" s="2">
        <v>0.64732213532944571</v>
      </c>
    </row>
    <row r="706" spans="1:7" x14ac:dyDescent="0.3">
      <c r="A706" t="s">
        <v>1253</v>
      </c>
      <c r="B706" t="s">
        <v>1254</v>
      </c>
      <c r="C706" t="s">
        <v>30</v>
      </c>
      <c r="D706">
        <v>7.1580000000000004</v>
      </c>
      <c r="E706" s="4">
        <v>2291</v>
      </c>
      <c r="F706" t="str">
        <f>HYPERLINK("https://www.google.com/maps/search/?api=1&amp;query=24.17807103,47.29273926", "View Map")</f>
        <v>View Map</v>
      </c>
      <c r="G706" s="2">
        <v>0.70788771380922388</v>
      </c>
    </row>
    <row r="707" spans="1:7" x14ac:dyDescent="0.3">
      <c r="A707" t="s">
        <v>1255</v>
      </c>
      <c r="B707" t="s">
        <v>1256</v>
      </c>
      <c r="C707" t="s">
        <v>8</v>
      </c>
      <c r="D707">
        <v>7.1470000000000002</v>
      </c>
      <c r="E707" s="4">
        <v>2287</v>
      </c>
      <c r="F707" t="str">
        <f>HYPERLINK("https://www.google.com/maps/search/?api=1&amp;query=24.78808545,46.90147752", "View Map")</f>
        <v>View Map</v>
      </c>
      <c r="G707" s="2">
        <v>0.77046465950804888</v>
      </c>
    </row>
    <row r="708" spans="1:7" x14ac:dyDescent="0.3">
      <c r="A708" t="s">
        <v>1257</v>
      </c>
      <c r="B708" t="s">
        <v>1258</v>
      </c>
      <c r="C708" t="s">
        <v>214</v>
      </c>
      <c r="D708">
        <v>7.1429999999999998</v>
      </c>
      <c r="E708" s="4">
        <v>2286</v>
      </c>
      <c r="F708" t="str">
        <f>HYPERLINK("https://www.google.com/maps/search/?api=1&amp;query=25.82694678,45.80144844", "View Map")</f>
        <v>View Map</v>
      </c>
      <c r="G708" s="2">
        <v>0.77607914528435828</v>
      </c>
    </row>
    <row r="709" spans="1:7" x14ac:dyDescent="0.3">
      <c r="A709" t="s">
        <v>46</v>
      </c>
      <c r="B709" t="s">
        <v>1259</v>
      </c>
      <c r="C709" t="s">
        <v>55</v>
      </c>
      <c r="D709">
        <v>7.14</v>
      </c>
      <c r="E709" s="4">
        <v>2285</v>
      </c>
      <c r="F709" t="str">
        <f>HYPERLINK("https://www.google.com/maps/search/?api=1&amp;query=24.82994564,46.5653247", "View Map")</f>
        <v>View Map</v>
      </c>
      <c r="G709" s="2">
        <v>0.37505243405534638</v>
      </c>
    </row>
    <row r="710" spans="1:7" x14ac:dyDescent="0.3">
      <c r="A710" t="s">
        <v>1260</v>
      </c>
      <c r="B710" t="s">
        <v>1261</v>
      </c>
      <c r="C710" t="s">
        <v>8</v>
      </c>
      <c r="D710">
        <v>7.1349999999999998</v>
      </c>
      <c r="E710" s="4">
        <v>2283</v>
      </c>
      <c r="F710" t="str">
        <f>HYPERLINK("https://www.google.com/maps/search/?api=1&amp;query=24.73600851,46.69288173", "View Map")</f>
        <v>View Map</v>
      </c>
      <c r="G710" s="2">
        <v>0.3510524181177514</v>
      </c>
    </row>
    <row r="711" spans="1:7" x14ac:dyDescent="0.3">
      <c r="A711" t="s">
        <v>1262</v>
      </c>
      <c r="B711" t="s">
        <v>1263</v>
      </c>
      <c r="C711" t="s">
        <v>8</v>
      </c>
      <c r="D711">
        <v>7.1289999999999996</v>
      </c>
      <c r="E711" s="4">
        <v>2281</v>
      </c>
      <c r="F711" t="str">
        <f>HYPERLINK("https://www.google.com/maps/search/?api=1&amp;query=24.76372004,46.82905062", "View Map")</f>
        <v>View Map</v>
      </c>
    </row>
    <row r="712" spans="1:7" x14ac:dyDescent="0.3">
      <c r="A712" t="s">
        <v>627</v>
      </c>
      <c r="B712" t="s">
        <v>1264</v>
      </c>
      <c r="C712" t="s">
        <v>8</v>
      </c>
      <c r="D712">
        <v>7.1269999999999998</v>
      </c>
      <c r="E712" s="4">
        <v>2281</v>
      </c>
      <c r="F712" t="str">
        <f>HYPERLINK("https://www.google.com/maps/search/?api=1&amp;query=24.76186,46.71891", "View Map")</f>
        <v>View Map</v>
      </c>
      <c r="G712" s="2">
        <v>0.38072813353055701</v>
      </c>
    </row>
    <row r="713" spans="1:7" x14ac:dyDescent="0.3">
      <c r="A713" t="s">
        <v>1265</v>
      </c>
      <c r="B713" t="s">
        <v>1266</v>
      </c>
      <c r="C713" t="s">
        <v>738</v>
      </c>
      <c r="D713">
        <v>7.1180000000000003</v>
      </c>
      <c r="E713" s="4">
        <v>2278</v>
      </c>
      <c r="F713" t="str">
        <f>HYPERLINK("https://www.google.com/maps/search/?api=1&amp;query=25.12535448,46.12211564", "View Map")</f>
        <v>View Map</v>
      </c>
    </row>
    <row r="714" spans="1:7" x14ac:dyDescent="0.3">
      <c r="A714" t="s">
        <v>1267</v>
      </c>
      <c r="B714" t="s">
        <v>1268</v>
      </c>
      <c r="C714" t="s">
        <v>21</v>
      </c>
      <c r="D714">
        <v>7.1109999999999998</v>
      </c>
      <c r="E714" s="4">
        <v>2276</v>
      </c>
      <c r="F714" t="str">
        <f>HYPERLINK("https://www.google.com/maps/search/?api=1&amp;query=26.29920334,44.80223512", "View Map")</f>
        <v>View Map</v>
      </c>
      <c r="G714" s="2">
        <v>0.64149762402941723</v>
      </c>
    </row>
    <row r="715" spans="1:7" x14ac:dyDescent="0.3">
      <c r="A715" t="s">
        <v>1269</v>
      </c>
      <c r="B715" t="s">
        <v>1270</v>
      </c>
      <c r="C715" t="s">
        <v>8</v>
      </c>
      <c r="D715">
        <v>7.1040000000000001</v>
      </c>
      <c r="E715" s="4">
        <v>2273</v>
      </c>
      <c r="F715" t="str">
        <f>HYPERLINK("https://www.google.com/maps/search/?api=1&amp;query=24.57652756,46.56808213", "View Map")</f>
        <v>View Map</v>
      </c>
    </row>
    <row r="716" spans="1:7" x14ac:dyDescent="0.3">
      <c r="A716" t="s">
        <v>1271</v>
      </c>
      <c r="B716" t="s">
        <v>1272</v>
      </c>
      <c r="C716" t="s">
        <v>241</v>
      </c>
      <c r="D716">
        <v>7.1029999999999998</v>
      </c>
      <c r="E716" s="4">
        <v>2273</v>
      </c>
      <c r="F716" t="str">
        <f>HYPERLINK("https://www.google.com/maps/search/?api=1&amp;query=20.4503241,44.8405842", "View Map")</f>
        <v>View Map</v>
      </c>
    </row>
    <row r="717" spans="1:7" x14ac:dyDescent="0.3">
      <c r="A717" t="s">
        <v>1273</v>
      </c>
      <c r="B717" t="s">
        <v>1274</v>
      </c>
      <c r="C717" t="s">
        <v>241</v>
      </c>
      <c r="D717">
        <v>7.0890000000000004</v>
      </c>
      <c r="E717" s="4">
        <v>2269</v>
      </c>
      <c r="F717" t="str">
        <f>HYPERLINK("https://www.google.com/maps/search/?api=1&amp;query=20.47812639,44.79162144", "View Map")</f>
        <v>View Map</v>
      </c>
      <c r="G717" s="2">
        <v>0.39674814220211518</v>
      </c>
    </row>
    <row r="718" spans="1:7" x14ac:dyDescent="0.3">
      <c r="A718" t="s">
        <v>1275</v>
      </c>
      <c r="B718" t="s">
        <v>1276</v>
      </c>
      <c r="C718" t="s">
        <v>8</v>
      </c>
      <c r="D718">
        <v>7.0869999999999997</v>
      </c>
      <c r="E718" s="4">
        <v>2268</v>
      </c>
      <c r="F718" t="str">
        <f>HYPERLINK("https://www.google.com/maps/search/?api=1&amp;query=24.72754218,46.79429586", "View Map")</f>
        <v>View Map</v>
      </c>
      <c r="G718" s="2">
        <v>0.43482087873242797</v>
      </c>
    </row>
    <row r="719" spans="1:7" x14ac:dyDescent="0.3">
      <c r="A719" t="s">
        <v>1277</v>
      </c>
      <c r="B719" t="s">
        <v>1278</v>
      </c>
      <c r="C719" t="s">
        <v>8</v>
      </c>
      <c r="D719">
        <v>7.0860000000000003</v>
      </c>
      <c r="E719" s="4">
        <v>2267</v>
      </c>
      <c r="F719" t="str">
        <f>HYPERLINK("https://www.google.com/maps/search/?api=1&amp;query=24.61662277,46.75131974", "View Map")</f>
        <v>View Map</v>
      </c>
    </row>
    <row r="720" spans="1:7" x14ac:dyDescent="0.3">
      <c r="A720" t="s">
        <v>1279</v>
      </c>
      <c r="B720" t="s">
        <v>1280</v>
      </c>
      <c r="C720" t="s">
        <v>255</v>
      </c>
      <c r="D720">
        <v>7.085</v>
      </c>
      <c r="E720" s="4">
        <v>2267</v>
      </c>
      <c r="F720" t="str">
        <f>HYPERLINK("https://www.google.com/maps/search/?api=1&amp;query=24.52016323,44.38060519", "View Map")</f>
        <v>View Map</v>
      </c>
      <c r="G720" s="2">
        <v>0.60754189818480198</v>
      </c>
    </row>
    <row r="721" spans="1:7" x14ac:dyDescent="0.3">
      <c r="A721" t="s">
        <v>1281</v>
      </c>
      <c r="B721" t="s">
        <v>1282</v>
      </c>
      <c r="C721" t="s">
        <v>8</v>
      </c>
      <c r="D721">
        <v>7.0780000000000003</v>
      </c>
      <c r="E721" s="4">
        <v>2265</v>
      </c>
      <c r="F721" t="str">
        <f>HYPERLINK("https://www.google.com/maps/search/?api=1&amp;query=24.68369106,46.79342526", "View Map")</f>
        <v>View Map</v>
      </c>
      <c r="G721" s="2">
        <v>0.23827045865110699</v>
      </c>
    </row>
    <row r="722" spans="1:7" x14ac:dyDescent="0.3">
      <c r="A722" t="s">
        <v>889</v>
      </c>
      <c r="B722" t="s">
        <v>1283</v>
      </c>
      <c r="C722" t="s">
        <v>8</v>
      </c>
      <c r="D722">
        <v>7.0780000000000003</v>
      </c>
      <c r="E722" s="4">
        <v>2265</v>
      </c>
      <c r="F722" t="str">
        <f>HYPERLINK("https://www.google.com/maps/search/?api=1&amp;query=24.75870156,46.62421305", "View Map")</f>
        <v>View Map</v>
      </c>
      <c r="G722" s="2">
        <v>0.43671411706593127</v>
      </c>
    </row>
    <row r="723" spans="1:7" x14ac:dyDescent="0.3">
      <c r="A723" t="s">
        <v>1284</v>
      </c>
      <c r="B723" t="s">
        <v>1285</v>
      </c>
      <c r="C723" t="s">
        <v>8</v>
      </c>
      <c r="D723">
        <v>7.0759999999999996</v>
      </c>
      <c r="E723" s="4">
        <v>2264</v>
      </c>
      <c r="F723" t="str">
        <f>HYPERLINK("https://www.google.com/maps/search/?api=1&amp;query=24.66450296,46.70559509", "View Map")</f>
        <v>View Map</v>
      </c>
    </row>
    <row r="724" spans="1:7" x14ac:dyDescent="0.3">
      <c r="A724" t="s">
        <v>1286</v>
      </c>
      <c r="B724" t="s">
        <v>1287</v>
      </c>
      <c r="C724" t="s">
        <v>8</v>
      </c>
      <c r="D724">
        <v>7.0750000000000002</v>
      </c>
      <c r="E724" s="4">
        <v>2264</v>
      </c>
      <c r="F724" t="str">
        <f>HYPERLINK("https://www.google.com/maps/search/?api=1&amp;query=24.63736913,46.55090118", "View Map")</f>
        <v>View Map</v>
      </c>
    </row>
    <row r="725" spans="1:7" x14ac:dyDescent="0.3">
      <c r="A725" t="s">
        <v>990</v>
      </c>
      <c r="B725" t="s">
        <v>1288</v>
      </c>
      <c r="C725" t="s">
        <v>8</v>
      </c>
      <c r="D725">
        <v>7.0679999999999996</v>
      </c>
      <c r="E725" s="4">
        <v>2262</v>
      </c>
      <c r="F725" t="str">
        <f>HYPERLINK("https://www.google.com/maps/search/?api=1&amp;query=24.69494106,46.78543914", "View Map")</f>
        <v>View Map</v>
      </c>
      <c r="G725" s="2">
        <v>0.57139497200515943</v>
      </c>
    </row>
    <row r="726" spans="1:7" x14ac:dyDescent="0.3">
      <c r="A726" t="s">
        <v>189</v>
      </c>
      <c r="B726" t="s">
        <v>1289</v>
      </c>
      <c r="C726" t="s">
        <v>8</v>
      </c>
      <c r="D726">
        <v>7.0629999999999997</v>
      </c>
      <c r="E726" s="4">
        <v>2260</v>
      </c>
      <c r="F726" t="str">
        <f>HYPERLINK("https://www.google.com/maps/search/?api=1&amp;query=24.58332442,46.77322389", "View Map")</f>
        <v>View Map</v>
      </c>
      <c r="G726" s="2">
        <v>0.55442331866032168</v>
      </c>
    </row>
    <row r="727" spans="1:7" x14ac:dyDescent="0.3">
      <c r="A727" t="s">
        <v>1290</v>
      </c>
      <c r="B727" t="s">
        <v>1291</v>
      </c>
      <c r="C727" t="s">
        <v>8</v>
      </c>
      <c r="D727">
        <v>7.0540000000000003</v>
      </c>
      <c r="E727" s="4">
        <v>2257</v>
      </c>
      <c r="F727" t="str">
        <f>HYPERLINK("https://www.google.com/maps/search/?api=1&amp;query=24.6896367,46.76720152", "View Map")</f>
        <v>View Map</v>
      </c>
      <c r="G727" s="2">
        <v>0.39822452763996707</v>
      </c>
    </row>
    <row r="728" spans="1:7" x14ac:dyDescent="0.3">
      <c r="A728" t="s">
        <v>1292</v>
      </c>
      <c r="B728" t="s">
        <v>1293</v>
      </c>
      <c r="C728" t="s">
        <v>8</v>
      </c>
      <c r="D728">
        <v>7.0439999999999996</v>
      </c>
      <c r="E728" s="4">
        <v>2254</v>
      </c>
      <c r="F728" t="str">
        <f>HYPERLINK("https://www.google.com/maps/search/?api=1&amp;query=24.80359883,46.6223745", "View Map")</f>
        <v>View Map</v>
      </c>
      <c r="G728" s="2">
        <v>0.72017461082161727</v>
      </c>
    </row>
    <row r="729" spans="1:7" x14ac:dyDescent="0.3">
      <c r="A729" t="s">
        <v>1294</v>
      </c>
      <c r="B729" t="s">
        <v>1295</v>
      </c>
      <c r="C729" t="s">
        <v>8</v>
      </c>
      <c r="D729">
        <v>7.0430000000000001</v>
      </c>
      <c r="E729" s="4">
        <v>2254</v>
      </c>
      <c r="F729" t="str">
        <f>HYPERLINK("https://www.google.com/maps/search/?api=1&amp;query=24.60057902,46.67514172", "View Map")</f>
        <v>View Map</v>
      </c>
    </row>
    <row r="730" spans="1:7" x14ac:dyDescent="0.3">
      <c r="A730" t="s">
        <v>1296</v>
      </c>
      <c r="B730" t="s">
        <v>1297</v>
      </c>
      <c r="C730" t="s">
        <v>8</v>
      </c>
      <c r="D730">
        <v>7.0380000000000003</v>
      </c>
      <c r="E730" s="4">
        <v>2252</v>
      </c>
      <c r="F730" t="str">
        <f>HYPERLINK("https://www.google.com/maps/search/?api=1&amp;query=24.71685665,46.6936742", "View Map")</f>
        <v>View Map</v>
      </c>
    </row>
    <row r="731" spans="1:7" x14ac:dyDescent="0.3">
      <c r="A731" t="s">
        <v>1298</v>
      </c>
      <c r="B731" t="s">
        <v>1299</v>
      </c>
      <c r="C731" t="s">
        <v>8</v>
      </c>
      <c r="D731">
        <v>7.0369999999999999</v>
      </c>
      <c r="E731" s="4">
        <v>2252</v>
      </c>
      <c r="F731" t="str">
        <f>HYPERLINK("https://www.google.com/maps/search/?api=1&amp;query=24.69498401,46.78966611", "View Map")</f>
        <v>View Map</v>
      </c>
    </row>
    <row r="732" spans="1:7" x14ac:dyDescent="0.3">
      <c r="A732" t="s">
        <v>1300</v>
      </c>
      <c r="B732" t="s">
        <v>1301</v>
      </c>
      <c r="C732" t="s">
        <v>8</v>
      </c>
      <c r="D732">
        <v>7.0359999999999996</v>
      </c>
      <c r="E732" s="4">
        <v>2252</v>
      </c>
      <c r="F732" t="str">
        <f>HYPERLINK("https://www.google.com/maps/search/?api=1&amp;query=24.6256551,46.69616648", "View Map")</f>
        <v>View Map</v>
      </c>
    </row>
    <row r="733" spans="1:7" x14ac:dyDescent="0.3">
      <c r="A733" t="s">
        <v>28</v>
      </c>
      <c r="B733" t="s">
        <v>1302</v>
      </c>
      <c r="C733" t="s">
        <v>30</v>
      </c>
      <c r="D733">
        <v>7.0259999999999998</v>
      </c>
      <c r="E733" s="4">
        <v>2248</v>
      </c>
      <c r="F733" t="str">
        <f>HYPERLINK("https://www.google.com/maps/search/?api=1&amp;query=24.14918635,47.39252381", "View Map")</f>
        <v>View Map</v>
      </c>
      <c r="G733" s="2">
        <v>0.49324668777945502</v>
      </c>
    </row>
    <row r="734" spans="1:7" x14ac:dyDescent="0.3">
      <c r="A734" t="s">
        <v>1303</v>
      </c>
      <c r="B734" t="s">
        <v>1304</v>
      </c>
      <c r="C734" t="s">
        <v>8</v>
      </c>
      <c r="D734">
        <v>7.0250000000000004</v>
      </c>
      <c r="E734" s="4">
        <v>2248</v>
      </c>
      <c r="F734" t="str">
        <f>HYPERLINK("https://www.google.com/maps/search/?api=1&amp;query=24.69963299,46.80964405", "View Map")</f>
        <v>View Map</v>
      </c>
    </row>
    <row r="735" spans="1:7" x14ac:dyDescent="0.3">
      <c r="A735" t="s">
        <v>1305</v>
      </c>
      <c r="B735" t="s">
        <v>1306</v>
      </c>
      <c r="C735" t="s">
        <v>8</v>
      </c>
      <c r="D735">
        <v>7.016</v>
      </c>
      <c r="E735" s="4">
        <v>2245</v>
      </c>
      <c r="F735" t="str">
        <f>HYPERLINK("https://www.google.com/maps/search/?api=1&amp;query=24.58262578,46.6446629", "View Map")</f>
        <v>View Map</v>
      </c>
      <c r="G735" s="2">
        <v>0.68632676405318771</v>
      </c>
    </row>
    <row r="736" spans="1:7" x14ac:dyDescent="0.3">
      <c r="A736" t="s">
        <v>1307</v>
      </c>
      <c r="B736" t="s">
        <v>1308</v>
      </c>
      <c r="C736" t="s">
        <v>8</v>
      </c>
      <c r="D736">
        <v>7.0119999999999996</v>
      </c>
      <c r="E736" s="4">
        <v>2244</v>
      </c>
      <c r="F736" t="str">
        <f>HYPERLINK("https://www.google.com/maps/search/?api=1&amp;query=24.7111442,46.84666224", "View Map")</f>
        <v>View Map</v>
      </c>
      <c r="G736" s="2">
        <v>0.42873507806318562</v>
      </c>
    </row>
    <row r="737" spans="1:7" x14ac:dyDescent="0.3">
      <c r="A737" t="s">
        <v>717</v>
      </c>
      <c r="B737" t="s">
        <v>1309</v>
      </c>
      <c r="C737" t="s">
        <v>255</v>
      </c>
      <c r="D737">
        <v>7.0110000000000001</v>
      </c>
      <c r="E737" s="4">
        <v>2243</v>
      </c>
      <c r="F737" t="str">
        <f>HYPERLINK("https://www.google.com/maps/search/?api=1&amp;query=24.54648276,44.43771395", "View Map")</f>
        <v>View Map</v>
      </c>
      <c r="G737" s="2">
        <v>0.51691147725499709</v>
      </c>
    </row>
    <row r="738" spans="1:7" x14ac:dyDescent="0.3">
      <c r="A738" t="s">
        <v>1310</v>
      </c>
      <c r="B738" t="s">
        <v>1311</v>
      </c>
      <c r="C738" t="s">
        <v>8</v>
      </c>
      <c r="D738">
        <v>7.0060000000000002</v>
      </c>
      <c r="E738" s="4">
        <v>2242</v>
      </c>
      <c r="F738" t="str">
        <f>HYPERLINK("https://www.google.com/maps/search/?api=1&amp;query=24.70187815,46.85983424", "View Map")</f>
        <v>View Map</v>
      </c>
      <c r="G738" s="2">
        <v>0.58447419893498576</v>
      </c>
    </row>
    <row r="739" spans="1:7" x14ac:dyDescent="0.3">
      <c r="A739" t="s">
        <v>411</v>
      </c>
      <c r="B739" t="s">
        <v>1312</v>
      </c>
      <c r="C739" t="s">
        <v>77</v>
      </c>
      <c r="D739">
        <v>7</v>
      </c>
      <c r="E739" s="4">
        <v>2240</v>
      </c>
      <c r="F739" t="str">
        <f>HYPERLINK("https://www.google.com/maps/search/?api=1&amp;query=22.28373137,46.7221944", "View Map")</f>
        <v>View Map</v>
      </c>
      <c r="G739" s="2">
        <v>0.3613534694987639</v>
      </c>
    </row>
    <row r="740" spans="1:7" x14ac:dyDescent="0.3">
      <c r="A740" t="s">
        <v>1313</v>
      </c>
      <c r="B740" t="s">
        <v>1314</v>
      </c>
      <c r="C740" t="s">
        <v>8</v>
      </c>
      <c r="D740">
        <v>6.9989999999999997</v>
      </c>
      <c r="E740" s="4">
        <v>2240</v>
      </c>
      <c r="F740" t="str">
        <f>HYPERLINK("https://www.google.com/maps/search/?api=1&amp;query=24.68521954,46.78836918", "View Map")</f>
        <v>View Map</v>
      </c>
      <c r="G740" s="2">
        <v>0.37557152011436112</v>
      </c>
    </row>
    <row r="741" spans="1:7" x14ac:dyDescent="0.3">
      <c r="A741" t="s">
        <v>46</v>
      </c>
      <c r="B741" t="s">
        <v>1315</v>
      </c>
      <c r="C741" t="s">
        <v>8</v>
      </c>
      <c r="D741">
        <v>6.992</v>
      </c>
      <c r="E741" s="4">
        <v>2237</v>
      </c>
      <c r="F741" t="str">
        <f>HYPERLINK("https://www.google.com/maps/search/?api=1&amp;query=24.6903,46.5869", "View Map")</f>
        <v>View Map</v>
      </c>
      <c r="G741" s="2">
        <v>0.43773310461099912</v>
      </c>
    </row>
    <row r="742" spans="1:7" x14ac:dyDescent="0.3">
      <c r="A742" t="s">
        <v>903</v>
      </c>
      <c r="B742" t="s">
        <v>1316</v>
      </c>
      <c r="C742" t="s">
        <v>8</v>
      </c>
      <c r="D742">
        <v>6.9820000000000002</v>
      </c>
      <c r="E742" s="4">
        <v>2234</v>
      </c>
      <c r="F742" t="str">
        <f>HYPERLINK("https://www.google.com/maps/search/?api=1&amp;query=24.74961923,46.70270009", "View Map")</f>
        <v>View Map</v>
      </c>
      <c r="G742" s="2">
        <v>0.71671203196840305</v>
      </c>
    </row>
    <row r="743" spans="1:7" x14ac:dyDescent="0.3">
      <c r="A743" t="s">
        <v>1317</v>
      </c>
      <c r="B743" t="s">
        <v>1318</v>
      </c>
      <c r="C743" t="s">
        <v>8</v>
      </c>
      <c r="D743">
        <v>6.9610000000000003</v>
      </c>
      <c r="E743" s="4">
        <v>2228</v>
      </c>
      <c r="F743" t="str">
        <f>HYPERLINK("https://www.google.com/maps/search/?api=1&amp;query=24.55015781,46.68665308", "View Map")</f>
        <v>View Map</v>
      </c>
      <c r="G743" s="2">
        <v>0.51067791425449127</v>
      </c>
    </row>
    <row r="744" spans="1:7" x14ac:dyDescent="0.3">
      <c r="A744" t="s">
        <v>1319</v>
      </c>
      <c r="B744" t="s">
        <v>1320</v>
      </c>
      <c r="C744" t="s">
        <v>8</v>
      </c>
      <c r="D744">
        <v>6.9459999999999997</v>
      </c>
      <c r="E744" s="4">
        <v>2223</v>
      </c>
      <c r="F744" t="str">
        <f>HYPERLINK("https://www.google.com/maps/search/?api=1&amp;query=24.61821528,46.68802054", "View Map")</f>
        <v>View Map</v>
      </c>
    </row>
    <row r="745" spans="1:7" x14ac:dyDescent="0.3">
      <c r="A745" t="s">
        <v>1321</v>
      </c>
      <c r="B745" t="s">
        <v>1322</v>
      </c>
      <c r="C745" t="s">
        <v>8</v>
      </c>
      <c r="D745">
        <v>6.9450000000000003</v>
      </c>
      <c r="E745" s="4">
        <v>2222</v>
      </c>
      <c r="F745" t="str">
        <f>HYPERLINK("https://www.google.com/maps/search/?api=1&amp;query=24.77727932,46.8304126", "View Map")</f>
        <v>View Map</v>
      </c>
      <c r="G745" s="2">
        <v>0.66337828066380011</v>
      </c>
    </row>
    <row r="746" spans="1:7" x14ac:dyDescent="0.3">
      <c r="A746" t="s">
        <v>1323</v>
      </c>
      <c r="B746" t="s">
        <v>1324</v>
      </c>
      <c r="C746" t="s">
        <v>8</v>
      </c>
      <c r="D746">
        <v>6.9429999999999996</v>
      </c>
      <c r="E746" s="4">
        <v>2222</v>
      </c>
      <c r="F746" t="str">
        <f>HYPERLINK("https://www.google.com/maps/search/?api=1&amp;query=24.77542057,46.74452977", "View Map")</f>
        <v>View Map</v>
      </c>
      <c r="G746" s="2">
        <v>0.68123526702077286</v>
      </c>
    </row>
    <row r="747" spans="1:7" x14ac:dyDescent="0.3">
      <c r="A747" t="s">
        <v>46</v>
      </c>
      <c r="B747" t="s">
        <v>1325</v>
      </c>
      <c r="C747" t="s">
        <v>8</v>
      </c>
      <c r="D747">
        <v>6.9429999999999996</v>
      </c>
      <c r="E747" s="4">
        <v>2222</v>
      </c>
      <c r="F747" t="str">
        <f>HYPERLINK("https://www.google.com/maps/search/?api=1&amp;query=24.6192,46.5272", "View Map")</f>
        <v>View Map</v>
      </c>
      <c r="G747" s="2">
        <v>0.42758839671350601</v>
      </c>
    </row>
    <row r="748" spans="1:7" x14ac:dyDescent="0.3">
      <c r="A748" t="s">
        <v>46</v>
      </c>
      <c r="B748" t="s">
        <v>1326</v>
      </c>
      <c r="C748" t="s">
        <v>8</v>
      </c>
      <c r="D748">
        <v>6.94</v>
      </c>
      <c r="E748" s="4">
        <v>2221</v>
      </c>
      <c r="F748" t="str">
        <f>HYPERLINK("https://www.google.com/maps/search/?api=1&amp;query=24.61097928,46.50976842", "View Map")</f>
        <v>View Map</v>
      </c>
      <c r="G748" s="2">
        <v>0.35133641604945198</v>
      </c>
    </row>
    <row r="749" spans="1:7" x14ac:dyDescent="0.3">
      <c r="A749" t="s">
        <v>530</v>
      </c>
      <c r="B749" t="s">
        <v>1327</v>
      </c>
      <c r="C749" t="s">
        <v>8</v>
      </c>
      <c r="D749">
        <v>6.9390000000000001</v>
      </c>
      <c r="E749" s="4">
        <v>2220</v>
      </c>
      <c r="F749" t="str">
        <f>HYPERLINK("https://www.google.com/maps/search/?api=1&amp;query=24.75215275,46.74779009", "View Map")</f>
        <v>View Map</v>
      </c>
      <c r="G749" s="2">
        <v>0.51901833618104165</v>
      </c>
    </row>
    <row r="750" spans="1:7" x14ac:dyDescent="0.3">
      <c r="A750" t="s">
        <v>146</v>
      </c>
      <c r="B750" t="s">
        <v>1328</v>
      </c>
      <c r="C750" t="s">
        <v>8</v>
      </c>
      <c r="D750">
        <v>6.9320000000000004</v>
      </c>
      <c r="E750" s="4">
        <v>2218</v>
      </c>
      <c r="F750" t="str">
        <f>HYPERLINK("https://www.google.com/maps/search/?api=1&amp;query=24.56339244,46.59136083", "View Map")</f>
        <v>View Map</v>
      </c>
      <c r="G750" s="2">
        <v>0.35925895046302569</v>
      </c>
    </row>
    <row r="751" spans="1:7" x14ac:dyDescent="0.3">
      <c r="A751" t="s">
        <v>46</v>
      </c>
      <c r="B751" t="s">
        <v>1329</v>
      </c>
      <c r="C751" t="s">
        <v>8</v>
      </c>
      <c r="D751">
        <v>6.931</v>
      </c>
      <c r="E751" s="4">
        <v>2218</v>
      </c>
      <c r="F751" t="str">
        <f>HYPERLINK("https://www.google.com/maps/search/?api=1&amp;query=24.83613636,46.60738876", "View Map")</f>
        <v>View Map</v>
      </c>
      <c r="G751" s="2">
        <v>0.52630464029406243</v>
      </c>
    </row>
    <row r="752" spans="1:7" x14ac:dyDescent="0.3">
      <c r="A752" t="s">
        <v>1330</v>
      </c>
      <c r="B752" t="s">
        <v>1331</v>
      </c>
      <c r="C752" t="s">
        <v>8</v>
      </c>
      <c r="D752">
        <v>6.9279999999999999</v>
      </c>
      <c r="E752" s="4">
        <v>2217</v>
      </c>
      <c r="F752" t="str">
        <f>HYPERLINK("https://www.google.com/maps/search/?api=1&amp;query=24.79262182,46.62509763", "View Map")</f>
        <v>View Map</v>
      </c>
      <c r="G752" s="2">
        <v>0.64297984476328796</v>
      </c>
    </row>
    <row r="753" spans="1:7" x14ac:dyDescent="0.3">
      <c r="A753" t="s">
        <v>46</v>
      </c>
      <c r="B753" t="s">
        <v>1332</v>
      </c>
      <c r="C753" t="s">
        <v>8</v>
      </c>
      <c r="D753">
        <v>6.9219999999999997</v>
      </c>
      <c r="E753" s="4">
        <v>2215</v>
      </c>
      <c r="F753" t="str">
        <f>HYPERLINK("https://www.google.com/maps/search/?api=1&amp;query=24.86036649,46.83487716", "View Map")</f>
        <v>View Map</v>
      </c>
      <c r="G753" s="2">
        <v>0.40901323842206222</v>
      </c>
    </row>
    <row r="754" spans="1:7" x14ac:dyDescent="0.3">
      <c r="A754" t="s">
        <v>46</v>
      </c>
      <c r="B754" t="s">
        <v>1333</v>
      </c>
      <c r="C754" t="s">
        <v>55</v>
      </c>
      <c r="D754">
        <v>6.9210000000000003</v>
      </c>
      <c r="E754" s="4">
        <v>2215</v>
      </c>
      <c r="F754" t="str">
        <f>HYPERLINK("https://www.google.com/maps/search/?api=1&amp;query=24.82563064,46.56039825", "View Map")</f>
        <v>View Map</v>
      </c>
      <c r="G754" s="2">
        <v>0.5691945445482044</v>
      </c>
    </row>
    <row r="755" spans="1:7" x14ac:dyDescent="0.3">
      <c r="A755" t="s">
        <v>1334</v>
      </c>
      <c r="B755" t="s">
        <v>1335</v>
      </c>
      <c r="C755" t="s">
        <v>8</v>
      </c>
      <c r="D755">
        <v>6.92</v>
      </c>
      <c r="E755" s="4">
        <v>2214</v>
      </c>
      <c r="F755" t="str">
        <f>HYPERLINK("https://www.google.com/maps/search/?api=1&amp;query=24.8063862,46.65123976", "View Map")</f>
        <v>View Map</v>
      </c>
    </row>
    <row r="756" spans="1:7" x14ac:dyDescent="0.3">
      <c r="A756" t="s">
        <v>887</v>
      </c>
      <c r="B756" t="s">
        <v>1336</v>
      </c>
      <c r="C756" t="s">
        <v>8</v>
      </c>
      <c r="D756">
        <v>6.9169999999999998</v>
      </c>
      <c r="E756" s="4">
        <v>2214</v>
      </c>
      <c r="F756" t="str">
        <f>HYPERLINK("https://www.google.com/maps/search/?api=1&amp;query=24.62112977,46.73223297", "View Map")</f>
        <v>View Map</v>
      </c>
    </row>
    <row r="757" spans="1:7" x14ac:dyDescent="0.3">
      <c r="A757" t="s">
        <v>1337</v>
      </c>
      <c r="B757" t="s">
        <v>1338</v>
      </c>
      <c r="C757" t="s">
        <v>8</v>
      </c>
      <c r="D757">
        <v>6.9059999999999997</v>
      </c>
      <c r="E757" s="4">
        <v>2210</v>
      </c>
      <c r="F757" t="str">
        <f>HYPERLINK("https://www.google.com/maps/search/?api=1&amp;query=24.79350743,46.68285217", "View Map")</f>
        <v>View Map</v>
      </c>
      <c r="G757" s="2">
        <v>0.40337086081366802</v>
      </c>
    </row>
    <row r="758" spans="1:7" x14ac:dyDescent="0.3">
      <c r="A758" t="s">
        <v>1339</v>
      </c>
      <c r="B758" t="s">
        <v>1340</v>
      </c>
      <c r="C758" t="s">
        <v>8</v>
      </c>
      <c r="D758">
        <v>6.8860000000000001</v>
      </c>
      <c r="E758" s="4">
        <v>2203</v>
      </c>
      <c r="F758" t="str">
        <f>HYPERLINK("https://www.google.com/maps/search/?api=1&amp;query=24.5727769,46.84791767", "View Map")</f>
        <v>View Map</v>
      </c>
      <c r="G758" s="2">
        <v>0.91974240675820962</v>
      </c>
    </row>
    <row r="759" spans="1:7" x14ac:dyDescent="0.3">
      <c r="A759" t="s">
        <v>1341</v>
      </c>
      <c r="B759" t="s">
        <v>1342</v>
      </c>
      <c r="C759" t="s">
        <v>8</v>
      </c>
      <c r="D759">
        <v>6.883</v>
      </c>
      <c r="E759" s="4">
        <v>2203</v>
      </c>
      <c r="F759" t="str">
        <f>HYPERLINK("https://www.google.com/maps/search/?api=1&amp;query=24.7204502,46.84371582", "View Map")</f>
        <v>View Map</v>
      </c>
      <c r="G759" s="2">
        <v>0.49854395621984832</v>
      </c>
    </row>
    <row r="760" spans="1:7" x14ac:dyDescent="0.3">
      <c r="A760" t="s">
        <v>1343</v>
      </c>
      <c r="B760" t="s">
        <v>1344</v>
      </c>
      <c r="C760" t="s">
        <v>8</v>
      </c>
      <c r="D760">
        <v>6.8780000000000001</v>
      </c>
      <c r="E760" s="4">
        <v>2201</v>
      </c>
      <c r="F760" t="str">
        <f>HYPERLINK("https://www.google.com/maps/search/?api=1&amp;query=24.65104427,46.81195515", "View Map")</f>
        <v>View Map</v>
      </c>
      <c r="G760" s="2">
        <v>0.4133738019278187</v>
      </c>
    </row>
    <row r="761" spans="1:7" x14ac:dyDescent="0.3">
      <c r="A761" t="s">
        <v>1345</v>
      </c>
      <c r="B761" t="s">
        <v>1346</v>
      </c>
      <c r="C761" t="s">
        <v>214</v>
      </c>
      <c r="D761">
        <v>6.87</v>
      </c>
      <c r="E761" s="4">
        <v>2198</v>
      </c>
      <c r="F761" t="str">
        <f>HYPERLINK("https://www.google.com/maps/search/?api=1&amp;query=25.90665398,45.36986552", "View Map")</f>
        <v>View Map</v>
      </c>
      <c r="G761" s="2">
        <v>0.45373399617492721</v>
      </c>
    </row>
    <row r="762" spans="1:7" x14ac:dyDescent="0.3">
      <c r="A762" t="s">
        <v>1347</v>
      </c>
      <c r="B762" t="s">
        <v>1348</v>
      </c>
      <c r="C762" t="s">
        <v>8</v>
      </c>
      <c r="D762">
        <v>6.8559999999999999</v>
      </c>
      <c r="E762" s="4">
        <v>2194</v>
      </c>
      <c r="F762" t="str">
        <f>HYPERLINK("https://www.google.com/maps/search/?api=1&amp;query=24.61106184,46.74747155", "View Map")</f>
        <v>View Map</v>
      </c>
    </row>
    <row r="763" spans="1:7" x14ac:dyDescent="0.3">
      <c r="A763" t="s">
        <v>1349</v>
      </c>
      <c r="B763" t="s">
        <v>1350</v>
      </c>
      <c r="C763" t="s">
        <v>270</v>
      </c>
      <c r="D763">
        <v>6.8490000000000002</v>
      </c>
      <c r="E763" s="4">
        <v>2192</v>
      </c>
      <c r="F763" t="str">
        <f>HYPERLINK("https://www.google.com/maps/search/?api=1&amp;query=24.01850527,47.16885421", "View Map")</f>
        <v>View Map</v>
      </c>
      <c r="G763" s="2">
        <v>0.55602638496542567</v>
      </c>
    </row>
    <row r="764" spans="1:7" x14ac:dyDescent="0.3">
      <c r="A764" t="s">
        <v>1351</v>
      </c>
      <c r="B764" t="s">
        <v>1352</v>
      </c>
      <c r="C764" t="s">
        <v>8</v>
      </c>
      <c r="D764">
        <v>6.8479999999999999</v>
      </c>
      <c r="E764" s="4">
        <v>2191</v>
      </c>
      <c r="F764" t="str">
        <f>HYPERLINK("https://www.google.com/maps/search/?api=1&amp;query=24.69664673,46.81679054", "View Map")</f>
        <v>View Map</v>
      </c>
    </row>
    <row r="765" spans="1:7" x14ac:dyDescent="0.3">
      <c r="A765" t="s">
        <v>73</v>
      </c>
      <c r="B765" t="s">
        <v>1353</v>
      </c>
      <c r="C765" t="s">
        <v>8</v>
      </c>
      <c r="D765">
        <v>6.8460000000000001</v>
      </c>
      <c r="E765" s="4">
        <v>2191</v>
      </c>
      <c r="F765" t="str">
        <f>HYPERLINK("https://www.google.com/maps/search/?api=1&amp;query=24.82972943,46.67907707", "View Map")</f>
        <v>View Map</v>
      </c>
    </row>
    <row r="766" spans="1:7" x14ac:dyDescent="0.3">
      <c r="A766" t="s">
        <v>1354</v>
      </c>
      <c r="B766" t="s">
        <v>1355</v>
      </c>
      <c r="C766" t="s">
        <v>21</v>
      </c>
      <c r="D766">
        <v>6.8369999999999997</v>
      </c>
      <c r="E766" s="4">
        <v>2188</v>
      </c>
      <c r="F766" t="str">
        <f>HYPERLINK("https://www.google.com/maps/search/?api=1&amp;query=26.29833162,44.82278156", "View Map")</f>
        <v>View Map</v>
      </c>
      <c r="G766" s="2">
        <v>0.67322685155765438</v>
      </c>
    </row>
    <row r="767" spans="1:7" x14ac:dyDescent="0.3">
      <c r="A767" t="s">
        <v>146</v>
      </c>
      <c r="B767" t="s">
        <v>1356</v>
      </c>
      <c r="C767" t="s">
        <v>8</v>
      </c>
      <c r="D767">
        <v>6.8360000000000003</v>
      </c>
      <c r="E767" s="4">
        <v>2188</v>
      </c>
      <c r="F767" t="str">
        <f>HYPERLINK("https://www.google.com/maps/search/?api=1&amp;query=24.56314833,46.59821793", "View Map")</f>
        <v>View Map</v>
      </c>
    </row>
    <row r="768" spans="1:7" x14ac:dyDescent="0.3">
      <c r="A768" t="s">
        <v>215</v>
      </c>
      <c r="B768" t="s">
        <v>1357</v>
      </c>
      <c r="C768" t="s">
        <v>8</v>
      </c>
      <c r="D768">
        <v>6.8339999999999996</v>
      </c>
      <c r="E768" s="4">
        <v>2187</v>
      </c>
      <c r="F768" t="str">
        <f>HYPERLINK("https://www.google.com/maps/search/?api=1&amp;query=24.68834519,46.68858984", "View Map")</f>
        <v>View Map</v>
      </c>
      <c r="G768" s="2">
        <v>0.57148464456384318</v>
      </c>
    </row>
    <row r="769" spans="1:7" x14ac:dyDescent="0.3">
      <c r="A769" t="s">
        <v>46</v>
      </c>
      <c r="B769" t="s">
        <v>1358</v>
      </c>
      <c r="C769" t="s">
        <v>8</v>
      </c>
      <c r="D769">
        <v>6.8179999999999996</v>
      </c>
      <c r="E769" s="4">
        <v>2182</v>
      </c>
      <c r="F769" t="str">
        <f>HYPERLINK("https://www.google.com/maps/search/?api=1&amp;query=24.81079056,46.74341364", "View Map")</f>
        <v>View Map</v>
      </c>
      <c r="G769" s="2">
        <v>0.45390299285294389</v>
      </c>
    </row>
    <row r="770" spans="1:7" x14ac:dyDescent="0.3">
      <c r="A770" t="s">
        <v>1359</v>
      </c>
      <c r="B770" t="s">
        <v>1360</v>
      </c>
      <c r="C770" t="s">
        <v>8</v>
      </c>
      <c r="D770">
        <v>6.8150000000000004</v>
      </c>
      <c r="E770" s="4">
        <v>2181</v>
      </c>
      <c r="F770" t="str">
        <f>HYPERLINK("https://www.google.com/maps/search/?api=1&amp;query=24.79910457,46.76993008", "View Map")</f>
        <v>View Map</v>
      </c>
      <c r="G770" s="2">
        <v>0.40219488418860649</v>
      </c>
    </row>
    <row r="771" spans="1:7" x14ac:dyDescent="0.3">
      <c r="A771" t="s">
        <v>156</v>
      </c>
      <c r="B771" t="s">
        <v>1361</v>
      </c>
      <c r="C771" t="s">
        <v>8</v>
      </c>
      <c r="D771">
        <v>6.8120000000000003</v>
      </c>
      <c r="E771" s="4">
        <v>2180</v>
      </c>
      <c r="F771" t="str">
        <f>HYPERLINK("https://www.google.com/maps/search/?api=1&amp;query=24.72356668,46.80803843", "View Map")</f>
        <v>View Map</v>
      </c>
      <c r="G771" s="2">
        <v>0.36223978332236773</v>
      </c>
    </row>
    <row r="772" spans="1:7" x14ac:dyDescent="0.3">
      <c r="A772" t="s">
        <v>1362</v>
      </c>
      <c r="B772" t="s">
        <v>1363</v>
      </c>
      <c r="C772" t="s">
        <v>255</v>
      </c>
      <c r="D772">
        <v>6.8120000000000003</v>
      </c>
      <c r="E772" s="4">
        <v>2180</v>
      </c>
      <c r="F772" t="str">
        <f>HYPERLINK("https://www.google.com/maps/search/?api=1&amp;query=24.54456886,44.43271592", "View Map")</f>
        <v>View Map</v>
      </c>
    </row>
    <row r="773" spans="1:7" x14ac:dyDescent="0.3">
      <c r="A773" t="s">
        <v>1364</v>
      </c>
      <c r="B773" t="s">
        <v>1365</v>
      </c>
      <c r="C773" t="s">
        <v>137</v>
      </c>
      <c r="D773">
        <v>6.8109999999999999</v>
      </c>
      <c r="E773" s="4">
        <v>2179</v>
      </c>
      <c r="F773" t="str">
        <f>HYPERLINK("https://www.google.com/maps/search/?api=1&amp;query=23.48823798,46.85188467", "View Map")</f>
        <v>View Map</v>
      </c>
    </row>
    <row r="774" spans="1:7" x14ac:dyDescent="0.3">
      <c r="A774" t="s">
        <v>1366</v>
      </c>
      <c r="B774" t="s">
        <v>1367</v>
      </c>
      <c r="C774" t="s">
        <v>8</v>
      </c>
      <c r="D774">
        <v>6.81</v>
      </c>
      <c r="E774" s="4">
        <v>2179</v>
      </c>
      <c r="F774" t="str">
        <f>HYPERLINK("https://www.google.com/maps/search/?api=1&amp;query=24.71435212,46.66846967", "View Map")</f>
        <v>View Map</v>
      </c>
      <c r="G774" s="2">
        <v>0.54438642752564692</v>
      </c>
    </row>
    <row r="775" spans="1:7" x14ac:dyDescent="0.3">
      <c r="A775" t="s">
        <v>1368</v>
      </c>
      <c r="B775" t="s">
        <v>1369</v>
      </c>
      <c r="C775" t="s">
        <v>30</v>
      </c>
      <c r="D775">
        <v>6.8049999999999997</v>
      </c>
      <c r="E775" s="4">
        <v>2178</v>
      </c>
      <c r="F775" t="str">
        <f>HYPERLINK("https://www.google.com/maps/search/?api=1&amp;query=24.15426279,47.33110943", "View Map")</f>
        <v>View Map</v>
      </c>
    </row>
    <row r="776" spans="1:7" x14ac:dyDescent="0.3">
      <c r="A776" t="s">
        <v>46</v>
      </c>
      <c r="B776" t="s">
        <v>1370</v>
      </c>
      <c r="C776" t="s">
        <v>8</v>
      </c>
      <c r="D776">
        <v>6.8019999999999996</v>
      </c>
      <c r="E776" s="4">
        <v>2177</v>
      </c>
      <c r="F776" t="str">
        <f>HYPERLINK("https://www.google.com/maps/search/?api=1&amp;query=24.82135816,46.71911923", "View Map")</f>
        <v>View Map</v>
      </c>
      <c r="G776" s="2">
        <v>0.33386630105595838</v>
      </c>
    </row>
    <row r="777" spans="1:7" x14ac:dyDescent="0.3">
      <c r="A777" t="s">
        <v>46</v>
      </c>
      <c r="B777" t="s">
        <v>1371</v>
      </c>
      <c r="C777" t="s">
        <v>8</v>
      </c>
      <c r="D777">
        <v>6.798</v>
      </c>
      <c r="E777" s="4">
        <v>2175</v>
      </c>
      <c r="F777" t="str">
        <f>HYPERLINK("https://www.google.com/maps/search/?api=1&amp;query=24.83051913,46.57855565", "View Map")</f>
        <v>View Map</v>
      </c>
    </row>
    <row r="778" spans="1:7" x14ac:dyDescent="0.3">
      <c r="A778" t="s">
        <v>1372</v>
      </c>
      <c r="B778" t="s">
        <v>1373</v>
      </c>
      <c r="C778" t="s">
        <v>8</v>
      </c>
      <c r="D778">
        <v>6.7850000000000001</v>
      </c>
      <c r="E778" s="4">
        <v>2171</v>
      </c>
      <c r="F778" t="str">
        <f>HYPERLINK("https://www.google.com/maps/search/?api=1&amp;query=24.58751513,46.66182911", "View Map")</f>
        <v>View Map</v>
      </c>
      <c r="G778" s="2">
        <v>0.43927801376150449</v>
      </c>
    </row>
    <row r="779" spans="1:7" x14ac:dyDescent="0.3">
      <c r="A779" t="s">
        <v>1374</v>
      </c>
      <c r="B779" t="s">
        <v>1375</v>
      </c>
      <c r="C779" t="s">
        <v>8</v>
      </c>
      <c r="D779">
        <v>6.7850000000000001</v>
      </c>
      <c r="E779" s="4">
        <v>2171</v>
      </c>
      <c r="F779" t="str">
        <f>HYPERLINK("https://www.google.com/maps/search/?api=1&amp;query=24.69711241,46.78146253", "View Map")</f>
        <v>View Map</v>
      </c>
    </row>
    <row r="780" spans="1:7" x14ac:dyDescent="0.3">
      <c r="A780" t="s">
        <v>1376</v>
      </c>
      <c r="B780" t="s">
        <v>1377</v>
      </c>
      <c r="C780" t="s">
        <v>296</v>
      </c>
      <c r="D780">
        <v>6.7779999999999996</v>
      </c>
      <c r="E780" s="4">
        <v>2169</v>
      </c>
      <c r="F780" t="str">
        <f>HYPERLINK("https://www.google.com/maps/search/?api=1&amp;query=24.46659987,46.27985445", "View Map")</f>
        <v>View Map</v>
      </c>
      <c r="G780" s="2">
        <v>0.57746115984683843</v>
      </c>
    </row>
    <row r="781" spans="1:7" x14ac:dyDescent="0.3">
      <c r="A781" t="s">
        <v>1378</v>
      </c>
      <c r="B781" t="s">
        <v>1379</v>
      </c>
      <c r="C781" t="s">
        <v>8</v>
      </c>
      <c r="D781">
        <v>6.7729999999999997</v>
      </c>
      <c r="E781" s="4">
        <v>2167</v>
      </c>
      <c r="F781" t="str">
        <f>HYPERLINK("https://www.google.com/maps/search/?api=1&amp;query=24.5617344,46.63880384", "View Map")</f>
        <v>View Map</v>
      </c>
    </row>
    <row r="782" spans="1:7" x14ac:dyDescent="0.3">
      <c r="A782" t="s">
        <v>46</v>
      </c>
      <c r="B782" t="s">
        <v>1380</v>
      </c>
      <c r="C782" t="s">
        <v>8</v>
      </c>
      <c r="D782">
        <v>6.7590000000000003</v>
      </c>
      <c r="E782" s="4">
        <v>2163</v>
      </c>
      <c r="F782" t="str">
        <f>HYPERLINK("https://www.google.com/maps/search/?api=1&amp;query=24.8795,46.6381", "View Map")</f>
        <v>View Map</v>
      </c>
      <c r="G782" s="2">
        <v>0.52389727357860372</v>
      </c>
    </row>
    <row r="783" spans="1:7" x14ac:dyDescent="0.3">
      <c r="A783" t="s">
        <v>1381</v>
      </c>
      <c r="B783" t="s">
        <v>1382</v>
      </c>
      <c r="C783" t="s">
        <v>30</v>
      </c>
      <c r="D783">
        <v>6.7439999999999998</v>
      </c>
      <c r="E783" s="4">
        <v>2158</v>
      </c>
      <c r="F783" t="str">
        <f>HYPERLINK("https://www.google.com/maps/search/?api=1&amp;query=24.1259483,47.27599942", "View Map")</f>
        <v>View Map</v>
      </c>
    </row>
    <row r="784" spans="1:7" x14ac:dyDescent="0.3">
      <c r="A784" t="s">
        <v>1273</v>
      </c>
      <c r="B784" t="s">
        <v>1383</v>
      </c>
      <c r="C784" t="s">
        <v>241</v>
      </c>
      <c r="D784">
        <v>6.7210000000000001</v>
      </c>
      <c r="E784" s="4">
        <v>2151</v>
      </c>
      <c r="F784" t="str">
        <f>HYPERLINK("https://www.google.com/maps/search/?api=1&amp;query=20.4521667,44.77183392", "View Map")</f>
        <v>View Map</v>
      </c>
      <c r="G784" s="2">
        <v>0.52439177483743005</v>
      </c>
    </row>
    <row r="785" spans="1:7" x14ac:dyDescent="0.3">
      <c r="A785" t="s">
        <v>1384</v>
      </c>
      <c r="B785" t="s">
        <v>1385</v>
      </c>
      <c r="C785" t="s">
        <v>8</v>
      </c>
      <c r="D785">
        <v>6.694</v>
      </c>
      <c r="E785" s="4">
        <v>2142</v>
      </c>
      <c r="F785" t="str">
        <f>HYPERLINK("https://www.google.com/maps/search/?api=1&amp;query=24.59329185,46.73703888", "View Map")</f>
        <v>View Map</v>
      </c>
    </row>
    <row r="786" spans="1:7" x14ac:dyDescent="0.3">
      <c r="A786" t="s">
        <v>1386</v>
      </c>
      <c r="B786" t="s">
        <v>1387</v>
      </c>
      <c r="C786" t="s">
        <v>214</v>
      </c>
      <c r="D786">
        <v>6.6929999999999996</v>
      </c>
      <c r="E786" s="4">
        <v>2142</v>
      </c>
      <c r="F786" t="str">
        <f>HYPERLINK("https://www.google.com/maps/search/?api=1&amp;query=25.59450086,45.6134579", "View Map")</f>
        <v>View Map</v>
      </c>
      <c r="G786" s="2">
        <v>0.53876281026644546</v>
      </c>
    </row>
    <row r="787" spans="1:7" x14ac:dyDescent="0.3">
      <c r="A787" t="s">
        <v>1388</v>
      </c>
      <c r="B787" t="s">
        <v>1389</v>
      </c>
      <c r="C787" t="s">
        <v>8</v>
      </c>
      <c r="D787">
        <v>6.6909999999999998</v>
      </c>
      <c r="E787" s="4">
        <v>2141</v>
      </c>
      <c r="F787" t="str">
        <f>HYPERLINK("https://www.google.com/maps/search/?api=1&amp;query=24.59800797,46.59650878", "View Map")</f>
        <v>View Map</v>
      </c>
      <c r="G787" s="2">
        <v>0.8588315930753031</v>
      </c>
    </row>
    <row r="788" spans="1:7" x14ac:dyDescent="0.3">
      <c r="A788" t="s">
        <v>1277</v>
      </c>
      <c r="B788" t="s">
        <v>1390</v>
      </c>
      <c r="C788" t="s">
        <v>8</v>
      </c>
      <c r="D788">
        <v>6.6879999999999997</v>
      </c>
      <c r="E788" s="4">
        <v>2140</v>
      </c>
      <c r="F788" t="str">
        <f>HYPERLINK("https://www.google.com/maps/search/?api=1&amp;query=24.60894509,46.74114648", "View Map")</f>
        <v>View Map</v>
      </c>
    </row>
    <row r="789" spans="1:7" x14ac:dyDescent="0.3">
      <c r="A789" t="s">
        <v>1391</v>
      </c>
      <c r="B789" t="s">
        <v>1392</v>
      </c>
      <c r="C789" t="s">
        <v>8</v>
      </c>
      <c r="D789">
        <v>6.6849999999999996</v>
      </c>
      <c r="E789" s="4">
        <v>2139</v>
      </c>
      <c r="F789" t="str">
        <f>HYPERLINK("https://www.google.com/maps/search/?api=1&amp;query=24.74449693,46.82619363", "View Map")</f>
        <v>View Map</v>
      </c>
    </row>
    <row r="790" spans="1:7" x14ac:dyDescent="0.3">
      <c r="A790" t="s">
        <v>1393</v>
      </c>
      <c r="B790" t="s">
        <v>1394</v>
      </c>
      <c r="C790" t="s">
        <v>8</v>
      </c>
      <c r="D790">
        <v>6.6829999999999998</v>
      </c>
      <c r="E790" s="4">
        <v>2138</v>
      </c>
      <c r="F790" t="str">
        <f>HYPERLINK("https://www.google.com/maps/search/?api=1&amp;query=24.7573069,46.76949974", "View Map")</f>
        <v>View Map</v>
      </c>
    </row>
    <row r="791" spans="1:7" x14ac:dyDescent="0.3">
      <c r="A791" t="s">
        <v>1395</v>
      </c>
      <c r="B791" t="s">
        <v>1396</v>
      </c>
      <c r="C791" t="s">
        <v>8</v>
      </c>
      <c r="D791">
        <v>6.6710000000000003</v>
      </c>
      <c r="E791" s="4">
        <v>2135</v>
      </c>
      <c r="F791" t="str">
        <f>HYPERLINK("https://www.google.com/maps/search/?api=1&amp;query=24.56559255,46.68669281", "View Map")</f>
        <v>View Map</v>
      </c>
      <c r="G791" s="2">
        <v>0.47007876244145658</v>
      </c>
    </row>
    <row r="792" spans="1:7" x14ac:dyDescent="0.3">
      <c r="A792" t="s">
        <v>1397</v>
      </c>
      <c r="B792" t="s">
        <v>1398</v>
      </c>
      <c r="C792" t="s">
        <v>8</v>
      </c>
      <c r="D792">
        <v>6.6559999999999997</v>
      </c>
      <c r="E792" s="4">
        <v>2130</v>
      </c>
      <c r="F792" t="str">
        <f>HYPERLINK("https://www.google.com/maps/search/?api=1&amp;query=24.77880642,46.64982861", "View Map")</f>
        <v>View Map</v>
      </c>
      <c r="G792" s="2">
        <v>0.34951745136574131</v>
      </c>
    </row>
    <row r="793" spans="1:7" x14ac:dyDescent="0.3">
      <c r="A793" t="s">
        <v>1399</v>
      </c>
      <c r="B793" t="s">
        <v>1400</v>
      </c>
      <c r="C793" t="s">
        <v>255</v>
      </c>
      <c r="D793">
        <v>6.6539999999999999</v>
      </c>
      <c r="E793" s="4">
        <v>2129</v>
      </c>
      <c r="F793" t="str">
        <f>HYPERLINK("https://www.google.com/maps/search/?api=1&amp;query=25.01787275,43.82216339", "View Map")</f>
        <v>View Map</v>
      </c>
      <c r="G793" s="2">
        <v>0.65149476743044521</v>
      </c>
    </row>
    <row r="794" spans="1:7" x14ac:dyDescent="0.3">
      <c r="A794" t="s">
        <v>1401</v>
      </c>
      <c r="B794" t="s">
        <v>1402</v>
      </c>
      <c r="C794" t="s">
        <v>8</v>
      </c>
      <c r="D794">
        <v>6.6509999999999998</v>
      </c>
      <c r="E794" s="4">
        <v>2128</v>
      </c>
      <c r="F794" t="str">
        <f>HYPERLINK("https://www.google.com/maps/search/?api=1&amp;query=24.60161561,46.72360367", "View Map")</f>
        <v>View Map</v>
      </c>
      <c r="G794" s="2">
        <v>0.35002156288336922</v>
      </c>
    </row>
    <row r="795" spans="1:7" x14ac:dyDescent="0.3">
      <c r="A795" t="s">
        <v>1403</v>
      </c>
      <c r="B795" t="s">
        <v>1404</v>
      </c>
      <c r="C795" t="s">
        <v>241</v>
      </c>
      <c r="D795">
        <v>6.6369999999999996</v>
      </c>
      <c r="E795" s="4">
        <v>2124</v>
      </c>
      <c r="F795" t="str">
        <f>HYPERLINK("https://www.google.com/maps/search/?api=1&amp;query=20.47101102,44.79302675", "View Map")</f>
        <v>View Map</v>
      </c>
      <c r="G795" s="2">
        <v>0.4842011263799606</v>
      </c>
    </row>
    <row r="796" spans="1:7" x14ac:dyDescent="0.3">
      <c r="A796" t="s">
        <v>150</v>
      </c>
      <c r="B796" t="s">
        <v>1405</v>
      </c>
      <c r="C796" t="s">
        <v>8</v>
      </c>
      <c r="D796">
        <v>6.6360000000000001</v>
      </c>
      <c r="E796" s="4">
        <v>2124</v>
      </c>
      <c r="F796" t="str">
        <f>HYPERLINK("https://www.google.com/maps/search/?api=1&amp;query=24.80862069,46.87011952", "View Map")</f>
        <v>View Map</v>
      </c>
      <c r="G796" s="2">
        <v>0.55015975312763155</v>
      </c>
    </row>
    <row r="797" spans="1:7" x14ac:dyDescent="0.3">
      <c r="A797" t="s">
        <v>1406</v>
      </c>
      <c r="B797" t="s">
        <v>1407</v>
      </c>
      <c r="C797" t="s">
        <v>442</v>
      </c>
      <c r="D797">
        <v>6.6340000000000003</v>
      </c>
      <c r="E797" s="4">
        <v>2123</v>
      </c>
      <c r="F797" t="str">
        <f>HYPERLINK("https://www.google.com/maps/search/?api=1&amp;query=23.63209551,46.51225013", "View Map")</f>
        <v>View Map</v>
      </c>
      <c r="G797" s="2">
        <v>0.70134322537854032</v>
      </c>
    </row>
    <row r="798" spans="1:7" x14ac:dyDescent="0.3">
      <c r="A798" t="s">
        <v>46</v>
      </c>
      <c r="B798" t="s">
        <v>1408</v>
      </c>
      <c r="C798" t="s">
        <v>8</v>
      </c>
      <c r="D798">
        <v>6.6150000000000002</v>
      </c>
      <c r="E798" s="4">
        <v>2117</v>
      </c>
      <c r="F798" t="str">
        <f>HYPERLINK("https://www.google.com/maps/search/?api=1&amp;query=24.79076095,46.73410775", "View Map")</f>
        <v>View Map</v>
      </c>
      <c r="G798" s="2">
        <v>0.6018856058392994</v>
      </c>
    </row>
    <row r="799" spans="1:7" x14ac:dyDescent="0.3">
      <c r="A799" t="s">
        <v>1409</v>
      </c>
      <c r="B799" t="s">
        <v>1410</v>
      </c>
      <c r="C799" t="s">
        <v>8</v>
      </c>
      <c r="D799">
        <v>6.6120000000000001</v>
      </c>
      <c r="E799" s="4">
        <v>2116</v>
      </c>
      <c r="F799" t="str">
        <f>HYPERLINK("https://www.google.com/maps/search/?api=1&amp;query=24.65851891,46.80514329", "View Map")</f>
        <v>View Map</v>
      </c>
    </row>
    <row r="800" spans="1:7" x14ac:dyDescent="0.3">
      <c r="A800" t="s">
        <v>46</v>
      </c>
      <c r="B800" t="s">
        <v>1411</v>
      </c>
      <c r="C800" t="s">
        <v>8</v>
      </c>
      <c r="D800">
        <v>6.6109999999999998</v>
      </c>
      <c r="E800" s="4">
        <v>2115</v>
      </c>
      <c r="F800" t="str">
        <f>HYPERLINK("https://www.google.com/maps/search/?api=1&amp;query=24.8099882,46.59869175", "View Map")</f>
        <v>View Map</v>
      </c>
    </row>
    <row r="801" spans="1:7" x14ac:dyDescent="0.3">
      <c r="A801" t="s">
        <v>1412</v>
      </c>
      <c r="B801" t="s">
        <v>1413</v>
      </c>
      <c r="C801" t="s">
        <v>8</v>
      </c>
      <c r="D801">
        <v>6.6050000000000004</v>
      </c>
      <c r="E801" s="4">
        <v>2114</v>
      </c>
      <c r="F801" t="str">
        <f>HYPERLINK("https://www.google.com/maps/search/?api=1&amp;query=24.71145632,46.77691234", "View Map")</f>
        <v>View Map</v>
      </c>
      <c r="G801" s="2">
        <v>0.62635705164359889</v>
      </c>
    </row>
    <row r="802" spans="1:7" x14ac:dyDescent="0.3">
      <c r="A802" t="s">
        <v>1414</v>
      </c>
      <c r="B802" t="s">
        <v>1415</v>
      </c>
      <c r="C802" t="s">
        <v>8</v>
      </c>
      <c r="D802">
        <v>6.6020000000000003</v>
      </c>
      <c r="E802" s="4">
        <v>2113</v>
      </c>
      <c r="F802" t="str">
        <f>HYPERLINK("https://www.google.com/maps/search/?api=1&amp;query=24.78265071,46.58388412", "View Map")</f>
        <v>View Map</v>
      </c>
    </row>
    <row r="803" spans="1:7" x14ac:dyDescent="0.3">
      <c r="A803" t="s">
        <v>1416</v>
      </c>
      <c r="B803" t="s">
        <v>1417</v>
      </c>
      <c r="C803" t="s">
        <v>8</v>
      </c>
      <c r="D803">
        <v>6.5970000000000004</v>
      </c>
      <c r="E803" s="4">
        <v>2111</v>
      </c>
      <c r="F803" t="str">
        <f>HYPERLINK("https://www.google.com/maps/search/?api=1&amp;query=24.68847054,46.82598437", "View Map")</f>
        <v>View Map</v>
      </c>
    </row>
    <row r="804" spans="1:7" x14ac:dyDescent="0.3">
      <c r="A804" t="s">
        <v>1418</v>
      </c>
      <c r="B804" t="s">
        <v>1419</v>
      </c>
      <c r="C804" t="s">
        <v>8</v>
      </c>
      <c r="D804">
        <v>6.5759999999999996</v>
      </c>
      <c r="E804" s="4">
        <v>2104</v>
      </c>
      <c r="F804" t="str">
        <f>HYPERLINK("https://www.google.com/maps/search/?api=1&amp;query=24.77451704,46.71654556", "View Map")</f>
        <v>View Map</v>
      </c>
    </row>
    <row r="805" spans="1:7" x14ac:dyDescent="0.3">
      <c r="A805" t="s">
        <v>1420</v>
      </c>
      <c r="B805" t="s">
        <v>1421</v>
      </c>
      <c r="C805" t="s">
        <v>255</v>
      </c>
      <c r="D805">
        <v>6.5750000000000002</v>
      </c>
      <c r="E805" s="4">
        <v>2104</v>
      </c>
      <c r="F805" t="str">
        <f>HYPERLINK("https://www.google.com/maps/search/?api=1&amp;query=24.55632729,44.42937247", "View Map")</f>
        <v>View Map</v>
      </c>
      <c r="G805" s="2">
        <v>0.63532104205800988</v>
      </c>
    </row>
    <row r="806" spans="1:7" x14ac:dyDescent="0.3">
      <c r="A806" t="s">
        <v>73</v>
      </c>
      <c r="B806" t="s">
        <v>1422</v>
      </c>
      <c r="C806" t="s">
        <v>8</v>
      </c>
      <c r="D806">
        <v>6.5739999999999998</v>
      </c>
      <c r="E806" s="4">
        <v>2104</v>
      </c>
      <c r="F806" t="str">
        <f>HYPERLINK("https://www.google.com/maps/search/?api=1&amp;query=24.8319,46.6525", "View Map")</f>
        <v>View Map</v>
      </c>
      <c r="G806" s="2">
        <v>0.40080983362317552</v>
      </c>
    </row>
    <row r="807" spans="1:7" x14ac:dyDescent="0.3">
      <c r="A807" t="s">
        <v>1423</v>
      </c>
      <c r="B807" t="s">
        <v>1424</v>
      </c>
      <c r="C807" t="s">
        <v>30</v>
      </c>
      <c r="D807">
        <v>6.5739999999999998</v>
      </c>
      <c r="E807" s="4">
        <v>2104</v>
      </c>
      <c r="F807" t="str">
        <f>HYPERLINK("https://www.google.com/maps/search/?api=1&amp;query=24.39839527,47.22363499", "View Map")</f>
        <v>View Map</v>
      </c>
      <c r="G807" s="2">
        <v>0.46974470848485123</v>
      </c>
    </row>
    <row r="808" spans="1:7" x14ac:dyDescent="0.3">
      <c r="A808" t="s">
        <v>1425</v>
      </c>
      <c r="B808" t="s">
        <v>1426</v>
      </c>
      <c r="C808" t="s">
        <v>8</v>
      </c>
      <c r="D808">
        <v>6.5679999999999996</v>
      </c>
      <c r="E808" s="4">
        <v>2102</v>
      </c>
      <c r="F808" t="str">
        <f>HYPERLINK("https://www.google.com/maps/search/?api=1&amp;query=24.67468812,46.81850128", "View Map")</f>
        <v>View Map</v>
      </c>
      <c r="G808" s="2">
        <v>0.43278889680221561</v>
      </c>
    </row>
    <row r="809" spans="1:7" x14ac:dyDescent="0.3">
      <c r="A809" t="s">
        <v>1427</v>
      </c>
      <c r="B809" t="s">
        <v>1428</v>
      </c>
      <c r="C809" t="s">
        <v>8</v>
      </c>
      <c r="D809">
        <v>6.556</v>
      </c>
      <c r="E809" s="4">
        <v>2098</v>
      </c>
      <c r="F809" t="str">
        <f>HYPERLINK("https://www.google.com/maps/search/?api=1&amp;query=24.55676043,46.5226673", "View Map")</f>
        <v>View Map</v>
      </c>
    </row>
    <row r="810" spans="1:7" x14ac:dyDescent="0.3">
      <c r="A810" t="s">
        <v>1429</v>
      </c>
      <c r="B810" t="s">
        <v>1430</v>
      </c>
      <c r="C810" t="s">
        <v>442</v>
      </c>
      <c r="D810">
        <v>6.5519999999999996</v>
      </c>
      <c r="E810" s="4">
        <v>2097</v>
      </c>
      <c r="F810" t="str">
        <f>HYPERLINK("https://www.google.com/maps/search/?api=1&amp;query=23.63233808,46.50877792", "View Map")</f>
        <v>View Map</v>
      </c>
      <c r="G810" s="2">
        <v>0.97405223288635367</v>
      </c>
    </row>
    <row r="811" spans="1:7" x14ac:dyDescent="0.3">
      <c r="A811" t="s">
        <v>1431</v>
      </c>
      <c r="B811" t="s">
        <v>1432</v>
      </c>
      <c r="C811" t="s">
        <v>8</v>
      </c>
      <c r="D811">
        <v>6.5510000000000002</v>
      </c>
      <c r="E811" s="4">
        <v>2096</v>
      </c>
      <c r="F811" t="str">
        <f>HYPERLINK("https://www.google.com/maps/search/?api=1&amp;query=24.62156169,46.71424394", "View Map")</f>
        <v>View Map</v>
      </c>
      <c r="G811" s="2">
        <v>0.49077673828535512</v>
      </c>
    </row>
    <row r="812" spans="1:7" x14ac:dyDescent="0.3">
      <c r="A812" t="s">
        <v>1433</v>
      </c>
      <c r="B812" t="s">
        <v>1434</v>
      </c>
      <c r="C812" t="s">
        <v>8</v>
      </c>
      <c r="D812">
        <v>6.5330000000000004</v>
      </c>
      <c r="E812" s="4">
        <v>2091</v>
      </c>
      <c r="F812" t="str">
        <f>HYPERLINK("https://www.google.com/maps/search/?api=1&amp;query=24.79937955,46.69492821", "View Map")</f>
        <v>View Map</v>
      </c>
      <c r="G812" s="2">
        <v>0.52431581586021059</v>
      </c>
    </row>
    <row r="813" spans="1:7" x14ac:dyDescent="0.3">
      <c r="A813" t="s">
        <v>28</v>
      </c>
      <c r="B813" t="s">
        <v>1435</v>
      </c>
      <c r="C813" t="s">
        <v>270</v>
      </c>
      <c r="D813">
        <v>6.5330000000000004</v>
      </c>
      <c r="E813" s="4">
        <v>2091</v>
      </c>
      <c r="F813" t="str">
        <f>HYPERLINK("https://www.google.com/maps/search/?api=1&amp;query=24.1028556,47.17585787", "View Map")</f>
        <v>View Map</v>
      </c>
      <c r="G813" s="2">
        <v>0.46480888492759109</v>
      </c>
    </row>
    <row r="814" spans="1:7" x14ac:dyDescent="0.3">
      <c r="A814" t="s">
        <v>1436</v>
      </c>
      <c r="B814" t="s">
        <v>1437</v>
      </c>
      <c r="C814" t="s">
        <v>8</v>
      </c>
      <c r="D814">
        <v>6.524</v>
      </c>
      <c r="E814" s="4">
        <v>2088</v>
      </c>
      <c r="F814" t="str">
        <f>HYPERLINK("https://www.google.com/maps/search/?api=1&amp;query=24.8128698,46.65727134", "View Map")</f>
        <v>View Map</v>
      </c>
      <c r="G814" s="2">
        <v>0.4277755553140084</v>
      </c>
    </row>
    <row r="815" spans="1:7" x14ac:dyDescent="0.3">
      <c r="A815" t="s">
        <v>411</v>
      </c>
      <c r="B815" t="s">
        <v>1438</v>
      </c>
      <c r="C815" t="s">
        <v>77</v>
      </c>
      <c r="D815">
        <v>6.524</v>
      </c>
      <c r="E815" s="4">
        <v>2088</v>
      </c>
      <c r="F815" t="str">
        <f>HYPERLINK("https://www.google.com/maps/search/?api=1&amp;query=22.01179802,46.59672528", "View Map")</f>
        <v>View Map</v>
      </c>
      <c r="G815" s="2">
        <v>0.723822966540274</v>
      </c>
    </row>
    <row r="816" spans="1:7" x14ac:dyDescent="0.3">
      <c r="A816" t="s">
        <v>1439</v>
      </c>
      <c r="B816" t="s">
        <v>1440</v>
      </c>
      <c r="C816" t="s">
        <v>8</v>
      </c>
      <c r="D816">
        <v>6.5220000000000002</v>
      </c>
      <c r="E816" s="4">
        <v>2087</v>
      </c>
      <c r="F816" t="str">
        <f>HYPERLINK("https://www.google.com/maps/search/?api=1&amp;query=24.61657229,46.73618587", "View Map")</f>
        <v>View Map</v>
      </c>
    </row>
    <row r="817" spans="1:7" x14ac:dyDescent="0.3">
      <c r="A817" t="s">
        <v>1441</v>
      </c>
      <c r="B817" t="s">
        <v>1442</v>
      </c>
      <c r="C817" t="s">
        <v>241</v>
      </c>
      <c r="D817">
        <v>6.5209999999999999</v>
      </c>
      <c r="E817" s="4">
        <v>2087</v>
      </c>
      <c r="F817" t="str">
        <f>HYPERLINK("https://www.google.com/maps/search/?api=1&amp;query=20.4337845,44.77963537", "View Map")</f>
        <v>View Map</v>
      </c>
      <c r="G817" s="2">
        <v>0.56532301781654737</v>
      </c>
    </row>
    <row r="818" spans="1:7" x14ac:dyDescent="0.3">
      <c r="A818" t="s">
        <v>1443</v>
      </c>
      <c r="B818" t="s">
        <v>1444</v>
      </c>
      <c r="C818" t="s">
        <v>8</v>
      </c>
      <c r="D818">
        <v>6.5179999999999998</v>
      </c>
      <c r="E818" s="4">
        <v>2086</v>
      </c>
      <c r="F818" t="str">
        <f>HYPERLINK("https://www.google.com/maps/search/?api=1&amp;query=24.68752605,46.83081952", "View Map")</f>
        <v>View Map</v>
      </c>
      <c r="G818" s="2">
        <v>0.42330867650884751</v>
      </c>
    </row>
    <row r="819" spans="1:7" x14ac:dyDescent="0.3">
      <c r="A819" t="s">
        <v>46</v>
      </c>
      <c r="B819" t="s">
        <v>1445</v>
      </c>
      <c r="C819" t="s">
        <v>8</v>
      </c>
      <c r="D819">
        <v>6.5179999999999998</v>
      </c>
      <c r="E819" s="4">
        <v>2086</v>
      </c>
      <c r="F819" t="str">
        <f>HYPERLINK("https://www.google.com/maps/search/?api=1&amp;query=24.79683667,46.7940238", "View Map")</f>
        <v>View Map</v>
      </c>
    </row>
    <row r="820" spans="1:7" x14ac:dyDescent="0.3">
      <c r="A820" t="s">
        <v>46</v>
      </c>
      <c r="B820" t="s">
        <v>1446</v>
      </c>
      <c r="C820" t="s">
        <v>55</v>
      </c>
      <c r="D820">
        <v>6.5140000000000002</v>
      </c>
      <c r="E820" s="4">
        <v>2084</v>
      </c>
      <c r="F820" t="str">
        <f>HYPERLINK("https://www.google.com/maps/search/?api=1&amp;query=24.755,46.5667", "View Map")</f>
        <v>View Map</v>
      </c>
      <c r="G820" s="2">
        <v>0.37802830502597329</v>
      </c>
    </row>
    <row r="821" spans="1:7" x14ac:dyDescent="0.3">
      <c r="A821" t="s">
        <v>1447</v>
      </c>
      <c r="B821" t="s">
        <v>1448</v>
      </c>
      <c r="C821" t="s">
        <v>8</v>
      </c>
      <c r="D821">
        <v>6.5129999999999999</v>
      </c>
      <c r="E821" s="4">
        <v>2084</v>
      </c>
      <c r="F821" t="str">
        <f>HYPERLINK("https://www.google.com/maps/search/?api=1&amp;query=24.58363943,46.67838005", "View Map")</f>
        <v>View Map</v>
      </c>
    </row>
    <row r="822" spans="1:7" x14ac:dyDescent="0.3">
      <c r="A822" t="s">
        <v>46</v>
      </c>
      <c r="B822" t="s">
        <v>1449</v>
      </c>
      <c r="C822" t="s">
        <v>8</v>
      </c>
      <c r="D822">
        <v>6.5069999999999997</v>
      </c>
      <c r="E822" s="4">
        <v>2082</v>
      </c>
      <c r="F822" t="str">
        <f>HYPERLINK("https://www.google.com/maps/search/?api=1&amp;query=24.87025862,46.61654794", "View Map")</f>
        <v>View Map</v>
      </c>
      <c r="G822" s="2">
        <v>0.76320567929870498</v>
      </c>
    </row>
    <row r="823" spans="1:7" x14ac:dyDescent="0.3">
      <c r="A823" t="s">
        <v>46</v>
      </c>
      <c r="B823" t="s">
        <v>1450</v>
      </c>
      <c r="C823" t="s">
        <v>8</v>
      </c>
      <c r="D823">
        <v>6.4980000000000002</v>
      </c>
      <c r="E823" s="4">
        <v>2079</v>
      </c>
      <c r="F823" t="str">
        <f>HYPERLINK("https://www.google.com/maps/search/?api=1&amp;query=24.82786985,46.60405037", "View Map")</f>
        <v>View Map</v>
      </c>
      <c r="G823" s="2">
        <v>0.64563720375291722</v>
      </c>
    </row>
    <row r="824" spans="1:7" x14ac:dyDescent="0.3">
      <c r="A824" t="s">
        <v>1451</v>
      </c>
      <c r="B824" t="s">
        <v>1452</v>
      </c>
      <c r="C824" t="s">
        <v>8</v>
      </c>
      <c r="D824">
        <v>6.4980000000000002</v>
      </c>
      <c r="E824" s="4">
        <v>2080</v>
      </c>
      <c r="F824" t="str">
        <f>HYPERLINK("https://www.google.com/maps/search/?api=1&amp;query=24.72529694,46.66042227", "View Map")</f>
        <v>View Map</v>
      </c>
      <c r="G824" s="2">
        <v>0.71858631506723891</v>
      </c>
    </row>
    <row r="825" spans="1:7" x14ac:dyDescent="0.3">
      <c r="A825" t="s">
        <v>1453</v>
      </c>
      <c r="B825" t="s">
        <v>1454</v>
      </c>
      <c r="C825" t="s">
        <v>77</v>
      </c>
      <c r="D825">
        <v>6.492</v>
      </c>
      <c r="E825" s="4">
        <v>2077</v>
      </c>
      <c r="F825" t="str">
        <f>HYPERLINK("https://www.google.com/maps/search/?api=1&amp;query=22.02817005,46.56042771", "View Map")</f>
        <v>View Map</v>
      </c>
      <c r="G825" s="2">
        <v>0.60995451007597945</v>
      </c>
    </row>
    <row r="826" spans="1:7" x14ac:dyDescent="0.3">
      <c r="A826" t="s">
        <v>1455</v>
      </c>
      <c r="B826" t="s">
        <v>1456</v>
      </c>
      <c r="C826" t="s">
        <v>30</v>
      </c>
      <c r="D826">
        <v>6.4889999999999999</v>
      </c>
      <c r="E826" s="4">
        <v>2077</v>
      </c>
      <c r="F826" t="str">
        <f>HYPERLINK("https://www.google.com/maps/search/?api=1&amp;query=24.14423241,47.36692128", "View Map")</f>
        <v>View Map</v>
      </c>
      <c r="G826" s="2">
        <v>0.67534838965592259</v>
      </c>
    </row>
    <row r="827" spans="1:7" x14ac:dyDescent="0.3">
      <c r="A827" t="s">
        <v>1457</v>
      </c>
      <c r="B827" t="s">
        <v>1458</v>
      </c>
      <c r="C827" t="s">
        <v>8</v>
      </c>
      <c r="D827">
        <v>6.4859999999999998</v>
      </c>
      <c r="E827" s="4">
        <v>2075</v>
      </c>
      <c r="F827" t="str">
        <f>HYPERLINK("https://www.google.com/maps/search/?api=1&amp;query=24.77760132,46.62092336", "View Map")</f>
        <v>View Map</v>
      </c>
      <c r="G827" s="2">
        <v>0.409287106255811</v>
      </c>
    </row>
    <row r="828" spans="1:7" x14ac:dyDescent="0.3">
      <c r="A828" t="s">
        <v>1459</v>
      </c>
      <c r="B828" t="s">
        <v>1460</v>
      </c>
      <c r="C828" t="s">
        <v>8</v>
      </c>
      <c r="D828">
        <v>6.4740000000000002</v>
      </c>
      <c r="E828" s="4">
        <v>2072</v>
      </c>
      <c r="F828" t="str">
        <f>HYPERLINK("https://www.google.com/maps/search/?api=1&amp;query=24.59949314,46.70537345", "View Map")</f>
        <v>View Map</v>
      </c>
      <c r="G828" s="2">
        <v>0.9041711446885472</v>
      </c>
    </row>
    <row r="829" spans="1:7" x14ac:dyDescent="0.3">
      <c r="A829" t="s">
        <v>1461</v>
      </c>
      <c r="B829" t="s">
        <v>1462</v>
      </c>
      <c r="C829" t="s">
        <v>8</v>
      </c>
      <c r="D829">
        <v>6.4720000000000004</v>
      </c>
      <c r="E829" s="4">
        <v>2071</v>
      </c>
      <c r="F829" t="str">
        <f>HYPERLINK("https://www.google.com/maps/search/?api=1&amp;query=24.87572,46.58971", "View Map")</f>
        <v>View Map</v>
      </c>
      <c r="G829" s="2">
        <v>0.40001564132029721</v>
      </c>
    </row>
    <row r="830" spans="1:7" x14ac:dyDescent="0.3">
      <c r="A830" t="s">
        <v>46</v>
      </c>
      <c r="B830" t="s">
        <v>1463</v>
      </c>
      <c r="C830" t="s">
        <v>8</v>
      </c>
      <c r="D830">
        <v>6.468</v>
      </c>
      <c r="E830" s="4">
        <v>2070</v>
      </c>
      <c r="F830" t="str">
        <f>HYPERLINK("https://www.google.com/maps/search/?api=1&amp;query=24.85169586,46.79771996", "View Map")</f>
        <v>View Map</v>
      </c>
      <c r="G830" s="2">
        <v>0.45471253995589761</v>
      </c>
    </row>
    <row r="831" spans="1:7" x14ac:dyDescent="0.3">
      <c r="A831" t="s">
        <v>1464</v>
      </c>
      <c r="B831" t="s">
        <v>1465</v>
      </c>
      <c r="C831" t="s">
        <v>8</v>
      </c>
      <c r="D831">
        <v>6.4589999999999996</v>
      </c>
      <c r="E831" s="4">
        <v>2067</v>
      </c>
      <c r="F831" t="str">
        <f>HYPERLINK("https://www.google.com/maps/search/?api=1&amp;query=24.67754261,46.5914872", "View Map")</f>
        <v>View Map</v>
      </c>
      <c r="G831" s="2">
        <v>0.72371784771151093</v>
      </c>
    </row>
    <row r="832" spans="1:7" x14ac:dyDescent="0.3">
      <c r="A832" t="s">
        <v>1466</v>
      </c>
      <c r="B832" t="s">
        <v>1467</v>
      </c>
      <c r="C832" t="s">
        <v>8</v>
      </c>
      <c r="D832">
        <v>6.4459999999999997</v>
      </c>
      <c r="E832" s="4">
        <v>2063</v>
      </c>
      <c r="F832" t="str">
        <f>HYPERLINK("https://www.google.com/maps/search/?api=1&amp;query=24.81524319,46.62503079", "View Map")</f>
        <v>View Map</v>
      </c>
      <c r="G832" s="2">
        <v>0.43034362960924599</v>
      </c>
    </row>
    <row r="833" spans="1:7" x14ac:dyDescent="0.3">
      <c r="A833" t="s">
        <v>1468</v>
      </c>
      <c r="B833" t="s">
        <v>1469</v>
      </c>
      <c r="C833" t="s">
        <v>8</v>
      </c>
      <c r="D833">
        <v>6.4450000000000003</v>
      </c>
      <c r="E833" s="4">
        <v>2062</v>
      </c>
      <c r="F833" t="str">
        <f>HYPERLINK("https://www.google.com/maps/search/?api=1&amp;query=24.58331852,46.61143754", "View Map")</f>
        <v>View Map</v>
      </c>
    </row>
    <row r="834" spans="1:7" x14ac:dyDescent="0.3">
      <c r="A834" t="s">
        <v>1470</v>
      </c>
      <c r="B834" t="s">
        <v>1471</v>
      </c>
      <c r="C834" t="s">
        <v>8</v>
      </c>
      <c r="D834">
        <v>6.4450000000000003</v>
      </c>
      <c r="E834" s="4">
        <v>2062</v>
      </c>
      <c r="F834" t="str">
        <f>HYPERLINK("https://www.google.com/maps/search/?api=1&amp;query=24.7226486,46.79984027", "View Map")</f>
        <v>View Map</v>
      </c>
      <c r="G834" s="2">
        <v>0.52606556434684792</v>
      </c>
    </row>
    <row r="835" spans="1:7" x14ac:dyDescent="0.3">
      <c r="A835" t="s">
        <v>1472</v>
      </c>
      <c r="B835" t="s">
        <v>1473</v>
      </c>
      <c r="C835" t="s">
        <v>8</v>
      </c>
      <c r="D835">
        <v>6.4409999999999998</v>
      </c>
      <c r="E835" s="4">
        <v>2061</v>
      </c>
      <c r="F835" t="str">
        <f>HYPERLINK("https://www.google.com/maps/search/?api=1&amp;query=24.62227973,46.52827251", "View Map")</f>
        <v>View Map</v>
      </c>
      <c r="G835" s="2">
        <v>0.55821403865960595</v>
      </c>
    </row>
    <row r="836" spans="1:7" x14ac:dyDescent="0.3">
      <c r="A836" t="s">
        <v>1474</v>
      </c>
      <c r="B836" t="s">
        <v>1475</v>
      </c>
      <c r="C836" t="s">
        <v>8</v>
      </c>
      <c r="D836">
        <v>6.43</v>
      </c>
      <c r="E836" s="4">
        <v>2058</v>
      </c>
      <c r="F836" t="str">
        <f>HYPERLINK("https://www.google.com/maps/search/?api=1&amp;query=24.59719193,46.65401444", "View Map")</f>
        <v>View Map</v>
      </c>
    </row>
    <row r="837" spans="1:7" x14ac:dyDescent="0.3">
      <c r="A837" t="s">
        <v>1476</v>
      </c>
      <c r="B837" t="s">
        <v>1477</v>
      </c>
      <c r="C837" t="s">
        <v>30</v>
      </c>
      <c r="D837">
        <v>6.4260000000000002</v>
      </c>
      <c r="E837" s="4">
        <v>2056</v>
      </c>
      <c r="F837" t="str">
        <f>HYPERLINK("https://www.google.com/maps/search/?api=1&amp;query=24.13855392,47.28682893", "View Map")</f>
        <v>View Map</v>
      </c>
      <c r="G837" s="2">
        <v>0.57018783920968508</v>
      </c>
    </row>
    <row r="838" spans="1:7" x14ac:dyDescent="0.3">
      <c r="A838" t="s">
        <v>46</v>
      </c>
      <c r="B838" t="s">
        <v>1478</v>
      </c>
      <c r="C838" t="s">
        <v>8</v>
      </c>
      <c r="D838">
        <v>6.42</v>
      </c>
      <c r="E838" s="4">
        <v>2054</v>
      </c>
      <c r="F838" t="str">
        <f>HYPERLINK("https://www.google.com/maps/search/?api=1&amp;query=24.88673753,46.63400258", "View Map")</f>
        <v>View Map</v>
      </c>
      <c r="G838" s="2">
        <v>0.71443454438136944</v>
      </c>
    </row>
    <row r="839" spans="1:7" x14ac:dyDescent="0.3">
      <c r="A839" t="s">
        <v>1479</v>
      </c>
      <c r="B839" t="s">
        <v>1480</v>
      </c>
      <c r="C839" t="s">
        <v>8</v>
      </c>
      <c r="D839">
        <v>6.4169999999999998</v>
      </c>
      <c r="E839" s="4">
        <v>2054</v>
      </c>
      <c r="F839" t="str">
        <f>HYPERLINK("https://www.google.com/maps/search/?api=1&amp;query=24.80299941,46.71617693", "View Map")</f>
        <v>View Map</v>
      </c>
    </row>
    <row r="840" spans="1:7" x14ac:dyDescent="0.3">
      <c r="A840" t="s">
        <v>150</v>
      </c>
      <c r="B840" t="s">
        <v>1481</v>
      </c>
      <c r="C840" t="s">
        <v>8</v>
      </c>
      <c r="D840">
        <v>6.4160000000000004</v>
      </c>
      <c r="E840" s="4">
        <v>2053</v>
      </c>
      <c r="F840" t="str">
        <f>HYPERLINK("https://www.google.com/maps/search/?api=1&amp;query=24.92253463,46.82486407", "View Map")</f>
        <v>View Map</v>
      </c>
      <c r="G840" s="2">
        <v>0.4191868129177328</v>
      </c>
    </row>
    <row r="841" spans="1:7" x14ac:dyDescent="0.3">
      <c r="A841" t="s">
        <v>1482</v>
      </c>
      <c r="B841" t="s">
        <v>1483</v>
      </c>
      <c r="C841" t="s">
        <v>214</v>
      </c>
      <c r="D841">
        <v>6.41</v>
      </c>
      <c r="E841" s="4">
        <v>2051</v>
      </c>
      <c r="F841" t="str">
        <f>HYPERLINK("https://www.google.com/maps/search/?api=1&amp;query=25.90609461,45.39241928", "View Map")</f>
        <v>View Map</v>
      </c>
      <c r="G841" s="2">
        <v>0.49715743137903567</v>
      </c>
    </row>
    <row r="842" spans="1:7" x14ac:dyDescent="0.3">
      <c r="A842" t="s">
        <v>1484</v>
      </c>
      <c r="B842" t="s">
        <v>1485</v>
      </c>
      <c r="C842" t="s">
        <v>30</v>
      </c>
      <c r="D842">
        <v>6.3959999999999999</v>
      </c>
      <c r="E842" s="4">
        <v>2047</v>
      </c>
      <c r="F842" t="str">
        <f>HYPERLINK("https://www.google.com/maps/search/?api=1&amp;query=24.14283231,47.33389687", "View Map")</f>
        <v>View Map</v>
      </c>
      <c r="G842" s="2">
        <v>0.42523436754956961</v>
      </c>
    </row>
    <row r="843" spans="1:7" x14ac:dyDescent="0.3">
      <c r="A843" t="s">
        <v>1486</v>
      </c>
      <c r="B843" t="s">
        <v>1487</v>
      </c>
      <c r="C843" t="s">
        <v>8</v>
      </c>
      <c r="D843">
        <v>6.3949999999999996</v>
      </c>
      <c r="E843" s="4">
        <v>2046</v>
      </c>
      <c r="F843" t="str">
        <f>HYPERLINK("https://www.google.com/maps/search/?api=1&amp;query=24.6973241,46.79997058", "View Map")</f>
        <v>View Map</v>
      </c>
      <c r="G843" s="2">
        <v>0.36791912154564721</v>
      </c>
    </row>
    <row r="844" spans="1:7" x14ac:dyDescent="0.3">
      <c r="A844" t="s">
        <v>1488</v>
      </c>
      <c r="B844" t="s">
        <v>1489</v>
      </c>
      <c r="C844" t="s">
        <v>30</v>
      </c>
      <c r="D844">
        <v>6.3879999999999999</v>
      </c>
      <c r="E844" s="4">
        <v>2044</v>
      </c>
      <c r="F844" t="str">
        <f>HYPERLINK("https://www.google.com/maps/search/?api=1&amp;query=24.12441,47.27047", "View Map")</f>
        <v>View Map</v>
      </c>
      <c r="G844" s="2">
        <v>0.79058522775689521</v>
      </c>
    </row>
    <row r="845" spans="1:7" x14ac:dyDescent="0.3">
      <c r="A845" t="s">
        <v>1490</v>
      </c>
      <c r="B845" t="s">
        <v>1491</v>
      </c>
      <c r="C845" t="s">
        <v>8</v>
      </c>
      <c r="D845">
        <v>6.3860000000000001</v>
      </c>
      <c r="E845" s="4">
        <v>2043</v>
      </c>
      <c r="F845" t="str">
        <f>HYPERLINK("https://www.google.com/maps/search/?api=1&amp;query=24.77325101,46.62159992", "View Map")</f>
        <v>View Map</v>
      </c>
      <c r="G845" s="2">
        <v>0.49522636598535191</v>
      </c>
    </row>
    <row r="846" spans="1:7" x14ac:dyDescent="0.3">
      <c r="A846" t="s">
        <v>176</v>
      </c>
      <c r="B846" t="s">
        <v>1492</v>
      </c>
      <c r="C846" t="s">
        <v>8</v>
      </c>
      <c r="D846">
        <v>6.3810000000000002</v>
      </c>
      <c r="E846" s="4">
        <v>2042</v>
      </c>
      <c r="F846" t="str">
        <f>HYPERLINK("https://www.google.com/maps/search/?api=1&amp;query=24.7861178,46.79299834", "View Map")</f>
        <v>View Map</v>
      </c>
      <c r="G846" s="2">
        <v>0.59003618207145769</v>
      </c>
    </row>
    <row r="847" spans="1:7" x14ac:dyDescent="0.3">
      <c r="A847" t="s">
        <v>146</v>
      </c>
      <c r="B847" t="s">
        <v>1493</v>
      </c>
      <c r="C847" t="s">
        <v>8</v>
      </c>
      <c r="D847">
        <v>6.38</v>
      </c>
      <c r="E847" s="4">
        <v>2041</v>
      </c>
      <c r="F847" t="str">
        <f>HYPERLINK("https://www.google.com/maps/search/?api=1&amp;query=24.57827001,46.67196013", "View Map")</f>
        <v>View Map</v>
      </c>
    </row>
    <row r="848" spans="1:7" x14ac:dyDescent="0.3">
      <c r="A848" t="s">
        <v>1494</v>
      </c>
      <c r="B848" t="s">
        <v>1495</v>
      </c>
      <c r="C848" t="s">
        <v>8</v>
      </c>
      <c r="D848">
        <v>6.3769999999999998</v>
      </c>
      <c r="E848" s="4">
        <v>2041</v>
      </c>
      <c r="F848" t="str">
        <f>HYPERLINK("https://www.google.com/maps/search/?api=1&amp;query=24.71509161,46.78822783", "View Map")</f>
        <v>View Map</v>
      </c>
      <c r="G848" s="2">
        <v>0.43812979531972401</v>
      </c>
    </row>
    <row r="849" spans="1:7" x14ac:dyDescent="0.3">
      <c r="A849" t="s">
        <v>1496</v>
      </c>
      <c r="B849" t="s">
        <v>1497</v>
      </c>
      <c r="C849" t="s">
        <v>8</v>
      </c>
      <c r="D849">
        <v>6.3739999999999997</v>
      </c>
      <c r="E849" s="4">
        <v>2040</v>
      </c>
      <c r="F849" t="str">
        <f>HYPERLINK("https://www.google.com/maps/search/?api=1&amp;query=24.58240149,46.76198493", "View Map")</f>
        <v>View Map</v>
      </c>
      <c r="G849" s="2">
        <v>0.69467276891338803</v>
      </c>
    </row>
    <row r="850" spans="1:7" x14ac:dyDescent="0.3">
      <c r="A850" t="s">
        <v>1498</v>
      </c>
      <c r="B850" t="s">
        <v>1499</v>
      </c>
      <c r="C850" t="s">
        <v>77</v>
      </c>
      <c r="D850">
        <v>6.3630000000000004</v>
      </c>
      <c r="E850" s="4">
        <v>2036</v>
      </c>
      <c r="F850" t="str">
        <f>HYPERLINK("https://www.google.com/maps/search/?api=1&amp;query=22.30408799,46.71432615", "View Map")</f>
        <v>View Map</v>
      </c>
      <c r="G850" s="2">
        <v>0.38112467001865258</v>
      </c>
    </row>
    <row r="851" spans="1:7" x14ac:dyDescent="0.3">
      <c r="A851" t="s">
        <v>1500</v>
      </c>
      <c r="B851" t="s">
        <v>1501</v>
      </c>
      <c r="C851" t="s">
        <v>8</v>
      </c>
      <c r="D851">
        <v>6.36</v>
      </c>
      <c r="E851" s="4">
        <v>2035</v>
      </c>
      <c r="F851" t="str">
        <f>HYPERLINK("https://www.google.com/maps/search/?api=1&amp;query=24.59675519,46.77607832", "View Map")</f>
        <v>View Map</v>
      </c>
      <c r="G851" s="2">
        <v>0.67968133796809549</v>
      </c>
    </row>
    <row r="852" spans="1:7" x14ac:dyDescent="0.3">
      <c r="A852" t="s">
        <v>1502</v>
      </c>
      <c r="B852" t="s">
        <v>1503</v>
      </c>
      <c r="C852" t="s">
        <v>8</v>
      </c>
      <c r="D852">
        <v>6.351</v>
      </c>
      <c r="E852" s="4">
        <v>2032</v>
      </c>
      <c r="F852" t="str">
        <f>HYPERLINK("https://www.google.com/maps/search/?api=1&amp;query=24.67455336,46.85583367", "View Map")</f>
        <v>View Map</v>
      </c>
      <c r="G852" s="2">
        <v>0.63502407129796301</v>
      </c>
    </row>
    <row r="853" spans="1:7" x14ac:dyDescent="0.3">
      <c r="A853" t="s">
        <v>150</v>
      </c>
      <c r="B853" t="s">
        <v>1504</v>
      </c>
      <c r="C853" t="s">
        <v>8</v>
      </c>
      <c r="D853">
        <v>6.3460000000000001</v>
      </c>
      <c r="E853" s="4">
        <v>2031</v>
      </c>
      <c r="F853" t="str">
        <f>HYPERLINK("https://www.google.com/maps/search/?api=1&amp;query=24.82971391,46.73196701", "View Map")</f>
        <v>View Map</v>
      </c>
      <c r="G853" s="2">
        <v>0.3942412160491417</v>
      </c>
    </row>
    <row r="854" spans="1:7" x14ac:dyDescent="0.3">
      <c r="A854" t="s">
        <v>46</v>
      </c>
      <c r="B854" t="s">
        <v>1505</v>
      </c>
      <c r="C854" t="s">
        <v>8</v>
      </c>
      <c r="D854">
        <v>6.3410000000000002</v>
      </c>
      <c r="E854" s="4">
        <v>2029</v>
      </c>
      <c r="F854" t="str">
        <f>HYPERLINK("https://www.google.com/maps/search/?api=1&amp;query=24.55998194,46.80414634", "View Map")</f>
        <v>View Map</v>
      </c>
      <c r="G854" s="2">
        <v>0.3888256646718336</v>
      </c>
    </row>
    <row r="855" spans="1:7" x14ac:dyDescent="0.3">
      <c r="A855" t="s">
        <v>1506</v>
      </c>
      <c r="B855" t="s">
        <v>1507</v>
      </c>
      <c r="C855" t="s">
        <v>8</v>
      </c>
      <c r="D855">
        <v>6.335</v>
      </c>
      <c r="E855" s="4">
        <v>2027</v>
      </c>
      <c r="F855" t="str">
        <f>HYPERLINK("https://www.google.com/maps/search/?api=1&amp;query=24.720383,46.767455", "View Map")</f>
        <v>View Map</v>
      </c>
      <c r="G855" s="2">
        <v>0.44539087623236628</v>
      </c>
    </row>
    <row r="856" spans="1:7" x14ac:dyDescent="0.3">
      <c r="A856" t="s">
        <v>46</v>
      </c>
      <c r="B856" t="s">
        <v>1508</v>
      </c>
      <c r="C856" t="s">
        <v>8</v>
      </c>
      <c r="D856">
        <v>6.3310000000000004</v>
      </c>
      <c r="E856" s="4">
        <v>2026</v>
      </c>
      <c r="F856" t="str">
        <f>HYPERLINK("https://www.google.com/maps/search/?api=1&amp;query=24.84607118,46.6320328", "View Map")</f>
        <v>View Map</v>
      </c>
      <c r="G856" s="2">
        <v>0.58721960663964201</v>
      </c>
    </row>
    <row r="857" spans="1:7" x14ac:dyDescent="0.3">
      <c r="A857" t="s">
        <v>1509</v>
      </c>
      <c r="B857" t="s">
        <v>1510</v>
      </c>
      <c r="C857" t="s">
        <v>8</v>
      </c>
      <c r="D857">
        <v>6.3280000000000003</v>
      </c>
      <c r="E857" s="4">
        <v>2025</v>
      </c>
      <c r="F857" t="str">
        <f>HYPERLINK("https://www.google.com/maps/search/?api=1&amp;query=24.74132249,46.78830507", "View Map")</f>
        <v>View Map</v>
      </c>
      <c r="G857" s="2">
        <v>0.4788410053731833</v>
      </c>
    </row>
    <row r="858" spans="1:7" x14ac:dyDescent="0.3">
      <c r="A858" t="s">
        <v>635</v>
      </c>
      <c r="B858" t="s">
        <v>1511</v>
      </c>
      <c r="C858" t="s">
        <v>8</v>
      </c>
      <c r="D858">
        <v>6.3239999999999998</v>
      </c>
      <c r="E858" s="4">
        <v>2024</v>
      </c>
      <c r="F858" t="str">
        <f>HYPERLINK("https://www.google.com/maps/search/?api=1&amp;query=24.80761151,46.76343591", "View Map")</f>
        <v>View Map</v>
      </c>
      <c r="G858" s="2">
        <v>0.37060056684440601</v>
      </c>
    </row>
    <row r="859" spans="1:7" x14ac:dyDescent="0.3">
      <c r="A859" t="s">
        <v>1512</v>
      </c>
      <c r="B859" t="s">
        <v>1513</v>
      </c>
      <c r="C859" t="s">
        <v>291</v>
      </c>
      <c r="D859">
        <v>6.3220000000000001</v>
      </c>
      <c r="E859" s="4">
        <v>2023</v>
      </c>
      <c r="F859" t="str">
        <f>HYPERLINK("https://www.google.com/maps/search/?api=1&amp;query=24.54918392,45.70646594", "View Map")</f>
        <v>View Map</v>
      </c>
      <c r="G859" s="2">
        <v>0.76117615583680942</v>
      </c>
    </row>
    <row r="860" spans="1:7" x14ac:dyDescent="0.3">
      <c r="A860" t="s">
        <v>1514</v>
      </c>
      <c r="B860" t="s">
        <v>1515</v>
      </c>
      <c r="C860" t="s">
        <v>291</v>
      </c>
      <c r="D860">
        <v>6.32</v>
      </c>
      <c r="E860" s="4">
        <v>2022</v>
      </c>
      <c r="F860" t="str">
        <f>HYPERLINK("https://www.google.com/maps/search/?api=1&amp;query=23.76516473,44.72807497", "View Map")</f>
        <v>View Map</v>
      </c>
      <c r="G860" s="2">
        <v>0.42846416667994119</v>
      </c>
    </row>
    <row r="861" spans="1:7" x14ac:dyDescent="0.3">
      <c r="A861" t="s">
        <v>1516</v>
      </c>
      <c r="B861" t="s">
        <v>1517</v>
      </c>
      <c r="C861" t="s">
        <v>291</v>
      </c>
      <c r="D861">
        <v>6.3159999999999998</v>
      </c>
      <c r="E861" s="4">
        <v>2021</v>
      </c>
      <c r="F861" t="str">
        <f>HYPERLINK("https://www.google.com/maps/search/?api=1&amp;query=24.00711148,45.19665975", "View Map")</f>
        <v>View Map</v>
      </c>
      <c r="G861" s="2">
        <v>0.38077592908515512</v>
      </c>
    </row>
    <row r="862" spans="1:7" x14ac:dyDescent="0.3">
      <c r="A862" t="s">
        <v>1518</v>
      </c>
      <c r="B862" t="s">
        <v>1519</v>
      </c>
      <c r="C862" t="s">
        <v>8</v>
      </c>
      <c r="D862">
        <v>6.3120000000000003</v>
      </c>
      <c r="E862" s="4">
        <v>2020</v>
      </c>
      <c r="F862" t="str">
        <f>HYPERLINK("https://www.google.com/maps/search/?api=1&amp;query=24.79528635,46.69282761", "View Map")</f>
        <v>View Map</v>
      </c>
      <c r="G862" s="2">
        <v>0.72944122468725714</v>
      </c>
    </row>
    <row r="863" spans="1:7" x14ac:dyDescent="0.3">
      <c r="A863" t="s">
        <v>1520</v>
      </c>
      <c r="B863" t="s">
        <v>1521</v>
      </c>
      <c r="C863" t="s">
        <v>8</v>
      </c>
      <c r="D863">
        <v>6.2939999999999996</v>
      </c>
      <c r="E863" s="4">
        <v>2014</v>
      </c>
      <c r="F863" t="str">
        <f>HYPERLINK("https://www.google.com/maps/search/?api=1&amp;query=24.67323691,46.58947592", "View Map")</f>
        <v>View Map</v>
      </c>
    </row>
    <row r="864" spans="1:7" x14ac:dyDescent="0.3">
      <c r="A864" t="s">
        <v>1522</v>
      </c>
      <c r="B864" t="s">
        <v>1523</v>
      </c>
      <c r="C864" t="s">
        <v>364</v>
      </c>
      <c r="D864">
        <v>6.2910000000000004</v>
      </c>
      <c r="E864" s="4">
        <v>2013</v>
      </c>
      <c r="F864" t="str">
        <f>HYPERLINK("https://www.google.com/maps/search/?api=1&amp;query=25.28549154,45.86457047", "View Map")</f>
        <v>View Map</v>
      </c>
      <c r="G864" s="2">
        <v>0.53854812386931394</v>
      </c>
    </row>
    <row r="865" spans="1:7" x14ac:dyDescent="0.3">
      <c r="A865" t="s">
        <v>1524</v>
      </c>
      <c r="B865" t="s">
        <v>1525</v>
      </c>
      <c r="C865" t="s">
        <v>241</v>
      </c>
      <c r="D865">
        <v>6.28</v>
      </c>
      <c r="E865" s="4">
        <v>2010</v>
      </c>
      <c r="F865" t="str">
        <f>HYPERLINK("https://www.google.com/maps/search/?api=1&amp;query=20.4602661,44.79577631", "View Map")</f>
        <v>View Map</v>
      </c>
      <c r="G865" s="2">
        <v>0.49118969429849968</v>
      </c>
    </row>
    <row r="866" spans="1:7" x14ac:dyDescent="0.3">
      <c r="A866" t="s">
        <v>1526</v>
      </c>
      <c r="B866" t="s">
        <v>1527</v>
      </c>
      <c r="C866" t="s">
        <v>8</v>
      </c>
      <c r="D866">
        <v>6.2670000000000003</v>
      </c>
      <c r="E866" s="4">
        <v>2005</v>
      </c>
      <c r="F866" t="str">
        <f>HYPERLINK("https://www.google.com/maps/search/?api=1&amp;query=24.77201105,46.71580526", "View Map")</f>
        <v>View Map</v>
      </c>
      <c r="G866" s="2">
        <v>0.5691521106803602</v>
      </c>
    </row>
    <row r="867" spans="1:7" x14ac:dyDescent="0.3">
      <c r="A867" t="s">
        <v>1528</v>
      </c>
      <c r="B867" t="s">
        <v>1529</v>
      </c>
      <c r="C867" t="s">
        <v>8</v>
      </c>
      <c r="D867">
        <v>6.2590000000000003</v>
      </c>
      <c r="E867" s="4">
        <v>2003</v>
      </c>
      <c r="F867" t="str">
        <f>HYPERLINK("https://www.google.com/maps/search/?api=1&amp;query=24.59043053,46.64855906", "View Map")</f>
        <v>View Map</v>
      </c>
      <c r="G867" s="2">
        <v>0.51570974360106181</v>
      </c>
    </row>
    <row r="868" spans="1:7" x14ac:dyDescent="0.3">
      <c r="A868" t="s">
        <v>1530</v>
      </c>
      <c r="B868" t="s">
        <v>1531</v>
      </c>
      <c r="C868" t="s">
        <v>8</v>
      </c>
      <c r="D868">
        <v>6.2549999999999999</v>
      </c>
      <c r="E868" s="4">
        <v>2002</v>
      </c>
      <c r="F868" t="str">
        <f>HYPERLINK("https://www.google.com/maps/search/?api=1&amp;query=24.77052623,46.65025996", "View Map")</f>
        <v>View Map</v>
      </c>
    </row>
    <row r="869" spans="1:7" x14ac:dyDescent="0.3">
      <c r="A869" t="s">
        <v>46</v>
      </c>
      <c r="B869" t="s">
        <v>1532</v>
      </c>
      <c r="C869" t="s">
        <v>8</v>
      </c>
      <c r="D869">
        <v>6.2519999999999998</v>
      </c>
      <c r="E869" s="4">
        <v>2001</v>
      </c>
      <c r="F869" t="str">
        <f>HYPERLINK("https://www.google.com/maps/search/?api=1&amp;query=24.85791676,46.64793352", "View Map")</f>
        <v>View Map</v>
      </c>
      <c r="G869" s="2">
        <v>0.42834846830945028</v>
      </c>
    </row>
    <row r="870" spans="1:7" x14ac:dyDescent="0.3">
      <c r="A870" t="s">
        <v>158</v>
      </c>
      <c r="B870" t="s">
        <v>1533</v>
      </c>
      <c r="C870" t="s">
        <v>8</v>
      </c>
      <c r="D870">
        <v>6.25</v>
      </c>
      <c r="E870" s="4">
        <v>2000</v>
      </c>
      <c r="F870" t="str">
        <f>HYPERLINK("https://www.google.com/maps/search/?api=1&amp;query=24.77350353,46.73638469", "View Map")</f>
        <v>View Map</v>
      </c>
      <c r="G870" s="2">
        <v>0.46933500909561471</v>
      </c>
    </row>
    <row r="871" spans="1:7" x14ac:dyDescent="0.3">
      <c r="A871" t="s">
        <v>46</v>
      </c>
      <c r="B871" t="s">
        <v>1534</v>
      </c>
      <c r="C871" t="s">
        <v>8</v>
      </c>
      <c r="D871">
        <v>6.2460000000000004</v>
      </c>
      <c r="E871" s="4">
        <v>1999</v>
      </c>
      <c r="F871" t="str">
        <f>HYPERLINK("https://www.google.com/maps/search/?api=1&amp;query=24.8839,46.6358", "View Map")</f>
        <v>View Map</v>
      </c>
    </row>
    <row r="872" spans="1:7" x14ac:dyDescent="0.3">
      <c r="A872" t="s">
        <v>1535</v>
      </c>
      <c r="B872" t="s">
        <v>1536</v>
      </c>
      <c r="C872" t="s">
        <v>255</v>
      </c>
      <c r="D872">
        <v>6.24</v>
      </c>
      <c r="E872" s="4">
        <v>1997</v>
      </c>
      <c r="F872" t="str">
        <f>HYPERLINK("https://www.google.com/maps/search/?api=1&amp;query=24.20045799,43.84274351", "View Map")</f>
        <v>View Map</v>
      </c>
      <c r="G872" s="2">
        <v>0.54050111856823269</v>
      </c>
    </row>
    <row r="873" spans="1:7" x14ac:dyDescent="0.3">
      <c r="A873" t="s">
        <v>1537</v>
      </c>
      <c r="B873" t="s">
        <v>1538</v>
      </c>
      <c r="C873" t="s">
        <v>8</v>
      </c>
      <c r="D873">
        <v>6.2389999999999999</v>
      </c>
      <c r="E873" s="4">
        <v>1996</v>
      </c>
      <c r="F873" t="str">
        <f>HYPERLINK("https://www.google.com/maps/search/?api=1&amp;query=24.8252308,46.77551103", "View Map")</f>
        <v>View Map</v>
      </c>
    </row>
    <row r="874" spans="1:7" x14ac:dyDescent="0.3">
      <c r="A874" t="s">
        <v>1539</v>
      </c>
      <c r="B874" t="s">
        <v>1540</v>
      </c>
      <c r="C874" t="s">
        <v>214</v>
      </c>
      <c r="D874">
        <v>6.2320000000000002</v>
      </c>
      <c r="E874" s="4">
        <v>1994</v>
      </c>
      <c r="F874" t="str">
        <f>HYPERLINK("https://www.google.com/maps/search/?api=1&amp;query=26.5090677,45.34735978", "View Map")</f>
        <v>View Map</v>
      </c>
      <c r="G874" s="2">
        <v>0.62016594596431673</v>
      </c>
    </row>
    <row r="875" spans="1:7" x14ac:dyDescent="0.3">
      <c r="A875" t="s">
        <v>1541</v>
      </c>
      <c r="B875" t="s">
        <v>1542</v>
      </c>
      <c r="C875" t="s">
        <v>255</v>
      </c>
      <c r="D875">
        <v>6.2279999999999998</v>
      </c>
      <c r="E875" s="4">
        <v>1993</v>
      </c>
      <c r="F875" t="str">
        <f>HYPERLINK("https://www.google.com/maps/search/?api=1&amp;query=24.58888554,43.68600837", "View Map")</f>
        <v>View Map</v>
      </c>
    </row>
    <row r="876" spans="1:7" x14ac:dyDescent="0.3">
      <c r="A876" t="s">
        <v>1543</v>
      </c>
      <c r="B876" t="s">
        <v>1544</v>
      </c>
      <c r="C876" t="s">
        <v>255</v>
      </c>
      <c r="D876">
        <v>6.2249999999999996</v>
      </c>
      <c r="E876" s="4">
        <v>1992</v>
      </c>
      <c r="F876" t="str">
        <f>HYPERLINK("https://www.google.com/maps/search/?api=1&amp;query=25.48616984,44.41268928", "View Map")</f>
        <v>View Map</v>
      </c>
      <c r="G876" s="2">
        <v>0.7675694283922333</v>
      </c>
    </row>
    <row r="877" spans="1:7" x14ac:dyDescent="0.3">
      <c r="A877" t="s">
        <v>1545</v>
      </c>
      <c r="B877" t="s">
        <v>1546</v>
      </c>
      <c r="C877" t="s">
        <v>883</v>
      </c>
      <c r="D877">
        <v>6.2169999999999996</v>
      </c>
      <c r="E877" s="4">
        <v>1989</v>
      </c>
      <c r="F877" t="str">
        <f>HYPERLINK("https://www.google.com/maps/search/?api=1&amp;query=25.55604028,47.16852591", "View Map")</f>
        <v>View Map</v>
      </c>
    </row>
    <row r="878" spans="1:7" x14ac:dyDescent="0.3">
      <c r="A878" t="s">
        <v>1547</v>
      </c>
      <c r="B878" t="s">
        <v>1548</v>
      </c>
      <c r="C878" t="s">
        <v>8</v>
      </c>
      <c r="D878">
        <v>6.2110000000000003</v>
      </c>
      <c r="E878" s="4">
        <v>1987</v>
      </c>
      <c r="F878" t="str">
        <f>HYPERLINK("https://www.google.com/maps/search/?api=1&amp;query=24.78099291,46.7864211", "View Map")</f>
        <v>View Map</v>
      </c>
      <c r="G878" s="2">
        <v>0.79153441982068917</v>
      </c>
    </row>
    <row r="879" spans="1:7" x14ac:dyDescent="0.3">
      <c r="A879" t="s">
        <v>1549</v>
      </c>
      <c r="B879" t="s">
        <v>1550</v>
      </c>
      <c r="C879" t="s">
        <v>8</v>
      </c>
      <c r="D879">
        <v>6.2009999999999996</v>
      </c>
      <c r="E879" s="4">
        <v>1984</v>
      </c>
      <c r="F879" t="str">
        <f>HYPERLINK("https://www.google.com/maps/search/?api=1&amp;query=24.67914182,46.67245604", "View Map")</f>
        <v>View Map</v>
      </c>
      <c r="G879" s="2">
        <v>0.65454717861348899</v>
      </c>
    </row>
    <row r="880" spans="1:7" x14ac:dyDescent="0.3">
      <c r="A880" t="s">
        <v>46</v>
      </c>
      <c r="B880" t="s">
        <v>1551</v>
      </c>
      <c r="C880" t="s">
        <v>8</v>
      </c>
      <c r="D880">
        <v>6.1989999999999998</v>
      </c>
      <c r="E880" s="4">
        <v>1984</v>
      </c>
      <c r="F880" t="str">
        <f>HYPERLINK("https://www.google.com/maps/search/?api=1&amp;query=24.83131162,46.58232585", "View Map")</f>
        <v>View Map</v>
      </c>
      <c r="G880" s="2">
        <v>0.574436329044545</v>
      </c>
    </row>
    <row r="881" spans="1:7" x14ac:dyDescent="0.3">
      <c r="A881" t="s">
        <v>46</v>
      </c>
      <c r="B881" t="s">
        <v>1552</v>
      </c>
      <c r="C881" t="s">
        <v>8</v>
      </c>
      <c r="D881">
        <v>6.1950000000000003</v>
      </c>
      <c r="E881" s="4">
        <v>1982</v>
      </c>
      <c r="F881" t="str">
        <f>HYPERLINK("https://www.google.com/maps/search/?api=1&amp;query=24.74688546,46.75833224", "View Map")</f>
        <v>View Map</v>
      </c>
    </row>
    <row r="882" spans="1:7" x14ac:dyDescent="0.3">
      <c r="A882" t="s">
        <v>1553</v>
      </c>
      <c r="B882" t="s">
        <v>1554</v>
      </c>
      <c r="C882" t="s">
        <v>8</v>
      </c>
      <c r="D882">
        <v>6.194</v>
      </c>
      <c r="E882" s="4">
        <v>1982</v>
      </c>
      <c r="F882" t="str">
        <f>HYPERLINK("https://www.google.com/maps/search/?api=1&amp;query=24.57767904,46.77713849", "View Map")</f>
        <v>View Map</v>
      </c>
      <c r="G882" s="2">
        <v>0.3858779374368087</v>
      </c>
    </row>
    <row r="883" spans="1:7" x14ac:dyDescent="0.3">
      <c r="A883" t="s">
        <v>146</v>
      </c>
      <c r="B883" t="s">
        <v>1555</v>
      </c>
      <c r="C883" t="s">
        <v>8</v>
      </c>
      <c r="D883">
        <v>6.18</v>
      </c>
      <c r="E883" s="4">
        <v>1978</v>
      </c>
      <c r="F883" t="str">
        <f>HYPERLINK("https://www.google.com/maps/search/?api=1&amp;query=24.56193195,46.54860037", "View Map")</f>
        <v>View Map</v>
      </c>
      <c r="G883" s="2">
        <v>0.6560207180209745</v>
      </c>
    </row>
    <row r="884" spans="1:7" x14ac:dyDescent="0.3">
      <c r="A884" t="s">
        <v>1556</v>
      </c>
      <c r="B884" t="s">
        <v>1557</v>
      </c>
      <c r="C884" t="s">
        <v>8</v>
      </c>
      <c r="D884">
        <v>6.1769999999999996</v>
      </c>
      <c r="E884" s="4">
        <v>1977</v>
      </c>
      <c r="F884" t="str">
        <f>HYPERLINK("https://www.google.com/maps/search/?api=1&amp;query=24.75299174,46.83199376", "View Map")</f>
        <v>View Map</v>
      </c>
      <c r="G884" s="2">
        <v>0.38260073374135067</v>
      </c>
    </row>
    <row r="885" spans="1:7" x14ac:dyDescent="0.3">
      <c r="A885" t="s">
        <v>46</v>
      </c>
      <c r="B885" t="s">
        <v>1558</v>
      </c>
      <c r="C885" t="s">
        <v>8</v>
      </c>
      <c r="D885">
        <v>6.1740000000000004</v>
      </c>
      <c r="E885" s="4">
        <v>1976</v>
      </c>
      <c r="F885" t="str">
        <f>HYPERLINK("https://www.google.com/maps/search/?api=1&amp;query=24.63814347,46.73476715", "View Map")</f>
        <v>View Map</v>
      </c>
      <c r="G885" s="2">
        <v>0.44922195730361653</v>
      </c>
    </row>
    <row r="886" spans="1:7" x14ac:dyDescent="0.3">
      <c r="A886" t="s">
        <v>1559</v>
      </c>
      <c r="B886" t="s">
        <v>1560</v>
      </c>
      <c r="C886" t="s">
        <v>8</v>
      </c>
      <c r="D886">
        <v>6.1509999999999998</v>
      </c>
      <c r="E886" s="4">
        <v>1968</v>
      </c>
      <c r="F886" t="str">
        <f>HYPERLINK("https://www.google.com/maps/search/?api=1&amp;query=24.78347449,46.75415077", "View Map")</f>
        <v>View Map</v>
      </c>
      <c r="G886" s="2">
        <v>0.4938077301868028</v>
      </c>
    </row>
    <row r="887" spans="1:7" x14ac:dyDescent="0.3">
      <c r="A887" t="s">
        <v>146</v>
      </c>
      <c r="B887" t="s">
        <v>1561</v>
      </c>
      <c r="C887" t="s">
        <v>8</v>
      </c>
      <c r="D887">
        <v>6.1470000000000002</v>
      </c>
      <c r="E887" s="4">
        <v>1967</v>
      </c>
      <c r="F887" t="str">
        <f>HYPERLINK("https://www.google.com/maps/search/?api=1&amp;query=24.58203389,46.59985164", "View Map")</f>
        <v>View Map</v>
      </c>
      <c r="G887" s="2">
        <v>0.32556011067574081</v>
      </c>
    </row>
    <row r="888" spans="1:7" x14ac:dyDescent="0.3">
      <c r="A888" t="s">
        <v>1562</v>
      </c>
      <c r="B888" t="s">
        <v>1563</v>
      </c>
      <c r="C888" t="s">
        <v>8</v>
      </c>
      <c r="D888">
        <v>6.1390000000000002</v>
      </c>
      <c r="E888" s="4">
        <v>1965</v>
      </c>
      <c r="F888" t="str">
        <f>HYPERLINK("https://www.google.com/maps/search/?api=1&amp;query=24.8140633,46.80113044", "View Map")</f>
        <v>View Map</v>
      </c>
    </row>
    <row r="889" spans="1:7" x14ac:dyDescent="0.3">
      <c r="A889" t="s">
        <v>1564</v>
      </c>
      <c r="B889" t="s">
        <v>1565</v>
      </c>
      <c r="C889" t="s">
        <v>77</v>
      </c>
      <c r="D889">
        <v>6.1289999999999996</v>
      </c>
      <c r="E889" s="4">
        <v>1961</v>
      </c>
      <c r="F889" t="str">
        <f>HYPERLINK("https://www.google.com/maps/search/?api=1&amp;query=22.0036128,46.56628379", "View Map")</f>
        <v>View Map</v>
      </c>
      <c r="G889" s="2">
        <v>0.66516698292449516</v>
      </c>
    </row>
    <row r="890" spans="1:7" x14ac:dyDescent="0.3">
      <c r="A890" t="s">
        <v>1566</v>
      </c>
      <c r="B890" t="s">
        <v>1567</v>
      </c>
      <c r="C890" t="s">
        <v>8</v>
      </c>
      <c r="D890">
        <v>6.1280000000000001</v>
      </c>
      <c r="E890" s="4">
        <v>1961</v>
      </c>
      <c r="F890" t="str">
        <f>HYPERLINK("https://www.google.com/maps/search/?api=1&amp;query=24.78074525,46.79005083", "View Map")</f>
        <v>View Map</v>
      </c>
      <c r="G890" s="2">
        <v>0.71056632769839456</v>
      </c>
    </row>
    <row r="891" spans="1:7" x14ac:dyDescent="0.3">
      <c r="A891" t="s">
        <v>1568</v>
      </c>
      <c r="B891" t="s">
        <v>1569</v>
      </c>
      <c r="C891" t="s">
        <v>8</v>
      </c>
      <c r="D891">
        <v>6.1239999999999997</v>
      </c>
      <c r="E891" s="4">
        <v>1960</v>
      </c>
      <c r="F891" t="str">
        <f>HYPERLINK("https://www.google.com/maps/search/?api=1&amp;query=24.73790389,46.71423975", "View Map")</f>
        <v>View Map</v>
      </c>
      <c r="G891" s="2">
        <v>0.54913196700633737</v>
      </c>
    </row>
    <row r="892" spans="1:7" x14ac:dyDescent="0.3">
      <c r="A892" t="s">
        <v>1570</v>
      </c>
      <c r="B892" t="s">
        <v>1571</v>
      </c>
      <c r="C892" t="s">
        <v>21</v>
      </c>
      <c r="D892">
        <v>6.1189999999999998</v>
      </c>
      <c r="E892" s="4">
        <v>1958</v>
      </c>
      <c r="F892" t="str">
        <f>HYPERLINK("https://www.google.com/maps/search/?api=1&amp;query=26.30829519,44.81851259", "View Map")</f>
        <v>View Map</v>
      </c>
      <c r="G892" s="2">
        <v>0.69498525574081116</v>
      </c>
    </row>
    <row r="893" spans="1:7" x14ac:dyDescent="0.3">
      <c r="A893" t="s">
        <v>464</v>
      </c>
      <c r="B893" t="s">
        <v>1572</v>
      </c>
      <c r="C893" t="s">
        <v>466</v>
      </c>
      <c r="D893">
        <v>6.117</v>
      </c>
      <c r="E893" s="4">
        <v>1957</v>
      </c>
      <c r="F893" t="str">
        <f>HYPERLINK("https://www.google.com/maps/search/?api=1&amp;query=24.58672328,46.16309208", "View Map")</f>
        <v>View Map</v>
      </c>
    </row>
    <row r="894" spans="1:7" x14ac:dyDescent="0.3">
      <c r="A894" t="s">
        <v>1573</v>
      </c>
      <c r="B894" t="s">
        <v>1574</v>
      </c>
      <c r="C894" t="s">
        <v>8</v>
      </c>
      <c r="D894">
        <v>6.1130000000000004</v>
      </c>
      <c r="E894" s="4">
        <v>1956</v>
      </c>
      <c r="F894" t="str">
        <f>HYPERLINK("https://www.google.com/maps/search/?api=1&amp;query=24.79119023,46.63903953", "View Map")</f>
        <v>View Map</v>
      </c>
      <c r="G894" s="2">
        <v>0.50392427927112038</v>
      </c>
    </row>
    <row r="895" spans="1:7" x14ac:dyDescent="0.3">
      <c r="A895" t="s">
        <v>1575</v>
      </c>
      <c r="B895" t="s">
        <v>1576</v>
      </c>
      <c r="C895" t="s">
        <v>8</v>
      </c>
      <c r="D895">
        <v>6.109</v>
      </c>
      <c r="E895" s="4">
        <v>1955</v>
      </c>
      <c r="F895" t="str">
        <f>HYPERLINK("https://www.google.com/maps/search/?api=1&amp;query=24.67481433,46.64755393", "View Map")</f>
        <v>View Map</v>
      </c>
      <c r="G895" s="2">
        <v>0.62707718556045933</v>
      </c>
    </row>
    <row r="896" spans="1:7" x14ac:dyDescent="0.3">
      <c r="A896" t="s">
        <v>1577</v>
      </c>
      <c r="B896" t="s">
        <v>1578</v>
      </c>
      <c r="C896" t="s">
        <v>8</v>
      </c>
      <c r="D896">
        <v>6.1070000000000002</v>
      </c>
      <c r="E896" s="4">
        <v>1954</v>
      </c>
      <c r="F896" t="str">
        <f>HYPERLINK("https://www.google.com/maps/search/?api=1&amp;query=24.6819685,46.82093711", "View Map")</f>
        <v>View Map</v>
      </c>
      <c r="G896" s="2">
        <v>0.55097645426617892</v>
      </c>
    </row>
    <row r="897" spans="1:7" x14ac:dyDescent="0.3">
      <c r="A897" t="s">
        <v>1579</v>
      </c>
      <c r="B897" t="s">
        <v>1580</v>
      </c>
      <c r="C897" t="s">
        <v>8</v>
      </c>
      <c r="D897">
        <v>6.1050000000000004</v>
      </c>
      <c r="E897" s="4">
        <v>1954</v>
      </c>
      <c r="F897" t="str">
        <f>HYPERLINK("https://www.google.com/maps/search/?api=1&amp;query=24.65642147,46.74074333", "View Map")</f>
        <v>View Map</v>
      </c>
      <c r="G897" s="2">
        <v>0.41775290759588851</v>
      </c>
    </row>
    <row r="898" spans="1:7" x14ac:dyDescent="0.3">
      <c r="A898" t="s">
        <v>352</v>
      </c>
      <c r="B898" t="s">
        <v>1581</v>
      </c>
      <c r="C898" t="s">
        <v>8</v>
      </c>
      <c r="D898">
        <v>6.0990000000000002</v>
      </c>
      <c r="E898" s="4">
        <v>1952</v>
      </c>
      <c r="F898" t="str">
        <f>HYPERLINK("https://www.google.com/maps/search/?api=1&amp;query=24.76956795,46.77294623", "View Map")</f>
        <v>View Map</v>
      </c>
      <c r="G898" s="2">
        <v>0.61677919902742961</v>
      </c>
    </row>
    <row r="899" spans="1:7" x14ac:dyDescent="0.3">
      <c r="A899" t="s">
        <v>1582</v>
      </c>
      <c r="B899" t="s">
        <v>1583</v>
      </c>
      <c r="C899" t="s">
        <v>8</v>
      </c>
      <c r="D899">
        <v>6.0970000000000004</v>
      </c>
      <c r="E899" s="4">
        <v>1951</v>
      </c>
      <c r="F899" t="str">
        <f>HYPERLINK("https://www.google.com/maps/search/?api=1&amp;query=24.63077482,46.68537339", "View Map")</f>
        <v>View Map</v>
      </c>
    </row>
    <row r="900" spans="1:7" x14ac:dyDescent="0.3">
      <c r="A900" t="s">
        <v>1275</v>
      </c>
      <c r="B900" t="s">
        <v>1584</v>
      </c>
      <c r="C900" t="s">
        <v>8</v>
      </c>
      <c r="D900">
        <v>6.0949999999999998</v>
      </c>
      <c r="E900" s="4">
        <v>1950</v>
      </c>
      <c r="F900" t="str">
        <f>HYPERLINK("https://www.google.com/maps/search/?api=1&amp;query=24.72898024,46.8039213", "View Map")</f>
        <v>View Map</v>
      </c>
      <c r="G900" s="2">
        <v>0.46899880784779502</v>
      </c>
    </row>
    <row r="901" spans="1:7" x14ac:dyDescent="0.3">
      <c r="A901" t="s">
        <v>1585</v>
      </c>
      <c r="B901" t="s">
        <v>1586</v>
      </c>
      <c r="C901" t="s">
        <v>8</v>
      </c>
      <c r="D901">
        <v>6.0940000000000003</v>
      </c>
      <c r="E901" s="4">
        <v>1950</v>
      </c>
      <c r="F901" t="str">
        <f>HYPERLINK("https://www.google.com/maps/search/?api=1&amp;query=24.87258727,46.80882715", "View Map")</f>
        <v>View Map</v>
      </c>
    </row>
    <row r="902" spans="1:7" x14ac:dyDescent="0.3">
      <c r="A902" t="s">
        <v>352</v>
      </c>
      <c r="B902" t="s">
        <v>1587</v>
      </c>
      <c r="C902" t="s">
        <v>8</v>
      </c>
      <c r="D902">
        <v>6.0910000000000002</v>
      </c>
      <c r="E902" s="4">
        <v>1949</v>
      </c>
      <c r="F902" t="str">
        <f>HYPERLINK("https://www.google.com/maps/search/?api=1&amp;query=24.7625263,46.79104833", "View Map")</f>
        <v>View Map</v>
      </c>
    </row>
    <row r="903" spans="1:7" x14ac:dyDescent="0.3">
      <c r="A903" t="s">
        <v>1588</v>
      </c>
      <c r="B903" t="s">
        <v>1589</v>
      </c>
      <c r="C903" t="s">
        <v>8</v>
      </c>
      <c r="D903">
        <v>6.0910000000000002</v>
      </c>
      <c r="E903" s="4">
        <v>1949</v>
      </c>
      <c r="F903" t="str">
        <f>HYPERLINK("https://www.google.com/maps/search/?api=1&amp;query=24.68549506,46.82876099", "View Map")</f>
        <v>View Map</v>
      </c>
      <c r="G903" s="2">
        <v>0.83526308846480002</v>
      </c>
    </row>
    <row r="904" spans="1:7" x14ac:dyDescent="0.3">
      <c r="A904" t="s">
        <v>1590</v>
      </c>
      <c r="B904" t="s">
        <v>1591</v>
      </c>
      <c r="C904" t="s">
        <v>255</v>
      </c>
      <c r="D904">
        <v>6.09</v>
      </c>
      <c r="E904" s="4">
        <v>1949</v>
      </c>
      <c r="F904" t="str">
        <f>HYPERLINK("https://www.google.com/maps/search/?api=1&amp;query=24.54456886,44.43271592", "View Map")</f>
        <v>View Map</v>
      </c>
      <c r="G904" s="2">
        <v>0.60432611267916814</v>
      </c>
    </row>
    <row r="905" spans="1:7" x14ac:dyDescent="0.3">
      <c r="A905" t="s">
        <v>1592</v>
      </c>
      <c r="B905" t="s">
        <v>1593</v>
      </c>
      <c r="C905" t="s">
        <v>8</v>
      </c>
      <c r="D905">
        <v>6.0839999999999996</v>
      </c>
      <c r="E905" s="4">
        <v>1947</v>
      </c>
      <c r="F905" t="str">
        <f>HYPERLINK("https://www.google.com/maps/search/?api=1&amp;query=24.78023049,46.67701325", "View Map")</f>
        <v>View Map</v>
      </c>
    </row>
    <row r="906" spans="1:7" x14ac:dyDescent="0.3">
      <c r="A906" t="s">
        <v>1594</v>
      </c>
      <c r="B906" t="s">
        <v>1595</v>
      </c>
      <c r="C906" t="s">
        <v>466</v>
      </c>
      <c r="D906">
        <v>6.0830000000000002</v>
      </c>
      <c r="E906" s="4">
        <v>1947</v>
      </c>
      <c r="F906" t="str">
        <f>HYPERLINK("https://www.google.com/maps/search/?api=1&amp;query=24.47364713,46.20741669", "View Map")</f>
        <v>View Map</v>
      </c>
      <c r="G906" s="2">
        <v>0.41200208666749732</v>
      </c>
    </row>
    <row r="907" spans="1:7" x14ac:dyDescent="0.3">
      <c r="A907" t="s">
        <v>903</v>
      </c>
      <c r="B907" t="s">
        <v>1596</v>
      </c>
      <c r="C907" t="s">
        <v>8</v>
      </c>
      <c r="D907">
        <v>6.0780000000000003</v>
      </c>
      <c r="E907" s="4">
        <v>1945</v>
      </c>
      <c r="F907" t="str">
        <f>HYPERLINK("https://www.google.com/maps/search/?api=1&amp;query=24.75411,46.71576", "View Map")</f>
        <v>View Map</v>
      </c>
      <c r="G907" s="2">
        <v>0.37768530210056311</v>
      </c>
    </row>
    <row r="908" spans="1:7" x14ac:dyDescent="0.3">
      <c r="A908" t="s">
        <v>1597</v>
      </c>
      <c r="B908" t="s">
        <v>1598</v>
      </c>
      <c r="C908" t="s">
        <v>8</v>
      </c>
      <c r="D908">
        <v>6.07</v>
      </c>
      <c r="E908" s="4">
        <v>1942</v>
      </c>
      <c r="F908" t="str">
        <f>HYPERLINK("https://www.google.com/maps/search/?api=1&amp;query=24.68959898,46.78564211", "View Map")</f>
        <v>View Map</v>
      </c>
      <c r="G908" s="2">
        <v>0.43582226508143301</v>
      </c>
    </row>
    <row r="909" spans="1:7" x14ac:dyDescent="0.3">
      <c r="A909" t="s">
        <v>665</v>
      </c>
      <c r="B909" t="s">
        <v>1599</v>
      </c>
      <c r="C909" t="s">
        <v>8</v>
      </c>
      <c r="D909">
        <v>6.069</v>
      </c>
      <c r="E909" s="4">
        <v>1942</v>
      </c>
      <c r="F909" t="str">
        <f>HYPERLINK("https://www.google.com/maps/search/?api=1&amp;query=24.71878225,46.7552068", "View Map")</f>
        <v>View Map</v>
      </c>
      <c r="G909" s="2">
        <v>0.64751710450314104</v>
      </c>
    </row>
    <row r="910" spans="1:7" x14ac:dyDescent="0.3">
      <c r="A910" t="s">
        <v>1600</v>
      </c>
      <c r="B910" t="s">
        <v>1601</v>
      </c>
      <c r="C910" t="s">
        <v>255</v>
      </c>
      <c r="D910">
        <v>6.06</v>
      </c>
      <c r="E910" s="4">
        <v>1939</v>
      </c>
      <c r="F910" t="str">
        <f>HYPERLINK("https://www.google.com/maps/search/?api=1&amp;query=25.45096778,44.42772427", "View Map")</f>
        <v>View Map</v>
      </c>
      <c r="G910" s="2">
        <v>0.62992785234090265</v>
      </c>
    </row>
    <row r="911" spans="1:7" x14ac:dyDescent="0.3">
      <c r="A911" t="s">
        <v>1602</v>
      </c>
      <c r="B911" t="s">
        <v>1603</v>
      </c>
      <c r="C911" t="s">
        <v>8</v>
      </c>
      <c r="D911">
        <v>6.0579999999999998</v>
      </c>
      <c r="E911" s="4">
        <v>1939</v>
      </c>
      <c r="F911" t="str">
        <f>HYPERLINK("https://www.google.com/maps/search/?api=1&amp;query=24.78350463,46.66439239", "View Map")</f>
        <v>View Map</v>
      </c>
    </row>
    <row r="912" spans="1:7" x14ac:dyDescent="0.3">
      <c r="A912" t="s">
        <v>1604</v>
      </c>
      <c r="B912" t="s">
        <v>1605</v>
      </c>
      <c r="C912" t="s">
        <v>8</v>
      </c>
      <c r="D912">
        <v>6.0549999999999997</v>
      </c>
      <c r="E912" s="4">
        <v>1938</v>
      </c>
      <c r="F912" t="str">
        <f>HYPERLINK("https://www.google.com/maps/search/?api=1&amp;query=24.57478232,46.54426344", "View Map")</f>
        <v>View Map</v>
      </c>
    </row>
    <row r="913" spans="1:7" x14ac:dyDescent="0.3">
      <c r="A913" t="s">
        <v>1606</v>
      </c>
      <c r="B913" t="s">
        <v>1607</v>
      </c>
      <c r="C913" t="s">
        <v>255</v>
      </c>
      <c r="D913">
        <v>6.0419999999999998</v>
      </c>
      <c r="E913" s="4">
        <v>1933</v>
      </c>
      <c r="F913" t="str">
        <f>HYPERLINK("https://www.google.com/maps/search/?api=1&amp;query=25.38546094,44.50846931", "View Map")</f>
        <v>View Map</v>
      </c>
      <c r="G913" s="2">
        <v>0.74676878773030042</v>
      </c>
    </row>
    <row r="914" spans="1:7" x14ac:dyDescent="0.3">
      <c r="A914" t="s">
        <v>1608</v>
      </c>
      <c r="B914" t="s">
        <v>1609</v>
      </c>
      <c r="C914" t="s">
        <v>8</v>
      </c>
      <c r="D914">
        <v>6.0410000000000004</v>
      </c>
      <c r="E914" s="4">
        <v>1933</v>
      </c>
      <c r="F914" t="str">
        <f>HYPERLINK("https://www.google.com/maps/search/?api=1&amp;query=24.71382511,46.61124475", "View Map")</f>
        <v>View Map</v>
      </c>
      <c r="G914" s="2">
        <v>0.55257565080056315</v>
      </c>
    </row>
    <row r="915" spans="1:7" x14ac:dyDescent="0.3">
      <c r="A915" t="s">
        <v>1610</v>
      </c>
      <c r="B915" t="s">
        <v>1611</v>
      </c>
      <c r="C915" t="s">
        <v>214</v>
      </c>
      <c r="D915">
        <v>6.04</v>
      </c>
      <c r="E915" s="4">
        <v>1933</v>
      </c>
      <c r="F915" t="str">
        <f>HYPERLINK("https://www.google.com/maps/search/?api=1&amp;query=25.90511935,45.36353574", "View Map")</f>
        <v>View Map</v>
      </c>
    </row>
    <row r="916" spans="1:7" x14ac:dyDescent="0.3">
      <c r="A916" t="s">
        <v>1612</v>
      </c>
      <c r="B916" t="s">
        <v>1613</v>
      </c>
      <c r="C916" t="s">
        <v>8</v>
      </c>
      <c r="D916">
        <v>6.0350000000000001</v>
      </c>
      <c r="E916" s="4">
        <v>1931</v>
      </c>
      <c r="F916" t="str">
        <f>HYPERLINK("https://www.google.com/maps/search/?api=1&amp;query=24.58295174,46.69785351", "View Map")</f>
        <v>View Map</v>
      </c>
      <c r="G916" s="2">
        <v>0.69000407495564064</v>
      </c>
    </row>
    <row r="917" spans="1:7" x14ac:dyDescent="0.3">
      <c r="A917" t="s">
        <v>305</v>
      </c>
      <c r="B917" t="s">
        <v>1614</v>
      </c>
      <c r="C917" t="s">
        <v>8</v>
      </c>
      <c r="D917">
        <v>6.0330000000000004</v>
      </c>
      <c r="E917" s="4">
        <v>1931</v>
      </c>
      <c r="F917" t="str">
        <f>HYPERLINK("https://www.google.com/maps/search/?api=1&amp;query=24.80523134,46.79547907", "View Map")</f>
        <v>View Map</v>
      </c>
      <c r="G917" s="2">
        <v>0.52659235120264791</v>
      </c>
    </row>
    <row r="918" spans="1:7" x14ac:dyDescent="0.3">
      <c r="A918" t="s">
        <v>1615</v>
      </c>
      <c r="B918" t="s">
        <v>1616</v>
      </c>
      <c r="C918" t="s">
        <v>8</v>
      </c>
      <c r="D918">
        <v>6.0279999999999996</v>
      </c>
      <c r="E918" s="4">
        <v>1929</v>
      </c>
      <c r="F918" t="str">
        <f>HYPERLINK("https://www.google.com/maps/search/?api=1&amp;query=24.63499109,46.69101628", "View Map")</f>
        <v>View Map</v>
      </c>
    </row>
    <row r="919" spans="1:7" x14ac:dyDescent="0.3">
      <c r="A919" t="s">
        <v>1617</v>
      </c>
      <c r="B919" t="s">
        <v>1618</v>
      </c>
      <c r="C919" t="s">
        <v>8</v>
      </c>
      <c r="D919">
        <v>6.0270000000000001</v>
      </c>
      <c r="E919" s="4">
        <v>1929</v>
      </c>
      <c r="F919" t="str">
        <f>HYPERLINK("https://www.google.com/maps/search/?api=1&amp;query=24.63100061,46.70569836", "View Map")</f>
        <v>View Map</v>
      </c>
      <c r="G919" s="2">
        <v>0.37144943048786622</v>
      </c>
    </row>
    <row r="920" spans="1:7" x14ac:dyDescent="0.3">
      <c r="A920" t="s">
        <v>1619</v>
      </c>
      <c r="B920" t="s">
        <v>1620</v>
      </c>
      <c r="C920" t="s">
        <v>21</v>
      </c>
      <c r="D920">
        <v>6.0220000000000002</v>
      </c>
      <c r="E920" s="4">
        <v>1927</v>
      </c>
      <c r="F920" t="str">
        <f>HYPERLINK("https://www.google.com/maps/search/?api=1&amp;query=26.27690958,44.83010086", "View Map")</f>
        <v>View Map</v>
      </c>
      <c r="G920" s="2">
        <v>0.6116462070435571</v>
      </c>
    </row>
    <row r="921" spans="1:7" x14ac:dyDescent="0.3">
      <c r="A921" t="s">
        <v>1621</v>
      </c>
      <c r="B921" t="s">
        <v>1622</v>
      </c>
      <c r="C921" t="s">
        <v>8</v>
      </c>
      <c r="D921">
        <v>6.0149999999999997</v>
      </c>
      <c r="E921" s="4">
        <v>1925</v>
      </c>
      <c r="F921" t="str">
        <f>HYPERLINK("https://www.google.com/maps/search/?api=1&amp;query=24.697,46.68687", "View Map")</f>
        <v>View Map</v>
      </c>
      <c r="G921" s="2">
        <v>0.40906918157838829</v>
      </c>
    </row>
    <row r="922" spans="1:7" x14ac:dyDescent="0.3">
      <c r="A922" t="s">
        <v>1623</v>
      </c>
      <c r="B922" t="s">
        <v>1624</v>
      </c>
      <c r="C922" t="s">
        <v>8</v>
      </c>
      <c r="D922">
        <v>6.0140000000000002</v>
      </c>
      <c r="E922" s="4">
        <v>1925</v>
      </c>
      <c r="F922" t="str">
        <f>HYPERLINK("https://www.google.com/maps/search/?api=1&amp;query=24.60389191,46.68976118", "View Map")</f>
        <v>View Map</v>
      </c>
      <c r="G922" s="2">
        <v>0.3565747784168869</v>
      </c>
    </row>
    <row r="923" spans="1:7" x14ac:dyDescent="0.3">
      <c r="A923" t="s">
        <v>1625</v>
      </c>
      <c r="B923" t="s">
        <v>1626</v>
      </c>
      <c r="C923" t="s">
        <v>8</v>
      </c>
      <c r="D923">
        <v>6.0110000000000001</v>
      </c>
      <c r="E923" s="4">
        <v>1923</v>
      </c>
      <c r="F923" t="str">
        <f>HYPERLINK("https://www.google.com/maps/search/?api=1&amp;query=24.82671916,46.65332571", "View Map")</f>
        <v>View Map</v>
      </c>
      <c r="G923" s="2">
        <v>0.43377559675986338</v>
      </c>
    </row>
    <row r="924" spans="1:7" x14ac:dyDescent="0.3">
      <c r="A924" t="s">
        <v>479</v>
      </c>
      <c r="B924" t="s">
        <v>1627</v>
      </c>
      <c r="C924" t="s">
        <v>738</v>
      </c>
      <c r="D924">
        <v>6.01</v>
      </c>
      <c r="E924" s="4">
        <v>1923</v>
      </c>
      <c r="F924" t="str">
        <f>HYPERLINK("https://www.google.com/maps/search/?api=1&amp;query=25.17266616,46.33868616", "View Map")</f>
        <v>View Map</v>
      </c>
    </row>
    <row r="925" spans="1:7" x14ac:dyDescent="0.3">
      <c r="A925" t="s">
        <v>73</v>
      </c>
      <c r="B925" t="s">
        <v>1628</v>
      </c>
      <c r="C925" t="s">
        <v>55</v>
      </c>
      <c r="D925">
        <v>6.0049999999999999</v>
      </c>
      <c r="E925" s="4">
        <v>1922</v>
      </c>
      <c r="F925" t="str">
        <f>HYPERLINK("https://www.google.com/maps/search/?api=1&amp;query=24.7453,46.5272", "View Map")</f>
        <v>View Map</v>
      </c>
    </row>
    <row r="926" spans="1:7" x14ac:dyDescent="0.3">
      <c r="A926" t="s">
        <v>1629</v>
      </c>
      <c r="B926" t="s">
        <v>1630</v>
      </c>
      <c r="C926" t="s">
        <v>296</v>
      </c>
      <c r="D926">
        <v>5.9909999999999997</v>
      </c>
      <c r="E926" s="4">
        <v>1917</v>
      </c>
      <c r="F926" t="str">
        <f>HYPERLINK("https://www.google.com/maps/search/?api=1&amp;query=24.45541891,46.29122671", "View Map")</f>
        <v>View Map</v>
      </c>
      <c r="G926" s="2">
        <v>0.5373585631455905</v>
      </c>
    </row>
    <row r="927" spans="1:7" x14ac:dyDescent="0.3">
      <c r="A927" t="s">
        <v>1631</v>
      </c>
      <c r="B927" t="s">
        <v>1632</v>
      </c>
      <c r="C927" t="s">
        <v>286</v>
      </c>
      <c r="D927">
        <v>5.9909999999999997</v>
      </c>
      <c r="E927" s="4">
        <v>1917</v>
      </c>
      <c r="F927" t="str">
        <f>HYPERLINK("https://www.google.com/maps/search/?api=1&amp;query=25.21629447,45.24448472", "View Map")</f>
        <v>View Map</v>
      </c>
      <c r="G927" s="2">
        <v>0.67668931508929364</v>
      </c>
    </row>
    <row r="928" spans="1:7" x14ac:dyDescent="0.3">
      <c r="A928" t="s">
        <v>1633</v>
      </c>
      <c r="B928" t="s">
        <v>1634</v>
      </c>
      <c r="C928" t="s">
        <v>8</v>
      </c>
      <c r="D928">
        <v>5.9790000000000001</v>
      </c>
      <c r="E928" s="4">
        <v>1913</v>
      </c>
      <c r="F928" t="str">
        <f>HYPERLINK("https://www.google.com/maps/search/?api=1&amp;query=24.62920244,46.74461055", "View Map")</f>
        <v>View Map</v>
      </c>
    </row>
    <row r="929" spans="1:7" x14ac:dyDescent="0.3">
      <c r="A929" t="s">
        <v>1635</v>
      </c>
      <c r="B929" t="s">
        <v>1636</v>
      </c>
      <c r="C929" t="s">
        <v>30</v>
      </c>
      <c r="D929">
        <v>5.9630000000000001</v>
      </c>
      <c r="E929" s="4">
        <v>1908</v>
      </c>
      <c r="F929" t="str">
        <f>HYPERLINK("https://www.google.com/maps/search/?api=1&amp;query=24.14651854,47.36520797", "View Map")</f>
        <v>View Map</v>
      </c>
      <c r="G929" s="2">
        <v>0.72897941144665279</v>
      </c>
    </row>
    <row r="930" spans="1:7" x14ac:dyDescent="0.3">
      <c r="A930" t="s">
        <v>1637</v>
      </c>
      <c r="B930" t="s">
        <v>1638</v>
      </c>
      <c r="C930" t="s">
        <v>646</v>
      </c>
      <c r="D930">
        <v>5.9580000000000002</v>
      </c>
      <c r="E930" s="4">
        <v>1906</v>
      </c>
      <c r="F930" t="str">
        <f>HYPERLINK("https://www.google.com/maps/search/?api=1&amp;query=20.40545676,45.3999102", "View Map")</f>
        <v>View Map</v>
      </c>
      <c r="G930" s="2">
        <v>0.5508611949906862</v>
      </c>
    </row>
    <row r="931" spans="1:7" x14ac:dyDescent="0.3">
      <c r="A931" t="s">
        <v>1639</v>
      </c>
      <c r="B931" t="s">
        <v>1640</v>
      </c>
      <c r="C931" t="s">
        <v>8</v>
      </c>
      <c r="D931">
        <v>5.9550000000000001</v>
      </c>
      <c r="E931" s="4">
        <v>1906</v>
      </c>
      <c r="F931" t="str">
        <f>HYPERLINK("https://www.google.com/maps/search/?api=1&amp;query=24.78801414,46.62810331", "View Map")</f>
        <v>View Map</v>
      </c>
    </row>
    <row r="932" spans="1:7" x14ac:dyDescent="0.3">
      <c r="A932" t="s">
        <v>1641</v>
      </c>
      <c r="B932" t="s">
        <v>1642</v>
      </c>
      <c r="C932" t="s">
        <v>8</v>
      </c>
      <c r="D932">
        <v>5.9530000000000003</v>
      </c>
      <c r="E932" s="4">
        <v>1905</v>
      </c>
      <c r="F932" t="str">
        <f>HYPERLINK("https://www.google.com/maps/search/?api=1&amp;query=24.57091572,46.66374636", "View Map")</f>
        <v>View Map</v>
      </c>
      <c r="G932" s="2">
        <v>0.9900434495330146</v>
      </c>
    </row>
    <row r="933" spans="1:7" x14ac:dyDescent="0.3">
      <c r="A933" t="s">
        <v>46</v>
      </c>
      <c r="B933" t="s">
        <v>1643</v>
      </c>
      <c r="C933" t="s">
        <v>820</v>
      </c>
      <c r="D933">
        <v>5.9509999999999996</v>
      </c>
      <c r="E933" s="4">
        <v>1904</v>
      </c>
      <c r="F933" t="str">
        <f>HYPERLINK("https://www.google.com/maps/search/?api=1&amp;query=0.0,0.0", "View Map")</f>
        <v>View Map</v>
      </c>
      <c r="G933" s="2">
        <v>1.6477817130306101</v>
      </c>
    </row>
    <row r="934" spans="1:7" x14ac:dyDescent="0.3">
      <c r="A934" t="s">
        <v>46</v>
      </c>
      <c r="B934" t="s">
        <v>1644</v>
      </c>
      <c r="C934" t="s">
        <v>8</v>
      </c>
      <c r="D934">
        <v>5.9420000000000002</v>
      </c>
      <c r="E934" s="4">
        <v>1901</v>
      </c>
      <c r="F934" t="str">
        <f>HYPERLINK("https://www.google.com/maps/search/?api=1&amp;query=24.79635053,46.76679333", "View Map")</f>
        <v>View Map</v>
      </c>
      <c r="G934" s="2">
        <v>0.61084845325527892</v>
      </c>
    </row>
    <row r="935" spans="1:7" x14ac:dyDescent="0.3">
      <c r="A935" t="s">
        <v>1645</v>
      </c>
      <c r="B935" t="s">
        <v>1646</v>
      </c>
      <c r="C935" t="s">
        <v>8</v>
      </c>
      <c r="D935">
        <v>5.9340000000000002</v>
      </c>
      <c r="E935" s="4">
        <v>1899</v>
      </c>
      <c r="F935" t="str">
        <f>HYPERLINK("https://www.google.com/maps/search/?api=1&amp;query=24.69873387,46.76547353", "View Map")</f>
        <v>View Map</v>
      </c>
    </row>
    <row r="936" spans="1:7" x14ac:dyDescent="0.3">
      <c r="A936" t="s">
        <v>1647</v>
      </c>
      <c r="B936" t="s">
        <v>1648</v>
      </c>
      <c r="C936" t="s">
        <v>8</v>
      </c>
      <c r="D936">
        <v>5.9320000000000004</v>
      </c>
      <c r="E936" s="4">
        <v>1898</v>
      </c>
      <c r="F936" t="str">
        <f>HYPERLINK("https://www.google.com/maps/search/?api=1&amp;query=24.63771824,46.68647305", "View Map")</f>
        <v>View Map</v>
      </c>
      <c r="G936" s="2">
        <v>0.58715181733943789</v>
      </c>
    </row>
    <row r="937" spans="1:7" x14ac:dyDescent="0.3">
      <c r="A937" t="s">
        <v>146</v>
      </c>
      <c r="B937" t="s">
        <v>1649</v>
      </c>
      <c r="C937" t="s">
        <v>8</v>
      </c>
      <c r="D937">
        <v>5.9279999999999999</v>
      </c>
      <c r="E937" s="4">
        <v>1897</v>
      </c>
      <c r="F937" t="str">
        <f>HYPERLINK("https://www.google.com/maps/search/?api=1&amp;query=24.54953302,46.51187358", "View Map")</f>
        <v>View Map</v>
      </c>
      <c r="G937" s="2">
        <v>0.38685817908918418</v>
      </c>
    </row>
    <row r="938" spans="1:7" x14ac:dyDescent="0.3">
      <c r="A938" t="s">
        <v>46</v>
      </c>
      <c r="B938" t="s">
        <v>1650</v>
      </c>
      <c r="C938" t="s">
        <v>8</v>
      </c>
      <c r="D938">
        <v>5.923</v>
      </c>
      <c r="E938" s="4">
        <v>1896</v>
      </c>
      <c r="F938" t="str">
        <f>HYPERLINK("https://www.google.com/maps/search/?api=1&amp;query=24.84402774,46.82158765", "View Map")</f>
        <v>View Map</v>
      </c>
    </row>
    <row r="939" spans="1:7" x14ac:dyDescent="0.3">
      <c r="A939" t="s">
        <v>28</v>
      </c>
      <c r="B939" t="s">
        <v>1651</v>
      </c>
      <c r="C939" t="s">
        <v>30</v>
      </c>
      <c r="D939">
        <v>5.9180000000000001</v>
      </c>
      <c r="E939" s="4">
        <v>1894</v>
      </c>
      <c r="F939" t="str">
        <f>HYPERLINK("https://www.google.com/maps/search/?api=1&amp;query=24.16007137,47.23464169", "View Map")</f>
        <v>View Map</v>
      </c>
      <c r="G939" s="2">
        <v>0.65235171477555332</v>
      </c>
    </row>
    <row r="940" spans="1:7" x14ac:dyDescent="0.3">
      <c r="A940" t="s">
        <v>1652</v>
      </c>
      <c r="B940" t="s">
        <v>1653</v>
      </c>
      <c r="C940" t="s">
        <v>214</v>
      </c>
      <c r="D940">
        <v>5.91</v>
      </c>
      <c r="E940" s="4">
        <v>1891</v>
      </c>
      <c r="F940" t="str">
        <f>HYPERLINK("https://www.google.com/maps/search/?api=1&amp;query=26.48976023,45.35839476", "View Map")</f>
        <v>View Map</v>
      </c>
      <c r="G940" s="2">
        <v>0.64071936172146304</v>
      </c>
    </row>
    <row r="941" spans="1:7" x14ac:dyDescent="0.3">
      <c r="A941" t="s">
        <v>1654</v>
      </c>
      <c r="B941" t="s">
        <v>1655</v>
      </c>
      <c r="C941" t="s">
        <v>8</v>
      </c>
      <c r="D941">
        <v>5.9080000000000004</v>
      </c>
      <c r="E941" s="4">
        <v>1890</v>
      </c>
      <c r="F941" t="str">
        <f>HYPERLINK("https://www.google.com/maps/search/?api=1&amp;query=24.77286418,46.75116341", "View Map")</f>
        <v>View Map</v>
      </c>
      <c r="G941" s="2">
        <v>0.38480120217194269</v>
      </c>
    </row>
    <row r="942" spans="1:7" x14ac:dyDescent="0.3">
      <c r="A942" t="s">
        <v>1232</v>
      </c>
      <c r="B942" t="s">
        <v>1656</v>
      </c>
      <c r="C942" t="s">
        <v>8</v>
      </c>
      <c r="D942">
        <v>5.907</v>
      </c>
      <c r="E942" s="4">
        <v>1890</v>
      </c>
      <c r="F942" t="str">
        <f>HYPERLINK("https://www.google.com/maps/search/?api=1&amp;query=24.83112837,46.6431487", "View Map")</f>
        <v>View Map</v>
      </c>
      <c r="G942" s="2">
        <v>0.57150043356550717</v>
      </c>
    </row>
    <row r="943" spans="1:7" x14ac:dyDescent="0.3">
      <c r="A943" t="s">
        <v>1657</v>
      </c>
      <c r="B943" t="s">
        <v>1658</v>
      </c>
      <c r="C943" t="s">
        <v>8</v>
      </c>
      <c r="D943">
        <v>5.9059999999999997</v>
      </c>
      <c r="E943" s="4">
        <v>1890</v>
      </c>
      <c r="F943" t="str">
        <f>HYPERLINK("https://www.google.com/maps/search/?api=1&amp;query=24.62036701,46.80794113", "View Map")</f>
        <v>View Map</v>
      </c>
    </row>
    <row r="944" spans="1:7" x14ac:dyDescent="0.3">
      <c r="A944" t="s">
        <v>1659</v>
      </c>
      <c r="B944" t="s">
        <v>1660</v>
      </c>
      <c r="C944" t="s">
        <v>8</v>
      </c>
      <c r="D944">
        <v>5.8940000000000001</v>
      </c>
      <c r="E944" s="4">
        <v>1886</v>
      </c>
      <c r="F944" t="str">
        <f>HYPERLINK("https://www.google.com/maps/search/?api=1&amp;query=24.70087307,46.79353336", "View Map")</f>
        <v>View Map</v>
      </c>
      <c r="G944" s="2">
        <v>0.7131074112795317</v>
      </c>
    </row>
    <row r="945" spans="1:7" x14ac:dyDescent="0.3">
      <c r="A945" t="s">
        <v>1418</v>
      </c>
      <c r="B945" t="s">
        <v>1661</v>
      </c>
      <c r="C945" t="s">
        <v>8</v>
      </c>
      <c r="D945">
        <v>5.8940000000000001</v>
      </c>
      <c r="E945" s="4">
        <v>1886</v>
      </c>
      <c r="F945" t="str">
        <f>HYPERLINK("https://www.google.com/maps/search/?api=1&amp;query=24.77869471,46.72186221", "View Map")</f>
        <v>View Map</v>
      </c>
    </row>
    <row r="946" spans="1:7" x14ac:dyDescent="0.3">
      <c r="A946" t="s">
        <v>1662</v>
      </c>
      <c r="B946" t="s">
        <v>1663</v>
      </c>
      <c r="C946" t="s">
        <v>137</v>
      </c>
      <c r="D946">
        <v>5.8940000000000001</v>
      </c>
      <c r="E946" s="4">
        <v>1886</v>
      </c>
      <c r="F946" t="str">
        <f>HYPERLINK("https://www.google.com/maps/search/?api=1&amp;query=23.45017029,46.80428492", "View Map")</f>
        <v>View Map</v>
      </c>
      <c r="G946" s="2">
        <v>0.47168731529857633</v>
      </c>
    </row>
    <row r="947" spans="1:7" x14ac:dyDescent="0.3">
      <c r="A947" t="s">
        <v>1664</v>
      </c>
      <c r="B947" t="s">
        <v>1665</v>
      </c>
      <c r="C947" t="s">
        <v>8</v>
      </c>
      <c r="D947">
        <v>5.8860000000000001</v>
      </c>
      <c r="E947" s="4">
        <v>1884</v>
      </c>
      <c r="F947" t="str">
        <f>HYPERLINK("https://www.google.com/maps/search/?api=1&amp;query=24.82657066,46.81154922", "View Map")</f>
        <v>View Map</v>
      </c>
    </row>
    <row r="948" spans="1:7" x14ac:dyDescent="0.3">
      <c r="A948" t="s">
        <v>46</v>
      </c>
      <c r="B948" t="s">
        <v>1666</v>
      </c>
      <c r="C948" t="s">
        <v>8</v>
      </c>
      <c r="D948">
        <v>5.8840000000000003</v>
      </c>
      <c r="E948" s="4">
        <v>1883</v>
      </c>
      <c r="F948" t="str">
        <f>HYPERLINK("https://www.google.com/maps/search/?api=1&amp;query=24.79224368,46.59500959", "View Map")</f>
        <v>View Map</v>
      </c>
      <c r="G948" s="2">
        <v>0.45280900517795009</v>
      </c>
    </row>
    <row r="949" spans="1:7" x14ac:dyDescent="0.3">
      <c r="A949" t="s">
        <v>1667</v>
      </c>
      <c r="B949" t="s">
        <v>1668</v>
      </c>
      <c r="C949" t="s">
        <v>21</v>
      </c>
      <c r="D949">
        <v>5.8760000000000003</v>
      </c>
      <c r="E949" s="4">
        <v>1880</v>
      </c>
      <c r="F949" t="str">
        <f>HYPERLINK("https://www.google.com/maps/search/?api=1&amp;query=26.30718392,44.81526069", "View Map")</f>
        <v>View Map</v>
      </c>
      <c r="G949" s="2">
        <v>0.52893577243993695</v>
      </c>
    </row>
    <row r="950" spans="1:7" x14ac:dyDescent="0.3">
      <c r="A950" t="s">
        <v>1669</v>
      </c>
      <c r="B950" t="s">
        <v>1670</v>
      </c>
      <c r="C950" t="s">
        <v>8</v>
      </c>
      <c r="D950">
        <v>5.8609999999999998</v>
      </c>
      <c r="E950" s="4">
        <v>1875</v>
      </c>
      <c r="F950" t="str">
        <f>HYPERLINK("https://www.google.com/maps/search/?api=1&amp;query=24.70849299,46.63256692", "View Map")</f>
        <v>View Map</v>
      </c>
      <c r="G950" s="2">
        <v>0.41000366730992821</v>
      </c>
    </row>
    <row r="951" spans="1:7" x14ac:dyDescent="0.3">
      <c r="A951" t="s">
        <v>1671</v>
      </c>
      <c r="B951" t="s">
        <v>1672</v>
      </c>
      <c r="C951" t="s">
        <v>8</v>
      </c>
      <c r="D951">
        <v>5.8559999999999999</v>
      </c>
      <c r="E951" s="4">
        <v>1874</v>
      </c>
      <c r="F951" t="str">
        <f>HYPERLINK("https://www.google.com/maps/search/?api=1&amp;query=24.63186916,46.68972409", "View Map")</f>
        <v>View Map</v>
      </c>
    </row>
    <row r="952" spans="1:7" x14ac:dyDescent="0.3">
      <c r="A952" t="s">
        <v>1673</v>
      </c>
      <c r="B952" t="s">
        <v>1674</v>
      </c>
      <c r="C952" t="s">
        <v>8</v>
      </c>
      <c r="D952">
        <v>5.8529999999999998</v>
      </c>
      <c r="E952" s="4">
        <v>1873</v>
      </c>
      <c r="F952" t="str">
        <f>HYPERLINK("https://www.google.com/maps/search/?api=1&amp;query=24.69040432,46.60629368", "View Map")</f>
        <v>View Map</v>
      </c>
    </row>
    <row r="953" spans="1:7" x14ac:dyDescent="0.3">
      <c r="A953" t="s">
        <v>1675</v>
      </c>
      <c r="B953" t="s">
        <v>1676</v>
      </c>
      <c r="C953" t="s">
        <v>8</v>
      </c>
      <c r="D953">
        <v>5.8470000000000004</v>
      </c>
      <c r="E953" s="4">
        <v>1871</v>
      </c>
      <c r="F953" t="str">
        <f>HYPERLINK("https://www.google.com/maps/search/?api=1&amp;query=24.56168925,46.79831275", "View Map")</f>
        <v>View Map</v>
      </c>
    </row>
    <row r="954" spans="1:7" x14ac:dyDescent="0.3">
      <c r="A954" t="s">
        <v>1677</v>
      </c>
      <c r="B954" t="s">
        <v>1678</v>
      </c>
      <c r="C954" t="s">
        <v>255</v>
      </c>
      <c r="D954">
        <v>5.8470000000000004</v>
      </c>
      <c r="E954" s="4">
        <v>1871</v>
      </c>
      <c r="F954" t="str">
        <f>HYPERLINK("https://www.google.com/maps/search/?api=1&amp;query=25.18203577,44.59809175", "View Map")</f>
        <v>View Map</v>
      </c>
      <c r="G954" s="2">
        <v>0.70091582812478237</v>
      </c>
    </row>
    <row r="955" spans="1:7" x14ac:dyDescent="0.3">
      <c r="A955" t="s">
        <v>1679</v>
      </c>
      <c r="B955" t="s">
        <v>1680</v>
      </c>
      <c r="C955" t="s">
        <v>8</v>
      </c>
      <c r="D955">
        <v>5.8460000000000001</v>
      </c>
      <c r="E955" s="4">
        <v>1871</v>
      </c>
      <c r="F955" t="str">
        <f>HYPERLINK("https://www.google.com/maps/search/?api=1&amp;query=24.66250716,46.72494639", "View Map")</f>
        <v>View Map</v>
      </c>
      <c r="G955" s="2">
        <v>0.78960484720320734</v>
      </c>
    </row>
    <row r="956" spans="1:7" x14ac:dyDescent="0.3">
      <c r="A956" t="s">
        <v>1681</v>
      </c>
      <c r="B956" t="s">
        <v>1682</v>
      </c>
      <c r="C956" t="s">
        <v>8</v>
      </c>
      <c r="D956">
        <v>5.8460000000000001</v>
      </c>
      <c r="E956" s="4">
        <v>1871</v>
      </c>
      <c r="F956" t="str">
        <f>HYPERLINK("https://www.google.com/maps/search/?api=1&amp;query=24.78812478,46.66134629", "View Map")</f>
        <v>View Map</v>
      </c>
    </row>
    <row r="957" spans="1:7" x14ac:dyDescent="0.3">
      <c r="A957" t="s">
        <v>1683</v>
      </c>
      <c r="B957" t="s">
        <v>1684</v>
      </c>
      <c r="C957" t="s">
        <v>77</v>
      </c>
      <c r="D957">
        <v>5.84</v>
      </c>
      <c r="E957" s="4">
        <v>1869</v>
      </c>
      <c r="F957" t="str">
        <f>HYPERLINK("https://www.google.com/maps/search/?api=1&amp;query=22.30248169,46.70596099", "View Map")</f>
        <v>View Map</v>
      </c>
      <c r="G957" s="2">
        <v>0.4244617598822934</v>
      </c>
    </row>
    <row r="958" spans="1:7" x14ac:dyDescent="0.3">
      <c r="A958" t="s">
        <v>1685</v>
      </c>
      <c r="B958" t="s">
        <v>1686</v>
      </c>
      <c r="C958" t="s">
        <v>8</v>
      </c>
      <c r="D958">
        <v>5.8369999999999997</v>
      </c>
      <c r="E958" s="4">
        <v>1868</v>
      </c>
      <c r="F958" t="str">
        <f>HYPERLINK("https://www.google.com/maps/search/?api=1&amp;query=24.63639813,46.73641514", "View Map")</f>
        <v>View Map</v>
      </c>
      <c r="G958" s="2">
        <v>0.20828695006138531</v>
      </c>
    </row>
    <row r="959" spans="1:7" x14ac:dyDescent="0.3">
      <c r="A959" t="s">
        <v>1687</v>
      </c>
      <c r="B959" t="s">
        <v>1688</v>
      </c>
      <c r="C959" t="s">
        <v>8</v>
      </c>
      <c r="D959">
        <v>5.8360000000000003</v>
      </c>
      <c r="E959" s="4">
        <v>1868</v>
      </c>
      <c r="F959" t="str">
        <f>HYPERLINK("https://www.google.com/maps/search/?api=1&amp;query=24.57766606,46.67910207", "View Map")</f>
        <v>View Map</v>
      </c>
      <c r="G959" s="2">
        <v>0.57872933536960081</v>
      </c>
    </row>
    <row r="960" spans="1:7" x14ac:dyDescent="0.3">
      <c r="A960" t="s">
        <v>46</v>
      </c>
      <c r="B960" t="s">
        <v>1689</v>
      </c>
      <c r="C960" t="s">
        <v>8</v>
      </c>
      <c r="D960">
        <v>5.835</v>
      </c>
      <c r="E960" s="4">
        <v>1867</v>
      </c>
      <c r="F960" t="str">
        <f>HYPERLINK("https://www.google.com/maps/search/?api=1&amp;query=24.8808,46.6236", "View Map")</f>
        <v>View Map</v>
      </c>
      <c r="G960" s="2">
        <v>0.67762196123228502</v>
      </c>
    </row>
    <row r="961" spans="1:7" x14ac:dyDescent="0.3">
      <c r="A961" t="s">
        <v>1690</v>
      </c>
      <c r="B961" t="s">
        <v>1691</v>
      </c>
      <c r="C961" t="s">
        <v>21</v>
      </c>
      <c r="D961">
        <v>5.8220000000000001</v>
      </c>
      <c r="E961" s="4">
        <v>1863</v>
      </c>
      <c r="F961" t="str">
        <f>HYPERLINK("https://www.google.com/maps/search/?api=1&amp;query=26.30147921,44.79722731", "View Map")</f>
        <v>View Map</v>
      </c>
      <c r="G961" s="2">
        <v>0.52178514649102881</v>
      </c>
    </row>
    <row r="962" spans="1:7" x14ac:dyDescent="0.3">
      <c r="A962" t="s">
        <v>1692</v>
      </c>
      <c r="B962" t="s">
        <v>1693</v>
      </c>
      <c r="C962" t="s">
        <v>8</v>
      </c>
      <c r="D962">
        <v>5.8209999999999997</v>
      </c>
      <c r="E962" s="4">
        <v>1863</v>
      </c>
      <c r="F962" t="str">
        <f>HYPERLINK("https://www.google.com/maps/search/?api=1&amp;query=24.60070906,46.64569344", "View Map")</f>
        <v>View Map</v>
      </c>
    </row>
    <row r="963" spans="1:7" x14ac:dyDescent="0.3">
      <c r="A963" t="s">
        <v>860</v>
      </c>
      <c r="B963" t="s">
        <v>1694</v>
      </c>
      <c r="C963" t="s">
        <v>8</v>
      </c>
      <c r="D963">
        <v>5.8179999999999996</v>
      </c>
      <c r="E963" s="4">
        <v>1862</v>
      </c>
      <c r="F963" t="str">
        <f>HYPERLINK("https://www.google.com/maps/search/?api=1&amp;query=24.76727367,46.78654093", "View Map")</f>
        <v>View Map</v>
      </c>
      <c r="G963" s="2">
        <v>0.4022914078829613</v>
      </c>
    </row>
    <row r="964" spans="1:7" x14ac:dyDescent="0.3">
      <c r="A964" t="s">
        <v>73</v>
      </c>
      <c r="B964" t="s">
        <v>1695</v>
      </c>
      <c r="C964" t="s">
        <v>8</v>
      </c>
      <c r="D964">
        <v>5.8150000000000004</v>
      </c>
      <c r="E964" s="4">
        <v>1861</v>
      </c>
      <c r="F964" t="str">
        <f>HYPERLINK("https://www.google.com/maps/search/?api=1&amp;query=24.60974482,46.75899631", "View Map")</f>
        <v>View Map</v>
      </c>
      <c r="G964" s="2">
        <v>0.73984727778206416</v>
      </c>
    </row>
    <row r="965" spans="1:7" x14ac:dyDescent="0.3">
      <c r="A965" t="s">
        <v>1696</v>
      </c>
      <c r="B965" t="s">
        <v>1697</v>
      </c>
      <c r="C965" t="s">
        <v>8</v>
      </c>
      <c r="D965">
        <v>5.8129999999999997</v>
      </c>
      <c r="E965" s="4">
        <v>1860</v>
      </c>
      <c r="F965" t="str">
        <f>HYPERLINK("https://www.google.com/maps/search/?api=1&amp;query=24.80897569,46.88102771", "View Map")</f>
        <v>View Map</v>
      </c>
    </row>
    <row r="966" spans="1:7" x14ac:dyDescent="0.3">
      <c r="A966" t="s">
        <v>1698</v>
      </c>
      <c r="B966" t="s">
        <v>1699</v>
      </c>
      <c r="C966" t="s">
        <v>255</v>
      </c>
      <c r="D966">
        <v>5.81</v>
      </c>
      <c r="E966" s="4">
        <v>1859</v>
      </c>
      <c r="F966" t="str">
        <f>HYPERLINK("https://www.google.com/maps/search/?api=1&amp;query=24.512779,44.39554229", "View Map")</f>
        <v>View Map</v>
      </c>
      <c r="G966" s="2">
        <v>0.71740430202561645</v>
      </c>
    </row>
    <row r="967" spans="1:7" x14ac:dyDescent="0.3">
      <c r="A967" t="s">
        <v>1700</v>
      </c>
      <c r="B967" t="s">
        <v>1701</v>
      </c>
      <c r="C967" t="s">
        <v>8</v>
      </c>
      <c r="D967">
        <v>5.79</v>
      </c>
      <c r="E967" s="4">
        <v>1853</v>
      </c>
      <c r="F967" t="str">
        <f>HYPERLINK("https://www.google.com/maps/search/?api=1&amp;query=24.73649114,46.7762408", "View Map")</f>
        <v>View Map</v>
      </c>
      <c r="G967" s="2">
        <v>0.5624325316351888</v>
      </c>
    </row>
    <row r="968" spans="1:7" x14ac:dyDescent="0.3">
      <c r="A968" t="s">
        <v>46</v>
      </c>
      <c r="B968" t="s">
        <v>1702</v>
      </c>
      <c r="C968" t="s">
        <v>8</v>
      </c>
      <c r="D968">
        <v>5.7889999999999997</v>
      </c>
      <c r="E968" s="4">
        <v>1852</v>
      </c>
      <c r="F968" t="str">
        <f>HYPERLINK("https://www.google.com/maps/search/?api=1&amp;query=24.80933665,46.81700497", "View Map")</f>
        <v>View Map</v>
      </c>
      <c r="G968" s="2">
        <v>0.62584052888682884</v>
      </c>
    </row>
    <row r="969" spans="1:7" x14ac:dyDescent="0.3">
      <c r="A969" t="s">
        <v>1703</v>
      </c>
      <c r="B969" t="s">
        <v>1704</v>
      </c>
      <c r="C969" t="s">
        <v>8</v>
      </c>
      <c r="D969">
        <v>5.7859999999999996</v>
      </c>
      <c r="E969" s="4">
        <v>1851</v>
      </c>
      <c r="F969" t="str">
        <f>HYPERLINK("https://www.google.com/maps/search/?api=1&amp;query=24.6036,46.7025", "View Map")</f>
        <v>View Map</v>
      </c>
    </row>
    <row r="970" spans="1:7" x14ac:dyDescent="0.3">
      <c r="A970" t="s">
        <v>1705</v>
      </c>
      <c r="B970" t="s">
        <v>1706</v>
      </c>
      <c r="C970" t="s">
        <v>8</v>
      </c>
      <c r="D970">
        <v>5.7830000000000004</v>
      </c>
      <c r="E970" s="4">
        <v>1851</v>
      </c>
      <c r="F970" t="str">
        <f>HYPERLINK("https://www.google.com/maps/search/?api=1&amp;query=24.72476077,46.84399062", "View Map")</f>
        <v>View Map</v>
      </c>
    </row>
    <row r="971" spans="1:7" x14ac:dyDescent="0.3">
      <c r="A971" t="s">
        <v>1707</v>
      </c>
      <c r="B971" t="s">
        <v>1708</v>
      </c>
      <c r="C971" t="s">
        <v>8</v>
      </c>
      <c r="D971">
        <v>5.78</v>
      </c>
      <c r="E971" s="4">
        <v>1850</v>
      </c>
      <c r="F971" t="str">
        <f>HYPERLINK("https://www.google.com/maps/search/?api=1&amp;query=24.75562052,46.79947296", "View Map")</f>
        <v>View Map</v>
      </c>
    </row>
    <row r="972" spans="1:7" x14ac:dyDescent="0.3">
      <c r="A972" t="s">
        <v>627</v>
      </c>
      <c r="B972" t="s">
        <v>1709</v>
      </c>
      <c r="C972" t="s">
        <v>8</v>
      </c>
      <c r="D972">
        <v>5.7750000000000004</v>
      </c>
      <c r="E972" s="4">
        <v>1848</v>
      </c>
      <c r="F972" t="str">
        <f>HYPERLINK("https://www.google.com/maps/search/?api=1&amp;query=24.63719621,46.60634979", "View Map")</f>
        <v>View Map</v>
      </c>
      <c r="G972" s="2">
        <v>0.66562653012446393</v>
      </c>
    </row>
    <row r="973" spans="1:7" x14ac:dyDescent="0.3">
      <c r="A973" t="s">
        <v>46</v>
      </c>
      <c r="B973" t="s">
        <v>1710</v>
      </c>
      <c r="C973" t="s">
        <v>8</v>
      </c>
      <c r="D973">
        <v>5.7720000000000002</v>
      </c>
      <c r="E973" s="4">
        <v>1847</v>
      </c>
      <c r="F973" t="str">
        <f>HYPERLINK("https://www.google.com/maps/search/?api=1&amp;query=24.65903778,46.81158118", "View Map")</f>
        <v>View Map</v>
      </c>
      <c r="G973" s="2">
        <v>0.38466248855426349</v>
      </c>
    </row>
    <row r="974" spans="1:7" x14ac:dyDescent="0.3">
      <c r="A974" t="s">
        <v>1711</v>
      </c>
      <c r="B974" t="s">
        <v>1712</v>
      </c>
      <c r="C974" t="s">
        <v>296</v>
      </c>
      <c r="D974">
        <v>5.7690000000000001</v>
      </c>
      <c r="E974" s="4">
        <v>1846</v>
      </c>
      <c r="F974" t="str">
        <f>HYPERLINK("https://www.google.com/maps/search/?api=1&amp;query=24.46606891,46.29434532", "View Map")</f>
        <v>View Map</v>
      </c>
      <c r="G974" s="2">
        <v>0.54502900957829947</v>
      </c>
    </row>
    <row r="975" spans="1:7" x14ac:dyDescent="0.3">
      <c r="A975" t="s">
        <v>1713</v>
      </c>
      <c r="B975" t="s">
        <v>1714</v>
      </c>
      <c r="C975" t="s">
        <v>466</v>
      </c>
      <c r="D975">
        <v>5.7679999999999998</v>
      </c>
      <c r="E975" s="4">
        <v>1846</v>
      </c>
      <c r="F975" t="str">
        <f>HYPERLINK("https://www.google.com/maps/search/?api=1&amp;query=24.60689313,46.12692677", "View Map")</f>
        <v>View Map</v>
      </c>
      <c r="G975" s="2">
        <v>0.60249689422238806</v>
      </c>
    </row>
    <row r="976" spans="1:7" x14ac:dyDescent="0.3">
      <c r="A976" t="s">
        <v>1715</v>
      </c>
      <c r="B976" t="s">
        <v>1716</v>
      </c>
      <c r="C976" t="s">
        <v>8</v>
      </c>
      <c r="D976">
        <v>5.76</v>
      </c>
      <c r="E976" s="4">
        <v>1843</v>
      </c>
      <c r="F976" t="str">
        <f>HYPERLINK("https://www.google.com/maps/search/?api=1&amp;query=24.7820034,46.63845924", "View Map")</f>
        <v>View Map</v>
      </c>
    </row>
    <row r="977" spans="1:7" x14ac:dyDescent="0.3">
      <c r="A977" t="s">
        <v>1717</v>
      </c>
      <c r="B977" t="s">
        <v>1718</v>
      </c>
      <c r="C977" t="s">
        <v>8</v>
      </c>
      <c r="D977">
        <v>5.7569999999999997</v>
      </c>
      <c r="E977" s="4">
        <v>1842</v>
      </c>
      <c r="F977" t="str">
        <f>HYPERLINK("https://www.google.com/maps/search/?api=1&amp;query=24.77379701,46.67295", "View Map")</f>
        <v>View Map</v>
      </c>
    </row>
    <row r="978" spans="1:7" x14ac:dyDescent="0.3">
      <c r="A978" t="s">
        <v>1654</v>
      </c>
      <c r="B978" t="s">
        <v>1719</v>
      </c>
      <c r="C978" t="s">
        <v>8</v>
      </c>
      <c r="D978">
        <v>5.7519999999999998</v>
      </c>
      <c r="E978" s="4">
        <v>1841</v>
      </c>
      <c r="F978" t="str">
        <f>HYPERLINK("https://www.google.com/maps/search/?api=1&amp;query=24.76978416,46.77890583", "View Map")</f>
        <v>View Map</v>
      </c>
    </row>
    <row r="979" spans="1:7" x14ac:dyDescent="0.3">
      <c r="A979" t="s">
        <v>46</v>
      </c>
      <c r="B979" t="s">
        <v>1720</v>
      </c>
      <c r="C979" t="s">
        <v>8</v>
      </c>
      <c r="D979">
        <v>5.7519999999999998</v>
      </c>
      <c r="E979" s="4">
        <v>1840</v>
      </c>
      <c r="F979" t="str">
        <f>HYPERLINK("https://www.google.com/maps/search/?api=1&amp;query=24.8700423,46.6474301", "View Map")</f>
        <v>View Map</v>
      </c>
      <c r="G979" s="2">
        <v>0.62172538690392942</v>
      </c>
    </row>
    <row r="980" spans="1:7" x14ac:dyDescent="0.3">
      <c r="A980" t="s">
        <v>1721</v>
      </c>
      <c r="B980" t="s">
        <v>1722</v>
      </c>
      <c r="C980" t="s">
        <v>8</v>
      </c>
      <c r="D980">
        <v>5.7439999999999998</v>
      </c>
      <c r="E980" s="4">
        <v>1838</v>
      </c>
      <c r="F980" t="str">
        <f>HYPERLINK("https://www.google.com/maps/search/?api=1&amp;query=24.5755028,46.83939399", "View Map")</f>
        <v>View Map</v>
      </c>
    </row>
    <row r="981" spans="1:7" x14ac:dyDescent="0.3">
      <c r="A981" t="s">
        <v>1723</v>
      </c>
      <c r="B981" t="s">
        <v>1724</v>
      </c>
      <c r="C981" t="s">
        <v>270</v>
      </c>
      <c r="D981">
        <v>5.7370000000000001</v>
      </c>
      <c r="E981" s="4">
        <v>1836</v>
      </c>
      <c r="F981" t="str">
        <f>HYPERLINK("https://www.google.com/maps/search/?api=1&amp;query=24.01149185,47.13158961", "View Map")</f>
        <v>View Map</v>
      </c>
    </row>
    <row r="982" spans="1:7" x14ac:dyDescent="0.3">
      <c r="A982" t="s">
        <v>46</v>
      </c>
      <c r="B982" t="s">
        <v>1725</v>
      </c>
      <c r="C982" t="s">
        <v>8</v>
      </c>
      <c r="D982">
        <v>5.7359999999999998</v>
      </c>
      <c r="E982" s="4">
        <v>1836</v>
      </c>
      <c r="F982" t="str">
        <f>HYPERLINK("https://www.google.com/maps/search/?api=1&amp;query=24.85091661,46.57664797", "View Map")</f>
        <v>View Map</v>
      </c>
    </row>
    <row r="983" spans="1:7" x14ac:dyDescent="0.3">
      <c r="A983" t="s">
        <v>1726</v>
      </c>
      <c r="B983" t="s">
        <v>1727</v>
      </c>
      <c r="C983" t="s">
        <v>8</v>
      </c>
      <c r="D983">
        <v>5.7359999999999998</v>
      </c>
      <c r="E983" s="4">
        <v>1835</v>
      </c>
      <c r="F983" t="str">
        <f>HYPERLINK("https://www.google.com/maps/search/?api=1&amp;query=24.73424269,46.77802372", "View Map")</f>
        <v>View Map</v>
      </c>
    </row>
    <row r="984" spans="1:7" x14ac:dyDescent="0.3">
      <c r="A984" t="s">
        <v>146</v>
      </c>
      <c r="B984" t="s">
        <v>1728</v>
      </c>
      <c r="C984" t="s">
        <v>8</v>
      </c>
      <c r="D984">
        <v>5.7329999999999997</v>
      </c>
      <c r="E984" s="4">
        <v>1835</v>
      </c>
      <c r="F984" t="str">
        <f>HYPERLINK("https://www.google.com/maps/search/?api=1&amp;query=24.57471172,46.71625806", "View Map")</f>
        <v>View Map</v>
      </c>
    </row>
    <row r="985" spans="1:7" x14ac:dyDescent="0.3">
      <c r="A985" t="s">
        <v>1729</v>
      </c>
      <c r="B985" t="s">
        <v>1730</v>
      </c>
      <c r="C985" t="s">
        <v>21</v>
      </c>
      <c r="D985">
        <v>5.726</v>
      </c>
      <c r="E985" s="4">
        <v>1832</v>
      </c>
      <c r="F985" t="str">
        <f>HYPERLINK("https://www.google.com/maps/search/?api=1&amp;query=26.29497184,44.82990714", "View Map")</f>
        <v>View Map</v>
      </c>
      <c r="G985" s="2">
        <v>0.62371170891166128</v>
      </c>
    </row>
    <row r="986" spans="1:7" x14ac:dyDescent="0.3">
      <c r="A986" t="s">
        <v>1731</v>
      </c>
      <c r="B986" t="s">
        <v>1732</v>
      </c>
      <c r="C986" t="s">
        <v>8</v>
      </c>
      <c r="D986">
        <v>5.7190000000000003</v>
      </c>
      <c r="E986" s="4">
        <v>1830</v>
      </c>
      <c r="F986" t="str">
        <f>HYPERLINK("https://www.google.com/maps/search/?api=1&amp;query=24.60901286,46.60862451", "View Map")</f>
        <v>View Map</v>
      </c>
      <c r="G986" s="2">
        <v>0.39732836604330701</v>
      </c>
    </row>
    <row r="987" spans="1:7" x14ac:dyDescent="0.3">
      <c r="A987" t="s">
        <v>1733</v>
      </c>
      <c r="B987" t="s">
        <v>1734</v>
      </c>
      <c r="C987" t="s">
        <v>8</v>
      </c>
      <c r="D987">
        <v>5.718</v>
      </c>
      <c r="E987" s="4">
        <v>1830</v>
      </c>
      <c r="F987" t="str">
        <f>HYPERLINK("https://www.google.com/maps/search/?api=1&amp;query=24.53960025,46.66354464", "View Map")</f>
        <v>View Map</v>
      </c>
    </row>
    <row r="988" spans="1:7" x14ac:dyDescent="0.3">
      <c r="A988" t="s">
        <v>1735</v>
      </c>
      <c r="B988" t="s">
        <v>1736</v>
      </c>
      <c r="C988" t="s">
        <v>8</v>
      </c>
      <c r="D988">
        <v>5.7140000000000004</v>
      </c>
      <c r="E988" s="4">
        <v>1829</v>
      </c>
      <c r="F988" t="str">
        <f>HYPERLINK("https://www.google.com/maps/search/?api=1&amp;query=24.69604829,46.76894689", "View Map")</f>
        <v>View Map</v>
      </c>
      <c r="G988" s="2">
        <v>0.40271097259104011</v>
      </c>
    </row>
    <row r="989" spans="1:7" x14ac:dyDescent="0.3">
      <c r="A989" t="s">
        <v>1737</v>
      </c>
      <c r="B989" t="s">
        <v>1738</v>
      </c>
      <c r="C989" t="s">
        <v>8</v>
      </c>
      <c r="D989">
        <v>5.7130000000000001</v>
      </c>
      <c r="E989" s="4">
        <v>1828</v>
      </c>
      <c r="F989" t="str">
        <f>HYPERLINK("https://www.google.com/maps/search/?api=1&amp;query=24.79693803,46.79002441", "View Map")</f>
        <v>View Map</v>
      </c>
    </row>
    <row r="990" spans="1:7" x14ac:dyDescent="0.3">
      <c r="A990" t="s">
        <v>150</v>
      </c>
      <c r="B990" t="s">
        <v>1739</v>
      </c>
      <c r="C990" t="s">
        <v>8</v>
      </c>
      <c r="D990">
        <v>5.6909999999999998</v>
      </c>
      <c r="E990" s="4">
        <v>1821</v>
      </c>
      <c r="F990" t="str">
        <f>HYPERLINK("https://www.google.com/maps/search/?api=1&amp;query=24.82267215,46.78085607", "View Map")</f>
        <v>View Map</v>
      </c>
      <c r="G990" s="2">
        <v>0.39443141186608882</v>
      </c>
    </row>
    <row r="991" spans="1:7" x14ac:dyDescent="0.3">
      <c r="A991" t="s">
        <v>46</v>
      </c>
      <c r="B991" t="s">
        <v>1740</v>
      </c>
      <c r="C991" t="s">
        <v>8</v>
      </c>
      <c r="D991">
        <v>5.6859999999999999</v>
      </c>
      <c r="E991" s="4">
        <v>1820</v>
      </c>
      <c r="F991" t="str">
        <f>HYPERLINK("https://www.google.com/maps/search/?api=1&amp;query=24.74719087,46.62624905", "View Map")</f>
        <v>View Map</v>
      </c>
      <c r="G991" s="2">
        <v>0.40849148637975602</v>
      </c>
    </row>
    <row r="992" spans="1:7" x14ac:dyDescent="0.3">
      <c r="A992" t="s">
        <v>46</v>
      </c>
      <c r="B992" t="s">
        <v>1741</v>
      </c>
      <c r="C992" t="s">
        <v>8</v>
      </c>
      <c r="D992">
        <v>5.6859999999999999</v>
      </c>
      <c r="E992" s="4">
        <v>1819</v>
      </c>
      <c r="F992" t="str">
        <f>HYPERLINK("https://www.google.com/maps/search/?api=1&amp;query=24.83516737,46.67086883", "View Map")</f>
        <v>View Map</v>
      </c>
    </row>
    <row r="993" spans="1:7" x14ac:dyDescent="0.3">
      <c r="A993" t="s">
        <v>1077</v>
      </c>
      <c r="B993" t="s">
        <v>1742</v>
      </c>
      <c r="C993" t="s">
        <v>8</v>
      </c>
      <c r="D993">
        <v>5.6829999999999998</v>
      </c>
      <c r="E993" s="4">
        <v>1819</v>
      </c>
      <c r="F993" t="str">
        <f>HYPERLINK("https://www.google.com/maps/search/?api=1&amp;query=24.67815997,46.78595487", "View Map")</f>
        <v>View Map</v>
      </c>
    </row>
    <row r="994" spans="1:7" x14ac:dyDescent="0.3">
      <c r="A994" t="s">
        <v>1743</v>
      </c>
      <c r="B994" t="s">
        <v>1744</v>
      </c>
      <c r="C994" t="s">
        <v>8</v>
      </c>
      <c r="D994">
        <v>5.6820000000000004</v>
      </c>
      <c r="E994" s="4">
        <v>1818</v>
      </c>
      <c r="F994" t="str">
        <f>HYPERLINK("https://www.google.com/maps/search/?api=1&amp;query=24.54308192,46.68968095", "View Map")</f>
        <v>View Map</v>
      </c>
      <c r="G994" s="2">
        <v>0.72963039009954267</v>
      </c>
    </row>
    <row r="995" spans="1:7" x14ac:dyDescent="0.3">
      <c r="A995" t="s">
        <v>1745</v>
      </c>
      <c r="B995" t="s">
        <v>1746</v>
      </c>
      <c r="C995" t="s">
        <v>8</v>
      </c>
      <c r="D995">
        <v>5.6769999999999996</v>
      </c>
      <c r="E995" s="4">
        <v>1817</v>
      </c>
      <c r="F995" t="str">
        <f>HYPERLINK("https://www.google.com/maps/search/?api=1&amp;query=24.81112149,46.79641324", "View Map")</f>
        <v>View Map</v>
      </c>
    </row>
    <row r="996" spans="1:7" x14ac:dyDescent="0.3">
      <c r="A996" t="s">
        <v>1747</v>
      </c>
      <c r="B996" t="s">
        <v>1748</v>
      </c>
      <c r="C996" t="s">
        <v>8</v>
      </c>
      <c r="D996">
        <v>5.67</v>
      </c>
      <c r="E996" s="4">
        <v>1814</v>
      </c>
      <c r="F996" t="str">
        <f>HYPERLINK("https://www.google.com/maps/search/?api=1&amp;query=24.60851882,46.7603353", "View Map")</f>
        <v>View Map</v>
      </c>
      <c r="G996" s="2">
        <v>0.43456985820096222</v>
      </c>
    </row>
    <row r="997" spans="1:7" x14ac:dyDescent="0.3">
      <c r="A997" t="s">
        <v>73</v>
      </c>
      <c r="B997" t="s">
        <v>1749</v>
      </c>
      <c r="C997" t="s">
        <v>8</v>
      </c>
      <c r="D997">
        <v>5.6689999999999996</v>
      </c>
      <c r="E997" s="4">
        <v>1814</v>
      </c>
      <c r="F997" t="str">
        <f>HYPERLINK("https://www.google.com/maps/search/?api=1&amp;query=24.62372231,46.51273174", "View Map")</f>
        <v>View Map</v>
      </c>
    </row>
    <row r="998" spans="1:7" x14ac:dyDescent="0.3">
      <c r="A998" t="s">
        <v>1750</v>
      </c>
      <c r="B998" t="s">
        <v>1751</v>
      </c>
      <c r="C998" t="s">
        <v>8</v>
      </c>
      <c r="D998">
        <v>5.6689999999999996</v>
      </c>
      <c r="E998" s="4">
        <v>1814</v>
      </c>
      <c r="F998" t="str">
        <f>HYPERLINK("https://www.google.com/maps/search/?api=1&amp;query=24.7043586,46.81605043", "View Map")</f>
        <v>View Map</v>
      </c>
      <c r="G998" s="2">
        <v>0.41343763243468751</v>
      </c>
    </row>
    <row r="999" spans="1:7" x14ac:dyDescent="0.3">
      <c r="A999" t="s">
        <v>1752</v>
      </c>
      <c r="B999" t="s">
        <v>1753</v>
      </c>
      <c r="C999" t="s">
        <v>8</v>
      </c>
      <c r="D999">
        <v>5.6660000000000004</v>
      </c>
      <c r="E999" s="4">
        <v>1813</v>
      </c>
      <c r="F999" t="str">
        <f>HYPERLINK("https://www.google.com/maps/search/?api=1&amp;query=24.68278566,46.81484869", "View Map")</f>
        <v>View Map</v>
      </c>
    </row>
    <row r="1000" spans="1:7" x14ac:dyDescent="0.3">
      <c r="A1000" t="s">
        <v>1754</v>
      </c>
      <c r="B1000" t="s">
        <v>1755</v>
      </c>
      <c r="C1000" t="s">
        <v>8</v>
      </c>
      <c r="D1000">
        <v>5.66</v>
      </c>
      <c r="E1000" s="4">
        <v>1811</v>
      </c>
      <c r="F1000" t="str">
        <f>HYPERLINK("https://www.google.com/maps/search/?api=1&amp;query=24.74385,46.69448", "View Map")</f>
        <v>View Map</v>
      </c>
      <c r="G1000" s="2">
        <v>0.79048788532459602</v>
      </c>
    </row>
    <row r="1001" spans="1:7" x14ac:dyDescent="0.3">
      <c r="A1001" t="s">
        <v>1756</v>
      </c>
      <c r="B1001" t="s">
        <v>1757</v>
      </c>
      <c r="C1001" t="s">
        <v>8</v>
      </c>
      <c r="D1001">
        <v>5.657</v>
      </c>
      <c r="E1001" s="4">
        <v>1810</v>
      </c>
      <c r="F1001" t="str">
        <f>HYPERLINK("https://www.google.com/maps/search/?api=1&amp;query=24.67307386,46.81517151", "View Map")</f>
        <v>View Map</v>
      </c>
      <c r="G1001" s="2">
        <v>0.49657617705095819</v>
      </c>
    </row>
    <row r="1002" spans="1:7" x14ac:dyDescent="0.3">
      <c r="A1002" t="s">
        <v>1758</v>
      </c>
      <c r="B1002" t="s">
        <v>1759</v>
      </c>
      <c r="C1002" t="s">
        <v>55</v>
      </c>
      <c r="D1002">
        <v>5.6470000000000002</v>
      </c>
      <c r="E1002" s="4">
        <v>1807</v>
      </c>
      <c r="F1002" t="str">
        <f>HYPERLINK("https://www.google.com/maps/search/?api=1&amp;query=24.77658931,46.57349104", "View Map")</f>
        <v>View Map</v>
      </c>
    </row>
    <row r="1003" spans="1:7" x14ac:dyDescent="0.3">
      <c r="A1003" t="s">
        <v>146</v>
      </c>
      <c r="B1003" t="s">
        <v>1760</v>
      </c>
      <c r="C1003" t="s">
        <v>8</v>
      </c>
      <c r="D1003">
        <v>5.6420000000000003</v>
      </c>
      <c r="E1003" s="4">
        <v>1806</v>
      </c>
      <c r="F1003" t="str">
        <f>HYPERLINK("https://www.google.com/maps/search/?api=1&amp;query=24.55634645,46.56924403", "View Map")</f>
        <v>View Map</v>
      </c>
    </row>
    <row r="1004" spans="1:7" x14ac:dyDescent="0.3">
      <c r="A1004" t="s">
        <v>1761</v>
      </c>
      <c r="B1004" t="s">
        <v>1762</v>
      </c>
      <c r="C1004" t="s">
        <v>8</v>
      </c>
      <c r="D1004">
        <v>5.64</v>
      </c>
      <c r="E1004" s="4">
        <v>1805</v>
      </c>
      <c r="F1004" t="str">
        <f>HYPERLINK("https://www.google.com/maps/search/?api=1&amp;query=24.78076385,46.72651387", "View Map")</f>
        <v>View Map</v>
      </c>
      <c r="G1004" s="2">
        <v>0.52389797832590612</v>
      </c>
    </row>
    <row r="1005" spans="1:7" x14ac:dyDescent="0.3">
      <c r="A1005" t="s">
        <v>1763</v>
      </c>
      <c r="B1005" t="s">
        <v>1764</v>
      </c>
      <c r="C1005" t="s">
        <v>255</v>
      </c>
      <c r="D1005">
        <v>5.64</v>
      </c>
      <c r="E1005" s="4">
        <v>1805</v>
      </c>
      <c r="F1005" t="str">
        <f>HYPERLINK("https://www.google.com/maps/search/?api=1&amp;query=25.16928226,44.57765356", "View Map")</f>
        <v>View Map</v>
      </c>
      <c r="G1005" s="2">
        <v>0.68858663579600066</v>
      </c>
    </row>
    <row r="1006" spans="1:7" x14ac:dyDescent="0.3">
      <c r="A1006" t="s">
        <v>146</v>
      </c>
      <c r="B1006" t="s">
        <v>1765</v>
      </c>
      <c r="C1006" t="s">
        <v>8</v>
      </c>
      <c r="D1006">
        <v>5.6280000000000001</v>
      </c>
      <c r="E1006" s="4">
        <v>1801</v>
      </c>
      <c r="F1006" t="str">
        <f>HYPERLINK("https://www.google.com/maps/search/?api=1&amp;query=24.5281,46.6942", "View Map")</f>
        <v>View Map</v>
      </c>
    </row>
    <row r="1007" spans="1:7" x14ac:dyDescent="0.3">
      <c r="A1007" t="s">
        <v>1766</v>
      </c>
      <c r="B1007" t="s">
        <v>1767</v>
      </c>
      <c r="C1007" t="s">
        <v>30</v>
      </c>
      <c r="D1007">
        <v>5.6269999999999998</v>
      </c>
      <c r="E1007" s="4">
        <v>1801</v>
      </c>
      <c r="F1007" t="str">
        <f>HYPERLINK("https://www.google.com/maps/search/?api=1&amp;query=24.14171973,47.35121878", "View Map")</f>
        <v>View Map</v>
      </c>
      <c r="G1007" s="2">
        <v>0.39960953317140202</v>
      </c>
    </row>
    <row r="1008" spans="1:7" x14ac:dyDescent="0.3">
      <c r="A1008" t="s">
        <v>28</v>
      </c>
      <c r="B1008" t="s">
        <v>1768</v>
      </c>
      <c r="C1008" t="s">
        <v>30</v>
      </c>
      <c r="D1008">
        <v>5.6239999999999997</v>
      </c>
      <c r="E1008" s="4">
        <v>1800</v>
      </c>
      <c r="F1008" t="str">
        <f>HYPERLINK("https://www.google.com/maps/search/?api=1&amp;query=24.08391463,47.2566621", "View Map")</f>
        <v>View Map</v>
      </c>
      <c r="G1008" s="2">
        <v>0.37746233095070308</v>
      </c>
    </row>
    <row r="1009" spans="1:7" x14ac:dyDescent="0.3">
      <c r="A1009" t="s">
        <v>1769</v>
      </c>
      <c r="B1009" t="s">
        <v>1770</v>
      </c>
      <c r="C1009" t="s">
        <v>8</v>
      </c>
      <c r="D1009">
        <v>5.6230000000000002</v>
      </c>
      <c r="E1009" s="4">
        <v>1799</v>
      </c>
      <c r="F1009" t="str">
        <f>HYPERLINK("https://www.google.com/maps/search/?api=1&amp;query=24.66192178,46.79476876", "View Map")</f>
        <v>View Map</v>
      </c>
      <c r="G1009" s="2">
        <v>0.37682008354594948</v>
      </c>
    </row>
    <row r="1010" spans="1:7" x14ac:dyDescent="0.3">
      <c r="A1010" t="s">
        <v>1771</v>
      </c>
      <c r="B1010" t="s">
        <v>1772</v>
      </c>
      <c r="C1010" t="s">
        <v>8</v>
      </c>
      <c r="D1010">
        <v>5.6219999999999999</v>
      </c>
      <c r="E1010" s="4">
        <v>1799</v>
      </c>
      <c r="F1010" t="str">
        <f>HYPERLINK("https://www.google.com/maps/search/?api=1&amp;query=24.7280551,46.82088315", "View Map")</f>
        <v>View Map</v>
      </c>
    </row>
    <row r="1011" spans="1:7" x14ac:dyDescent="0.3">
      <c r="A1011" t="s">
        <v>28</v>
      </c>
      <c r="B1011" t="s">
        <v>1773</v>
      </c>
      <c r="C1011" t="s">
        <v>270</v>
      </c>
      <c r="D1011">
        <v>5.62</v>
      </c>
      <c r="E1011" s="4">
        <v>1798</v>
      </c>
      <c r="F1011" t="str">
        <f>HYPERLINK("https://www.google.com/maps/search/?api=1&amp;query=24.09777746,47.16895294", "View Map")</f>
        <v>View Map</v>
      </c>
    </row>
    <row r="1012" spans="1:7" x14ac:dyDescent="0.3">
      <c r="A1012" t="s">
        <v>1774</v>
      </c>
      <c r="B1012" t="s">
        <v>1775</v>
      </c>
      <c r="C1012" t="s">
        <v>8</v>
      </c>
      <c r="D1012">
        <v>5.6180000000000003</v>
      </c>
      <c r="E1012" s="4">
        <v>1798</v>
      </c>
      <c r="F1012" t="str">
        <f>HYPERLINK("https://www.google.com/maps/search/?api=1&amp;query=24.57608323,46.83532588", "View Map")</f>
        <v>View Map</v>
      </c>
    </row>
    <row r="1013" spans="1:7" x14ac:dyDescent="0.3">
      <c r="A1013" t="s">
        <v>1776</v>
      </c>
      <c r="B1013" t="s">
        <v>1777</v>
      </c>
      <c r="C1013" t="s">
        <v>8</v>
      </c>
      <c r="D1013">
        <v>5.617</v>
      </c>
      <c r="E1013" s="4">
        <v>1797</v>
      </c>
      <c r="F1013" t="str">
        <f>HYPERLINK("https://www.google.com/maps/search/?api=1&amp;query=24.67875292,46.70016142", "View Map")</f>
        <v>View Map</v>
      </c>
    </row>
    <row r="1014" spans="1:7" x14ac:dyDescent="0.3">
      <c r="A1014" t="s">
        <v>1778</v>
      </c>
      <c r="B1014" t="s">
        <v>1779</v>
      </c>
      <c r="C1014" t="s">
        <v>8</v>
      </c>
      <c r="D1014">
        <v>5.6150000000000002</v>
      </c>
      <c r="E1014" s="4">
        <v>1797</v>
      </c>
      <c r="F1014" t="str">
        <f>HYPERLINK("https://www.google.com/maps/search/?api=1&amp;query=24.6755305,46.73820465", "View Map")</f>
        <v>View Map</v>
      </c>
      <c r="G1014" s="2">
        <v>0.50346416310261166</v>
      </c>
    </row>
    <row r="1015" spans="1:7" x14ac:dyDescent="0.3">
      <c r="A1015" t="s">
        <v>1780</v>
      </c>
      <c r="B1015" t="s">
        <v>1781</v>
      </c>
      <c r="C1015" t="s">
        <v>8</v>
      </c>
      <c r="D1015">
        <v>5.6130000000000004</v>
      </c>
      <c r="E1015" s="4">
        <v>1796</v>
      </c>
      <c r="F1015" t="str">
        <f>HYPERLINK("https://www.google.com/maps/search/?api=1&amp;query=24.60253779,46.68690294", "View Map")</f>
        <v>View Map</v>
      </c>
    </row>
    <row r="1016" spans="1:7" x14ac:dyDescent="0.3">
      <c r="A1016" t="s">
        <v>1782</v>
      </c>
      <c r="B1016" t="s">
        <v>1783</v>
      </c>
      <c r="C1016" t="s">
        <v>8</v>
      </c>
      <c r="D1016">
        <v>5.6050000000000004</v>
      </c>
      <c r="E1016" s="4">
        <v>1794</v>
      </c>
      <c r="F1016" t="str">
        <f>HYPERLINK("https://www.google.com/maps/search/?api=1&amp;query=24.72993825,46.65608824", "View Map")</f>
        <v>View Map</v>
      </c>
      <c r="G1016" s="2">
        <v>0.64603169828387752</v>
      </c>
    </row>
    <row r="1017" spans="1:7" x14ac:dyDescent="0.3">
      <c r="A1017" t="s">
        <v>73</v>
      </c>
      <c r="B1017" t="s">
        <v>1784</v>
      </c>
      <c r="C1017" t="s">
        <v>8</v>
      </c>
      <c r="D1017">
        <v>5.6020000000000003</v>
      </c>
      <c r="E1017" s="4">
        <v>1793</v>
      </c>
      <c r="F1017" t="str">
        <f>HYPERLINK("https://www.google.com/maps/search/?api=1&amp;query=24.62463958,46.52681672", "View Map")</f>
        <v>View Map</v>
      </c>
    </row>
    <row r="1018" spans="1:7" x14ac:dyDescent="0.3">
      <c r="A1018" t="s">
        <v>46</v>
      </c>
      <c r="B1018" t="s">
        <v>1785</v>
      </c>
      <c r="C1018" t="s">
        <v>8</v>
      </c>
      <c r="D1018">
        <v>5.5940000000000003</v>
      </c>
      <c r="E1018" s="4">
        <v>1790</v>
      </c>
      <c r="F1018" t="str">
        <f>HYPERLINK("https://www.google.com/maps/search/?api=1&amp;query=24.74721727,46.62628386", "View Map")</f>
        <v>View Map</v>
      </c>
    </row>
    <row r="1019" spans="1:7" x14ac:dyDescent="0.3">
      <c r="A1019" t="s">
        <v>1786</v>
      </c>
      <c r="B1019" t="s">
        <v>1787</v>
      </c>
      <c r="C1019" t="s">
        <v>364</v>
      </c>
      <c r="D1019">
        <v>5.593</v>
      </c>
      <c r="E1019" s="4">
        <v>1790</v>
      </c>
      <c r="F1019" t="str">
        <f>HYPERLINK("https://www.google.com/maps/search/?api=1&amp;query=25.21291199,45.74798068", "View Map")</f>
        <v>View Map</v>
      </c>
      <c r="G1019" s="2">
        <v>0.75610394536404557</v>
      </c>
    </row>
    <row r="1020" spans="1:7" x14ac:dyDescent="0.3">
      <c r="A1020" t="s">
        <v>1788</v>
      </c>
      <c r="B1020" t="s">
        <v>1789</v>
      </c>
      <c r="C1020" t="s">
        <v>393</v>
      </c>
      <c r="D1020">
        <v>5.5819999999999999</v>
      </c>
      <c r="E1020" s="4">
        <v>1786</v>
      </c>
      <c r="F1020" t="str">
        <f>HYPERLINK("https://www.google.com/maps/search/?api=1&amp;query=23.56710505,45.6145457", "View Map")</f>
        <v>View Map</v>
      </c>
      <c r="G1020" s="2">
        <v>0.71385573867104457</v>
      </c>
    </row>
    <row r="1021" spans="1:7" x14ac:dyDescent="0.3">
      <c r="A1021" t="s">
        <v>1790</v>
      </c>
      <c r="B1021" t="s">
        <v>1791</v>
      </c>
      <c r="C1021" t="s">
        <v>8</v>
      </c>
      <c r="D1021">
        <v>5.58</v>
      </c>
      <c r="E1021" s="4">
        <v>1786</v>
      </c>
      <c r="F1021" t="str">
        <f>HYPERLINK("https://www.google.com/maps/search/?api=1&amp;query=24.78422683,46.77884073", "View Map")</f>
        <v>View Map</v>
      </c>
      <c r="G1021" s="2">
        <v>0.57737439812336144</v>
      </c>
    </row>
    <row r="1022" spans="1:7" x14ac:dyDescent="0.3">
      <c r="A1022" t="s">
        <v>28</v>
      </c>
      <c r="B1022" t="s">
        <v>1792</v>
      </c>
      <c r="C1022" t="s">
        <v>30</v>
      </c>
      <c r="D1022">
        <v>5.5789999999999997</v>
      </c>
      <c r="E1022" s="4">
        <v>1785</v>
      </c>
      <c r="F1022" t="str">
        <f>HYPERLINK("https://www.google.com/maps/search/?api=1&amp;query=24.15926797,47.37668168", "View Map")</f>
        <v>View Map</v>
      </c>
      <c r="G1022" s="2">
        <v>0.41339993853447232</v>
      </c>
    </row>
    <row r="1023" spans="1:7" x14ac:dyDescent="0.3">
      <c r="A1023" t="s">
        <v>1793</v>
      </c>
      <c r="B1023" t="s">
        <v>1794</v>
      </c>
      <c r="C1023" t="s">
        <v>16</v>
      </c>
      <c r="D1023">
        <v>5.57</v>
      </c>
      <c r="E1023" s="4">
        <v>1782</v>
      </c>
      <c r="F1023" t="str">
        <f>HYPERLINK("https://www.google.com/maps/search/?api=1&amp;query=23.87864433,42.89488242", "View Map")</f>
        <v>View Map</v>
      </c>
    </row>
    <row r="1024" spans="1:7" x14ac:dyDescent="0.3">
      <c r="A1024" t="s">
        <v>1795</v>
      </c>
      <c r="B1024" t="s">
        <v>1796</v>
      </c>
      <c r="C1024" t="s">
        <v>8</v>
      </c>
      <c r="D1024">
        <v>5.5629999999999997</v>
      </c>
      <c r="E1024" s="4">
        <v>1780</v>
      </c>
      <c r="F1024" t="str">
        <f>HYPERLINK("https://www.google.com/maps/search/?api=1&amp;query=24.79288283,46.64229655", "View Map")</f>
        <v>View Map</v>
      </c>
    </row>
    <row r="1025" spans="1:7" x14ac:dyDescent="0.3">
      <c r="A1025" t="s">
        <v>46</v>
      </c>
      <c r="B1025" t="s">
        <v>1797</v>
      </c>
      <c r="C1025" t="s">
        <v>8</v>
      </c>
      <c r="D1025">
        <v>5.5620000000000003</v>
      </c>
      <c r="E1025" s="4">
        <v>1780</v>
      </c>
      <c r="F1025" t="str">
        <f>HYPERLINK("https://www.google.com/maps/search/?api=1&amp;query=24.92241907,46.81864276", "View Map")</f>
        <v>View Map</v>
      </c>
      <c r="G1025" s="2">
        <v>0.59521417302158175</v>
      </c>
    </row>
    <row r="1026" spans="1:7" x14ac:dyDescent="0.3">
      <c r="A1026" t="s">
        <v>1798</v>
      </c>
      <c r="B1026" t="s">
        <v>1799</v>
      </c>
      <c r="C1026" t="s">
        <v>8</v>
      </c>
      <c r="D1026">
        <v>5.5540000000000003</v>
      </c>
      <c r="E1026" s="4">
        <v>1777</v>
      </c>
      <c r="F1026" t="str">
        <f>HYPERLINK("https://www.google.com/maps/search/?api=1&amp;query=24.68594,46.6705", "View Map")</f>
        <v>View Map</v>
      </c>
    </row>
    <row r="1027" spans="1:7" x14ac:dyDescent="0.3">
      <c r="A1027" t="s">
        <v>1800</v>
      </c>
      <c r="B1027" t="s">
        <v>1801</v>
      </c>
      <c r="C1027" t="s">
        <v>8</v>
      </c>
      <c r="D1027">
        <v>5.5529999999999999</v>
      </c>
      <c r="E1027" s="4">
        <v>1777</v>
      </c>
      <c r="F1027" t="str">
        <f>HYPERLINK("https://www.google.com/maps/search/?api=1&amp;query=24.57921983,46.66917462", "View Map")</f>
        <v>View Map</v>
      </c>
      <c r="G1027" s="2">
        <v>0.47981173814589129</v>
      </c>
    </row>
    <row r="1028" spans="1:7" x14ac:dyDescent="0.3">
      <c r="A1028" t="s">
        <v>1802</v>
      </c>
      <c r="B1028" t="s">
        <v>1803</v>
      </c>
      <c r="C1028" t="s">
        <v>738</v>
      </c>
      <c r="D1028">
        <v>5.5449999999999999</v>
      </c>
      <c r="E1028" s="4">
        <v>1774</v>
      </c>
      <c r="F1028" t="str">
        <f>HYPERLINK("https://www.google.com/maps/search/?api=1&amp;query=24.91994606,45.85959713", "View Map")</f>
        <v>View Map</v>
      </c>
      <c r="G1028" s="2">
        <v>0.53701897039853297</v>
      </c>
    </row>
    <row r="1029" spans="1:7" x14ac:dyDescent="0.3">
      <c r="A1029" t="s">
        <v>1804</v>
      </c>
      <c r="B1029" t="s">
        <v>1805</v>
      </c>
      <c r="C1029" t="s">
        <v>286</v>
      </c>
      <c r="D1029">
        <v>5.5439999999999996</v>
      </c>
      <c r="E1029" s="4">
        <v>1774</v>
      </c>
      <c r="F1029" t="str">
        <f>HYPERLINK("https://www.google.com/maps/search/?api=1&amp;query=25.2430541,45.25760012", "View Map")</f>
        <v>View Map</v>
      </c>
    </row>
    <row r="1030" spans="1:7" x14ac:dyDescent="0.3">
      <c r="A1030" t="s">
        <v>1806</v>
      </c>
      <c r="B1030" t="s">
        <v>1807</v>
      </c>
      <c r="C1030" t="s">
        <v>8</v>
      </c>
      <c r="D1030">
        <v>5.5419999999999998</v>
      </c>
      <c r="E1030" s="4">
        <v>1774</v>
      </c>
      <c r="F1030" t="str">
        <f>HYPERLINK("https://www.google.com/maps/search/?api=1&amp;query=24.7475353,46.80367648", "View Map")</f>
        <v>View Map</v>
      </c>
      <c r="G1030" s="2">
        <v>0.93494281229998411</v>
      </c>
    </row>
    <row r="1031" spans="1:7" x14ac:dyDescent="0.3">
      <c r="A1031" t="s">
        <v>146</v>
      </c>
      <c r="B1031" t="s">
        <v>1808</v>
      </c>
      <c r="C1031" t="s">
        <v>8</v>
      </c>
      <c r="D1031">
        <v>5.5350000000000001</v>
      </c>
      <c r="E1031" s="4">
        <v>1771</v>
      </c>
      <c r="F1031" t="str">
        <f>HYPERLINK("https://www.google.com/maps/search/?api=1&amp;query=24.53493221,46.71747365", "View Map")</f>
        <v>View Map</v>
      </c>
    </row>
    <row r="1032" spans="1:7" x14ac:dyDescent="0.3">
      <c r="A1032" t="s">
        <v>1809</v>
      </c>
      <c r="B1032" t="s">
        <v>1810</v>
      </c>
      <c r="C1032" t="s">
        <v>8</v>
      </c>
      <c r="D1032">
        <v>5.5309999999999997</v>
      </c>
      <c r="E1032" s="4">
        <v>1770</v>
      </c>
      <c r="F1032" t="str">
        <f>HYPERLINK("https://www.google.com/maps/search/?api=1&amp;query=24.75281494,46.8119573", "View Map")</f>
        <v>View Map</v>
      </c>
      <c r="G1032" s="2">
        <v>0.40346193849613171</v>
      </c>
    </row>
    <row r="1033" spans="1:7" x14ac:dyDescent="0.3">
      <c r="A1033" t="s">
        <v>1811</v>
      </c>
      <c r="B1033" t="s">
        <v>1812</v>
      </c>
      <c r="C1033" t="s">
        <v>241</v>
      </c>
      <c r="D1033">
        <v>5.53</v>
      </c>
      <c r="E1033" s="4">
        <v>1770</v>
      </c>
      <c r="F1033" t="str">
        <f>HYPERLINK("https://www.google.com/maps/search/?api=1&amp;query=20.44949082,44.86355412", "View Map")</f>
        <v>View Map</v>
      </c>
      <c r="G1033" s="2">
        <v>0.7104703414646163</v>
      </c>
    </row>
    <row r="1034" spans="1:7" x14ac:dyDescent="0.3">
      <c r="A1034" t="s">
        <v>1813</v>
      </c>
      <c r="B1034" t="s">
        <v>1814</v>
      </c>
      <c r="C1034" t="s">
        <v>442</v>
      </c>
      <c r="D1034">
        <v>5.5279999999999996</v>
      </c>
      <c r="E1034" s="4">
        <v>1769</v>
      </c>
      <c r="F1034" t="str">
        <f>HYPERLINK("https://www.google.com/maps/search/?api=1&amp;query=23.63658891,46.50142543", "View Map")</f>
        <v>View Map</v>
      </c>
      <c r="G1034" s="2">
        <v>0.66644313528041943</v>
      </c>
    </row>
    <row r="1035" spans="1:7" x14ac:dyDescent="0.3">
      <c r="A1035" t="s">
        <v>1815</v>
      </c>
      <c r="B1035" t="s">
        <v>1816</v>
      </c>
      <c r="C1035" t="s">
        <v>30</v>
      </c>
      <c r="D1035">
        <v>5.524</v>
      </c>
      <c r="E1035" s="4">
        <v>1768</v>
      </c>
      <c r="F1035" t="str">
        <f>HYPERLINK("https://www.google.com/maps/search/?api=1&amp;query=24.16451285,47.3495151", "View Map")</f>
        <v>View Map</v>
      </c>
      <c r="G1035" s="2">
        <v>0.55701845384472304</v>
      </c>
    </row>
    <row r="1036" spans="1:7" x14ac:dyDescent="0.3">
      <c r="A1036" t="s">
        <v>1017</v>
      </c>
      <c r="B1036" t="s">
        <v>1817</v>
      </c>
      <c r="C1036" t="s">
        <v>8</v>
      </c>
      <c r="D1036">
        <v>5.52</v>
      </c>
      <c r="E1036" s="4">
        <v>1767</v>
      </c>
      <c r="F1036" t="str">
        <f>HYPERLINK("https://www.google.com/maps/search/?api=1&amp;query=24.56821711,46.64846579", "View Map")</f>
        <v>View Map</v>
      </c>
    </row>
    <row r="1037" spans="1:7" x14ac:dyDescent="0.3">
      <c r="A1037" t="s">
        <v>1818</v>
      </c>
      <c r="B1037" t="s">
        <v>1819</v>
      </c>
      <c r="C1037" t="s">
        <v>30</v>
      </c>
      <c r="D1037">
        <v>5.52</v>
      </c>
      <c r="E1037" s="4">
        <v>1766</v>
      </c>
      <c r="F1037" t="str">
        <f>HYPERLINK("https://www.google.com/maps/search/?api=1&amp;query=24.12409555,47.27948325", "View Map")</f>
        <v>View Map</v>
      </c>
      <c r="G1037" s="2">
        <v>0.59859910627584578</v>
      </c>
    </row>
    <row r="1038" spans="1:7" x14ac:dyDescent="0.3">
      <c r="A1038" t="s">
        <v>1820</v>
      </c>
      <c r="B1038" t="s">
        <v>1821</v>
      </c>
      <c r="C1038" t="s">
        <v>8</v>
      </c>
      <c r="D1038">
        <v>5.508</v>
      </c>
      <c r="E1038" s="4">
        <v>1763</v>
      </c>
      <c r="F1038" t="str">
        <f>HYPERLINK("https://www.google.com/maps/search/?api=1&amp;query=24.80815684,46.64779408", "View Map")</f>
        <v>View Map</v>
      </c>
      <c r="G1038" s="2">
        <v>0.41498635887541968</v>
      </c>
    </row>
    <row r="1039" spans="1:7" x14ac:dyDescent="0.3">
      <c r="A1039" t="s">
        <v>1822</v>
      </c>
      <c r="B1039" t="s">
        <v>1823</v>
      </c>
      <c r="C1039" t="s">
        <v>8</v>
      </c>
      <c r="D1039">
        <v>5.5069999999999997</v>
      </c>
      <c r="E1039" s="4">
        <v>1762</v>
      </c>
      <c r="F1039" t="str">
        <f>HYPERLINK("https://www.google.com/maps/search/?api=1&amp;query=24.7835667,46.71021498", "View Map")</f>
        <v>View Map</v>
      </c>
    </row>
    <row r="1040" spans="1:7" x14ac:dyDescent="0.3">
      <c r="A1040" t="s">
        <v>1824</v>
      </c>
      <c r="B1040" t="s">
        <v>1825</v>
      </c>
      <c r="C1040" t="s">
        <v>8</v>
      </c>
      <c r="D1040">
        <v>5.4880000000000004</v>
      </c>
      <c r="E1040" s="4">
        <v>1756</v>
      </c>
      <c r="F1040" t="str">
        <f>HYPERLINK("https://www.google.com/maps/search/?api=1&amp;query=24.68310064,46.77263798", "View Map")</f>
        <v>View Map</v>
      </c>
    </row>
    <row r="1041" spans="1:7" x14ac:dyDescent="0.3">
      <c r="A1041" t="s">
        <v>1826</v>
      </c>
      <c r="B1041" t="s">
        <v>1827</v>
      </c>
      <c r="C1041" t="s">
        <v>286</v>
      </c>
      <c r="D1041">
        <v>5.48</v>
      </c>
      <c r="E1041" s="4">
        <v>1754</v>
      </c>
      <c r="F1041" t="str">
        <f>HYPERLINK("https://www.google.com/maps/search/?api=1&amp;query=25.22149373,45.28953409", "View Map")</f>
        <v>View Map</v>
      </c>
    </row>
    <row r="1042" spans="1:7" x14ac:dyDescent="0.3">
      <c r="A1042" t="s">
        <v>1828</v>
      </c>
      <c r="B1042" t="s">
        <v>1829</v>
      </c>
      <c r="C1042" t="s">
        <v>8</v>
      </c>
      <c r="D1042">
        <v>5.4790000000000001</v>
      </c>
      <c r="E1042" s="4">
        <v>1753</v>
      </c>
      <c r="F1042" t="str">
        <f>HYPERLINK("https://www.google.com/maps/search/?api=1&amp;query=24.76882229,46.70801249", "View Map")</f>
        <v>View Map</v>
      </c>
      <c r="G1042" s="2">
        <v>0.39338337771817949</v>
      </c>
    </row>
    <row r="1043" spans="1:7" x14ac:dyDescent="0.3">
      <c r="A1043" t="s">
        <v>1830</v>
      </c>
      <c r="B1043" t="s">
        <v>1831</v>
      </c>
      <c r="C1043" t="s">
        <v>8</v>
      </c>
      <c r="D1043">
        <v>5.47</v>
      </c>
      <c r="E1043" s="4">
        <v>1750</v>
      </c>
      <c r="F1043" t="str">
        <f>HYPERLINK("https://www.google.com/maps/search/?api=1&amp;query=24.59597354,46.74231397", "View Map")</f>
        <v>View Map</v>
      </c>
      <c r="G1043" s="2">
        <v>0.35584896471297323</v>
      </c>
    </row>
    <row r="1044" spans="1:7" x14ac:dyDescent="0.3">
      <c r="A1044" t="s">
        <v>73</v>
      </c>
      <c r="B1044" t="s">
        <v>1832</v>
      </c>
      <c r="C1044" t="s">
        <v>8</v>
      </c>
      <c r="D1044">
        <v>5.4690000000000003</v>
      </c>
      <c r="E1044" s="4">
        <v>1750</v>
      </c>
      <c r="F1044" t="str">
        <f>HYPERLINK("https://www.google.com/maps/search/?api=1&amp;query=24.86015672,46.62968782", "View Map")</f>
        <v>View Map</v>
      </c>
      <c r="G1044" s="2">
        <v>0.38909381457742698</v>
      </c>
    </row>
    <row r="1045" spans="1:7" x14ac:dyDescent="0.3">
      <c r="A1045" t="s">
        <v>1833</v>
      </c>
      <c r="B1045" t="s">
        <v>1834</v>
      </c>
      <c r="C1045" t="s">
        <v>8</v>
      </c>
      <c r="D1045">
        <v>5.4649999999999999</v>
      </c>
      <c r="E1045" s="4">
        <v>1749</v>
      </c>
      <c r="F1045" t="str">
        <f>HYPERLINK("https://www.google.com/maps/search/?api=1&amp;query=24.76282314,46.77643728", "View Map")</f>
        <v>View Map</v>
      </c>
    </row>
    <row r="1046" spans="1:7" x14ac:dyDescent="0.3">
      <c r="A1046" t="s">
        <v>881</v>
      </c>
      <c r="B1046" t="s">
        <v>1835</v>
      </c>
      <c r="C1046" t="s">
        <v>883</v>
      </c>
      <c r="D1046">
        <v>5.4640000000000004</v>
      </c>
      <c r="E1046" s="4">
        <v>1748</v>
      </c>
      <c r="F1046" t="str">
        <f>HYPERLINK("https://www.google.com/maps/search/?api=1&amp;query=25.56065672,47.17776235", "View Map")</f>
        <v>View Map</v>
      </c>
      <c r="G1046" s="2">
        <v>0.50294833738761213</v>
      </c>
    </row>
    <row r="1047" spans="1:7" x14ac:dyDescent="0.3">
      <c r="A1047" t="s">
        <v>1836</v>
      </c>
      <c r="B1047" t="s">
        <v>1837</v>
      </c>
      <c r="C1047" t="s">
        <v>8</v>
      </c>
      <c r="D1047">
        <v>5.4640000000000004</v>
      </c>
      <c r="E1047" s="4">
        <v>1748</v>
      </c>
      <c r="F1047" t="str">
        <f>HYPERLINK("https://www.google.com/maps/search/?api=1&amp;query=24.70475476,46.68789335", "View Map")</f>
        <v>View Map</v>
      </c>
    </row>
    <row r="1048" spans="1:7" x14ac:dyDescent="0.3">
      <c r="A1048" t="s">
        <v>46</v>
      </c>
      <c r="B1048" t="s">
        <v>1838</v>
      </c>
      <c r="C1048" t="s">
        <v>8</v>
      </c>
      <c r="D1048">
        <v>5.4640000000000004</v>
      </c>
      <c r="E1048" s="4">
        <v>1749</v>
      </c>
      <c r="F1048" t="str">
        <f>HYPERLINK("https://www.google.com/maps/search/?api=1&amp;query=24.84074605,46.75160164", "View Map")</f>
        <v>View Map</v>
      </c>
      <c r="G1048" s="2">
        <v>0.55456778516023808</v>
      </c>
    </row>
    <row r="1049" spans="1:7" x14ac:dyDescent="0.3">
      <c r="A1049" t="s">
        <v>46</v>
      </c>
      <c r="B1049" t="s">
        <v>1839</v>
      </c>
      <c r="C1049" t="s">
        <v>8</v>
      </c>
      <c r="D1049">
        <v>5.4580000000000002</v>
      </c>
      <c r="E1049" s="4">
        <v>1746</v>
      </c>
      <c r="F1049" t="str">
        <f>HYPERLINK("https://www.google.com/maps/search/?api=1&amp;query=24.84817858,46.82772415", "View Map")</f>
        <v>View Map</v>
      </c>
      <c r="G1049" s="2">
        <v>0.74167997419450049</v>
      </c>
    </row>
    <row r="1050" spans="1:7" x14ac:dyDescent="0.3">
      <c r="A1050" t="s">
        <v>1840</v>
      </c>
      <c r="B1050" t="s">
        <v>1841</v>
      </c>
      <c r="C1050" t="s">
        <v>8</v>
      </c>
      <c r="D1050">
        <v>5.4530000000000003</v>
      </c>
      <c r="E1050" s="4">
        <v>1745</v>
      </c>
      <c r="F1050" t="str">
        <f>HYPERLINK("https://www.google.com/maps/search/?api=1&amp;query=24.67514376,46.80769179", "View Map")</f>
        <v>View Map</v>
      </c>
      <c r="G1050" s="2">
        <v>0.36519413122970867</v>
      </c>
    </row>
    <row r="1051" spans="1:7" x14ac:dyDescent="0.3">
      <c r="A1051" t="s">
        <v>242</v>
      </c>
      <c r="B1051" t="s">
        <v>1842</v>
      </c>
      <c r="C1051" t="s">
        <v>8</v>
      </c>
      <c r="D1051">
        <v>5.45</v>
      </c>
      <c r="E1051" s="4">
        <v>1744</v>
      </c>
      <c r="F1051" t="str">
        <f>HYPERLINK("https://www.google.com/maps/search/?api=1&amp;query=24.77426357,46.79551526", "View Map")</f>
        <v>View Map</v>
      </c>
    </row>
    <row r="1052" spans="1:7" x14ac:dyDescent="0.3">
      <c r="A1052" t="s">
        <v>1843</v>
      </c>
      <c r="B1052" t="s">
        <v>1844</v>
      </c>
      <c r="C1052" t="s">
        <v>8</v>
      </c>
      <c r="D1052">
        <v>5.4390000000000001</v>
      </c>
      <c r="E1052" s="4">
        <v>1740</v>
      </c>
      <c r="F1052" t="str">
        <f>HYPERLINK("https://www.google.com/maps/search/?api=1&amp;query=24.78220565,46.75037573", "View Map")</f>
        <v>View Map</v>
      </c>
      <c r="G1052" s="2">
        <v>0.96588344536860726</v>
      </c>
    </row>
    <row r="1053" spans="1:7" x14ac:dyDescent="0.3">
      <c r="A1053" t="s">
        <v>305</v>
      </c>
      <c r="B1053" t="s">
        <v>1845</v>
      </c>
      <c r="C1053" t="s">
        <v>8</v>
      </c>
      <c r="D1053">
        <v>5.4340000000000002</v>
      </c>
      <c r="E1053" s="4">
        <v>1739</v>
      </c>
      <c r="F1053" t="str">
        <f>HYPERLINK("https://www.google.com/maps/search/?api=1&amp;query=24.80367566,46.7790874", "View Map")</f>
        <v>View Map</v>
      </c>
      <c r="G1053" s="2">
        <v>0.66800398858883114</v>
      </c>
    </row>
    <row r="1054" spans="1:7" x14ac:dyDescent="0.3">
      <c r="A1054" t="s">
        <v>1846</v>
      </c>
      <c r="B1054" t="s">
        <v>1847</v>
      </c>
      <c r="C1054" t="s">
        <v>8</v>
      </c>
      <c r="D1054">
        <v>5.4320000000000004</v>
      </c>
      <c r="E1054" s="4">
        <v>1738</v>
      </c>
      <c r="F1054" t="str">
        <f>HYPERLINK("https://www.google.com/maps/search/?api=1&amp;query=24.69234504,46.80164413", "View Map")</f>
        <v>View Map</v>
      </c>
      <c r="G1054" s="2">
        <v>0.7245777054883098</v>
      </c>
    </row>
    <row r="1055" spans="1:7" x14ac:dyDescent="0.3">
      <c r="A1055" t="s">
        <v>1848</v>
      </c>
      <c r="B1055" t="s">
        <v>1849</v>
      </c>
      <c r="C1055" t="s">
        <v>214</v>
      </c>
      <c r="D1055">
        <v>5.431</v>
      </c>
      <c r="E1055" s="4">
        <v>1738</v>
      </c>
      <c r="F1055" t="str">
        <f>HYPERLINK("https://www.google.com/maps/search/?api=1&amp;query=25.69664192,45.88027634", "View Map")</f>
        <v>View Map</v>
      </c>
      <c r="G1055" s="2">
        <v>0.51130350296431692</v>
      </c>
    </row>
    <row r="1056" spans="1:7" x14ac:dyDescent="0.3">
      <c r="A1056" t="s">
        <v>1850</v>
      </c>
      <c r="B1056" t="s">
        <v>1851</v>
      </c>
      <c r="C1056" t="s">
        <v>466</v>
      </c>
      <c r="D1056">
        <v>5.43</v>
      </c>
      <c r="E1056" s="4">
        <v>1737</v>
      </c>
      <c r="F1056" t="str">
        <f>HYPERLINK("https://www.google.com/maps/search/?api=1&amp;query=24.49430456,46.15889781", "View Map")</f>
        <v>View Map</v>
      </c>
      <c r="G1056" s="2">
        <v>0.44321718667991761</v>
      </c>
    </row>
    <row r="1057" spans="1:7" x14ac:dyDescent="0.3">
      <c r="A1057" t="s">
        <v>1852</v>
      </c>
      <c r="B1057" t="s">
        <v>1853</v>
      </c>
      <c r="C1057" t="s">
        <v>8</v>
      </c>
      <c r="D1057">
        <v>5.4189999999999996</v>
      </c>
      <c r="E1057" s="4">
        <v>1734</v>
      </c>
      <c r="F1057" t="str">
        <f>HYPERLINK("https://www.google.com/maps/search/?api=1&amp;query=24.7376352,46.67489319", "View Map")</f>
        <v>View Map</v>
      </c>
      <c r="G1057" s="2">
        <v>0.63842623685340072</v>
      </c>
    </row>
    <row r="1058" spans="1:7" x14ac:dyDescent="0.3">
      <c r="A1058" t="s">
        <v>1854</v>
      </c>
      <c r="B1058" t="s">
        <v>1855</v>
      </c>
      <c r="C1058" t="s">
        <v>8</v>
      </c>
      <c r="D1058">
        <v>5.41</v>
      </c>
      <c r="E1058" s="4">
        <v>1731</v>
      </c>
      <c r="F1058" t="str">
        <f>HYPERLINK("https://www.google.com/maps/search/?api=1&amp;query=24.69999857,46.80127742", "View Map")</f>
        <v>View Map</v>
      </c>
      <c r="G1058" s="2">
        <v>0.40360758477483732</v>
      </c>
    </row>
    <row r="1059" spans="1:7" x14ac:dyDescent="0.3">
      <c r="A1059" t="s">
        <v>150</v>
      </c>
      <c r="B1059" t="s">
        <v>1856</v>
      </c>
      <c r="C1059" t="s">
        <v>8</v>
      </c>
      <c r="D1059">
        <v>5.4029999999999996</v>
      </c>
      <c r="E1059" s="4">
        <v>1729</v>
      </c>
      <c r="F1059" t="str">
        <f>HYPERLINK("https://www.google.com/maps/search/?api=1&amp;query=24.77494973,46.785964", "View Map")</f>
        <v>View Map</v>
      </c>
    </row>
    <row r="1060" spans="1:7" x14ac:dyDescent="0.3">
      <c r="A1060" t="s">
        <v>1857</v>
      </c>
      <c r="B1060" t="s">
        <v>1858</v>
      </c>
      <c r="C1060" t="s">
        <v>8</v>
      </c>
      <c r="D1060">
        <v>5.4020000000000001</v>
      </c>
      <c r="E1060" s="4">
        <v>1729</v>
      </c>
      <c r="F1060" t="str">
        <f>HYPERLINK("https://www.google.com/maps/search/?api=1&amp;query=24.54508074,46.6916449", "View Map")</f>
        <v>View Map</v>
      </c>
      <c r="G1060" s="2">
        <v>0.4634950004442272</v>
      </c>
    </row>
    <row r="1061" spans="1:7" x14ac:dyDescent="0.3">
      <c r="A1061" t="s">
        <v>1859</v>
      </c>
      <c r="B1061" t="s">
        <v>1860</v>
      </c>
      <c r="C1061" t="s">
        <v>8</v>
      </c>
      <c r="D1061">
        <v>5.399</v>
      </c>
      <c r="E1061" s="4">
        <v>1728</v>
      </c>
      <c r="F1061" t="str">
        <f>HYPERLINK("https://www.google.com/maps/search/?api=1&amp;query=24.74136346,46.66900499", "View Map")</f>
        <v>View Map</v>
      </c>
    </row>
    <row r="1062" spans="1:7" x14ac:dyDescent="0.3">
      <c r="A1062" t="s">
        <v>1861</v>
      </c>
      <c r="B1062" t="s">
        <v>1862</v>
      </c>
      <c r="C1062" t="s">
        <v>8</v>
      </c>
      <c r="D1062">
        <v>5.3959999999999999</v>
      </c>
      <c r="E1062" s="4">
        <v>1727</v>
      </c>
      <c r="F1062" t="str">
        <f>HYPERLINK("https://www.google.com/maps/search/?api=1&amp;query=24.70066703,46.752692", "View Map")</f>
        <v>View Map</v>
      </c>
      <c r="G1062" s="2">
        <v>0.36780248415290812</v>
      </c>
    </row>
    <row r="1063" spans="1:7" x14ac:dyDescent="0.3">
      <c r="A1063" t="s">
        <v>1863</v>
      </c>
      <c r="B1063" t="s">
        <v>1864</v>
      </c>
      <c r="C1063" t="s">
        <v>8</v>
      </c>
      <c r="D1063">
        <v>5.3959999999999999</v>
      </c>
      <c r="E1063" s="4">
        <v>1727</v>
      </c>
      <c r="F1063" t="str">
        <f>HYPERLINK("https://www.google.com/maps/search/?api=1&amp;query=24.56304492,46.75907001", "View Map")</f>
        <v>View Map</v>
      </c>
      <c r="G1063" s="2">
        <v>0.43929429957501293</v>
      </c>
    </row>
    <row r="1064" spans="1:7" x14ac:dyDescent="0.3">
      <c r="A1064" t="s">
        <v>46</v>
      </c>
      <c r="B1064" t="s">
        <v>1865</v>
      </c>
      <c r="C1064" t="s">
        <v>8</v>
      </c>
      <c r="D1064">
        <v>5.3929999999999998</v>
      </c>
      <c r="E1064" s="4">
        <v>1726</v>
      </c>
      <c r="F1064" t="str">
        <f>HYPERLINK("https://www.google.com/maps/search/?api=1&amp;query=24.80220958,46.74242305", "View Map")</f>
        <v>View Map</v>
      </c>
      <c r="G1064" s="2">
        <v>0.36516605093159388</v>
      </c>
    </row>
    <row r="1065" spans="1:7" x14ac:dyDescent="0.3">
      <c r="A1065" t="s">
        <v>1866</v>
      </c>
      <c r="B1065" t="s">
        <v>1867</v>
      </c>
      <c r="C1065" t="s">
        <v>8</v>
      </c>
      <c r="D1065">
        <v>5.3920000000000003</v>
      </c>
      <c r="E1065" s="4">
        <v>1726</v>
      </c>
      <c r="F1065" t="str">
        <f>HYPERLINK("https://www.google.com/maps/search/?api=1&amp;query=24.60156908,46.65453849", "View Map")</f>
        <v>View Map</v>
      </c>
    </row>
    <row r="1066" spans="1:7" x14ac:dyDescent="0.3">
      <c r="A1066" t="s">
        <v>1868</v>
      </c>
      <c r="B1066" t="s">
        <v>1869</v>
      </c>
      <c r="C1066" t="s">
        <v>8</v>
      </c>
      <c r="D1066">
        <v>5.391</v>
      </c>
      <c r="E1066" s="4">
        <v>1725</v>
      </c>
      <c r="F1066" t="str">
        <f>HYPERLINK("https://www.google.com/maps/search/?api=1&amp;query=24.80230639,46.67065823", "View Map")</f>
        <v>View Map</v>
      </c>
    </row>
    <row r="1067" spans="1:7" x14ac:dyDescent="0.3">
      <c r="A1067" t="s">
        <v>795</v>
      </c>
      <c r="B1067" t="s">
        <v>1870</v>
      </c>
      <c r="C1067" t="s">
        <v>8</v>
      </c>
      <c r="D1067">
        <v>5.39</v>
      </c>
      <c r="E1067" s="4">
        <v>1725</v>
      </c>
      <c r="F1067" t="str">
        <f>HYPERLINK("https://www.google.com/maps/search/?api=1&amp;query=24.71234783,46.77045046", "View Map")</f>
        <v>View Map</v>
      </c>
      <c r="G1067" s="2">
        <v>0.53050815447104183</v>
      </c>
    </row>
    <row r="1068" spans="1:7" x14ac:dyDescent="0.3">
      <c r="A1068" t="s">
        <v>1871</v>
      </c>
      <c r="B1068" t="s">
        <v>1872</v>
      </c>
      <c r="C1068" t="s">
        <v>8</v>
      </c>
      <c r="D1068">
        <v>5.3860000000000001</v>
      </c>
      <c r="E1068" s="4">
        <v>1723</v>
      </c>
      <c r="F1068" t="str">
        <f>HYPERLINK("https://www.google.com/maps/search/?api=1&amp;query=24.63730564,46.73632813", "View Map")</f>
        <v>View Map</v>
      </c>
    </row>
    <row r="1069" spans="1:7" x14ac:dyDescent="0.3">
      <c r="A1069" t="s">
        <v>1873</v>
      </c>
      <c r="B1069" t="s">
        <v>1874</v>
      </c>
      <c r="C1069" t="s">
        <v>8</v>
      </c>
      <c r="D1069">
        <v>5.3840000000000003</v>
      </c>
      <c r="E1069" s="4">
        <v>1723</v>
      </c>
      <c r="F1069" t="str">
        <f>HYPERLINK("https://www.google.com/maps/search/?api=1&amp;query=24.62314321,46.55773407", "View Map")</f>
        <v>View Map</v>
      </c>
    </row>
    <row r="1070" spans="1:7" x14ac:dyDescent="0.3">
      <c r="A1070" t="s">
        <v>1875</v>
      </c>
      <c r="B1070" t="s">
        <v>1876</v>
      </c>
      <c r="C1070" t="s">
        <v>393</v>
      </c>
      <c r="D1070">
        <v>5.3760000000000003</v>
      </c>
      <c r="E1070" s="4">
        <v>1720</v>
      </c>
      <c r="F1070" t="str">
        <f>HYPERLINK("https://www.google.com/maps/search/?api=1&amp;query=23.79527298,45.28387584", "View Map")</f>
        <v>View Map</v>
      </c>
      <c r="G1070" s="2">
        <v>0.77157576834251207</v>
      </c>
    </row>
    <row r="1071" spans="1:7" x14ac:dyDescent="0.3">
      <c r="A1071" t="s">
        <v>1877</v>
      </c>
      <c r="B1071" t="s">
        <v>1878</v>
      </c>
      <c r="C1071" t="s">
        <v>8</v>
      </c>
      <c r="D1071">
        <v>5.3739999999999997</v>
      </c>
      <c r="E1071" s="4">
        <v>1720</v>
      </c>
      <c r="F1071" t="str">
        <f>HYPERLINK("https://www.google.com/maps/search/?api=1&amp;query=24.75648514,46.66023933", "View Map")</f>
        <v>View Map</v>
      </c>
    </row>
    <row r="1072" spans="1:7" x14ac:dyDescent="0.3">
      <c r="A1072" t="s">
        <v>1879</v>
      </c>
      <c r="B1072" t="s">
        <v>1880</v>
      </c>
      <c r="C1072" t="s">
        <v>8</v>
      </c>
      <c r="D1072">
        <v>5.3680000000000003</v>
      </c>
      <c r="E1072" s="4">
        <v>1718</v>
      </c>
      <c r="F1072" t="str">
        <f>HYPERLINK("https://www.google.com/maps/search/?api=1&amp;query=24.65552959,46.58225583", "View Map")</f>
        <v>View Map</v>
      </c>
    </row>
    <row r="1073" spans="1:7" x14ac:dyDescent="0.3">
      <c r="A1073" t="s">
        <v>1881</v>
      </c>
      <c r="B1073" t="s">
        <v>1882</v>
      </c>
      <c r="C1073" t="s">
        <v>8</v>
      </c>
      <c r="D1073">
        <v>5.3620000000000001</v>
      </c>
      <c r="E1073" s="4">
        <v>1716</v>
      </c>
      <c r="F1073" t="str">
        <f>HYPERLINK("https://www.google.com/maps/search/?api=1&amp;query=24.75029505,46.72127648", "View Map")</f>
        <v>View Map</v>
      </c>
    </row>
    <row r="1074" spans="1:7" x14ac:dyDescent="0.3">
      <c r="A1074" t="s">
        <v>1883</v>
      </c>
      <c r="B1074" t="s">
        <v>1884</v>
      </c>
      <c r="C1074" t="s">
        <v>30</v>
      </c>
      <c r="D1074">
        <v>5.36</v>
      </c>
      <c r="E1074" s="4">
        <v>1715</v>
      </c>
      <c r="F1074" t="str">
        <f>HYPERLINK("https://www.google.com/maps/search/?api=1&amp;query=24.15955528,47.31240072", "View Map")</f>
        <v>View Map</v>
      </c>
    </row>
    <row r="1075" spans="1:7" x14ac:dyDescent="0.3">
      <c r="A1075" t="s">
        <v>1885</v>
      </c>
      <c r="B1075" t="s">
        <v>1886</v>
      </c>
      <c r="C1075" t="s">
        <v>8</v>
      </c>
      <c r="D1075">
        <v>5.36</v>
      </c>
      <c r="E1075" s="4">
        <v>1715</v>
      </c>
      <c r="F1075" t="str">
        <f>HYPERLINK("https://www.google.com/maps/search/?api=1&amp;query=24.6325,46.7156", "View Map")</f>
        <v>View Map</v>
      </c>
    </row>
    <row r="1076" spans="1:7" x14ac:dyDescent="0.3">
      <c r="A1076" t="s">
        <v>1887</v>
      </c>
      <c r="B1076" t="s">
        <v>1888</v>
      </c>
      <c r="C1076" t="s">
        <v>8</v>
      </c>
      <c r="D1076">
        <v>5.359</v>
      </c>
      <c r="E1076" s="4">
        <v>1715</v>
      </c>
      <c r="F1076" t="str">
        <f>HYPERLINK("https://www.google.com/maps/search/?api=1&amp;query=24.6122,46.7019", "View Map")</f>
        <v>View Map</v>
      </c>
      <c r="G1076" s="2">
        <v>0.53956003338115877</v>
      </c>
    </row>
    <row r="1077" spans="1:7" x14ac:dyDescent="0.3">
      <c r="A1077" t="s">
        <v>46</v>
      </c>
      <c r="B1077" t="s">
        <v>1889</v>
      </c>
      <c r="C1077" t="s">
        <v>8</v>
      </c>
      <c r="D1077">
        <v>5.34</v>
      </c>
      <c r="E1077" s="4">
        <v>1709</v>
      </c>
      <c r="F1077" t="str">
        <f>HYPERLINK("https://www.google.com/maps/search/?api=1&amp;query=24.76861819,46.69715248", "View Map")</f>
        <v>View Map</v>
      </c>
    </row>
    <row r="1078" spans="1:7" x14ac:dyDescent="0.3">
      <c r="A1078" t="s">
        <v>1890</v>
      </c>
      <c r="B1078" t="s">
        <v>1891</v>
      </c>
      <c r="C1078" t="s">
        <v>8</v>
      </c>
      <c r="D1078">
        <v>5.335</v>
      </c>
      <c r="E1078" s="4">
        <v>1707</v>
      </c>
      <c r="F1078" t="str">
        <f>HYPERLINK("https://www.google.com/maps/search/?api=1&amp;query=24.5919537,46.7471375", "View Map")</f>
        <v>View Map</v>
      </c>
      <c r="G1078" s="2">
        <v>0.54204344048239128</v>
      </c>
    </row>
    <row r="1079" spans="1:7" x14ac:dyDescent="0.3">
      <c r="A1079" t="s">
        <v>1892</v>
      </c>
      <c r="B1079" t="s">
        <v>1893</v>
      </c>
      <c r="C1079" t="s">
        <v>8</v>
      </c>
      <c r="D1079">
        <v>5.3330000000000002</v>
      </c>
      <c r="E1079" s="4">
        <v>1707</v>
      </c>
      <c r="F1079" t="str">
        <f>HYPERLINK("https://www.google.com/maps/search/?api=1&amp;query=24.78875116,46.70551882", "View Map")</f>
        <v>View Map</v>
      </c>
      <c r="G1079" s="2">
        <v>0.51288128162182589</v>
      </c>
    </row>
    <row r="1080" spans="1:7" x14ac:dyDescent="0.3">
      <c r="A1080" t="s">
        <v>146</v>
      </c>
      <c r="B1080" t="s">
        <v>1894</v>
      </c>
      <c r="C1080" t="s">
        <v>8</v>
      </c>
      <c r="D1080">
        <v>5.327</v>
      </c>
      <c r="E1080" s="4">
        <v>1705</v>
      </c>
      <c r="F1080" t="str">
        <f>HYPERLINK("https://www.google.com/maps/search/?api=1&amp;query=24.56355666,46.57525674", "View Map")</f>
        <v>View Map</v>
      </c>
      <c r="G1080" s="2">
        <v>0.38666268346102051</v>
      </c>
    </row>
    <row r="1081" spans="1:7" x14ac:dyDescent="0.3">
      <c r="A1081" t="s">
        <v>46</v>
      </c>
      <c r="B1081" t="s">
        <v>1895</v>
      </c>
      <c r="C1081" t="s">
        <v>8</v>
      </c>
      <c r="D1081">
        <v>5.3250000000000002</v>
      </c>
      <c r="E1081" s="4">
        <v>1704</v>
      </c>
      <c r="F1081" t="str">
        <f>HYPERLINK("https://www.google.com/maps/search/?api=1&amp;query=24.64157218,46.66129257", "View Map")</f>
        <v>View Map</v>
      </c>
    </row>
    <row r="1082" spans="1:7" x14ac:dyDescent="0.3">
      <c r="A1082" t="s">
        <v>1896</v>
      </c>
      <c r="B1082" t="s">
        <v>1897</v>
      </c>
      <c r="C1082" t="s">
        <v>8</v>
      </c>
      <c r="D1082">
        <v>5.3250000000000002</v>
      </c>
      <c r="E1082" s="4">
        <v>1704</v>
      </c>
      <c r="F1082" t="str">
        <f>HYPERLINK("https://www.google.com/maps/search/?api=1&amp;query=24.64057863,46.5964005", "View Map")</f>
        <v>View Map</v>
      </c>
      <c r="G1082" s="2">
        <v>0.39872251674708209</v>
      </c>
    </row>
    <row r="1083" spans="1:7" x14ac:dyDescent="0.3">
      <c r="A1083" t="s">
        <v>1898</v>
      </c>
      <c r="B1083" t="s">
        <v>1899</v>
      </c>
      <c r="C1083" t="s">
        <v>241</v>
      </c>
      <c r="D1083">
        <v>5.3239999999999998</v>
      </c>
      <c r="E1083" s="4">
        <v>1704</v>
      </c>
      <c r="F1083" t="str">
        <f>HYPERLINK("https://www.google.com/maps/search/?api=1&amp;query=20.43785733,44.77984414", "View Map")</f>
        <v>View Map</v>
      </c>
    </row>
    <row r="1084" spans="1:7" x14ac:dyDescent="0.3">
      <c r="A1084" t="s">
        <v>1900</v>
      </c>
      <c r="B1084" t="s">
        <v>1901</v>
      </c>
      <c r="C1084" t="s">
        <v>8</v>
      </c>
      <c r="D1084">
        <v>5.3239999999999998</v>
      </c>
      <c r="E1084" s="4">
        <v>1704</v>
      </c>
      <c r="F1084" t="str">
        <f>HYPERLINK("https://www.google.com/maps/search/?api=1&amp;query=24.80796988,46.85509319", "View Map")</f>
        <v>View Map</v>
      </c>
      <c r="G1084" s="2">
        <v>0.49844787875297458</v>
      </c>
    </row>
    <row r="1085" spans="1:7" x14ac:dyDescent="0.3">
      <c r="A1085" t="s">
        <v>1902</v>
      </c>
      <c r="B1085" t="s">
        <v>1903</v>
      </c>
      <c r="C1085" t="s">
        <v>8</v>
      </c>
      <c r="D1085">
        <v>5.3239999999999998</v>
      </c>
      <c r="E1085" s="4">
        <v>1704</v>
      </c>
      <c r="F1085" t="str">
        <f>HYPERLINK("https://www.google.com/maps/search/?api=1&amp;query=24.62082927,46.68125453", "View Map")</f>
        <v>View Map</v>
      </c>
    </row>
    <row r="1086" spans="1:7" x14ac:dyDescent="0.3">
      <c r="A1086" t="s">
        <v>1904</v>
      </c>
      <c r="B1086" t="s">
        <v>1905</v>
      </c>
      <c r="C1086" t="s">
        <v>8</v>
      </c>
      <c r="D1086">
        <v>5.32</v>
      </c>
      <c r="E1086" s="4">
        <v>1702</v>
      </c>
      <c r="F1086" t="str">
        <f>HYPERLINK("https://www.google.com/maps/search/?api=1&amp;query=24.55258167,46.6535492", "View Map")</f>
        <v>View Map</v>
      </c>
    </row>
    <row r="1087" spans="1:7" x14ac:dyDescent="0.3">
      <c r="A1087" t="s">
        <v>1906</v>
      </c>
      <c r="B1087" t="s">
        <v>1907</v>
      </c>
      <c r="C1087" t="s">
        <v>393</v>
      </c>
      <c r="D1087">
        <v>5.319</v>
      </c>
      <c r="E1087" s="4">
        <v>1702</v>
      </c>
      <c r="F1087" t="str">
        <f>HYPERLINK("https://www.google.com/maps/search/?api=1&amp;query=23.55439241,45.49377372", "View Map")</f>
        <v>View Map</v>
      </c>
      <c r="G1087" s="2">
        <v>0.84924248034844052</v>
      </c>
    </row>
    <row r="1088" spans="1:7" x14ac:dyDescent="0.3">
      <c r="A1088" t="s">
        <v>1908</v>
      </c>
      <c r="B1088" t="s">
        <v>1909</v>
      </c>
      <c r="C1088" t="s">
        <v>8</v>
      </c>
      <c r="D1088">
        <v>5.319</v>
      </c>
      <c r="E1088" s="4">
        <v>1702</v>
      </c>
      <c r="F1088" t="str">
        <f>HYPERLINK("https://www.google.com/maps/search/?api=1&amp;query=24.77080906,46.77694569", "View Map")</f>
        <v>View Map</v>
      </c>
    </row>
    <row r="1089" spans="1:7" x14ac:dyDescent="0.3">
      <c r="A1089" t="s">
        <v>1910</v>
      </c>
      <c r="B1089" t="s">
        <v>1911</v>
      </c>
      <c r="C1089" t="s">
        <v>8</v>
      </c>
      <c r="D1089">
        <v>5.3179999999999996</v>
      </c>
      <c r="E1089" s="4">
        <v>1702</v>
      </c>
      <c r="F1089" t="str">
        <f>HYPERLINK("https://www.google.com/maps/search/?api=1&amp;query=24.73437013,46.82422422", "View Map")</f>
        <v>View Map</v>
      </c>
    </row>
    <row r="1090" spans="1:7" x14ac:dyDescent="0.3">
      <c r="A1090" t="s">
        <v>1912</v>
      </c>
      <c r="B1090" t="s">
        <v>1913</v>
      </c>
      <c r="C1090" t="s">
        <v>8</v>
      </c>
      <c r="D1090">
        <v>5.3150000000000004</v>
      </c>
      <c r="E1090" s="4">
        <v>1701</v>
      </c>
      <c r="F1090" t="str">
        <f>HYPERLINK("https://www.google.com/maps/search/?api=1&amp;query=24.54254289,46.70998253", "View Map")</f>
        <v>View Map</v>
      </c>
    </row>
    <row r="1091" spans="1:7" x14ac:dyDescent="0.3">
      <c r="A1091" t="s">
        <v>1914</v>
      </c>
      <c r="B1091" t="s">
        <v>1915</v>
      </c>
      <c r="C1091" t="s">
        <v>55</v>
      </c>
      <c r="D1091">
        <v>5.3120000000000003</v>
      </c>
      <c r="E1091" s="4">
        <v>1700</v>
      </c>
      <c r="F1091" t="str">
        <f>HYPERLINK("https://www.google.com/maps/search/?api=1&amp;query=24.75189426,46.53511499", "View Map")</f>
        <v>View Map</v>
      </c>
      <c r="G1091" s="2">
        <v>0.38453577085631951</v>
      </c>
    </row>
    <row r="1092" spans="1:7" x14ac:dyDescent="0.3">
      <c r="A1092" t="s">
        <v>1916</v>
      </c>
      <c r="B1092" t="s">
        <v>1917</v>
      </c>
      <c r="C1092" t="s">
        <v>8</v>
      </c>
      <c r="D1092">
        <v>5.3079999999999998</v>
      </c>
      <c r="E1092" s="4">
        <v>1699</v>
      </c>
      <c r="F1092" t="str">
        <f>HYPERLINK("https://www.google.com/maps/search/?api=1&amp;query=24.76900782,46.75974478", "View Map")</f>
        <v>View Map</v>
      </c>
      <c r="G1092" s="2">
        <v>0.40961371246737338</v>
      </c>
    </row>
    <row r="1093" spans="1:7" x14ac:dyDescent="0.3">
      <c r="A1093" t="s">
        <v>1918</v>
      </c>
      <c r="B1093" t="s">
        <v>1919</v>
      </c>
      <c r="C1093" t="s">
        <v>30</v>
      </c>
      <c r="D1093">
        <v>5.3029999999999999</v>
      </c>
      <c r="E1093" s="4">
        <v>1697</v>
      </c>
      <c r="F1093" t="str">
        <f>HYPERLINK("https://www.google.com/maps/search/?api=1&amp;query=24.10328439,47.28413852", "View Map")</f>
        <v>View Map</v>
      </c>
      <c r="G1093" s="2">
        <v>0.51905806050434777</v>
      </c>
    </row>
    <row r="1094" spans="1:7" x14ac:dyDescent="0.3">
      <c r="A1094" t="s">
        <v>1920</v>
      </c>
      <c r="B1094" t="s">
        <v>1921</v>
      </c>
      <c r="C1094" t="s">
        <v>214</v>
      </c>
      <c r="D1094">
        <v>5.3010000000000002</v>
      </c>
      <c r="E1094" s="4">
        <v>1696</v>
      </c>
      <c r="F1094" t="str">
        <f>HYPERLINK("https://www.google.com/maps/search/?api=1&amp;query=25.67925646,45.44917603", "View Map")</f>
        <v>View Map</v>
      </c>
      <c r="G1094" s="2">
        <v>0.61601416433501199</v>
      </c>
    </row>
    <row r="1095" spans="1:7" x14ac:dyDescent="0.3">
      <c r="A1095" t="s">
        <v>1922</v>
      </c>
      <c r="B1095" t="s">
        <v>1923</v>
      </c>
      <c r="C1095" t="s">
        <v>255</v>
      </c>
      <c r="D1095">
        <v>5.2969999999999997</v>
      </c>
      <c r="E1095" s="4">
        <v>1695</v>
      </c>
      <c r="F1095" t="str">
        <f>HYPERLINK("https://www.google.com/maps/search/?api=1&amp;query=24.79363121,44.81721559", "View Map")</f>
        <v>View Map</v>
      </c>
      <c r="G1095" s="2">
        <v>0.43331184604760992</v>
      </c>
    </row>
    <row r="1096" spans="1:7" x14ac:dyDescent="0.3">
      <c r="A1096" t="s">
        <v>1924</v>
      </c>
      <c r="B1096" t="s">
        <v>1925</v>
      </c>
      <c r="C1096" t="s">
        <v>8</v>
      </c>
      <c r="D1096">
        <v>5.2930000000000001</v>
      </c>
      <c r="E1096" s="4">
        <v>1694</v>
      </c>
      <c r="F1096" t="str">
        <f>HYPERLINK("https://www.google.com/maps/search/?api=1&amp;query=24.68615734,46.81352382", "View Map")</f>
        <v>View Map</v>
      </c>
    </row>
    <row r="1097" spans="1:7" x14ac:dyDescent="0.3">
      <c r="A1097" t="s">
        <v>1926</v>
      </c>
      <c r="B1097" t="s">
        <v>1927</v>
      </c>
      <c r="C1097" t="s">
        <v>214</v>
      </c>
      <c r="D1097">
        <v>5.2930000000000001</v>
      </c>
      <c r="E1097" s="4">
        <v>1694</v>
      </c>
      <c r="F1097" t="str">
        <f>HYPERLINK("https://www.google.com/maps/search/?api=1&amp;query=25.91682055,45.37405376", "View Map")</f>
        <v>View Map</v>
      </c>
      <c r="G1097" s="2">
        <v>0.62563087124119376</v>
      </c>
    </row>
    <row r="1098" spans="1:7" x14ac:dyDescent="0.3">
      <c r="A1098" t="s">
        <v>881</v>
      </c>
      <c r="B1098" t="s">
        <v>1928</v>
      </c>
      <c r="C1098" t="s">
        <v>883</v>
      </c>
      <c r="D1098">
        <v>5.2919999999999998</v>
      </c>
      <c r="E1098" s="4">
        <v>1693</v>
      </c>
      <c r="F1098" t="str">
        <f>HYPERLINK("https://www.google.com/maps/search/?api=1&amp;query=25.56690174,47.17696751", "View Map")</f>
        <v>View Map</v>
      </c>
      <c r="G1098" s="2">
        <v>0.6276109790411416</v>
      </c>
    </row>
    <row r="1099" spans="1:7" x14ac:dyDescent="0.3">
      <c r="A1099" t="s">
        <v>352</v>
      </c>
      <c r="B1099" t="s">
        <v>1929</v>
      </c>
      <c r="C1099" t="s">
        <v>8</v>
      </c>
      <c r="D1099">
        <v>5.2910000000000004</v>
      </c>
      <c r="E1099" s="4">
        <v>1693</v>
      </c>
      <c r="F1099" t="str">
        <f>HYPERLINK("https://www.google.com/maps/search/?api=1&amp;query=24.75987601,46.77954643", "View Map")</f>
        <v>View Map</v>
      </c>
    </row>
    <row r="1100" spans="1:7" x14ac:dyDescent="0.3">
      <c r="A1100" t="s">
        <v>1930</v>
      </c>
      <c r="B1100" t="s">
        <v>1931</v>
      </c>
      <c r="C1100" t="s">
        <v>21</v>
      </c>
      <c r="D1100">
        <v>5.29</v>
      </c>
      <c r="E1100" s="4">
        <v>1693</v>
      </c>
      <c r="F1100" t="str">
        <f>HYPERLINK("https://www.google.com/maps/search/?api=1&amp;query=26.31361791,44.79530911", "View Map")</f>
        <v>View Map</v>
      </c>
      <c r="G1100" s="2">
        <v>0.39368970147869109</v>
      </c>
    </row>
    <row r="1101" spans="1:7" x14ac:dyDescent="0.3">
      <c r="A1101" t="s">
        <v>958</v>
      </c>
      <c r="B1101" t="s">
        <v>1932</v>
      </c>
      <c r="C1101" t="s">
        <v>8</v>
      </c>
      <c r="D1101">
        <v>5.2859999999999996</v>
      </c>
      <c r="E1101" s="4">
        <v>1691</v>
      </c>
      <c r="F1101" t="str">
        <f>HYPERLINK("https://www.google.com/maps/search/?api=1&amp;query=24.56237813,46.68986147", "View Map")</f>
        <v>View Map</v>
      </c>
    </row>
    <row r="1102" spans="1:7" x14ac:dyDescent="0.3">
      <c r="A1102" t="s">
        <v>1933</v>
      </c>
      <c r="B1102" t="s">
        <v>1934</v>
      </c>
      <c r="C1102" t="s">
        <v>77</v>
      </c>
      <c r="D1102">
        <v>5.2859999999999996</v>
      </c>
      <c r="E1102" s="4">
        <v>1692</v>
      </c>
      <c r="F1102" t="str">
        <f>HYPERLINK("https://www.google.com/maps/search/?api=1&amp;query=21.99418848,45.95933308", "View Map")</f>
        <v>View Map</v>
      </c>
    </row>
    <row r="1103" spans="1:7" x14ac:dyDescent="0.3">
      <c r="A1103" t="s">
        <v>1935</v>
      </c>
      <c r="B1103" t="s">
        <v>1936</v>
      </c>
      <c r="C1103" t="s">
        <v>883</v>
      </c>
      <c r="D1103">
        <v>5.28</v>
      </c>
      <c r="E1103" s="4">
        <v>1689</v>
      </c>
      <c r="F1103" t="str">
        <f>HYPERLINK("https://www.google.com/maps/search/?api=1&amp;query=25.95428463,46.49811963", "View Map")</f>
        <v>View Map</v>
      </c>
      <c r="G1103" s="2">
        <v>0.71542755666053548</v>
      </c>
    </row>
    <row r="1104" spans="1:7" x14ac:dyDescent="0.3">
      <c r="A1104" t="s">
        <v>1937</v>
      </c>
      <c r="B1104" t="s">
        <v>1938</v>
      </c>
      <c r="C1104" t="s">
        <v>8</v>
      </c>
      <c r="D1104">
        <v>5.28</v>
      </c>
      <c r="E1104" s="4">
        <v>1690</v>
      </c>
      <c r="F1104" t="str">
        <f>HYPERLINK("https://www.google.com/maps/search/?api=1&amp;query=24.80292605,46.64339475", "View Map")</f>
        <v>View Map</v>
      </c>
      <c r="G1104" s="2">
        <v>0.50297345605408583</v>
      </c>
    </row>
    <row r="1105" spans="1:7" x14ac:dyDescent="0.3">
      <c r="A1105" t="s">
        <v>46</v>
      </c>
      <c r="B1105" t="s">
        <v>1939</v>
      </c>
      <c r="C1105" t="s">
        <v>8</v>
      </c>
      <c r="D1105">
        <v>5.2779999999999996</v>
      </c>
      <c r="E1105" s="4">
        <v>1689</v>
      </c>
      <c r="F1105" t="str">
        <f>HYPERLINK("https://www.google.com/maps/search/?api=1&amp;query=24.69772,46.67663", "View Map")</f>
        <v>View Map</v>
      </c>
      <c r="G1105" s="2">
        <v>0.55132063997976899</v>
      </c>
    </row>
    <row r="1106" spans="1:7" x14ac:dyDescent="0.3">
      <c r="A1106" t="s">
        <v>1940</v>
      </c>
      <c r="B1106" t="s">
        <v>1941</v>
      </c>
      <c r="C1106" t="s">
        <v>77</v>
      </c>
      <c r="D1106">
        <v>5.2770000000000001</v>
      </c>
      <c r="E1106" s="4">
        <v>1689</v>
      </c>
      <c r="F1106" t="str">
        <f>HYPERLINK("https://www.google.com/maps/search/?api=1&amp;query=22.22870053,46.69283442", "View Map")</f>
        <v>View Map</v>
      </c>
      <c r="G1106" s="2">
        <v>0.63635427906775888</v>
      </c>
    </row>
    <row r="1107" spans="1:7" x14ac:dyDescent="0.3">
      <c r="A1107" t="s">
        <v>146</v>
      </c>
      <c r="B1107" t="s">
        <v>1942</v>
      </c>
      <c r="C1107" t="s">
        <v>8</v>
      </c>
      <c r="D1107">
        <v>5.2720000000000002</v>
      </c>
      <c r="E1107" s="4">
        <v>1687</v>
      </c>
      <c r="F1107" t="str">
        <f>HYPERLINK("https://www.google.com/maps/search/?api=1&amp;query=24.6239875,46.8026029", "View Map")</f>
        <v>View Map</v>
      </c>
    </row>
    <row r="1108" spans="1:7" x14ac:dyDescent="0.3">
      <c r="A1108" t="s">
        <v>1943</v>
      </c>
      <c r="B1108" t="s">
        <v>1944</v>
      </c>
      <c r="C1108" t="s">
        <v>8</v>
      </c>
      <c r="D1108">
        <v>5.2670000000000003</v>
      </c>
      <c r="E1108" s="4">
        <v>1685</v>
      </c>
      <c r="F1108" t="str">
        <f>HYPERLINK("https://www.google.com/maps/search/?api=1&amp;query=24.753885,46.71888321", "View Map")</f>
        <v>View Map</v>
      </c>
    </row>
    <row r="1109" spans="1:7" x14ac:dyDescent="0.3">
      <c r="A1109" t="s">
        <v>1945</v>
      </c>
      <c r="B1109" t="s">
        <v>1946</v>
      </c>
      <c r="C1109" t="s">
        <v>286</v>
      </c>
      <c r="D1109">
        <v>5.2640000000000002</v>
      </c>
      <c r="E1109" s="4">
        <v>1684</v>
      </c>
      <c r="F1109" t="str">
        <f>HYPERLINK("https://www.google.com/maps/search/?api=1&amp;query=25.25652245,45.25516072", "View Map")</f>
        <v>View Map</v>
      </c>
      <c r="G1109" s="2">
        <v>0.48004677565057557</v>
      </c>
    </row>
    <row r="1110" spans="1:7" x14ac:dyDescent="0.3">
      <c r="A1110" t="s">
        <v>46</v>
      </c>
      <c r="B1110" t="s">
        <v>1947</v>
      </c>
      <c r="C1110" t="s">
        <v>8</v>
      </c>
      <c r="D1110">
        <v>5.2640000000000002</v>
      </c>
      <c r="E1110" s="4">
        <v>1684</v>
      </c>
      <c r="F1110" t="str">
        <f>HYPERLINK("https://www.google.com/maps/search/?api=1&amp;query=24.75079771,46.67264312", "View Map")</f>
        <v>View Map</v>
      </c>
      <c r="G1110" s="2">
        <v>0.54812532536950787</v>
      </c>
    </row>
    <row r="1111" spans="1:7" x14ac:dyDescent="0.3">
      <c r="A1111" t="s">
        <v>1948</v>
      </c>
      <c r="B1111" t="s">
        <v>1949</v>
      </c>
      <c r="C1111" t="s">
        <v>21</v>
      </c>
      <c r="D1111">
        <v>5.2619999999999996</v>
      </c>
      <c r="E1111" s="4">
        <v>1684</v>
      </c>
      <c r="F1111" t="str">
        <f>HYPERLINK("https://www.google.com/maps/search/?api=1&amp;query=26.2966343,44.82333655", "View Map")</f>
        <v>View Map</v>
      </c>
      <c r="G1111" s="2">
        <v>0.69893535636873649</v>
      </c>
    </row>
    <row r="1112" spans="1:7" x14ac:dyDescent="0.3">
      <c r="A1112" t="s">
        <v>1950</v>
      </c>
      <c r="B1112" t="s">
        <v>1951</v>
      </c>
      <c r="C1112" t="s">
        <v>8</v>
      </c>
      <c r="D1112">
        <v>5.2519999999999998</v>
      </c>
      <c r="E1112" s="4">
        <v>1681</v>
      </c>
      <c r="F1112" t="str">
        <f>HYPERLINK("https://www.google.com/maps/search/?api=1&amp;query=24.57471028,46.70445909", "View Map")</f>
        <v>View Map</v>
      </c>
      <c r="G1112" s="2">
        <v>0.46577718328647483</v>
      </c>
    </row>
    <row r="1113" spans="1:7" x14ac:dyDescent="0.3">
      <c r="A1113" t="s">
        <v>1952</v>
      </c>
      <c r="B1113" t="s">
        <v>1953</v>
      </c>
      <c r="C1113" t="s">
        <v>8</v>
      </c>
      <c r="D1113">
        <v>5.2489999999999997</v>
      </c>
      <c r="E1113" s="4">
        <v>1680</v>
      </c>
      <c r="F1113" t="str">
        <f>HYPERLINK("https://www.google.com/maps/search/?api=1&amp;query=24.54554628,46.7036859", "View Map")</f>
        <v>View Map</v>
      </c>
      <c r="G1113" s="2">
        <v>0.62252445763912534</v>
      </c>
    </row>
    <row r="1114" spans="1:7" x14ac:dyDescent="0.3">
      <c r="A1114" t="s">
        <v>1954</v>
      </c>
      <c r="B1114" t="s">
        <v>1955</v>
      </c>
      <c r="C1114" t="s">
        <v>8</v>
      </c>
      <c r="D1114">
        <v>5.2430000000000003</v>
      </c>
      <c r="E1114" s="4">
        <v>1678</v>
      </c>
      <c r="F1114" t="str">
        <f>HYPERLINK("https://www.google.com/maps/search/?api=1&amp;query=24.65742346,46.72664967", "View Map")</f>
        <v>View Map</v>
      </c>
    </row>
    <row r="1115" spans="1:7" x14ac:dyDescent="0.3">
      <c r="A1115" t="s">
        <v>46</v>
      </c>
      <c r="B1115" t="s">
        <v>1956</v>
      </c>
      <c r="C1115" t="s">
        <v>8</v>
      </c>
      <c r="D1115">
        <v>5.242</v>
      </c>
      <c r="E1115" s="4">
        <v>1678</v>
      </c>
      <c r="F1115" t="str">
        <f>HYPERLINK("https://www.google.com/maps/search/?api=1&amp;query=24.81538117,46.8052495", "View Map")</f>
        <v>View Map</v>
      </c>
    </row>
    <row r="1116" spans="1:7" x14ac:dyDescent="0.3">
      <c r="A1116" t="s">
        <v>46</v>
      </c>
      <c r="B1116" t="s">
        <v>1957</v>
      </c>
      <c r="C1116" t="s">
        <v>8</v>
      </c>
      <c r="D1116">
        <v>5.2350000000000003</v>
      </c>
      <c r="E1116" s="4">
        <v>1675</v>
      </c>
      <c r="F1116" t="str">
        <f>HYPERLINK("https://www.google.com/maps/search/?api=1&amp;query=24.6061,46.4833", "View Map")</f>
        <v>View Map</v>
      </c>
      <c r="G1116" s="2">
        <v>0.52086333920288752</v>
      </c>
    </row>
    <row r="1117" spans="1:7" x14ac:dyDescent="0.3">
      <c r="A1117" t="s">
        <v>1262</v>
      </c>
      <c r="B1117" t="s">
        <v>1958</v>
      </c>
      <c r="C1117" t="s">
        <v>8</v>
      </c>
      <c r="D1117">
        <v>5.23</v>
      </c>
      <c r="E1117" s="4">
        <v>1674</v>
      </c>
      <c r="F1117" t="str">
        <f>HYPERLINK("https://www.google.com/maps/search/?api=1&amp;query=24.76040933,46.80472769", "View Map")</f>
        <v>View Map</v>
      </c>
    </row>
    <row r="1118" spans="1:7" x14ac:dyDescent="0.3">
      <c r="A1118" t="s">
        <v>1959</v>
      </c>
      <c r="B1118" t="s">
        <v>1960</v>
      </c>
      <c r="C1118" t="s">
        <v>8</v>
      </c>
      <c r="D1118">
        <v>5.23</v>
      </c>
      <c r="E1118" s="4">
        <v>1674</v>
      </c>
      <c r="F1118" t="str">
        <f>HYPERLINK("https://www.google.com/maps/search/?api=1&amp;query=24.67200042,46.85038169", "View Map")</f>
        <v>View Map</v>
      </c>
      <c r="G1118" s="2">
        <v>0.58443931516483782</v>
      </c>
    </row>
    <row r="1119" spans="1:7" x14ac:dyDescent="0.3">
      <c r="A1119" t="s">
        <v>1961</v>
      </c>
      <c r="B1119" t="s">
        <v>1962</v>
      </c>
      <c r="C1119" t="s">
        <v>214</v>
      </c>
      <c r="D1119">
        <v>5.2270000000000003</v>
      </c>
      <c r="E1119" s="4">
        <v>1673</v>
      </c>
      <c r="F1119" t="str">
        <f>HYPERLINK("https://www.google.com/maps/search/?api=1&amp;query=25.65106497,45.55093975", "View Map")</f>
        <v>View Map</v>
      </c>
      <c r="G1119" s="2">
        <v>0.49437604068475899</v>
      </c>
    </row>
    <row r="1120" spans="1:7" x14ac:dyDescent="0.3">
      <c r="A1120" t="s">
        <v>1963</v>
      </c>
      <c r="B1120" t="s">
        <v>1964</v>
      </c>
      <c r="C1120" t="s">
        <v>8</v>
      </c>
      <c r="D1120">
        <v>5.226</v>
      </c>
      <c r="E1120" s="4">
        <v>1672</v>
      </c>
      <c r="F1120" t="str">
        <f>HYPERLINK("https://www.google.com/maps/search/?api=1&amp;query=24.63451704,46.59397562", "View Map")</f>
        <v>View Map</v>
      </c>
      <c r="G1120" s="2">
        <v>0.41559367301287892</v>
      </c>
    </row>
    <row r="1121" spans="1:7" x14ac:dyDescent="0.3">
      <c r="A1121" t="s">
        <v>1965</v>
      </c>
      <c r="B1121" t="s">
        <v>1966</v>
      </c>
      <c r="C1121" t="s">
        <v>8</v>
      </c>
      <c r="D1121">
        <v>5.2229999999999999</v>
      </c>
      <c r="E1121" s="4">
        <v>1671</v>
      </c>
      <c r="F1121" t="str">
        <f>HYPERLINK("https://www.google.com/maps/search/?api=1&amp;query=24.58771465,46.64476095", "View Map")</f>
        <v>View Map</v>
      </c>
    </row>
    <row r="1122" spans="1:7" x14ac:dyDescent="0.3">
      <c r="A1122" t="s">
        <v>1967</v>
      </c>
      <c r="B1122" t="s">
        <v>1968</v>
      </c>
      <c r="C1122" t="s">
        <v>214</v>
      </c>
      <c r="D1122">
        <v>5.2220000000000004</v>
      </c>
      <c r="E1122" s="4">
        <v>1671</v>
      </c>
      <c r="F1122" t="str">
        <f>HYPERLINK("https://www.google.com/maps/search/?api=1&amp;query=25.94374896,45.36098204", "View Map")</f>
        <v>View Map</v>
      </c>
      <c r="G1122" s="2">
        <v>0.85007965264274143</v>
      </c>
    </row>
    <row r="1123" spans="1:7" x14ac:dyDescent="0.3">
      <c r="A1123" t="s">
        <v>1969</v>
      </c>
      <c r="B1123" t="s">
        <v>1970</v>
      </c>
      <c r="C1123" t="s">
        <v>8</v>
      </c>
      <c r="D1123">
        <v>5.2190000000000003</v>
      </c>
      <c r="E1123" s="4">
        <v>1670</v>
      </c>
      <c r="F1123" t="str">
        <f>HYPERLINK("https://www.google.com/maps/search/?api=1&amp;query=24.76161484,46.70948484", "View Map")</f>
        <v>View Map</v>
      </c>
    </row>
    <row r="1124" spans="1:7" x14ac:dyDescent="0.3">
      <c r="A1124" t="s">
        <v>1971</v>
      </c>
      <c r="B1124" t="s">
        <v>1972</v>
      </c>
      <c r="C1124" t="s">
        <v>8</v>
      </c>
      <c r="D1124">
        <v>5.2110000000000003</v>
      </c>
      <c r="E1124" s="4">
        <v>1667</v>
      </c>
      <c r="F1124" t="str">
        <f>HYPERLINK("https://www.google.com/maps/search/?api=1&amp;query=24.62391126,46.54828732", "View Map")</f>
        <v>View Map</v>
      </c>
    </row>
    <row r="1125" spans="1:7" x14ac:dyDescent="0.3">
      <c r="A1125" t="s">
        <v>1973</v>
      </c>
      <c r="B1125" t="s">
        <v>1974</v>
      </c>
      <c r="C1125" t="s">
        <v>55</v>
      </c>
      <c r="D1125">
        <v>5.2030000000000003</v>
      </c>
      <c r="E1125" s="4">
        <v>1665</v>
      </c>
      <c r="F1125" t="str">
        <f>HYPERLINK("https://www.google.com/maps/search/?api=1&amp;query=24.90454,46.38851", "View Map")</f>
        <v>View Map</v>
      </c>
      <c r="G1125" s="2">
        <v>0.58701584813485785</v>
      </c>
    </row>
    <row r="1126" spans="1:7" x14ac:dyDescent="0.3">
      <c r="A1126" t="s">
        <v>1975</v>
      </c>
      <c r="B1126" t="s">
        <v>1976</v>
      </c>
      <c r="C1126" t="s">
        <v>8</v>
      </c>
      <c r="D1126">
        <v>5.2030000000000003</v>
      </c>
      <c r="E1126" s="4">
        <v>1665</v>
      </c>
      <c r="F1126" t="str">
        <f>HYPERLINK("https://www.google.com/maps/search/?api=1&amp;query=24.63750331,46.7302158", "View Map")</f>
        <v>View Map</v>
      </c>
      <c r="G1126" s="2">
        <v>0.43417664966885788</v>
      </c>
    </row>
    <row r="1127" spans="1:7" x14ac:dyDescent="0.3">
      <c r="A1127" t="s">
        <v>46</v>
      </c>
      <c r="B1127" t="s">
        <v>1977</v>
      </c>
      <c r="C1127" t="s">
        <v>8</v>
      </c>
      <c r="D1127">
        <v>5.2009999999999996</v>
      </c>
      <c r="E1127" s="4">
        <v>1664</v>
      </c>
      <c r="F1127" t="str">
        <f>HYPERLINK("https://www.google.com/maps/search/?api=1&amp;query=24.84435305,46.80595562", "View Map")</f>
        <v>View Map</v>
      </c>
    </row>
    <row r="1128" spans="1:7" x14ac:dyDescent="0.3">
      <c r="A1128" t="s">
        <v>1978</v>
      </c>
      <c r="B1128" t="s">
        <v>1979</v>
      </c>
      <c r="C1128" t="s">
        <v>8</v>
      </c>
      <c r="D1128">
        <v>5.1989999999999998</v>
      </c>
      <c r="E1128" s="4">
        <v>1664</v>
      </c>
      <c r="F1128" t="str">
        <f>HYPERLINK("https://www.google.com/maps/search/?api=1&amp;query=24.62124237,46.67574559", "View Map")</f>
        <v>View Map</v>
      </c>
    </row>
    <row r="1129" spans="1:7" x14ac:dyDescent="0.3">
      <c r="A1129" t="s">
        <v>1980</v>
      </c>
      <c r="B1129" t="s">
        <v>1981</v>
      </c>
      <c r="C1129" t="s">
        <v>8</v>
      </c>
      <c r="D1129">
        <v>5.1959999999999997</v>
      </c>
      <c r="E1129" s="4">
        <v>1663</v>
      </c>
      <c r="F1129" t="str">
        <f>HYPERLINK("https://www.google.com/maps/search/?api=1&amp;query=24.76962761,46.76587473", "View Map")</f>
        <v>View Map</v>
      </c>
      <c r="G1129" s="2">
        <v>0.45491212969302808</v>
      </c>
    </row>
    <row r="1130" spans="1:7" x14ac:dyDescent="0.3">
      <c r="A1130" t="s">
        <v>1982</v>
      </c>
      <c r="B1130" t="s">
        <v>1983</v>
      </c>
      <c r="C1130" t="s">
        <v>286</v>
      </c>
      <c r="D1130">
        <v>5.1950000000000003</v>
      </c>
      <c r="E1130" s="4">
        <v>1663</v>
      </c>
      <c r="F1130" t="str">
        <f>HYPERLINK("https://www.google.com/maps/search/?api=1&amp;query=25.29597092,45.53238578", "View Map")</f>
        <v>View Map</v>
      </c>
      <c r="G1130" s="2">
        <v>0.64508986864668483</v>
      </c>
    </row>
    <row r="1131" spans="1:7" x14ac:dyDescent="0.3">
      <c r="A1131" t="s">
        <v>1984</v>
      </c>
      <c r="B1131" t="s">
        <v>1985</v>
      </c>
      <c r="C1131" t="s">
        <v>77</v>
      </c>
      <c r="D1131">
        <v>5.194</v>
      </c>
      <c r="E1131" s="4">
        <v>1662</v>
      </c>
      <c r="F1131" t="str">
        <f>HYPERLINK("https://www.google.com/maps/search/?api=1&amp;query=22.09077207,46.70497469", "View Map")</f>
        <v>View Map</v>
      </c>
      <c r="G1131" s="2">
        <v>0.65289356663724829</v>
      </c>
    </row>
    <row r="1132" spans="1:7" x14ac:dyDescent="0.3">
      <c r="A1132" t="s">
        <v>1986</v>
      </c>
      <c r="B1132" t="s">
        <v>1987</v>
      </c>
      <c r="C1132" t="s">
        <v>8</v>
      </c>
      <c r="D1132">
        <v>5.1920000000000002</v>
      </c>
      <c r="E1132" s="4">
        <v>1661</v>
      </c>
      <c r="F1132" t="str">
        <f>HYPERLINK("https://www.google.com/maps/search/?api=1&amp;query=24.81973682,46.77088875", "View Map")</f>
        <v>View Map</v>
      </c>
    </row>
    <row r="1133" spans="1:7" x14ac:dyDescent="0.3">
      <c r="A1133" t="s">
        <v>1988</v>
      </c>
      <c r="B1133" t="s">
        <v>1989</v>
      </c>
      <c r="C1133" t="s">
        <v>8</v>
      </c>
      <c r="D1133">
        <v>5.1849999999999996</v>
      </c>
      <c r="E1133" s="4">
        <v>1659</v>
      </c>
      <c r="F1133" t="str">
        <f>HYPERLINK("https://www.google.com/maps/search/?api=1&amp;query=24.7977096,46.88642291", "View Map")</f>
        <v>View Map</v>
      </c>
    </row>
    <row r="1134" spans="1:7" x14ac:dyDescent="0.3">
      <c r="A1134" t="s">
        <v>1990</v>
      </c>
      <c r="B1134" t="s">
        <v>1991</v>
      </c>
      <c r="C1134" t="s">
        <v>8</v>
      </c>
      <c r="D1134">
        <v>5.1820000000000004</v>
      </c>
      <c r="E1134" s="4">
        <v>1658</v>
      </c>
      <c r="F1134" t="str">
        <f>HYPERLINK("https://www.google.com/maps/search/?api=1&amp;query=24.7753332,46.66127253", "View Map")</f>
        <v>View Map</v>
      </c>
    </row>
    <row r="1135" spans="1:7" x14ac:dyDescent="0.3">
      <c r="A1135" t="s">
        <v>1992</v>
      </c>
      <c r="B1135" t="s">
        <v>1993</v>
      </c>
      <c r="C1135" t="s">
        <v>8</v>
      </c>
      <c r="D1135">
        <v>5.18</v>
      </c>
      <c r="E1135" s="4">
        <v>1658</v>
      </c>
      <c r="F1135" t="str">
        <f>HYPERLINK("https://www.google.com/maps/search/?api=1&amp;query=24.62055276,46.7475548", "View Map")</f>
        <v>View Map</v>
      </c>
      <c r="G1135" s="2">
        <v>0.46372276469604551</v>
      </c>
    </row>
    <row r="1136" spans="1:7" x14ac:dyDescent="0.3">
      <c r="A1136" t="s">
        <v>1994</v>
      </c>
      <c r="B1136" t="s">
        <v>1995</v>
      </c>
      <c r="C1136" t="s">
        <v>8</v>
      </c>
      <c r="D1136">
        <v>5.1779999999999999</v>
      </c>
      <c r="E1136" s="4">
        <v>1657</v>
      </c>
      <c r="F1136" t="str">
        <f>HYPERLINK("https://www.google.com/maps/search/?api=1&amp;query=24.65659264,46.74825675", "View Map")</f>
        <v>View Map</v>
      </c>
      <c r="G1136" s="2">
        <v>0.38803451581503973</v>
      </c>
    </row>
    <row r="1137" spans="1:7" x14ac:dyDescent="0.3">
      <c r="A1137" t="s">
        <v>1996</v>
      </c>
      <c r="B1137" t="s">
        <v>1997</v>
      </c>
      <c r="C1137" t="s">
        <v>8</v>
      </c>
      <c r="D1137">
        <v>5.1779999999999999</v>
      </c>
      <c r="E1137" s="4">
        <v>1657</v>
      </c>
      <c r="F1137" t="str">
        <f>HYPERLINK("https://www.google.com/maps/search/?api=1&amp;query=24.77013796,46.82593766", "View Map")</f>
        <v>View Map</v>
      </c>
    </row>
    <row r="1138" spans="1:7" x14ac:dyDescent="0.3">
      <c r="A1138" t="s">
        <v>1998</v>
      </c>
      <c r="B1138" t="s">
        <v>1999</v>
      </c>
      <c r="C1138" t="s">
        <v>8</v>
      </c>
      <c r="D1138">
        <v>5.1779999999999999</v>
      </c>
      <c r="E1138" s="4">
        <v>1657</v>
      </c>
      <c r="F1138" t="str">
        <f>HYPERLINK("https://www.google.com/maps/search/?api=1&amp;query=24.64167992,46.68568093", "View Map")</f>
        <v>View Map</v>
      </c>
    </row>
    <row r="1139" spans="1:7" x14ac:dyDescent="0.3">
      <c r="A1139" t="s">
        <v>678</v>
      </c>
      <c r="B1139" t="s">
        <v>2000</v>
      </c>
      <c r="C1139" t="s">
        <v>21</v>
      </c>
      <c r="D1139">
        <v>5.17</v>
      </c>
      <c r="E1139" s="4">
        <v>1654</v>
      </c>
      <c r="F1139" t="str">
        <f>HYPERLINK("https://www.google.com/maps/search/?api=1&amp;query=26.31284717,44.88297222", "View Map")</f>
        <v>View Map</v>
      </c>
      <c r="G1139" s="2">
        <v>0.57160504628006159</v>
      </c>
    </row>
    <row r="1140" spans="1:7" x14ac:dyDescent="0.3">
      <c r="A1140" t="s">
        <v>2001</v>
      </c>
      <c r="B1140" t="s">
        <v>2002</v>
      </c>
      <c r="C1140" t="s">
        <v>241</v>
      </c>
      <c r="D1140">
        <v>5.1689999999999996</v>
      </c>
      <c r="E1140" s="4">
        <v>1654</v>
      </c>
      <c r="F1140" t="str">
        <f>HYPERLINK("https://www.google.com/maps/search/?api=1&amp;query=20.44453598,44.74161437", "View Map")</f>
        <v>View Map</v>
      </c>
      <c r="G1140" s="2">
        <v>0.5598349116256004</v>
      </c>
    </row>
    <row r="1141" spans="1:7" x14ac:dyDescent="0.3">
      <c r="A1141" t="s">
        <v>2003</v>
      </c>
      <c r="B1141" t="s">
        <v>2004</v>
      </c>
      <c r="C1141" t="s">
        <v>8</v>
      </c>
      <c r="D1141">
        <v>5.1639999999999997</v>
      </c>
      <c r="E1141" s="4">
        <v>1652</v>
      </c>
      <c r="F1141" t="str">
        <f>HYPERLINK("https://www.google.com/maps/search/?api=1&amp;query=24.70187815,46.85983424", "View Map")</f>
        <v>View Map</v>
      </c>
      <c r="G1141" s="2">
        <v>0.64208551690294247</v>
      </c>
    </row>
    <row r="1142" spans="1:7" x14ac:dyDescent="0.3">
      <c r="A1142" t="s">
        <v>2005</v>
      </c>
      <c r="B1142" t="s">
        <v>2006</v>
      </c>
      <c r="C1142" t="s">
        <v>8</v>
      </c>
      <c r="D1142">
        <v>5.1619999999999999</v>
      </c>
      <c r="E1142" s="4">
        <v>1652</v>
      </c>
      <c r="F1142" t="str">
        <f>HYPERLINK("https://www.google.com/maps/search/?api=1&amp;query=24.55673478,46.61292399", "View Map")</f>
        <v>View Map</v>
      </c>
      <c r="G1142" s="2">
        <v>0.37562649148192617</v>
      </c>
    </row>
    <row r="1143" spans="1:7" x14ac:dyDescent="0.3">
      <c r="A1143" t="s">
        <v>352</v>
      </c>
      <c r="B1143" t="s">
        <v>2007</v>
      </c>
      <c r="C1143" t="s">
        <v>8</v>
      </c>
      <c r="D1143">
        <v>5.1619999999999999</v>
      </c>
      <c r="E1143" s="4">
        <v>1652</v>
      </c>
      <c r="F1143" t="str">
        <f>HYPERLINK("https://www.google.com/maps/search/?api=1&amp;query=24.76531804,46.7630721", "View Map")</f>
        <v>View Map</v>
      </c>
    </row>
    <row r="1144" spans="1:7" x14ac:dyDescent="0.3">
      <c r="A1144" t="s">
        <v>2008</v>
      </c>
      <c r="B1144" t="s">
        <v>2009</v>
      </c>
      <c r="C1144" t="s">
        <v>8</v>
      </c>
      <c r="D1144">
        <v>5.1609999999999996</v>
      </c>
      <c r="E1144" s="4">
        <v>1651</v>
      </c>
      <c r="F1144" t="str">
        <f>HYPERLINK("https://www.google.com/maps/search/?api=1&amp;query=24.56970915,46.65257787", "View Map")</f>
        <v>View Map</v>
      </c>
    </row>
    <row r="1145" spans="1:7" x14ac:dyDescent="0.3">
      <c r="A1145" t="s">
        <v>2010</v>
      </c>
      <c r="B1145" t="s">
        <v>2011</v>
      </c>
      <c r="C1145" t="s">
        <v>8</v>
      </c>
      <c r="D1145">
        <v>5.1479999999999997</v>
      </c>
      <c r="E1145" s="4">
        <v>1647</v>
      </c>
      <c r="F1145" t="str">
        <f>HYPERLINK("https://www.google.com/maps/search/?api=1&amp;query=24.79925151,46.75696958", "View Map")</f>
        <v>View Map</v>
      </c>
      <c r="G1145" s="2">
        <v>0.42470450366980828</v>
      </c>
    </row>
    <row r="1146" spans="1:7" x14ac:dyDescent="0.3">
      <c r="A1146" t="s">
        <v>46</v>
      </c>
      <c r="B1146" t="s">
        <v>2012</v>
      </c>
      <c r="C1146" t="s">
        <v>8</v>
      </c>
      <c r="D1146">
        <v>5.1360000000000001</v>
      </c>
      <c r="E1146" s="4">
        <v>1643</v>
      </c>
      <c r="F1146" t="str">
        <f>HYPERLINK("https://www.google.com/maps/search/?api=1&amp;query=24.69686076,46.59503573", "View Map")</f>
        <v>View Map</v>
      </c>
      <c r="G1146" s="2">
        <v>0.58403647291799188</v>
      </c>
    </row>
    <row r="1147" spans="1:7" x14ac:dyDescent="0.3">
      <c r="A1147" t="s">
        <v>2013</v>
      </c>
      <c r="B1147" t="s">
        <v>2014</v>
      </c>
      <c r="C1147" t="s">
        <v>8</v>
      </c>
      <c r="D1147">
        <v>5.1340000000000003</v>
      </c>
      <c r="E1147" s="4">
        <v>1643</v>
      </c>
      <c r="F1147" t="str">
        <f>HYPERLINK("https://www.google.com/maps/search/?api=1&amp;query=24.75089116,46.62925675", "View Map")</f>
        <v>View Map</v>
      </c>
      <c r="G1147" s="2">
        <v>0.56210658750556375</v>
      </c>
    </row>
    <row r="1148" spans="1:7" x14ac:dyDescent="0.3">
      <c r="A1148" t="s">
        <v>2015</v>
      </c>
      <c r="B1148" t="s">
        <v>2016</v>
      </c>
      <c r="C1148" t="s">
        <v>77</v>
      </c>
      <c r="D1148">
        <v>5.1340000000000003</v>
      </c>
      <c r="E1148" s="4">
        <v>1643</v>
      </c>
      <c r="F1148" t="str">
        <f>HYPERLINK("https://www.google.com/maps/search/?api=1&amp;query=22.1887528,46.49598408", "View Map")</f>
        <v>View Map</v>
      </c>
      <c r="G1148" s="2">
        <v>0.79558510692206341</v>
      </c>
    </row>
    <row r="1149" spans="1:7" x14ac:dyDescent="0.3">
      <c r="A1149" t="s">
        <v>2017</v>
      </c>
      <c r="B1149" t="s">
        <v>2018</v>
      </c>
      <c r="C1149" t="s">
        <v>8</v>
      </c>
      <c r="D1149">
        <v>5.13</v>
      </c>
      <c r="E1149" s="4">
        <v>1642</v>
      </c>
      <c r="F1149" t="str">
        <f>HYPERLINK("https://www.google.com/maps/search/?api=1&amp;query=24.75667299,46.81252454", "View Map")</f>
        <v>View Map</v>
      </c>
      <c r="G1149" s="2">
        <v>0.51798246629929079</v>
      </c>
    </row>
    <row r="1150" spans="1:7" x14ac:dyDescent="0.3">
      <c r="A1150" t="s">
        <v>433</v>
      </c>
      <c r="B1150" t="s">
        <v>2019</v>
      </c>
      <c r="C1150" t="s">
        <v>137</v>
      </c>
      <c r="D1150">
        <v>5.1280000000000001</v>
      </c>
      <c r="E1150" s="4">
        <v>1641</v>
      </c>
      <c r="F1150" t="str">
        <f>HYPERLINK("https://www.google.com/maps/search/?api=1&amp;query=23.43246151,46.79009905", "View Map")</f>
        <v>View Map</v>
      </c>
      <c r="G1150" s="2">
        <v>0.5937657091673304</v>
      </c>
    </row>
    <row r="1151" spans="1:7" x14ac:dyDescent="0.3">
      <c r="A1151" t="s">
        <v>2020</v>
      </c>
      <c r="B1151" t="s">
        <v>2021</v>
      </c>
      <c r="C1151" t="s">
        <v>8</v>
      </c>
      <c r="D1151">
        <v>5.1269999999999998</v>
      </c>
      <c r="E1151" s="4">
        <v>1641</v>
      </c>
      <c r="F1151" t="str">
        <f>HYPERLINK("https://www.google.com/maps/search/?api=1&amp;query=24.5558,46.5514", "View Map")</f>
        <v>View Map</v>
      </c>
    </row>
    <row r="1152" spans="1:7" x14ac:dyDescent="0.3">
      <c r="A1152" t="s">
        <v>46</v>
      </c>
      <c r="B1152" t="s">
        <v>2022</v>
      </c>
      <c r="C1152" t="s">
        <v>8</v>
      </c>
      <c r="D1152">
        <v>5.1260000000000003</v>
      </c>
      <c r="E1152" s="4">
        <v>1640</v>
      </c>
      <c r="F1152" t="str">
        <f>HYPERLINK("https://www.google.com/maps/search/?api=1&amp;query=24.64892181,46.57835699", "View Map")</f>
        <v>View Map</v>
      </c>
      <c r="G1152" s="2">
        <v>0.60181890840430108</v>
      </c>
    </row>
    <row r="1153" spans="1:7" x14ac:dyDescent="0.3">
      <c r="A1153" t="s">
        <v>2023</v>
      </c>
      <c r="B1153" t="s">
        <v>2024</v>
      </c>
      <c r="C1153" t="s">
        <v>8</v>
      </c>
      <c r="D1153">
        <v>5.1239999999999997</v>
      </c>
      <c r="E1153" s="4">
        <v>1640</v>
      </c>
      <c r="F1153" t="str">
        <f>HYPERLINK("https://www.google.com/maps/search/?api=1&amp;query=24.59860619,46.60744027", "View Map")</f>
        <v>View Map</v>
      </c>
    </row>
    <row r="1154" spans="1:7" x14ac:dyDescent="0.3">
      <c r="A1154" t="s">
        <v>46</v>
      </c>
      <c r="B1154" t="s">
        <v>2025</v>
      </c>
      <c r="C1154" t="s">
        <v>8</v>
      </c>
      <c r="D1154">
        <v>5.1219999999999999</v>
      </c>
      <c r="E1154" s="4">
        <v>1639</v>
      </c>
      <c r="F1154" t="str">
        <f>HYPERLINK("https://www.google.com/maps/search/?api=1&amp;query=24.83623824,46.76173705", "View Map")</f>
        <v>View Map</v>
      </c>
    </row>
    <row r="1155" spans="1:7" x14ac:dyDescent="0.3">
      <c r="A1155" t="s">
        <v>2026</v>
      </c>
      <c r="B1155" t="s">
        <v>2027</v>
      </c>
      <c r="C1155" t="s">
        <v>8</v>
      </c>
      <c r="D1155">
        <v>5.1210000000000004</v>
      </c>
      <c r="E1155" s="4">
        <v>1639</v>
      </c>
      <c r="F1155" t="str">
        <f>HYPERLINK("https://www.google.com/maps/search/?api=1&amp;query=24.69144616,46.70464628", "View Map")</f>
        <v>View Map</v>
      </c>
      <c r="G1155" s="2">
        <v>0.46771158729288831</v>
      </c>
    </row>
    <row r="1156" spans="1:7" x14ac:dyDescent="0.3">
      <c r="A1156" t="s">
        <v>2028</v>
      </c>
      <c r="B1156" t="s">
        <v>2029</v>
      </c>
      <c r="C1156" t="s">
        <v>8</v>
      </c>
      <c r="D1156">
        <v>5.12</v>
      </c>
      <c r="E1156" s="4">
        <v>1638</v>
      </c>
      <c r="F1156" t="str">
        <f>HYPERLINK("https://www.google.com/maps/search/?api=1&amp;query=24.61708804,46.82126102", "View Map")</f>
        <v>View Map</v>
      </c>
    </row>
    <row r="1157" spans="1:7" x14ac:dyDescent="0.3">
      <c r="A1157" t="s">
        <v>2030</v>
      </c>
      <c r="B1157" t="s">
        <v>2031</v>
      </c>
      <c r="C1157" t="s">
        <v>30</v>
      </c>
      <c r="D1157">
        <v>5.1189999999999998</v>
      </c>
      <c r="E1157" s="4">
        <v>1638</v>
      </c>
      <c r="F1157" t="str">
        <f>HYPERLINK("https://www.google.com/maps/search/?api=1&amp;query=24.10605295,47.26321264", "View Map")</f>
        <v>View Map</v>
      </c>
      <c r="G1157" s="2">
        <v>0.38845345280902849</v>
      </c>
    </row>
    <row r="1158" spans="1:7" x14ac:dyDescent="0.3">
      <c r="A1158" t="s">
        <v>2032</v>
      </c>
      <c r="B1158" t="s">
        <v>2033</v>
      </c>
      <c r="C1158" t="s">
        <v>8</v>
      </c>
      <c r="D1158">
        <v>5.1109999999999998</v>
      </c>
      <c r="E1158" s="4">
        <v>1636</v>
      </c>
      <c r="F1158" t="str">
        <f>HYPERLINK("https://www.google.com/maps/search/?api=1&amp;query=24.57545013,46.6309083", "View Map")</f>
        <v>View Map</v>
      </c>
    </row>
    <row r="1159" spans="1:7" x14ac:dyDescent="0.3">
      <c r="A1159" t="s">
        <v>2034</v>
      </c>
      <c r="B1159" t="s">
        <v>2035</v>
      </c>
      <c r="C1159" t="s">
        <v>8</v>
      </c>
      <c r="D1159">
        <v>5.1100000000000003</v>
      </c>
      <c r="E1159" s="4">
        <v>1635</v>
      </c>
      <c r="F1159" t="str">
        <f>HYPERLINK("https://www.google.com/maps/search/?api=1&amp;query=24.68348817,46.77779585", "View Map")</f>
        <v>View Map</v>
      </c>
    </row>
    <row r="1160" spans="1:7" x14ac:dyDescent="0.3">
      <c r="A1160" t="s">
        <v>2036</v>
      </c>
      <c r="B1160" t="s">
        <v>2037</v>
      </c>
      <c r="C1160" t="s">
        <v>8</v>
      </c>
      <c r="D1160">
        <v>5.0990000000000002</v>
      </c>
      <c r="E1160" s="4">
        <v>1632</v>
      </c>
      <c r="F1160" t="str">
        <f>HYPERLINK("https://www.google.com/maps/search/?api=1&amp;query=24.79017132,46.78155278", "View Map")</f>
        <v>View Map</v>
      </c>
    </row>
    <row r="1161" spans="1:7" x14ac:dyDescent="0.3">
      <c r="A1161" t="s">
        <v>2038</v>
      </c>
      <c r="B1161" t="s">
        <v>2039</v>
      </c>
      <c r="C1161" t="s">
        <v>8</v>
      </c>
      <c r="D1161">
        <v>5.0970000000000004</v>
      </c>
      <c r="E1161" s="4">
        <v>1631</v>
      </c>
      <c r="F1161" t="str">
        <f>HYPERLINK("https://www.google.com/maps/search/?api=1&amp;query=24.5947,46.685", "View Map")</f>
        <v>View Map</v>
      </c>
    </row>
    <row r="1162" spans="1:7" x14ac:dyDescent="0.3">
      <c r="A1162" t="s">
        <v>1615</v>
      </c>
      <c r="B1162" t="s">
        <v>2040</v>
      </c>
      <c r="C1162" t="s">
        <v>8</v>
      </c>
      <c r="D1162">
        <v>5.0949999999999998</v>
      </c>
      <c r="E1162" s="4">
        <v>1630</v>
      </c>
      <c r="F1162" t="str">
        <f>HYPERLINK("https://www.google.com/maps/search/?api=1&amp;query=24.606186,46.63687266", "View Map")</f>
        <v>View Map</v>
      </c>
      <c r="G1162" s="2">
        <v>0.70216073211889607</v>
      </c>
    </row>
    <row r="1163" spans="1:7" x14ac:dyDescent="0.3">
      <c r="A1163" t="s">
        <v>146</v>
      </c>
      <c r="B1163" t="s">
        <v>2041</v>
      </c>
      <c r="C1163" t="s">
        <v>8</v>
      </c>
      <c r="D1163">
        <v>5.0949999999999998</v>
      </c>
      <c r="E1163" s="4">
        <v>1630</v>
      </c>
      <c r="F1163" t="str">
        <f>HYPERLINK("https://www.google.com/maps/search/?api=1&amp;query=24.9207114,46.8107448", "View Map")</f>
        <v>View Map</v>
      </c>
    </row>
    <row r="1164" spans="1:7" x14ac:dyDescent="0.3">
      <c r="A1164" t="s">
        <v>2042</v>
      </c>
      <c r="B1164" t="s">
        <v>2043</v>
      </c>
      <c r="C1164" t="s">
        <v>8</v>
      </c>
      <c r="D1164">
        <v>5.0759999999999996</v>
      </c>
      <c r="E1164" s="4">
        <v>1624</v>
      </c>
      <c r="F1164" t="str">
        <f>HYPERLINK("https://www.google.com/maps/search/?api=1&amp;query=24.75799798,46.75921396", "View Map")</f>
        <v>View Map</v>
      </c>
    </row>
    <row r="1165" spans="1:7" x14ac:dyDescent="0.3">
      <c r="A1165" t="s">
        <v>2044</v>
      </c>
      <c r="B1165" t="s">
        <v>2045</v>
      </c>
      <c r="C1165" t="s">
        <v>8</v>
      </c>
      <c r="D1165">
        <v>5.0679999999999996</v>
      </c>
      <c r="E1165" s="4">
        <v>1622</v>
      </c>
      <c r="F1165" t="str">
        <f>HYPERLINK("https://www.google.com/maps/search/?api=1&amp;query=24.73394748,46.76699091", "View Map")</f>
        <v>View Map</v>
      </c>
    </row>
    <row r="1166" spans="1:7" x14ac:dyDescent="0.3">
      <c r="A1166" t="s">
        <v>2046</v>
      </c>
      <c r="B1166" t="s">
        <v>2047</v>
      </c>
      <c r="C1166" t="s">
        <v>8</v>
      </c>
      <c r="D1166">
        <v>5.0620000000000003</v>
      </c>
      <c r="E1166" s="4">
        <v>1620</v>
      </c>
      <c r="F1166" t="str">
        <f>HYPERLINK("https://www.google.com/maps/search/?api=1&amp;query=24.5950431,46.5771202", "View Map")</f>
        <v>View Map</v>
      </c>
    </row>
    <row r="1167" spans="1:7" x14ac:dyDescent="0.3">
      <c r="A1167" t="s">
        <v>2048</v>
      </c>
      <c r="B1167" t="s">
        <v>2049</v>
      </c>
      <c r="C1167" t="s">
        <v>8</v>
      </c>
      <c r="D1167">
        <v>5.0579999999999998</v>
      </c>
      <c r="E1167" s="4">
        <v>1618</v>
      </c>
      <c r="F1167" t="str">
        <f>HYPERLINK("https://www.google.com/maps/search/?api=1&amp;query=24.79321913,46.62678256", "View Map")</f>
        <v>View Map</v>
      </c>
    </row>
    <row r="1168" spans="1:7" x14ac:dyDescent="0.3">
      <c r="A1168" t="s">
        <v>1273</v>
      </c>
      <c r="B1168" t="s">
        <v>2050</v>
      </c>
      <c r="C1168" t="s">
        <v>241</v>
      </c>
      <c r="D1168">
        <v>5.0570000000000004</v>
      </c>
      <c r="E1168" s="4">
        <v>1618</v>
      </c>
      <c r="F1168" t="str">
        <f>HYPERLINK("https://www.google.com/maps/search/?api=1&amp;query=20.44729749,44.78795038", "View Map")</f>
        <v>View Map</v>
      </c>
      <c r="G1168" s="2">
        <v>0.80983623729871101</v>
      </c>
    </row>
    <row r="1169" spans="1:7" x14ac:dyDescent="0.3">
      <c r="A1169" t="s">
        <v>2051</v>
      </c>
      <c r="B1169" t="s">
        <v>2052</v>
      </c>
      <c r="C1169" t="s">
        <v>8</v>
      </c>
      <c r="D1169">
        <v>5.0529999999999999</v>
      </c>
      <c r="E1169" s="4">
        <v>1617</v>
      </c>
      <c r="F1169" t="str">
        <f>HYPERLINK("https://www.google.com/maps/search/?api=1&amp;query=24.69095082,46.65804247", "View Map")</f>
        <v>View Map</v>
      </c>
      <c r="G1169" s="2">
        <v>0.45628641694516681</v>
      </c>
    </row>
    <row r="1170" spans="1:7" x14ac:dyDescent="0.3">
      <c r="A1170" t="s">
        <v>2053</v>
      </c>
      <c r="B1170" t="s">
        <v>2054</v>
      </c>
      <c r="C1170" t="s">
        <v>8</v>
      </c>
      <c r="D1170">
        <v>5.0519999999999996</v>
      </c>
      <c r="E1170" s="4">
        <v>1616</v>
      </c>
      <c r="F1170" t="str">
        <f>HYPERLINK("https://www.google.com/maps/search/?api=1&amp;query=24.68233004,46.8225652", "View Map")</f>
        <v>View Map</v>
      </c>
    </row>
    <row r="1171" spans="1:7" x14ac:dyDescent="0.3">
      <c r="A1171" t="s">
        <v>2055</v>
      </c>
      <c r="B1171" t="s">
        <v>2056</v>
      </c>
      <c r="C1171" t="s">
        <v>8</v>
      </c>
      <c r="D1171">
        <v>5.05</v>
      </c>
      <c r="E1171" s="4">
        <v>1616</v>
      </c>
      <c r="F1171" t="str">
        <f>HYPERLINK("https://www.google.com/maps/search/?api=1&amp;query=24.73681019,46.66074584", "View Map")</f>
        <v>View Map</v>
      </c>
    </row>
    <row r="1172" spans="1:7" x14ac:dyDescent="0.3">
      <c r="A1172" t="s">
        <v>2057</v>
      </c>
      <c r="B1172" t="s">
        <v>2058</v>
      </c>
      <c r="C1172" t="s">
        <v>8</v>
      </c>
      <c r="D1172">
        <v>5.0490000000000004</v>
      </c>
      <c r="E1172" s="4">
        <v>1616</v>
      </c>
      <c r="F1172" t="str">
        <f>HYPERLINK("https://www.google.com/maps/search/?api=1&amp;query=24.77811662,46.66856117", "View Map")</f>
        <v>View Map</v>
      </c>
    </row>
    <row r="1173" spans="1:7" x14ac:dyDescent="0.3">
      <c r="A1173" t="s">
        <v>2059</v>
      </c>
      <c r="B1173" t="s">
        <v>2060</v>
      </c>
      <c r="C1173" t="s">
        <v>8</v>
      </c>
      <c r="D1173">
        <v>5.0469999999999997</v>
      </c>
      <c r="E1173" s="4">
        <v>1615</v>
      </c>
      <c r="F1173" t="str">
        <f>HYPERLINK("https://www.google.com/maps/search/?api=1&amp;query=24.7016169,46.7738958", "View Map")</f>
        <v>View Map</v>
      </c>
    </row>
    <row r="1174" spans="1:7" x14ac:dyDescent="0.3">
      <c r="A1174" t="s">
        <v>678</v>
      </c>
      <c r="B1174" t="s">
        <v>2061</v>
      </c>
      <c r="C1174" t="s">
        <v>21</v>
      </c>
      <c r="D1174">
        <v>5.0439999999999996</v>
      </c>
      <c r="E1174" s="4">
        <v>1614</v>
      </c>
      <c r="F1174" t="str">
        <f>HYPERLINK("https://www.google.com/maps/search/?api=1&amp;query=26.28896711,44.82354316", "View Map")</f>
        <v>View Map</v>
      </c>
      <c r="G1174" s="2">
        <v>0.71101253377287366</v>
      </c>
    </row>
    <row r="1175" spans="1:7" x14ac:dyDescent="0.3">
      <c r="A1175" t="s">
        <v>663</v>
      </c>
      <c r="B1175" t="s">
        <v>2062</v>
      </c>
      <c r="C1175" t="s">
        <v>77</v>
      </c>
      <c r="D1175">
        <v>5.0389999999999997</v>
      </c>
      <c r="E1175" s="4">
        <v>1612</v>
      </c>
      <c r="F1175" t="str">
        <f>HYPERLINK("https://www.google.com/maps/search/?api=1&amp;query=22.2249776,46.77494447", "View Map")</f>
        <v>View Map</v>
      </c>
      <c r="G1175" s="2">
        <v>0.73546451815668945</v>
      </c>
    </row>
    <row r="1176" spans="1:7" x14ac:dyDescent="0.3">
      <c r="A1176" t="s">
        <v>2063</v>
      </c>
      <c r="B1176" t="s">
        <v>2064</v>
      </c>
      <c r="C1176" t="s">
        <v>255</v>
      </c>
      <c r="D1176">
        <v>5.0389999999999997</v>
      </c>
      <c r="E1176" s="4">
        <v>1612</v>
      </c>
      <c r="F1176" t="str">
        <f>HYPERLINK("https://www.google.com/maps/search/?api=1&amp;query=24.51519258,44.38269998", "View Map")</f>
        <v>View Map</v>
      </c>
      <c r="G1176" s="2">
        <v>0.48589866721127828</v>
      </c>
    </row>
    <row r="1177" spans="1:7" x14ac:dyDescent="0.3">
      <c r="A1177" t="s">
        <v>2065</v>
      </c>
      <c r="B1177" t="s">
        <v>2066</v>
      </c>
      <c r="C1177" t="s">
        <v>8</v>
      </c>
      <c r="D1177">
        <v>5.0380000000000003</v>
      </c>
      <c r="E1177" s="4">
        <v>1612</v>
      </c>
      <c r="F1177" t="str">
        <f>HYPERLINK("https://www.google.com/maps/search/?api=1&amp;query=24.72606392,46.75884528", "View Map")</f>
        <v>View Map</v>
      </c>
    </row>
    <row r="1178" spans="1:7" x14ac:dyDescent="0.3">
      <c r="A1178" t="s">
        <v>28</v>
      </c>
      <c r="B1178" t="s">
        <v>2067</v>
      </c>
      <c r="C1178" t="s">
        <v>30</v>
      </c>
      <c r="D1178">
        <v>5.0309999999999997</v>
      </c>
      <c r="E1178" s="4">
        <v>1610</v>
      </c>
      <c r="F1178" t="str">
        <f>HYPERLINK("https://www.google.com/maps/search/?api=1&amp;query=24.1384396,47.37256416", "View Map")</f>
        <v>View Map</v>
      </c>
      <c r="G1178" s="2">
        <v>0.38852213067983121</v>
      </c>
    </row>
    <row r="1179" spans="1:7" x14ac:dyDescent="0.3">
      <c r="A1179" t="s">
        <v>1277</v>
      </c>
      <c r="B1179" t="s">
        <v>2068</v>
      </c>
      <c r="C1179" t="s">
        <v>8</v>
      </c>
      <c r="D1179">
        <v>5.0270000000000001</v>
      </c>
      <c r="E1179" s="4">
        <v>1609</v>
      </c>
      <c r="F1179" t="str">
        <f>HYPERLINK("https://www.google.com/maps/search/?api=1&amp;query=24.61213759,46.74080914", "View Map")</f>
        <v>View Map</v>
      </c>
      <c r="G1179" s="2">
        <v>0.4259201210250193</v>
      </c>
    </row>
    <row r="1180" spans="1:7" x14ac:dyDescent="0.3">
      <c r="A1180" t="s">
        <v>2069</v>
      </c>
      <c r="B1180" t="s">
        <v>2070</v>
      </c>
      <c r="C1180" t="s">
        <v>8</v>
      </c>
      <c r="D1180">
        <v>5.0149999999999997</v>
      </c>
      <c r="E1180" s="4">
        <v>1605</v>
      </c>
      <c r="F1180" t="str">
        <f>HYPERLINK("https://www.google.com/maps/search/?api=1&amp;query=24.5453159,46.66009751", "View Map")</f>
        <v>View Map</v>
      </c>
    </row>
    <row r="1181" spans="1:7" x14ac:dyDescent="0.3">
      <c r="A1181" t="s">
        <v>2071</v>
      </c>
      <c r="B1181" t="s">
        <v>2072</v>
      </c>
      <c r="C1181" t="s">
        <v>8</v>
      </c>
      <c r="D1181">
        <v>5.0069999999999997</v>
      </c>
      <c r="E1181" s="4">
        <v>1602</v>
      </c>
      <c r="F1181" t="str">
        <f>HYPERLINK("https://www.google.com/maps/search/?api=1&amp;query=24.79958821,46.63371581", "View Map")</f>
        <v>View Map</v>
      </c>
    </row>
    <row r="1182" spans="1:7" x14ac:dyDescent="0.3">
      <c r="A1182" t="s">
        <v>2073</v>
      </c>
      <c r="B1182" t="s">
        <v>2074</v>
      </c>
      <c r="C1182" t="s">
        <v>8</v>
      </c>
      <c r="D1182">
        <v>5.0039999999999996</v>
      </c>
      <c r="E1182" s="4">
        <v>1601</v>
      </c>
      <c r="F1182" t="str">
        <f>HYPERLINK("https://www.google.com/maps/search/?api=1&amp;query=24.8213314,46.62972164", "View Map")</f>
        <v>View Map</v>
      </c>
      <c r="G1182" s="2">
        <v>0.35587999728809278</v>
      </c>
    </row>
    <row r="1183" spans="1:7" x14ac:dyDescent="0.3">
      <c r="A1183" t="s">
        <v>150</v>
      </c>
      <c r="B1183" t="s">
        <v>2075</v>
      </c>
      <c r="C1183" t="s">
        <v>8</v>
      </c>
      <c r="D1183">
        <v>5.0010000000000003</v>
      </c>
      <c r="E1183" s="4">
        <v>1600</v>
      </c>
      <c r="F1183" t="str">
        <f>HYPERLINK("https://www.google.com/maps/search/?api=1&amp;query=24.82608047,46.75326701", "View Map")</f>
        <v>View Map</v>
      </c>
    </row>
    <row r="1184" spans="1:7" x14ac:dyDescent="0.3">
      <c r="A1184" t="s">
        <v>2076</v>
      </c>
      <c r="B1184" t="s">
        <v>2077</v>
      </c>
      <c r="C1184" t="s">
        <v>8</v>
      </c>
      <c r="D1184">
        <v>4.9960000000000004</v>
      </c>
      <c r="E1184" s="4">
        <v>1599</v>
      </c>
      <c r="F1184" t="str">
        <f>HYPERLINK("https://www.google.com/maps/search/?api=1&amp;query=24.55837181,46.68229848", "View Map")</f>
        <v>View Map</v>
      </c>
    </row>
    <row r="1185" spans="1:7" x14ac:dyDescent="0.3">
      <c r="A1185" t="s">
        <v>2078</v>
      </c>
      <c r="B1185" t="s">
        <v>2079</v>
      </c>
      <c r="C1185" t="s">
        <v>8</v>
      </c>
      <c r="D1185">
        <v>4.9960000000000004</v>
      </c>
      <c r="E1185" s="4">
        <v>1599</v>
      </c>
      <c r="F1185" t="str">
        <f>HYPERLINK("https://www.google.com/maps/search/?api=1&amp;query=24.61958038,46.68755354", "View Map")</f>
        <v>View Map</v>
      </c>
      <c r="G1185" s="2">
        <v>0.66858584999117554</v>
      </c>
    </row>
    <row r="1186" spans="1:7" x14ac:dyDescent="0.3">
      <c r="A1186" t="s">
        <v>2080</v>
      </c>
      <c r="B1186" t="s">
        <v>2081</v>
      </c>
      <c r="C1186" t="s">
        <v>8</v>
      </c>
      <c r="D1186">
        <v>4.9950000000000001</v>
      </c>
      <c r="E1186" s="4">
        <v>1598</v>
      </c>
      <c r="F1186" t="str">
        <f>HYPERLINK("https://www.google.com/maps/search/?api=1&amp;query=24.5689183,46.70834998", "View Map")</f>
        <v>View Map</v>
      </c>
    </row>
    <row r="1187" spans="1:7" x14ac:dyDescent="0.3">
      <c r="A1187" t="s">
        <v>2082</v>
      </c>
      <c r="B1187" t="s">
        <v>2083</v>
      </c>
      <c r="C1187" t="s">
        <v>30</v>
      </c>
      <c r="D1187">
        <v>4.9909999999999997</v>
      </c>
      <c r="E1187" s="4">
        <v>1597</v>
      </c>
      <c r="F1187" t="str">
        <f>HYPERLINK("https://www.google.com/maps/search/?api=1&amp;query=24.15933706,47.30571765", "View Map")</f>
        <v>View Map</v>
      </c>
      <c r="G1187" s="2">
        <v>0.50693467559813932</v>
      </c>
    </row>
    <row r="1188" spans="1:7" x14ac:dyDescent="0.3">
      <c r="A1188" t="s">
        <v>2084</v>
      </c>
      <c r="B1188" t="s">
        <v>2085</v>
      </c>
      <c r="C1188" t="s">
        <v>8</v>
      </c>
      <c r="D1188">
        <v>4.99</v>
      </c>
      <c r="E1188" s="4">
        <v>1597</v>
      </c>
      <c r="F1188" t="str">
        <f>HYPERLINK("https://www.google.com/maps/search/?api=1&amp;query=24.70745158,46.77466296", "View Map")</f>
        <v>View Map</v>
      </c>
      <c r="G1188" s="2">
        <v>0.37286277761667558</v>
      </c>
    </row>
    <row r="1189" spans="1:7" x14ac:dyDescent="0.3">
      <c r="A1189" t="s">
        <v>2086</v>
      </c>
      <c r="B1189" t="s">
        <v>2087</v>
      </c>
      <c r="C1189" t="s">
        <v>30</v>
      </c>
      <c r="D1189">
        <v>4.9820000000000002</v>
      </c>
      <c r="E1189" s="4">
        <v>1594</v>
      </c>
      <c r="F1189" t="str">
        <f>HYPERLINK("https://www.google.com/maps/search/?api=1&amp;query=24.17037,47.22622", "View Map")</f>
        <v>View Map</v>
      </c>
      <c r="G1189" s="2">
        <v>0.53975909676827383</v>
      </c>
    </row>
    <row r="1190" spans="1:7" x14ac:dyDescent="0.3">
      <c r="A1190" t="s">
        <v>2088</v>
      </c>
      <c r="B1190" t="s">
        <v>2089</v>
      </c>
      <c r="C1190" t="s">
        <v>21</v>
      </c>
      <c r="D1190">
        <v>4.9790000000000001</v>
      </c>
      <c r="E1190" s="4">
        <v>1593</v>
      </c>
      <c r="F1190" t="str">
        <f>HYPERLINK("https://www.google.com/maps/search/?api=1&amp;query=26.31571149,44.8013907", "View Map")</f>
        <v>View Map</v>
      </c>
      <c r="G1190" s="2">
        <v>0.77116448945895399</v>
      </c>
    </row>
    <row r="1191" spans="1:7" x14ac:dyDescent="0.3">
      <c r="A1191" t="s">
        <v>1758</v>
      </c>
      <c r="B1191" t="s">
        <v>2090</v>
      </c>
      <c r="C1191" t="s">
        <v>8</v>
      </c>
      <c r="D1191">
        <v>4.9779999999999998</v>
      </c>
      <c r="E1191" s="4">
        <v>1593</v>
      </c>
      <c r="F1191" t="str">
        <f>HYPERLINK("https://www.google.com/maps/search/?api=1&amp;query=24.77067089,46.61820953", "View Map")</f>
        <v>View Map</v>
      </c>
    </row>
    <row r="1192" spans="1:7" x14ac:dyDescent="0.3">
      <c r="A1192" t="s">
        <v>2091</v>
      </c>
      <c r="B1192" t="s">
        <v>2092</v>
      </c>
      <c r="C1192" t="s">
        <v>8</v>
      </c>
      <c r="D1192">
        <v>4.9749999999999996</v>
      </c>
      <c r="E1192" s="4">
        <v>1592</v>
      </c>
      <c r="F1192" t="str">
        <f>HYPERLINK("https://www.google.com/maps/search/?api=1&amp;query=24.67257506,46.78733377", "View Map")</f>
        <v>View Map</v>
      </c>
      <c r="G1192" s="2">
        <v>0.60849955378435971</v>
      </c>
    </row>
    <row r="1193" spans="1:7" x14ac:dyDescent="0.3">
      <c r="A1193" t="s">
        <v>2093</v>
      </c>
      <c r="B1193" t="s">
        <v>2094</v>
      </c>
      <c r="C1193" t="s">
        <v>8</v>
      </c>
      <c r="D1193">
        <v>4.9720000000000004</v>
      </c>
      <c r="E1193" s="4">
        <v>1591</v>
      </c>
      <c r="F1193" t="str">
        <f>HYPERLINK("https://www.google.com/maps/search/?api=1&amp;query=24.62032215,46.53586158", "View Map")</f>
        <v>View Map</v>
      </c>
      <c r="G1193" s="2">
        <v>0.69918294860440877</v>
      </c>
    </row>
    <row r="1194" spans="1:7" x14ac:dyDescent="0.3">
      <c r="A1194" t="s">
        <v>2095</v>
      </c>
      <c r="B1194" t="s">
        <v>2096</v>
      </c>
      <c r="C1194" t="s">
        <v>8</v>
      </c>
      <c r="D1194">
        <v>4.9710000000000001</v>
      </c>
      <c r="E1194" s="4">
        <v>1591</v>
      </c>
      <c r="F1194" t="str">
        <f>HYPERLINK("https://www.google.com/maps/search/?api=1&amp;query=24.5710914,46.79548608", "View Map")</f>
        <v>View Map</v>
      </c>
    </row>
    <row r="1195" spans="1:7" x14ac:dyDescent="0.3">
      <c r="A1195" t="s">
        <v>2097</v>
      </c>
      <c r="B1195" t="s">
        <v>2098</v>
      </c>
      <c r="C1195" t="s">
        <v>8</v>
      </c>
      <c r="D1195">
        <v>4.97</v>
      </c>
      <c r="E1195" s="4">
        <v>1590</v>
      </c>
      <c r="F1195" t="str">
        <f>HYPERLINK("https://www.google.com/maps/search/?api=1&amp;query=24.74603712,46.72554078", "View Map")</f>
        <v>View Map</v>
      </c>
    </row>
    <row r="1196" spans="1:7" x14ac:dyDescent="0.3">
      <c r="A1196" t="s">
        <v>2099</v>
      </c>
      <c r="B1196" t="s">
        <v>2100</v>
      </c>
      <c r="C1196" t="s">
        <v>214</v>
      </c>
      <c r="D1196">
        <v>4.97</v>
      </c>
      <c r="E1196" s="4">
        <v>1590</v>
      </c>
      <c r="F1196" t="str">
        <f>HYPERLINK("https://www.google.com/maps/search/?api=1&amp;query=25.91208717,45.35667313", "View Map")</f>
        <v>View Map</v>
      </c>
      <c r="G1196" s="2">
        <v>0.38487052882489231</v>
      </c>
    </row>
    <row r="1197" spans="1:7" x14ac:dyDescent="0.3">
      <c r="A1197" t="s">
        <v>2101</v>
      </c>
      <c r="B1197" t="s">
        <v>2102</v>
      </c>
      <c r="C1197" t="s">
        <v>883</v>
      </c>
      <c r="D1197">
        <v>4.9690000000000003</v>
      </c>
      <c r="E1197" s="4">
        <v>1590</v>
      </c>
      <c r="F1197" t="str">
        <f>HYPERLINK("https://www.google.com/maps/search/?api=1&amp;query=25.55110997,47.16986895", "View Map")</f>
        <v>View Map</v>
      </c>
      <c r="G1197" s="2">
        <v>0.77608944128309076</v>
      </c>
    </row>
    <row r="1198" spans="1:7" x14ac:dyDescent="0.3">
      <c r="A1198" t="s">
        <v>2103</v>
      </c>
      <c r="B1198" t="s">
        <v>2104</v>
      </c>
      <c r="C1198" t="s">
        <v>8</v>
      </c>
      <c r="D1198">
        <v>4.96</v>
      </c>
      <c r="E1198" s="4">
        <v>1587</v>
      </c>
      <c r="F1198" t="str">
        <f>HYPERLINK("https://www.google.com/maps/search/?api=1&amp;query=24.58894586,46.57478517", "View Map")</f>
        <v>View Map</v>
      </c>
    </row>
    <row r="1199" spans="1:7" x14ac:dyDescent="0.3">
      <c r="A1199" t="s">
        <v>627</v>
      </c>
      <c r="B1199" t="s">
        <v>2105</v>
      </c>
      <c r="C1199" t="s">
        <v>8</v>
      </c>
      <c r="D1199">
        <v>4.9569999999999999</v>
      </c>
      <c r="E1199" s="4">
        <v>1586</v>
      </c>
      <c r="F1199" t="str">
        <f>HYPERLINK("https://www.google.com/maps/search/?api=1&amp;query=24.72690278,46.70476956", "View Map")</f>
        <v>View Map</v>
      </c>
    </row>
    <row r="1200" spans="1:7" x14ac:dyDescent="0.3">
      <c r="A1200" t="s">
        <v>2106</v>
      </c>
      <c r="B1200" t="s">
        <v>2107</v>
      </c>
      <c r="C1200" t="s">
        <v>8</v>
      </c>
      <c r="D1200">
        <v>4.9509999999999996</v>
      </c>
      <c r="E1200" s="4">
        <v>1584</v>
      </c>
      <c r="F1200" t="str">
        <f>HYPERLINK("https://www.google.com/maps/search/?api=1&amp;query=24.75102533,46.66455953", "View Map")</f>
        <v>View Map</v>
      </c>
    </row>
    <row r="1201" spans="1:7" x14ac:dyDescent="0.3">
      <c r="A1201" t="s">
        <v>2108</v>
      </c>
      <c r="B1201" t="s">
        <v>2109</v>
      </c>
      <c r="C1201" t="s">
        <v>8</v>
      </c>
      <c r="D1201">
        <v>4.9459999999999997</v>
      </c>
      <c r="E1201" s="4">
        <v>1583</v>
      </c>
      <c r="F1201" t="str">
        <f>HYPERLINK("https://www.google.com/maps/search/?api=1&amp;query=24.70092834,46.67108849", "View Map")</f>
        <v>View Map</v>
      </c>
    </row>
    <row r="1202" spans="1:7" x14ac:dyDescent="0.3">
      <c r="A1202" t="s">
        <v>2110</v>
      </c>
      <c r="B1202" t="s">
        <v>2111</v>
      </c>
      <c r="C1202" t="s">
        <v>214</v>
      </c>
      <c r="D1202">
        <v>4.944</v>
      </c>
      <c r="E1202" s="4">
        <v>1582</v>
      </c>
      <c r="F1202" t="str">
        <f>HYPERLINK("https://www.google.com/maps/search/?api=1&amp;query=25.90144723,45.37425095", "View Map")</f>
        <v>View Map</v>
      </c>
      <c r="G1202" s="2">
        <v>0.79090860129441043</v>
      </c>
    </row>
    <row r="1203" spans="1:7" x14ac:dyDescent="0.3">
      <c r="A1203" t="s">
        <v>2112</v>
      </c>
      <c r="B1203" t="s">
        <v>2113</v>
      </c>
      <c r="C1203" t="s">
        <v>8</v>
      </c>
      <c r="D1203">
        <v>4.9400000000000004</v>
      </c>
      <c r="E1203" s="4">
        <v>1581</v>
      </c>
      <c r="F1203" t="str">
        <f>HYPERLINK("https://www.google.com/maps/search/?api=1&amp;query=24.65704623,46.79380421", "View Map")</f>
        <v>View Map</v>
      </c>
      <c r="G1203" s="2">
        <v>0.62929443920556305</v>
      </c>
    </row>
    <row r="1204" spans="1:7" x14ac:dyDescent="0.3">
      <c r="A1204" t="s">
        <v>46</v>
      </c>
      <c r="B1204" t="s">
        <v>2114</v>
      </c>
      <c r="C1204" t="s">
        <v>8</v>
      </c>
      <c r="D1204">
        <v>4.9390000000000001</v>
      </c>
      <c r="E1204" s="4">
        <v>1580</v>
      </c>
      <c r="F1204" t="str">
        <f>HYPERLINK("https://www.google.com/maps/search/?api=1&amp;query=24.77526334,46.8374993", "View Map")</f>
        <v>View Map</v>
      </c>
      <c r="G1204" s="2">
        <v>0.57476691387276502</v>
      </c>
    </row>
    <row r="1205" spans="1:7" x14ac:dyDescent="0.3">
      <c r="A1205" t="s">
        <v>2115</v>
      </c>
      <c r="B1205" t="s">
        <v>2116</v>
      </c>
      <c r="C1205" t="s">
        <v>30</v>
      </c>
      <c r="D1205">
        <v>4.9349999999999996</v>
      </c>
      <c r="E1205" s="4">
        <v>1579</v>
      </c>
      <c r="F1205" t="str">
        <f>HYPERLINK("https://www.google.com/maps/search/?api=1&amp;query=24.16987251,47.34385565", "View Map")</f>
        <v>View Map</v>
      </c>
      <c r="G1205" s="2">
        <v>0.58594480751731148</v>
      </c>
    </row>
    <row r="1206" spans="1:7" x14ac:dyDescent="0.3">
      <c r="A1206" t="s">
        <v>2117</v>
      </c>
      <c r="B1206" t="s">
        <v>2118</v>
      </c>
      <c r="C1206" t="s">
        <v>8</v>
      </c>
      <c r="D1206">
        <v>4.9180000000000001</v>
      </c>
      <c r="E1206" s="4">
        <v>1574</v>
      </c>
      <c r="F1206" t="str">
        <f>HYPERLINK("https://www.google.com/maps/search/?api=1&amp;query=24.69896691,46.8388006", "View Map")</f>
        <v>View Map</v>
      </c>
      <c r="G1206" s="2">
        <v>0.36432418726153032</v>
      </c>
    </row>
    <row r="1207" spans="1:7" x14ac:dyDescent="0.3">
      <c r="A1207" t="s">
        <v>28</v>
      </c>
      <c r="B1207" t="s">
        <v>2119</v>
      </c>
      <c r="C1207" t="s">
        <v>30</v>
      </c>
      <c r="D1207">
        <v>4.9180000000000001</v>
      </c>
      <c r="E1207" s="4">
        <v>1574</v>
      </c>
      <c r="F1207" t="str">
        <f>HYPERLINK("https://www.google.com/maps/search/?api=1&amp;query=24.0945035,47.27503035", "View Map")</f>
        <v>View Map</v>
      </c>
      <c r="G1207" s="2">
        <v>0.61673135273367152</v>
      </c>
    </row>
    <row r="1208" spans="1:7" x14ac:dyDescent="0.3">
      <c r="A1208" t="s">
        <v>2120</v>
      </c>
      <c r="B1208" t="s">
        <v>2121</v>
      </c>
      <c r="C1208" t="s">
        <v>8</v>
      </c>
      <c r="D1208">
        <v>4.915</v>
      </c>
      <c r="E1208" s="4">
        <v>1573</v>
      </c>
      <c r="F1208" t="str">
        <f>HYPERLINK("https://www.google.com/maps/search/?api=1&amp;query=24.58584592,46.66717194", "View Map")</f>
        <v>View Map</v>
      </c>
    </row>
    <row r="1209" spans="1:7" x14ac:dyDescent="0.3">
      <c r="A1209" t="s">
        <v>2122</v>
      </c>
      <c r="B1209" t="s">
        <v>2123</v>
      </c>
      <c r="C1209" t="s">
        <v>8</v>
      </c>
      <c r="D1209">
        <v>4.9130000000000003</v>
      </c>
      <c r="E1209" s="4">
        <v>1572</v>
      </c>
      <c r="F1209" t="str">
        <f>HYPERLINK("https://www.google.com/maps/search/?api=1&amp;query=24.8254419,46.78413116", "View Map")</f>
        <v>View Map</v>
      </c>
    </row>
    <row r="1210" spans="1:7" x14ac:dyDescent="0.3">
      <c r="A1210" t="s">
        <v>46</v>
      </c>
      <c r="B1210" t="s">
        <v>2124</v>
      </c>
      <c r="C1210" t="s">
        <v>8</v>
      </c>
      <c r="D1210">
        <v>4.9109999999999996</v>
      </c>
      <c r="E1210" s="4">
        <v>1572</v>
      </c>
      <c r="F1210" t="str">
        <f>HYPERLINK("https://www.google.com/maps/search/?api=1&amp;query=24.83270518,46.75637819", "View Map")</f>
        <v>View Map</v>
      </c>
    </row>
    <row r="1211" spans="1:7" x14ac:dyDescent="0.3">
      <c r="A1211" t="s">
        <v>2125</v>
      </c>
      <c r="B1211" t="s">
        <v>2126</v>
      </c>
      <c r="C1211" t="s">
        <v>8</v>
      </c>
      <c r="D1211">
        <v>4.9059999999999997</v>
      </c>
      <c r="E1211" s="4">
        <v>1570</v>
      </c>
      <c r="F1211" t="str">
        <f>HYPERLINK("https://www.google.com/maps/search/?api=1&amp;query=24.6834691,46.7412753", "View Map")</f>
        <v>View Map</v>
      </c>
      <c r="G1211" s="2">
        <v>0.48657825585094922</v>
      </c>
    </row>
    <row r="1212" spans="1:7" x14ac:dyDescent="0.3">
      <c r="A1212" t="s">
        <v>46</v>
      </c>
      <c r="B1212" t="s">
        <v>2127</v>
      </c>
      <c r="C1212" t="s">
        <v>8</v>
      </c>
      <c r="D1212">
        <v>4.9039999999999999</v>
      </c>
      <c r="E1212" s="4">
        <v>1569</v>
      </c>
      <c r="F1212" t="str">
        <f>HYPERLINK("https://www.google.com/maps/search/?api=1&amp;query=24.87214561,46.63960209", "View Map")</f>
        <v>View Map</v>
      </c>
    </row>
    <row r="1213" spans="1:7" x14ac:dyDescent="0.3">
      <c r="A1213" t="s">
        <v>795</v>
      </c>
      <c r="B1213" t="s">
        <v>2128</v>
      </c>
      <c r="C1213" t="s">
        <v>8</v>
      </c>
      <c r="D1213">
        <v>4.9039999999999999</v>
      </c>
      <c r="E1213" s="4">
        <v>1569</v>
      </c>
      <c r="F1213" t="str">
        <f>HYPERLINK("https://www.google.com/maps/search/?api=1&amp;query=24.70732799,46.77285643", "View Map")</f>
        <v>View Map</v>
      </c>
    </row>
    <row r="1214" spans="1:7" x14ac:dyDescent="0.3">
      <c r="A1214" t="s">
        <v>2129</v>
      </c>
      <c r="B1214" t="s">
        <v>2130</v>
      </c>
      <c r="C1214" t="s">
        <v>8</v>
      </c>
      <c r="D1214">
        <v>4.9029999999999996</v>
      </c>
      <c r="E1214" s="4">
        <v>1569</v>
      </c>
      <c r="F1214" t="str">
        <f>HYPERLINK("https://www.google.com/maps/search/?api=1&amp;query=24.73725396,46.80359199", "View Map")</f>
        <v>View Map</v>
      </c>
    </row>
    <row r="1215" spans="1:7" x14ac:dyDescent="0.3">
      <c r="A1215" t="s">
        <v>46</v>
      </c>
      <c r="B1215" t="s">
        <v>2131</v>
      </c>
      <c r="C1215" t="s">
        <v>8</v>
      </c>
      <c r="D1215">
        <v>4.9029999999999996</v>
      </c>
      <c r="E1215" s="4">
        <v>1569</v>
      </c>
      <c r="F1215" t="str">
        <f>HYPERLINK("https://www.google.com/maps/search/?api=1&amp;query=24.57921565,46.76080623", "View Map")</f>
        <v>View Map</v>
      </c>
    </row>
    <row r="1216" spans="1:7" x14ac:dyDescent="0.3">
      <c r="A1216" t="s">
        <v>73</v>
      </c>
      <c r="B1216" t="s">
        <v>2132</v>
      </c>
      <c r="C1216" t="s">
        <v>8</v>
      </c>
      <c r="D1216">
        <v>4.8970000000000002</v>
      </c>
      <c r="E1216" s="4">
        <v>1567</v>
      </c>
      <c r="F1216" t="str">
        <f>HYPERLINK("https://www.google.com/maps/search/?api=1&amp;query=24.84151273,46.6844907", "View Map")</f>
        <v>View Map</v>
      </c>
    </row>
    <row r="1217" spans="1:7" x14ac:dyDescent="0.3">
      <c r="A1217" t="s">
        <v>2133</v>
      </c>
      <c r="B1217" t="s">
        <v>2134</v>
      </c>
      <c r="C1217" t="s">
        <v>8</v>
      </c>
      <c r="D1217">
        <v>4.8959999999999999</v>
      </c>
      <c r="E1217" s="4">
        <v>1567</v>
      </c>
      <c r="F1217" t="str">
        <f>HYPERLINK("https://www.google.com/maps/search/?api=1&amp;query=24.6224902,46.75413262", "View Map")</f>
        <v>View Map</v>
      </c>
    </row>
    <row r="1218" spans="1:7" x14ac:dyDescent="0.3">
      <c r="A1218" t="s">
        <v>2135</v>
      </c>
      <c r="B1218" t="s">
        <v>2136</v>
      </c>
      <c r="C1218" t="s">
        <v>8</v>
      </c>
      <c r="D1218">
        <v>4.8949999999999996</v>
      </c>
      <c r="E1218" s="4">
        <v>1567</v>
      </c>
      <c r="F1218" t="str">
        <f>HYPERLINK("https://www.google.com/maps/search/?api=1&amp;query=24.76169202,46.65921203", "View Map")</f>
        <v>View Map</v>
      </c>
      <c r="G1218" s="2">
        <v>0.42680265784622601</v>
      </c>
    </row>
    <row r="1219" spans="1:7" x14ac:dyDescent="0.3">
      <c r="A1219" t="s">
        <v>1273</v>
      </c>
      <c r="B1219" t="s">
        <v>2137</v>
      </c>
      <c r="C1219" t="s">
        <v>241</v>
      </c>
      <c r="D1219">
        <v>4.8920000000000003</v>
      </c>
      <c r="E1219" s="4">
        <v>1565</v>
      </c>
      <c r="F1219" t="str">
        <f>HYPERLINK("https://www.google.com/maps/search/?api=1&amp;query=20.42893974,44.73145283", "View Map")</f>
        <v>View Map</v>
      </c>
      <c r="G1219" s="2">
        <v>0.51655922171813728</v>
      </c>
    </row>
    <row r="1220" spans="1:7" x14ac:dyDescent="0.3">
      <c r="A1220" t="s">
        <v>2138</v>
      </c>
      <c r="B1220" t="s">
        <v>2139</v>
      </c>
      <c r="C1220" t="s">
        <v>30</v>
      </c>
      <c r="D1220">
        <v>4.891</v>
      </c>
      <c r="E1220" s="4">
        <v>1565</v>
      </c>
      <c r="F1220" t="str">
        <f>HYPERLINK("https://www.google.com/maps/search/?api=1&amp;query=24.15109138,47.36192047", "View Map")</f>
        <v>View Map</v>
      </c>
      <c r="G1220" s="2">
        <v>0.67418575303651496</v>
      </c>
    </row>
    <row r="1221" spans="1:7" x14ac:dyDescent="0.3">
      <c r="A1221" t="s">
        <v>2140</v>
      </c>
      <c r="B1221" t="s">
        <v>2141</v>
      </c>
      <c r="C1221" t="s">
        <v>241</v>
      </c>
      <c r="D1221">
        <v>4.891</v>
      </c>
      <c r="E1221" s="4">
        <v>1565</v>
      </c>
      <c r="F1221" t="str">
        <f>HYPERLINK("https://www.google.com/maps/search/?api=1&amp;query=20.47127647,44.79374548", "View Map")</f>
        <v>View Map</v>
      </c>
      <c r="G1221" s="2">
        <v>0.36359426754551899</v>
      </c>
    </row>
    <row r="1222" spans="1:7" x14ac:dyDescent="0.3">
      <c r="A1222" t="s">
        <v>46</v>
      </c>
      <c r="B1222" t="s">
        <v>2142</v>
      </c>
      <c r="C1222" t="s">
        <v>8</v>
      </c>
      <c r="D1222">
        <v>4.8890000000000002</v>
      </c>
      <c r="E1222" s="4">
        <v>1564</v>
      </c>
      <c r="F1222" t="str">
        <f>HYPERLINK("https://www.google.com/maps/search/?api=1&amp;query=24.87392999,46.61298512", "View Map")</f>
        <v>View Map</v>
      </c>
    </row>
    <row r="1223" spans="1:7" x14ac:dyDescent="0.3">
      <c r="A1223" t="s">
        <v>146</v>
      </c>
      <c r="B1223" t="s">
        <v>2143</v>
      </c>
      <c r="C1223" t="s">
        <v>8</v>
      </c>
      <c r="D1223">
        <v>4.8860000000000001</v>
      </c>
      <c r="E1223" s="4">
        <v>1563</v>
      </c>
      <c r="F1223" t="str">
        <f>HYPERLINK("https://www.google.com/maps/search/?api=1&amp;query=24.54279455,46.52099155", "View Map")</f>
        <v>View Map</v>
      </c>
    </row>
    <row r="1224" spans="1:7" x14ac:dyDescent="0.3">
      <c r="A1224" t="s">
        <v>2144</v>
      </c>
      <c r="B1224" t="s">
        <v>2145</v>
      </c>
      <c r="C1224" t="s">
        <v>8</v>
      </c>
      <c r="D1224">
        <v>4.8739999999999997</v>
      </c>
      <c r="E1224" s="4">
        <v>1560</v>
      </c>
      <c r="F1224" t="str">
        <f>HYPERLINK("https://www.google.com/maps/search/?api=1&amp;query=24.61841604,46.72202659", "View Map")</f>
        <v>View Map</v>
      </c>
    </row>
    <row r="1225" spans="1:7" x14ac:dyDescent="0.3">
      <c r="A1225" t="s">
        <v>2146</v>
      </c>
      <c r="B1225" t="s">
        <v>2147</v>
      </c>
      <c r="C1225" t="s">
        <v>8</v>
      </c>
      <c r="D1225">
        <v>4.8689999999999998</v>
      </c>
      <c r="E1225" s="4">
        <v>1558</v>
      </c>
      <c r="F1225" t="str">
        <f>HYPERLINK("https://www.google.com/maps/search/?api=1&amp;query=24.5483376,46.70362731", "View Map")</f>
        <v>View Map</v>
      </c>
    </row>
    <row r="1226" spans="1:7" x14ac:dyDescent="0.3">
      <c r="A1226" t="s">
        <v>2148</v>
      </c>
      <c r="B1226" t="s">
        <v>2149</v>
      </c>
      <c r="C1226" t="s">
        <v>364</v>
      </c>
      <c r="D1226">
        <v>4.8650000000000002</v>
      </c>
      <c r="E1226" s="4">
        <v>1557</v>
      </c>
      <c r="F1226" t="str">
        <f>HYPERLINK("https://www.google.com/maps/search/?api=1&amp;query=25.29098964,45.7875043", "View Map")</f>
        <v>View Map</v>
      </c>
      <c r="G1226" s="2">
        <v>0.67992361401635915</v>
      </c>
    </row>
    <row r="1227" spans="1:7" x14ac:dyDescent="0.3">
      <c r="A1227" t="s">
        <v>2150</v>
      </c>
      <c r="B1227" t="s">
        <v>2151</v>
      </c>
      <c r="C1227" t="s">
        <v>291</v>
      </c>
      <c r="D1227">
        <v>4.8620000000000001</v>
      </c>
      <c r="E1227" s="4">
        <v>1556</v>
      </c>
      <c r="F1227" t="str">
        <f>HYPERLINK("https://www.google.com/maps/search/?api=1&amp;query=23.47946687,44.37419879", "View Map")</f>
        <v>View Map</v>
      </c>
      <c r="G1227" s="2">
        <v>0.61885105786277328</v>
      </c>
    </row>
    <row r="1228" spans="1:7" x14ac:dyDescent="0.3">
      <c r="A1228" t="s">
        <v>2152</v>
      </c>
      <c r="B1228" t="s">
        <v>2153</v>
      </c>
      <c r="C1228" t="s">
        <v>291</v>
      </c>
      <c r="D1228">
        <v>4.859</v>
      </c>
      <c r="E1228" s="4">
        <v>1555</v>
      </c>
      <c r="F1228" t="str">
        <f>HYPERLINK("https://www.google.com/maps/search/?api=1&amp;query=24.10969803,45.4951596", "View Map")</f>
        <v>View Map</v>
      </c>
      <c r="G1228" s="2">
        <v>0.85210700247083626</v>
      </c>
    </row>
    <row r="1229" spans="1:7" x14ac:dyDescent="0.3">
      <c r="A1229" t="s">
        <v>46</v>
      </c>
      <c r="B1229" t="s">
        <v>2154</v>
      </c>
      <c r="C1229" t="s">
        <v>8</v>
      </c>
      <c r="D1229">
        <v>4.8570000000000002</v>
      </c>
      <c r="E1229" s="4">
        <v>1554</v>
      </c>
      <c r="F1229" t="str">
        <f>HYPERLINK("https://www.google.com/maps/search/?api=1&amp;query=24.76777355,46.74623896", "View Map")</f>
        <v>View Map</v>
      </c>
      <c r="G1229" s="2">
        <v>0.48958485009621983</v>
      </c>
    </row>
    <row r="1230" spans="1:7" x14ac:dyDescent="0.3">
      <c r="A1230" t="s">
        <v>2155</v>
      </c>
      <c r="B1230" t="s">
        <v>2156</v>
      </c>
      <c r="C1230" t="s">
        <v>8</v>
      </c>
      <c r="D1230">
        <v>4.8550000000000004</v>
      </c>
      <c r="E1230" s="4">
        <v>1554</v>
      </c>
      <c r="F1230" t="str">
        <f>HYPERLINK("https://www.google.com/maps/search/?api=1&amp;query=24.54885924,46.86622893", "View Map")</f>
        <v>View Map</v>
      </c>
    </row>
    <row r="1231" spans="1:7" x14ac:dyDescent="0.3">
      <c r="A1231" t="s">
        <v>2157</v>
      </c>
      <c r="B1231" t="s">
        <v>2158</v>
      </c>
      <c r="C1231" t="s">
        <v>8</v>
      </c>
      <c r="D1231">
        <v>4.8550000000000004</v>
      </c>
      <c r="E1231" s="4">
        <v>1554</v>
      </c>
      <c r="F1231" t="str">
        <f>HYPERLINK("https://www.google.com/maps/search/?api=1&amp;query=24.78899029,46.82223183", "View Map")</f>
        <v>View Map</v>
      </c>
      <c r="G1231" s="2">
        <v>0.38490581653799949</v>
      </c>
    </row>
    <row r="1232" spans="1:7" x14ac:dyDescent="0.3">
      <c r="A1232" t="s">
        <v>2159</v>
      </c>
      <c r="B1232" t="s">
        <v>2160</v>
      </c>
      <c r="C1232" t="s">
        <v>21</v>
      </c>
      <c r="D1232">
        <v>4.8540000000000001</v>
      </c>
      <c r="E1232" s="4">
        <v>1553</v>
      </c>
      <c r="F1232" t="str">
        <f>HYPERLINK("https://www.google.com/maps/search/?api=1&amp;query=26.29956574,44.82622912", "View Map")</f>
        <v>View Map</v>
      </c>
      <c r="G1232" s="2">
        <v>0.58986568590917199</v>
      </c>
    </row>
    <row r="1233" spans="1:7" x14ac:dyDescent="0.3">
      <c r="A1233" t="s">
        <v>46</v>
      </c>
      <c r="B1233" t="s">
        <v>2161</v>
      </c>
      <c r="C1233" t="s">
        <v>8</v>
      </c>
      <c r="D1233">
        <v>4.851</v>
      </c>
      <c r="E1233" s="4">
        <v>1552</v>
      </c>
      <c r="F1233" t="str">
        <f>HYPERLINK("https://www.google.com/maps/search/?api=1&amp;query=24.8797477,46.60346858", "View Map")</f>
        <v>View Map</v>
      </c>
    </row>
    <row r="1234" spans="1:7" x14ac:dyDescent="0.3">
      <c r="A1234" t="s">
        <v>2162</v>
      </c>
      <c r="B1234" t="s">
        <v>2163</v>
      </c>
      <c r="C1234" t="s">
        <v>8</v>
      </c>
      <c r="D1234">
        <v>4.8479999999999999</v>
      </c>
      <c r="E1234" s="4">
        <v>1551</v>
      </c>
      <c r="F1234" t="str">
        <f>HYPERLINK("https://www.google.com/maps/search/?api=1&amp;query=24.75824694,46.60633316", "View Map")</f>
        <v>View Map</v>
      </c>
    </row>
    <row r="1235" spans="1:7" x14ac:dyDescent="0.3">
      <c r="A1235" t="s">
        <v>2164</v>
      </c>
      <c r="B1235" t="s">
        <v>2165</v>
      </c>
      <c r="C1235" t="s">
        <v>466</v>
      </c>
      <c r="D1235">
        <v>4.843</v>
      </c>
      <c r="E1235" s="4">
        <v>1550</v>
      </c>
      <c r="F1235" t="str">
        <f>HYPERLINK("https://www.google.com/maps/search/?api=1&amp;query=24.61262648,46.09805492", "View Map")</f>
        <v>View Map</v>
      </c>
      <c r="G1235" s="2">
        <v>0.78710221312921247</v>
      </c>
    </row>
    <row r="1236" spans="1:7" x14ac:dyDescent="0.3">
      <c r="A1236" t="s">
        <v>2166</v>
      </c>
      <c r="B1236" t="s">
        <v>2167</v>
      </c>
      <c r="C1236" t="s">
        <v>8</v>
      </c>
      <c r="D1236">
        <v>4.8360000000000003</v>
      </c>
      <c r="E1236" s="4">
        <v>1548</v>
      </c>
      <c r="F1236" t="str">
        <f>HYPERLINK("https://www.google.com/maps/search/?api=1&amp;query=24.77294,46.71946", "View Map")</f>
        <v>View Map</v>
      </c>
    </row>
    <row r="1237" spans="1:7" x14ac:dyDescent="0.3">
      <c r="A1237" t="s">
        <v>2168</v>
      </c>
      <c r="B1237" t="s">
        <v>2169</v>
      </c>
      <c r="C1237" t="s">
        <v>393</v>
      </c>
      <c r="D1237">
        <v>4.8339999999999996</v>
      </c>
      <c r="E1237" s="4">
        <v>1547</v>
      </c>
      <c r="F1237" t="str">
        <f>HYPERLINK("https://www.google.com/maps/search/?api=1&amp;query=23.54767163,45.52401349", "View Map")</f>
        <v>View Map</v>
      </c>
      <c r="G1237" s="2">
        <v>0.62876969401023042</v>
      </c>
    </row>
    <row r="1238" spans="1:7" x14ac:dyDescent="0.3">
      <c r="A1238" t="s">
        <v>2170</v>
      </c>
      <c r="B1238" t="s">
        <v>2171</v>
      </c>
      <c r="C1238" t="s">
        <v>30</v>
      </c>
      <c r="D1238">
        <v>4.8339999999999996</v>
      </c>
      <c r="E1238" s="4">
        <v>1547</v>
      </c>
      <c r="F1238" t="str">
        <f>HYPERLINK("https://www.google.com/maps/search/?api=1&amp;query=24.171653,47.3509764", "View Map")</f>
        <v>View Map</v>
      </c>
    </row>
    <row r="1239" spans="1:7" x14ac:dyDescent="0.3">
      <c r="A1239" t="s">
        <v>2172</v>
      </c>
      <c r="B1239" t="s">
        <v>2173</v>
      </c>
      <c r="C1239" t="s">
        <v>8</v>
      </c>
      <c r="D1239">
        <v>4.8330000000000002</v>
      </c>
      <c r="E1239" s="4">
        <v>1547</v>
      </c>
      <c r="F1239" t="str">
        <f>HYPERLINK("https://www.google.com/maps/search/?api=1&amp;query=24.39528917,46.83902328", "View Map")</f>
        <v>View Map</v>
      </c>
    </row>
    <row r="1240" spans="1:7" x14ac:dyDescent="0.3">
      <c r="A1240" t="s">
        <v>2174</v>
      </c>
      <c r="B1240" t="s">
        <v>2175</v>
      </c>
      <c r="C1240" t="s">
        <v>8</v>
      </c>
      <c r="D1240">
        <v>4.83</v>
      </c>
      <c r="E1240" s="4">
        <v>1546</v>
      </c>
      <c r="F1240" t="str">
        <f>HYPERLINK("https://www.google.com/maps/search/?api=1&amp;query=24.62934081,46.56368136", "View Map")</f>
        <v>View Map</v>
      </c>
      <c r="G1240" s="2">
        <v>0.58749624066086858</v>
      </c>
    </row>
    <row r="1241" spans="1:7" x14ac:dyDescent="0.3">
      <c r="A1241" t="s">
        <v>2176</v>
      </c>
      <c r="B1241" t="s">
        <v>2177</v>
      </c>
      <c r="C1241" t="s">
        <v>241</v>
      </c>
      <c r="D1241">
        <v>4.8259999999999996</v>
      </c>
      <c r="E1241" s="4">
        <v>1544</v>
      </c>
      <c r="F1241" t="str">
        <f>HYPERLINK("https://www.google.com/maps/search/?api=1&amp;query=20.40133781,45.18385742", "View Map")</f>
        <v>View Map</v>
      </c>
      <c r="G1241" s="2">
        <v>0.63287458141058361</v>
      </c>
    </row>
    <row r="1242" spans="1:7" x14ac:dyDescent="0.3">
      <c r="A1242" t="s">
        <v>2178</v>
      </c>
      <c r="B1242" t="s">
        <v>2179</v>
      </c>
      <c r="C1242" t="s">
        <v>30</v>
      </c>
      <c r="D1242">
        <v>4.819</v>
      </c>
      <c r="E1242" s="4">
        <v>1542</v>
      </c>
      <c r="F1242" t="str">
        <f>HYPERLINK("https://www.google.com/maps/search/?api=1&amp;query=24.09163916,47.22705583", "View Map")</f>
        <v>View Map</v>
      </c>
      <c r="G1242" s="2">
        <v>0.64755474730112184</v>
      </c>
    </row>
    <row r="1243" spans="1:7" x14ac:dyDescent="0.3">
      <c r="A1243" t="s">
        <v>2180</v>
      </c>
      <c r="B1243" t="s">
        <v>2181</v>
      </c>
      <c r="C1243" t="s">
        <v>8</v>
      </c>
      <c r="D1243">
        <v>4.819</v>
      </c>
      <c r="E1243" s="4">
        <v>1542</v>
      </c>
      <c r="F1243" t="str">
        <f>HYPERLINK("https://www.google.com/maps/search/?api=1&amp;query=24.76599909,46.61819749", "View Map")</f>
        <v>View Map</v>
      </c>
    </row>
    <row r="1244" spans="1:7" x14ac:dyDescent="0.3">
      <c r="A1244" t="s">
        <v>576</v>
      </c>
      <c r="B1244" t="s">
        <v>2182</v>
      </c>
      <c r="C1244" t="s">
        <v>8</v>
      </c>
      <c r="D1244">
        <v>4.8179999999999996</v>
      </c>
      <c r="E1244" s="4">
        <v>1542</v>
      </c>
      <c r="F1244" t="str">
        <f>HYPERLINK("https://www.google.com/maps/search/?api=1&amp;query=24.52613511,46.70057587", "View Map")</f>
        <v>View Map</v>
      </c>
    </row>
    <row r="1245" spans="1:7" x14ac:dyDescent="0.3">
      <c r="A1245" t="s">
        <v>2183</v>
      </c>
      <c r="B1245" t="s">
        <v>2184</v>
      </c>
      <c r="C1245" t="s">
        <v>466</v>
      </c>
      <c r="D1245">
        <v>4.8179999999999996</v>
      </c>
      <c r="E1245" s="4">
        <v>1542</v>
      </c>
      <c r="F1245" t="str">
        <f>HYPERLINK("https://www.google.com/maps/search/?api=1&amp;query=24.6039,46.1256", "View Map")</f>
        <v>View Map</v>
      </c>
      <c r="G1245" s="2">
        <v>0.55679997900095324</v>
      </c>
    </row>
    <row r="1246" spans="1:7" x14ac:dyDescent="0.3">
      <c r="A1246" t="s">
        <v>2185</v>
      </c>
      <c r="B1246" t="s">
        <v>2186</v>
      </c>
      <c r="C1246" t="s">
        <v>8</v>
      </c>
      <c r="D1246">
        <v>4.8140000000000001</v>
      </c>
      <c r="E1246" s="4">
        <v>1540</v>
      </c>
      <c r="F1246" t="str">
        <f>HYPERLINK("https://www.google.com/maps/search/?api=1&amp;query=24.59085342,46.69686152", "View Map")</f>
        <v>View Map</v>
      </c>
    </row>
    <row r="1247" spans="1:7" x14ac:dyDescent="0.3">
      <c r="A1247" t="s">
        <v>46</v>
      </c>
      <c r="B1247" t="s">
        <v>2187</v>
      </c>
      <c r="C1247" t="s">
        <v>8</v>
      </c>
      <c r="D1247">
        <v>4.8090000000000002</v>
      </c>
      <c r="E1247" s="4">
        <v>1539</v>
      </c>
      <c r="F1247" t="str">
        <f>HYPERLINK("https://www.google.com/maps/search/?api=1&amp;query=24.83465468,46.66039893", "View Map")</f>
        <v>View Map</v>
      </c>
      <c r="G1247" s="2">
        <v>0.45213775988473442</v>
      </c>
    </row>
    <row r="1248" spans="1:7" x14ac:dyDescent="0.3">
      <c r="A1248" t="s">
        <v>889</v>
      </c>
      <c r="B1248" t="s">
        <v>2188</v>
      </c>
      <c r="C1248" t="s">
        <v>8</v>
      </c>
      <c r="D1248">
        <v>4.8049999999999997</v>
      </c>
      <c r="E1248" s="4">
        <v>1538</v>
      </c>
      <c r="F1248" t="str">
        <f>HYPERLINK("https://www.google.com/maps/search/?api=1&amp;query=24.78410798,46.6294559", "View Map")</f>
        <v>View Map</v>
      </c>
      <c r="G1248" s="2">
        <v>0.39970477923554859</v>
      </c>
    </row>
    <row r="1249" spans="1:7" x14ac:dyDescent="0.3">
      <c r="A1249" t="s">
        <v>2189</v>
      </c>
      <c r="B1249" t="s">
        <v>2190</v>
      </c>
      <c r="C1249" t="s">
        <v>8</v>
      </c>
      <c r="D1249">
        <v>4.8029999999999999</v>
      </c>
      <c r="E1249" s="4">
        <v>1537</v>
      </c>
      <c r="F1249" t="str">
        <f>HYPERLINK("https://www.google.com/maps/search/?api=1&amp;query=24.82343327,46.66038619", "View Map")</f>
        <v>View Map</v>
      </c>
      <c r="G1249" s="2">
        <v>0.55826473153692924</v>
      </c>
    </row>
    <row r="1250" spans="1:7" x14ac:dyDescent="0.3">
      <c r="A1250" t="s">
        <v>150</v>
      </c>
      <c r="B1250" t="s">
        <v>2191</v>
      </c>
      <c r="C1250" t="s">
        <v>8</v>
      </c>
      <c r="D1250">
        <v>4.8</v>
      </c>
      <c r="E1250" s="4">
        <v>1536</v>
      </c>
      <c r="F1250" t="str">
        <f>HYPERLINK("https://www.google.com/maps/search/?api=1&amp;query=24.83158964,46.76052856", "View Map")</f>
        <v>View Map</v>
      </c>
      <c r="G1250" s="2">
        <v>0.98855527161909806</v>
      </c>
    </row>
    <row r="1251" spans="1:7" x14ac:dyDescent="0.3">
      <c r="A1251" t="s">
        <v>2192</v>
      </c>
      <c r="B1251" t="s">
        <v>2193</v>
      </c>
      <c r="C1251" t="s">
        <v>1112</v>
      </c>
      <c r="D1251">
        <v>4.7990000000000004</v>
      </c>
      <c r="E1251" s="4">
        <v>1536</v>
      </c>
      <c r="F1251" t="str">
        <f>HYPERLINK("https://www.google.com/maps/search/?api=1&amp;query=26.02902076,44.9471743", "View Map")</f>
        <v>View Map</v>
      </c>
    </row>
    <row r="1252" spans="1:7" x14ac:dyDescent="0.3">
      <c r="A1252" t="s">
        <v>2194</v>
      </c>
      <c r="B1252" t="s">
        <v>2195</v>
      </c>
      <c r="C1252" t="s">
        <v>214</v>
      </c>
      <c r="D1252">
        <v>4.7930000000000001</v>
      </c>
      <c r="E1252" s="4">
        <v>1534</v>
      </c>
      <c r="F1252" t="str">
        <f>HYPERLINK("https://www.google.com/maps/search/?api=1&amp;query=25.6197703,45.55420143", "View Map")</f>
        <v>View Map</v>
      </c>
      <c r="G1252" s="2">
        <v>0.60006298057377738</v>
      </c>
    </row>
    <row r="1253" spans="1:7" x14ac:dyDescent="0.3">
      <c r="A1253" t="s">
        <v>46</v>
      </c>
      <c r="B1253" t="s">
        <v>2196</v>
      </c>
      <c r="C1253" t="s">
        <v>8</v>
      </c>
      <c r="D1253">
        <v>4.7889999999999997</v>
      </c>
      <c r="E1253" s="4">
        <v>1532</v>
      </c>
      <c r="F1253" t="str">
        <f>HYPERLINK("https://www.google.com/maps/search/?api=1&amp;query=24.85562724,46.84151737", "View Map")</f>
        <v>View Map</v>
      </c>
      <c r="G1253" s="2">
        <v>0.41811338794783398</v>
      </c>
    </row>
    <row r="1254" spans="1:7" x14ac:dyDescent="0.3">
      <c r="A1254" t="s">
        <v>2197</v>
      </c>
      <c r="B1254" t="s">
        <v>2198</v>
      </c>
      <c r="C1254" t="s">
        <v>8</v>
      </c>
      <c r="D1254">
        <v>4.7839999999999998</v>
      </c>
      <c r="E1254" s="4">
        <v>1531</v>
      </c>
      <c r="F1254" t="str">
        <f>HYPERLINK("https://www.google.com/maps/search/?api=1&amp;query=24.61781262,46.73282348", "View Map")</f>
        <v>View Map</v>
      </c>
    </row>
    <row r="1255" spans="1:7" x14ac:dyDescent="0.3">
      <c r="A1255" t="s">
        <v>46</v>
      </c>
      <c r="B1255" t="s">
        <v>2199</v>
      </c>
      <c r="C1255" t="s">
        <v>8</v>
      </c>
      <c r="D1255">
        <v>4.78</v>
      </c>
      <c r="E1255" s="4">
        <v>1529</v>
      </c>
      <c r="F1255" t="str">
        <f>HYPERLINK("https://www.google.com/maps/search/?api=1&amp;query=24.89492274,46.60397661", "View Map")</f>
        <v>View Map</v>
      </c>
      <c r="G1255" s="2">
        <v>0.40802745836752619</v>
      </c>
    </row>
    <row r="1256" spans="1:7" x14ac:dyDescent="0.3">
      <c r="A1256" t="s">
        <v>2200</v>
      </c>
      <c r="B1256" t="s">
        <v>2201</v>
      </c>
      <c r="C1256" t="s">
        <v>8</v>
      </c>
      <c r="D1256">
        <v>4.7779999999999996</v>
      </c>
      <c r="E1256" s="4">
        <v>1529</v>
      </c>
      <c r="F1256" t="str">
        <f>HYPERLINK("https://www.google.com/maps/search/?api=1&amp;query=24.80596193,46.88665221", "View Map")</f>
        <v>View Map</v>
      </c>
    </row>
    <row r="1257" spans="1:7" x14ac:dyDescent="0.3">
      <c r="A1257" t="s">
        <v>2202</v>
      </c>
      <c r="B1257" t="s">
        <v>2203</v>
      </c>
      <c r="C1257" t="s">
        <v>8</v>
      </c>
      <c r="D1257">
        <v>4.7779999999999996</v>
      </c>
      <c r="E1257" s="4">
        <v>1529</v>
      </c>
      <c r="F1257" t="str">
        <f>HYPERLINK("https://www.google.com/maps/search/?api=1&amp;query=24.8054749,46.86762852", "View Map")</f>
        <v>View Map</v>
      </c>
    </row>
    <row r="1258" spans="1:7" x14ac:dyDescent="0.3">
      <c r="A1258" t="s">
        <v>2204</v>
      </c>
      <c r="B1258" t="s">
        <v>2205</v>
      </c>
      <c r="C1258" t="s">
        <v>8</v>
      </c>
      <c r="D1258">
        <v>4.7750000000000004</v>
      </c>
      <c r="E1258" s="4">
        <v>1528</v>
      </c>
      <c r="F1258" t="str">
        <f>HYPERLINK("https://www.google.com/maps/search/?api=1&amp;query=24.81758482,46.74703221", "View Map")</f>
        <v>View Map</v>
      </c>
      <c r="G1258" s="2">
        <v>0.4300217035532593</v>
      </c>
    </row>
    <row r="1259" spans="1:7" x14ac:dyDescent="0.3">
      <c r="A1259" t="s">
        <v>2206</v>
      </c>
      <c r="B1259" t="s">
        <v>2207</v>
      </c>
      <c r="C1259" t="s">
        <v>8</v>
      </c>
      <c r="D1259">
        <v>4.7690000000000001</v>
      </c>
      <c r="E1259" s="4">
        <v>1526</v>
      </c>
      <c r="F1259" t="str">
        <f>HYPERLINK("https://www.google.com/maps/search/?api=1&amp;query=24.58361235,46.6761238", "View Map")</f>
        <v>View Map</v>
      </c>
    </row>
    <row r="1260" spans="1:7" x14ac:dyDescent="0.3">
      <c r="A1260" t="s">
        <v>2208</v>
      </c>
      <c r="B1260" t="s">
        <v>2209</v>
      </c>
      <c r="C1260" t="s">
        <v>30</v>
      </c>
      <c r="D1260">
        <v>4.7690000000000001</v>
      </c>
      <c r="E1260" s="4">
        <v>1526</v>
      </c>
      <c r="F1260" t="str">
        <f>HYPERLINK("https://www.google.com/maps/search/?api=1&amp;query=24.15396657,47.32782008", "View Map")</f>
        <v>View Map</v>
      </c>
    </row>
    <row r="1261" spans="1:7" x14ac:dyDescent="0.3">
      <c r="A1261" t="s">
        <v>2210</v>
      </c>
      <c r="B1261" t="s">
        <v>2211</v>
      </c>
      <c r="C1261" t="s">
        <v>55</v>
      </c>
      <c r="D1261">
        <v>4.7679999999999998</v>
      </c>
      <c r="E1261" s="4">
        <v>1526</v>
      </c>
      <c r="F1261" t="str">
        <f>HYPERLINK("https://www.google.com/maps/search/?api=1&amp;query=24.7560703,46.54113542", "View Map")</f>
        <v>View Map</v>
      </c>
      <c r="G1261" s="2">
        <v>0.35714238085759759</v>
      </c>
    </row>
    <row r="1262" spans="1:7" x14ac:dyDescent="0.3">
      <c r="A1262" t="s">
        <v>2212</v>
      </c>
      <c r="B1262" t="s">
        <v>2213</v>
      </c>
      <c r="C1262" t="s">
        <v>8</v>
      </c>
      <c r="D1262">
        <v>4.766</v>
      </c>
      <c r="E1262" s="4">
        <v>1525</v>
      </c>
      <c r="F1262" t="str">
        <f>HYPERLINK("https://www.google.com/maps/search/?api=1&amp;query=24.58403716,46.66459112", "View Map")</f>
        <v>View Map</v>
      </c>
    </row>
    <row r="1263" spans="1:7" x14ac:dyDescent="0.3">
      <c r="A1263" t="s">
        <v>2214</v>
      </c>
      <c r="B1263" t="s">
        <v>2215</v>
      </c>
      <c r="C1263" t="s">
        <v>255</v>
      </c>
      <c r="D1263">
        <v>4.7619999999999996</v>
      </c>
      <c r="E1263" s="4">
        <v>1524</v>
      </c>
      <c r="F1263" t="str">
        <f>HYPERLINK("https://www.google.com/maps/search/?api=1&amp;query=25.19697171,44.60392723", "View Map")</f>
        <v>View Map</v>
      </c>
      <c r="G1263" s="2">
        <v>0.71212102269788435</v>
      </c>
    </row>
    <row r="1264" spans="1:7" x14ac:dyDescent="0.3">
      <c r="A1264" t="s">
        <v>2216</v>
      </c>
      <c r="B1264" t="s">
        <v>2217</v>
      </c>
      <c r="C1264" t="s">
        <v>8</v>
      </c>
      <c r="D1264">
        <v>4.7569999999999997</v>
      </c>
      <c r="E1264" s="4">
        <v>1522</v>
      </c>
      <c r="F1264" t="str">
        <f>HYPERLINK("https://www.google.com/maps/search/?api=1&amp;query=24.58563855,46.65142248", "View Map")</f>
        <v>View Map</v>
      </c>
    </row>
    <row r="1265" spans="1:7" x14ac:dyDescent="0.3">
      <c r="A1265" t="s">
        <v>2218</v>
      </c>
      <c r="B1265" t="s">
        <v>2219</v>
      </c>
      <c r="C1265" t="s">
        <v>8</v>
      </c>
      <c r="D1265">
        <v>4.7549999999999999</v>
      </c>
      <c r="E1265" s="4">
        <v>1522</v>
      </c>
      <c r="F1265" t="str">
        <f>HYPERLINK("https://www.google.com/maps/search/?api=1&amp;query=24.57897632,46.58187586", "View Map")</f>
        <v>View Map</v>
      </c>
      <c r="G1265" s="2">
        <v>0.36920156173783658</v>
      </c>
    </row>
    <row r="1266" spans="1:7" x14ac:dyDescent="0.3">
      <c r="A1266" t="s">
        <v>46</v>
      </c>
      <c r="B1266" t="s">
        <v>2220</v>
      </c>
      <c r="C1266" t="s">
        <v>8</v>
      </c>
      <c r="D1266">
        <v>4.7549999999999999</v>
      </c>
      <c r="E1266" s="4">
        <v>1521</v>
      </c>
      <c r="F1266" t="str">
        <f>HYPERLINK("https://www.google.com/maps/search/?api=1&amp;query=24.64848249,46.7927488", "View Map")</f>
        <v>View Map</v>
      </c>
      <c r="G1266" s="2">
        <v>0.4975989889685225</v>
      </c>
    </row>
    <row r="1267" spans="1:7" x14ac:dyDescent="0.3">
      <c r="A1267" t="s">
        <v>661</v>
      </c>
      <c r="B1267" t="s">
        <v>2221</v>
      </c>
      <c r="C1267" t="s">
        <v>214</v>
      </c>
      <c r="D1267">
        <v>4.7539999999999996</v>
      </c>
      <c r="E1267" s="4">
        <v>1521</v>
      </c>
      <c r="F1267" t="str">
        <f>HYPERLINK("https://www.google.com/maps/search/?api=1&amp;query=25.60686121,45.62536746", "View Map")</f>
        <v>View Map</v>
      </c>
      <c r="G1267" s="2">
        <v>0.45098029473292539</v>
      </c>
    </row>
    <row r="1268" spans="1:7" x14ac:dyDescent="0.3">
      <c r="A1268" t="s">
        <v>2222</v>
      </c>
      <c r="B1268" t="s">
        <v>2223</v>
      </c>
      <c r="C1268" t="s">
        <v>8</v>
      </c>
      <c r="D1268">
        <v>4.7519999999999998</v>
      </c>
      <c r="E1268" s="4">
        <v>1521</v>
      </c>
      <c r="F1268" t="str">
        <f>HYPERLINK("https://www.google.com/maps/search/?api=1&amp;query=24.57561083,46.70002752", "View Map")</f>
        <v>View Map</v>
      </c>
    </row>
    <row r="1269" spans="1:7" x14ac:dyDescent="0.3">
      <c r="A1269" t="s">
        <v>46</v>
      </c>
      <c r="B1269" t="s">
        <v>2224</v>
      </c>
      <c r="C1269" t="s">
        <v>8</v>
      </c>
      <c r="D1269">
        <v>4.75</v>
      </c>
      <c r="E1269" s="4">
        <v>1520</v>
      </c>
      <c r="F1269" t="str">
        <f>HYPERLINK("https://www.google.com/maps/search/?api=1&amp;query=24.85334648,46.82699941", "View Map")</f>
        <v>View Map</v>
      </c>
      <c r="G1269" s="2">
        <v>0.85578779313558018</v>
      </c>
    </row>
    <row r="1270" spans="1:7" x14ac:dyDescent="0.3">
      <c r="A1270" t="s">
        <v>46</v>
      </c>
      <c r="B1270" t="s">
        <v>2225</v>
      </c>
      <c r="C1270" t="s">
        <v>8</v>
      </c>
      <c r="D1270">
        <v>4.7489999999999997</v>
      </c>
      <c r="E1270" s="4">
        <v>1520</v>
      </c>
      <c r="F1270" t="str">
        <f>HYPERLINK("https://www.google.com/maps/search/?api=1&amp;query=24.7973959,46.70690553", "View Map")</f>
        <v>View Map</v>
      </c>
    </row>
    <row r="1271" spans="1:7" x14ac:dyDescent="0.3">
      <c r="A1271" t="s">
        <v>887</v>
      </c>
      <c r="B1271" t="s">
        <v>2226</v>
      </c>
      <c r="C1271" t="s">
        <v>8</v>
      </c>
      <c r="D1271">
        <v>4.74</v>
      </c>
      <c r="E1271" s="4">
        <v>1517</v>
      </c>
      <c r="F1271" t="str">
        <f>HYPERLINK("https://www.google.com/maps/search/?api=1&amp;query=24.72069939,46.78038202", "View Map")</f>
        <v>View Map</v>
      </c>
    </row>
    <row r="1272" spans="1:7" x14ac:dyDescent="0.3">
      <c r="A1272" t="s">
        <v>2227</v>
      </c>
      <c r="B1272" t="s">
        <v>2228</v>
      </c>
      <c r="C1272" t="s">
        <v>214</v>
      </c>
      <c r="D1272">
        <v>4.7389999999999999</v>
      </c>
      <c r="E1272" s="4">
        <v>1517</v>
      </c>
      <c r="F1272" t="str">
        <f>HYPERLINK("https://www.google.com/maps/search/?api=1&amp;query=25.91211118,45.39332884", "View Map")</f>
        <v>View Map</v>
      </c>
      <c r="G1272" s="2">
        <v>0.74254674279272748</v>
      </c>
    </row>
    <row r="1273" spans="1:7" x14ac:dyDescent="0.3">
      <c r="A1273" t="s">
        <v>2229</v>
      </c>
      <c r="B1273" t="s">
        <v>2230</v>
      </c>
      <c r="C1273" t="s">
        <v>8</v>
      </c>
      <c r="D1273">
        <v>4.7350000000000003</v>
      </c>
      <c r="E1273" s="4">
        <v>1515</v>
      </c>
      <c r="F1273" t="str">
        <f>HYPERLINK("https://www.google.com/maps/search/?api=1&amp;query=24.74494592,46.83091449", "View Map")</f>
        <v>View Map</v>
      </c>
    </row>
    <row r="1274" spans="1:7" x14ac:dyDescent="0.3">
      <c r="A1274" t="s">
        <v>46</v>
      </c>
      <c r="B1274" t="s">
        <v>2231</v>
      </c>
      <c r="C1274" t="s">
        <v>8</v>
      </c>
      <c r="D1274">
        <v>4.734</v>
      </c>
      <c r="E1274" s="4">
        <v>1515</v>
      </c>
      <c r="F1274" t="str">
        <f>HYPERLINK("https://www.google.com/maps/search/?api=1&amp;query=24.92570141,46.81880472", "View Map")</f>
        <v>View Map</v>
      </c>
      <c r="G1274" s="2">
        <v>0.39023397711361041</v>
      </c>
    </row>
    <row r="1275" spans="1:7" x14ac:dyDescent="0.3">
      <c r="A1275" t="s">
        <v>146</v>
      </c>
      <c r="B1275" t="s">
        <v>2232</v>
      </c>
      <c r="C1275" t="s">
        <v>8</v>
      </c>
      <c r="D1275">
        <v>4.734</v>
      </c>
      <c r="E1275" s="4">
        <v>1515</v>
      </c>
      <c r="F1275" t="str">
        <f>HYPERLINK("https://www.google.com/maps/search/?api=1&amp;query=24.54906702,46.57560674", "View Map")</f>
        <v>View Map</v>
      </c>
    </row>
    <row r="1276" spans="1:7" x14ac:dyDescent="0.3">
      <c r="A1276" t="s">
        <v>2233</v>
      </c>
      <c r="B1276" t="s">
        <v>2234</v>
      </c>
      <c r="C1276" t="s">
        <v>8</v>
      </c>
      <c r="D1276">
        <v>4.7279999999999998</v>
      </c>
      <c r="E1276" s="4">
        <v>1513</v>
      </c>
      <c r="F1276" t="str">
        <f>HYPERLINK("https://www.google.com/maps/search/?api=1&amp;query=24.62077793,46.72050534", "View Map")</f>
        <v>View Map</v>
      </c>
      <c r="G1276" s="2">
        <v>0.38862806305350861</v>
      </c>
    </row>
    <row r="1277" spans="1:7" x14ac:dyDescent="0.3">
      <c r="A1277" t="s">
        <v>2235</v>
      </c>
      <c r="B1277" t="s">
        <v>2236</v>
      </c>
      <c r="C1277" t="s">
        <v>8</v>
      </c>
      <c r="D1277">
        <v>4.7249999999999996</v>
      </c>
      <c r="E1277" s="4">
        <v>1512</v>
      </c>
      <c r="F1277" t="str">
        <f>HYPERLINK("https://www.google.com/maps/search/?api=1&amp;query=24.70136121,46.68967755", "View Map")</f>
        <v>View Map</v>
      </c>
      <c r="G1277" s="2">
        <v>0.61065296930977286</v>
      </c>
    </row>
    <row r="1278" spans="1:7" x14ac:dyDescent="0.3">
      <c r="A1278" t="s">
        <v>2237</v>
      </c>
      <c r="B1278" t="s">
        <v>2238</v>
      </c>
      <c r="C1278" t="s">
        <v>8</v>
      </c>
      <c r="D1278">
        <v>4.7240000000000002</v>
      </c>
      <c r="E1278" s="4">
        <v>1512</v>
      </c>
      <c r="F1278" t="str">
        <f>HYPERLINK("https://www.google.com/maps/search/?api=1&amp;query=24.63964814,46.78593666", "View Map")</f>
        <v>View Map</v>
      </c>
    </row>
    <row r="1279" spans="1:7" x14ac:dyDescent="0.3">
      <c r="A1279" t="s">
        <v>46</v>
      </c>
      <c r="B1279" t="s">
        <v>2239</v>
      </c>
      <c r="C1279" t="s">
        <v>8</v>
      </c>
      <c r="D1279">
        <v>4.7220000000000004</v>
      </c>
      <c r="E1279" s="4">
        <v>1511</v>
      </c>
      <c r="F1279" t="str">
        <f>HYPERLINK("https://www.google.com/maps/search/?api=1&amp;query=24.8132609,46.76532847", "View Map")</f>
        <v>View Map</v>
      </c>
      <c r="G1279" s="2">
        <v>0.37911658611769761</v>
      </c>
    </row>
    <row r="1280" spans="1:7" x14ac:dyDescent="0.3">
      <c r="A1280" t="s">
        <v>2240</v>
      </c>
      <c r="B1280" t="s">
        <v>2241</v>
      </c>
      <c r="C1280" t="s">
        <v>8</v>
      </c>
      <c r="D1280">
        <v>4.7220000000000004</v>
      </c>
      <c r="E1280" s="4">
        <v>1511</v>
      </c>
      <c r="F1280" t="str">
        <f>HYPERLINK("https://www.google.com/maps/search/?api=1&amp;query=24.56863421,46.80182417", "View Map")</f>
        <v>View Map</v>
      </c>
    </row>
    <row r="1281" spans="1:7" x14ac:dyDescent="0.3">
      <c r="A1281" t="s">
        <v>2242</v>
      </c>
      <c r="B1281" t="s">
        <v>2243</v>
      </c>
      <c r="C1281" t="s">
        <v>8</v>
      </c>
      <c r="D1281">
        <v>4.7190000000000003</v>
      </c>
      <c r="E1281" s="4">
        <v>1510</v>
      </c>
      <c r="F1281" t="str">
        <f>HYPERLINK("https://www.google.com/maps/search/?api=1&amp;query=24.72772256,46.77760433", "View Map")</f>
        <v>View Map</v>
      </c>
      <c r="G1281" s="2">
        <v>0.47540669884898251</v>
      </c>
    </row>
    <row r="1282" spans="1:7" x14ac:dyDescent="0.3">
      <c r="A1282" t="s">
        <v>627</v>
      </c>
      <c r="B1282" t="s">
        <v>2244</v>
      </c>
      <c r="C1282" t="s">
        <v>8</v>
      </c>
      <c r="D1282">
        <v>4.7190000000000003</v>
      </c>
      <c r="E1282" s="4">
        <v>1510</v>
      </c>
      <c r="F1282" t="str">
        <f>HYPERLINK("https://www.google.com/maps/search/?api=1&amp;query=24.64007616,46.54326218", "View Map")</f>
        <v>View Map</v>
      </c>
      <c r="G1282" s="2">
        <v>0.39396134766852497</v>
      </c>
    </row>
    <row r="1283" spans="1:7" x14ac:dyDescent="0.3">
      <c r="A1283" t="s">
        <v>28</v>
      </c>
      <c r="B1283" t="s">
        <v>2245</v>
      </c>
      <c r="C1283" t="s">
        <v>30</v>
      </c>
      <c r="D1283">
        <v>4.718</v>
      </c>
      <c r="E1283" s="4">
        <v>1510</v>
      </c>
      <c r="F1283" t="str">
        <f>HYPERLINK("https://www.google.com/maps/search/?api=1&amp;query=24.17319047,47.34223867", "View Map")</f>
        <v>View Map</v>
      </c>
    </row>
    <row r="1284" spans="1:7" x14ac:dyDescent="0.3">
      <c r="A1284" t="s">
        <v>2246</v>
      </c>
      <c r="B1284" t="s">
        <v>2247</v>
      </c>
      <c r="C1284" t="s">
        <v>8</v>
      </c>
      <c r="D1284">
        <v>4.7160000000000002</v>
      </c>
      <c r="E1284" s="4">
        <v>1509</v>
      </c>
      <c r="F1284" t="str">
        <f>HYPERLINK("https://www.google.com/maps/search/?api=1&amp;query=24.54825086,46.66671335", "View Map")</f>
        <v>View Map</v>
      </c>
    </row>
    <row r="1285" spans="1:7" x14ac:dyDescent="0.3">
      <c r="A1285" t="s">
        <v>2248</v>
      </c>
      <c r="B1285" t="s">
        <v>2249</v>
      </c>
      <c r="C1285" t="s">
        <v>30</v>
      </c>
      <c r="D1285">
        <v>4.7140000000000004</v>
      </c>
      <c r="E1285" s="4">
        <v>1508</v>
      </c>
      <c r="F1285" t="str">
        <f>HYPERLINK("https://www.google.com/maps/search/?api=1&amp;query=24.12023,47.29528", "View Map")</f>
        <v>View Map</v>
      </c>
      <c r="G1285" s="2">
        <v>0.83769274476284716</v>
      </c>
    </row>
    <row r="1286" spans="1:7" x14ac:dyDescent="0.3">
      <c r="A1286" t="s">
        <v>2250</v>
      </c>
      <c r="B1286" t="s">
        <v>2251</v>
      </c>
      <c r="C1286" t="s">
        <v>8</v>
      </c>
      <c r="D1286">
        <v>4.7130000000000001</v>
      </c>
      <c r="E1286" s="4">
        <v>1508</v>
      </c>
      <c r="F1286" t="str">
        <f>HYPERLINK("https://www.google.com/maps/search/?api=1&amp;query=24.82374455,46.8053947", "View Map")</f>
        <v>View Map</v>
      </c>
      <c r="G1286" s="2">
        <v>0.48871692127497801</v>
      </c>
    </row>
    <row r="1287" spans="1:7" x14ac:dyDescent="0.3">
      <c r="A1287" t="s">
        <v>2252</v>
      </c>
      <c r="B1287" t="s">
        <v>2253</v>
      </c>
      <c r="C1287" t="s">
        <v>646</v>
      </c>
      <c r="D1287">
        <v>4.7080000000000002</v>
      </c>
      <c r="E1287" s="4">
        <v>1507</v>
      </c>
      <c r="F1287" t="str">
        <f>HYPERLINK("https://www.google.com/maps/search/?api=1&amp;query=20.4583537,45.5847935", "View Map")</f>
        <v>View Map</v>
      </c>
      <c r="G1287" s="2">
        <v>0.53735308174334262</v>
      </c>
    </row>
    <row r="1288" spans="1:7" x14ac:dyDescent="0.3">
      <c r="A1288" t="s">
        <v>2254</v>
      </c>
      <c r="B1288" t="s">
        <v>2255</v>
      </c>
      <c r="C1288" t="s">
        <v>8</v>
      </c>
      <c r="D1288">
        <v>4.7030000000000003</v>
      </c>
      <c r="E1288" s="4">
        <v>1505</v>
      </c>
      <c r="F1288" t="str">
        <f>HYPERLINK("https://www.google.com/maps/search/?api=1&amp;query=24.62408399,46.7153048", "View Map")</f>
        <v>View Map</v>
      </c>
    </row>
    <row r="1289" spans="1:7" x14ac:dyDescent="0.3">
      <c r="A1289" t="s">
        <v>2256</v>
      </c>
      <c r="B1289" t="s">
        <v>2257</v>
      </c>
      <c r="C1289" t="s">
        <v>8</v>
      </c>
      <c r="D1289">
        <v>4.7009999999999996</v>
      </c>
      <c r="E1289" s="4">
        <v>1504</v>
      </c>
      <c r="F1289" t="str">
        <f>HYPERLINK("https://www.google.com/maps/search/?api=1&amp;query=24.80221509,46.8580866", "View Map")</f>
        <v>View Map</v>
      </c>
    </row>
    <row r="1290" spans="1:7" x14ac:dyDescent="0.3">
      <c r="A1290" t="s">
        <v>2258</v>
      </c>
      <c r="B1290" t="s">
        <v>2259</v>
      </c>
      <c r="C1290" t="s">
        <v>8</v>
      </c>
      <c r="D1290">
        <v>4.6970000000000001</v>
      </c>
      <c r="E1290" s="4">
        <v>1503</v>
      </c>
      <c r="F1290" t="str">
        <f>HYPERLINK("https://www.google.com/maps/search/?api=1&amp;query=24.80817482,46.85859346", "View Map")</f>
        <v>View Map</v>
      </c>
      <c r="G1290" s="2">
        <v>0.74473623354190333</v>
      </c>
    </row>
    <row r="1291" spans="1:7" x14ac:dyDescent="0.3">
      <c r="A1291" t="s">
        <v>2260</v>
      </c>
      <c r="B1291" t="s">
        <v>2261</v>
      </c>
      <c r="C1291" t="s">
        <v>8</v>
      </c>
      <c r="D1291">
        <v>4.6959999999999997</v>
      </c>
      <c r="E1291" s="4">
        <v>1503</v>
      </c>
      <c r="F1291" t="str">
        <f>HYPERLINK("https://www.google.com/maps/search/?api=1&amp;query=24.68479353,46.68288632", "View Map")</f>
        <v>View Map</v>
      </c>
      <c r="G1291" s="2">
        <v>0.51381083907917591</v>
      </c>
    </row>
    <row r="1292" spans="1:7" x14ac:dyDescent="0.3">
      <c r="A1292" t="s">
        <v>46</v>
      </c>
      <c r="B1292" t="s">
        <v>2262</v>
      </c>
      <c r="C1292" t="s">
        <v>8</v>
      </c>
      <c r="D1292">
        <v>4.6929999999999996</v>
      </c>
      <c r="E1292" s="4">
        <v>1502</v>
      </c>
      <c r="F1292" t="str">
        <f>HYPERLINK("https://www.google.com/maps/search/?api=1&amp;query=24.63936591,46.48995104", "View Map")</f>
        <v>View Map</v>
      </c>
      <c r="G1292" s="2">
        <v>0.3865020607064803</v>
      </c>
    </row>
    <row r="1293" spans="1:7" x14ac:dyDescent="0.3">
      <c r="A1293" t="s">
        <v>2263</v>
      </c>
      <c r="B1293" t="s">
        <v>2264</v>
      </c>
      <c r="C1293" t="s">
        <v>8</v>
      </c>
      <c r="D1293">
        <v>4.6870000000000003</v>
      </c>
      <c r="E1293" s="4">
        <v>1500</v>
      </c>
      <c r="F1293" t="str">
        <f>HYPERLINK("https://www.google.com/maps/search/?api=1&amp;query=24.79669619,46.85184418", "View Map")</f>
        <v>View Map</v>
      </c>
    </row>
    <row r="1294" spans="1:7" x14ac:dyDescent="0.3">
      <c r="A1294" t="s">
        <v>2265</v>
      </c>
      <c r="B1294" t="s">
        <v>2266</v>
      </c>
      <c r="C1294" t="s">
        <v>21</v>
      </c>
      <c r="D1294">
        <v>4.6849999999999996</v>
      </c>
      <c r="E1294" s="4">
        <v>1499</v>
      </c>
      <c r="F1294" t="str">
        <f>HYPERLINK("https://www.google.com/maps/search/?api=1&amp;query=26.30351179,44.81387729", "View Map")</f>
        <v>View Map</v>
      </c>
      <c r="G1294" s="2">
        <v>0.71321313092563154</v>
      </c>
    </row>
    <row r="1295" spans="1:7" x14ac:dyDescent="0.3">
      <c r="A1295" t="s">
        <v>2267</v>
      </c>
      <c r="B1295" t="s">
        <v>2268</v>
      </c>
      <c r="C1295" t="s">
        <v>8</v>
      </c>
      <c r="D1295">
        <v>4.6849999999999996</v>
      </c>
      <c r="E1295" s="4">
        <v>1499</v>
      </c>
      <c r="F1295" t="str">
        <f>HYPERLINK("https://www.google.com/maps/search/?api=1&amp;query=24.72332361,46.79331423", "View Map")</f>
        <v>View Map</v>
      </c>
      <c r="G1295" s="2">
        <v>0.2383639378820884</v>
      </c>
    </row>
    <row r="1296" spans="1:7" x14ac:dyDescent="0.3">
      <c r="A1296" t="s">
        <v>2269</v>
      </c>
      <c r="B1296" t="s">
        <v>2270</v>
      </c>
      <c r="C1296" t="s">
        <v>8</v>
      </c>
      <c r="D1296">
        <v>4.6820000000000004</v>
      </c>
      <c r="E1296" s="4">
        <v>1498</v>
      </c>
      <c r="F1296" t="str">
        <f>HYPERLINK("https://www.google.com/maps/search/?api=1&amp;query=24.69513058,46.67782228", "View Map")</f>
        <v>View Map</v>
      </c>
    </row>
    <row r="1297" spans="1:7" x14ac:dyDescent="0.3">
      <c r="A1297" t="s">
        <v>46</v>
      </c>
      <c r="B1297" t="s">
        <v>2271</v>
      </c>
      <c r="C1297" t="s">
        <v>8</v>
      </c>
      <c r="D1297">
        <v>4.68</v>
      </c>
      <c r="E1297" s="4">
        <v>1497</v>
      </c>
      <c r="F1297" t="str">
        <f>HYPERLINK("https://www.google.com/maps/search/?api=1&amp;query=24.81908134,46.6605319", "View Map")</f>
        <v>View Map</v>
      </c>
    </row>
    <row r="1298" spans="1:7" x14ac:dyDescent="0.3">
      <c r="A1298" t="s">
        <v>2272</v>
      </c>
      <c r="B1298" t="s">
        <v>2273</v>
      </c>
      <c r="C1298" t="s">
        <v>8</v>
      </c>
      <c r="D1298">
        <v>4.68</v>
      </c>
      <c r="E1298" s="4">
        <v>1498</v>
      </c>
      <c r="F1298" t="str">
        <f>HYPERLINK("https://www.google.com/maps/search/?api=1&amp;query=24.71556644,46.6618734", "View Map")</f>
        <v>View Map</v>
      </c>
      <c r="G1298" s="2">
        <v>0.30449868927812551</v>
      </c>
    </row>
    <row r="1299" spans="1:7" x14ac:dyDescent="0.3">
      <c r="A1299" t="s">
        <v>2274</v>
      </c>
      <c r="B1299" t="s">
        <v>2275</v>
      </c>
      <c r="C1299" t="s">
        <v>8</v>
      </c>
      <c r="D1299">
        <v>4.6769999999999996</v>
      </c>
      <c r="E1299" s="4">
        <v>1496</v>
      </c>
      <c r="F1299" t="str">
        <f>HYPERLINK("https://www.google.com/maps/search/?api=1&amp;query=24.74067191,46.82436082", "View Map")</f>
        <v>View Map</v>
      </c>
    </row>
    <row r="1300" spans="1:7" x14ac:dyDescent="0.3">
      <c r="A1300" t="s">
        <v>2276</v>
      </c>
      <c r="B1300" t="s">
        <v>2277</v>
      </c>
      <c r="C1300" t="s">
        <v>8</v>
      </c>
      <c r="D1300">
        <v>4.6749999999999998</v>
      </c>
      <c r="E1300" s="4">
        <v>1496</v>
      </c>
      <c r="F1300" t="str">
        <f>HYPERLINK("https://www.google.com/maps/search/?api=1&amp;query=24.79445521,46.69715011", "View Map")</f>
        <v>View Map</v>
      </c>
      <c r="G1300" s="2">
        <v>0.44221385921674711</v>
      </c>
    </row>
    <row r="1301" spans="1:7" x14ac:dyDescent="0.3">
      <c r="A1301" t="s">
        <v>146</v>
      </c>
      <c r="B1301" t="s">
        <v>2278</v>
      </c>
      <c r="C1301" t="s">
        <v>8</v>
      </c>
      <c r="D1301">
        <v>4.673</v>
      </c>
      <c r="E1301" s="4">
        <v>1495</v>
      </c>
      <c r="F1301" t="str">
        <f>HYPERLINK("https://www.google.com/maps/search/?api=1&amp;query=24.55634248,46.658621", "View Map")</f>
        <v>View Map</v>
      </c>
      <c r="G1301" s="2">
        <v>0.5659199555308505</v>
      </c>
    </row>
    <row r="1302" spans="1:7" x14ac:dyDescent="0.3">
      <c r="A1302" t="s">
        <v>2279</v>
      </c>
      <c r="B1302" t="s">
        <v>2280</v>
      </c>
      <c r="C1302" t="s">
        <v>214</v>
      </c>
      <c r="D1302">
        <v>4.6719999999999997</v>
      </c>
      <c r="E1302" s="4">
        <v>1495</v>
      </c>
      <c r="F1302" t="str">
        <f>HYPERLINK("https://www.google.com/maps/search/?api=1&amp;query=25.91657669,45.35381858", "View Map")</f>
        <v>View Map</v>
      </c>
      <c r="G1302" s="2">
        <v>0.64217916644496842</v>
      </c>
    </row>
    <row r="1303" spans="1:7" x14ac:dyDescent="0.3">
      <c r="A1303" t="s">
        <v>2281</v>
      </c>
      <c r="B1303" t="s">
        <v>2282</v>
      </c>
      <c r="C1303" t="s">
        <v>8</v>
      </c>
      <c r="D1303">
        <v>4.6689999999999996</v>
      </c>
      <c r="E1303" s="4">
        <v>1494</v>
      </c>
      <c r="F1303" t="str">
        <f>HYPERLINK("https://www.google.com/maps/search/?api=1&amp;query=24.70084072,46.80484557", "View Map")</f>
        <v>View Map</v>
      </c>
    </row>
    <row r="1304" spans="1:7" x14ac:dyDescent="0.3">
      <c r="A1304" t="s">
        <v>2283</v>
      </c>
      <c r="B1304" t="s">
        <v>2284</v>
      </c>
      <c r="C1304" t="s">
        <v>8</v>
      </c>
      <c r="D1304">
        <v>4.6680000000000001</v>
      </c>
      <c r="E1304" s="4">
        <v>1494</v>
      </c>
      <c r="F1304" t="str">
        <f>HYPERLINK("https://www.google.com/maps/search/?api=1&amp;query=24.63805306,46.75003848", "View Map")</f>
        <v>View Map</v>
      </c>
    </row>
    <row r="1305" spans="1:7" x14ac:dyDescent="0.3">
      <c r="A1305" t="s">
        <v>2285</v>
      </c>
      <c r="B1305" t="s">
        <v>2286</v>
      </c>
      <c r="C1305" t="s">
        <v>8</v>
      </c>
      <c r="D1305">
        <v>4.66</v>
      </c>
      <c r="E1305" s="4">
        <v>1491</v>
      </c>
      <c r="F1305" t="str">
        <f>HYPERLINK("https://www.google.com/maps/search/?api=1&amp;query=24.74446412,46.78346912", "View Map")</f>
        <v>View Map</v>
      </c>
    </row>
    <row r="1306" spans="1:7" x14ac:dyDescent="0.3">
      <c r="A1306" t="s">
        <v>2287</v>
      </c>
      <c r="B1306" t="s">
        <v>2288</v>
      </c>
      <c r="C1306" t="s">
        <v>8</v>
      </c>
      <c r="D1306">
        <v>4.6589999999999998</v>
      </c>
      <c r="E1306" s="4">
        <v>1491</v>
      </c>
      <c r="F1306" t="str">
        <f>HYPERLINK("https://www.google.com/maps/search/?api=1&amp;query=24.76800114,46.65045529", "View Map")</f>
        <v>View Map</v>
      </c>
    </row>
    <row r="1307" spans="1:7" x14ac:dyDescent="0.3">
      <c r="A1307" t="s">
        <v>2289</v>
      </c>
      <c r="B1307" t="s">
        <v>2290</v>
      </c>
      <c r="C1307" t="s">
        <v>8</v>
      </c>
      <c r="D1307">
        <v>4.6559999999999997</v>
      </c>
      <c r="E1307" s="4">
        <v>1490</v>
      </c>
      <c r="F1307" t="str">
        <f>HYPERLINK("https://www.google.com/maps/search/?api=1&amp;query=24.57716248,46.52478901", "View Map")</f>
        <v>View Map</v>
      </c>
      <c r="G1307" s="2">
        <v>0.5789500074396724</v>
      </c>
    </row>
    <row r="1308" spans="1:7" x14ac:dyDescent="0.3">
      <c r="A1308" t="s">
        <v>2291</v>
      </c>
      <c r="B1308" t="s">
        <v>2292</v>
      </c>
      <c r="C1308" t="s">
        <v>8</v>
      </c>
      <c r="D1308">
        <v>4.6550000000000002</v>
      </c>
      <c r="E1308" s="4">
        <v>1490</v>
      </c>
      <c r="F1308" t="str">
        <f>HYPERLINK("https://www.google.com/maps/search/?api=1&amp;query=24.66795984,46.70400926", "View Map")</f>
        <v>View Map</v>
      </c>
    </row>
    <row r="1309" spans="1:7" x14ac:dyDescent="0.3">
      <c r="A1309" t="s">
        <v>2293</v>
      </c>
      <c r="B1309" t="s">
        <v>2294</v>
      </c>
      <c r="C1309" t="s">
        <v>8</v>
      </c>
      <c r="D1309">
        <v>4.6529999999999996</v>
      </c>
      <c r="E1309" s="4">
        <v>1489</v>
      </c>
      <c r="F1309" t="str">
        <f>HYPERLINK("https://www.google.com/maps/search/?api=1&amp;query=24.78505252,46.75259701", "View Map")</f>
        <v>View Map</v>
      </c>
    </row>
    <row r="1310" spans="1:7" x14ac:dyDescent="0.3">
      <c r="A1310" t="s">
        <v>2295</v>
      </c>
      <c r="B1310" t="s">
        <v>2296</v>
      </c>
      <c r="C1310" t="s">
        <v>8</v>
      </c>
      <c r="D1310">
        <v>4.6520000000000001</v>
      </c>
      <c r="E1310" s="4">
        <v>1489</v>
      </c>
      <c r="F1310" t="str">
        <f>HYPERLINK("https://www.google.com/maps/search/?api=1&amp;query=24.62772558,46.78719619", "View Map")</f>
        <v>View Map</v>
      </c>
    </row>
    <row r="1311" spans="1:7" x14ac:dyDescent="0.3">
      <c r="A1311" t="s">
        <v>433</v>
      </c>
      <c r="B1311" t="s">
        <v>2297</v>
      </c>
      <c r="C1311" t="s">
        <v>137</v>
      </c>
      <c r="D1311">
        <v>4.6520000000000001</v>
      </c>
      <c r="E1311" s="4">
        <v>1489</v>
      </c>
      <c r="F1311" t="str">
        <f>HYPERLINK("https://www.google.com/maps/search/?api=1&amp;query=23.4925467,46.86371686", "View Map")</f>
        <v>View Map</v>
      </c>
      <c r="G1311" s="2">
        <v>0.35966940463274688</v>
      </c>
    </row>
    <row r="1312" spans="1:7" x14ac:dyDescent="0.3">
      <c r="A1312" t="s">
        <v>2298</v>
      </c>
      <c r="B1312" t="s">
        <v>2299</v>
      </c>
      <c r="C1312" t="s">
        <v>8</v>
      </c>
      <c r="D1312">
        <v>4.6470000000000002</v>
      </c>
      <c r="E1312" s="4">
        <v>1487</v>
      </c>
      <c r="F1312" t="str">
        <f>HYPERLINK("https://www.google.com/maps/search/?api=1&amp;query=24.69238149,46.78632073", "View Map")</f>
        <v>View Map</v>
      </c>
    </row>
    <row r="1313" spans="1:7" x14ac:dyDescent="0.3">
      <c r="A1313" t="s">
        <v>2300</v>
      </c>
      <c r="B1313" t="s">
        <v>2301</v>
      </c>
      <c r="C1313" t="s">
        <v>8</v>
      </c>
      <c r="D1313">
        <v>4.6470000000000002</v>
      </c>
      <c r="E1313" s="4">
        <v>1487</v>
      </c>
      <c r="F1313" t="str">
        <f>HYPERLINK("https://www.google.com/maps/search/?api=1&amp;query=24.78143019,46.77591533", "View Map")</f>
        <v>View Map</v>
      </c>
      <c r="G1313" s="2">
        <v>0.30481252056928332</v>
      </c>
    </row>
    <row r="1314" spans="1:7" x14ac:dyDescent="0.3">
      <c r="A1314" t="s">
        <v>2302</v>
      </c>
      <c r="B1314" t="s">
        <v>2303</v>
      </c>
      <c r="C1314" t="s">
        <v>8</v>
      </c>
      <c r="D1314">
        <v>4.6360000000000001</v>
      </c>
      <c r="E1314" s="4">
        <v>1484</v>
      </c>
      <c r="F1314" t="str">
        <f>HYPERLINK("https://www.google.com/maps/search/?api=1&amp;query=24.64266918,46.72813691", "View Map")</f>
        <v>View Map</v>
      </c>
    </row>
    <row r="1315" spans="1:7" x14ac:dyDescent="0.3">
      <c r="A1315" t="s">
        <v>2304</v>
      </c>
      <c r="B1315" t="s">
        <v>2305</v>
      </c>
      <c r="C1315" t="s">
        <v>8</v>
      </c>
      <c r="D1315">
        <v>4.63</v>
      </c>
      <c r="E1315" s="4">
        <v>1481</v>
      </c>
      <c r="F1315" t="str">
        <f>HYPERLINK("https://www.google.com/maps/search/?api=1&amp;query=24.57708721,46.6730704", "View Map")</f>
        <v>View Map</v>
      </c>
      <c r="G1315" s="2">
        <v>0.42231358869529267</v>
      </c>
    </row>
    <row r="1316" spans="1:7" x14ac:dyDescent="0.3">
      <c r="A1316" t="s">
        <v>2306</v>
      </c>
      <c r="B1316" t="s">
        <v>2307</v>
      </c>
      <c r="C1316" t="s">
        <v>8</v>
      </c>
      <c r="D1316">
        <v>4.63</v>
      </c>
      <c r="E1316" s="4">
        <v>1482</v>
      </c>
      <c r="F1316" t="str">
        <f>HYPERLINK("https://www.google.com/maps/search/?api=1&amp;query=24.6907496,46.79423356", "View Map")</f>
        <v>View Map</v>
      </c>
      <c r="G1316" s="2">
        <v>0.37973946983931572</v>
      </c>
    </row>
    <row r="1317" spans="1:7" x14ac:dyDescent="0.3">
      <c r="A1317" t="s">
        <v>46</v>
      </c>
      <c r="B1317" t="s">
        <v>2308</v>
      </c>
      <c r="C1317" t="s">
        <v>8</v>
      </c>
      <c r="D1317">
        <v>4.6269999999999998</v>
      </c>
      <c r="E1317" s="4">
        <v>1481</v>
      </c>
      <c r="F1317" t="str">
        <f>HYPERLINK("https://www.google.com/maps/search/?api=1&amp;query=24.8373228,46.59367661", "View Map")</f>
        <v>View Map</v>
      </c>
    </row>
    <row r="1318" spans="1:7" x14ac:dyDescent="0.3">
      <c r="A1318" t="s">
        <v>2309</v>
      </c>
      <c r="B1318" t="s">
        <v>2310</v>
      </c>
      <c r="C1318" t="s">
        <v>255</v>
      </c>
      <c r="D1318">
        <v>4.6260000000000003</v>
      </c>
      <c r="E1318" s="4">
        <v>1480</v>
      </c>
      <c r="F1318" t="str">
        <f>HYPERLINK("https://www.google.com/maps/search/?api=1&amp;query=25.06395253,44.70479986", "View Map")</f>
        <v>View Map</v>
      </c>
      <c r="G1318" s="2">
        <v>0.68729866525021199</v>
      </c>
    </row>
    <row r="1319" spans="1:7" x14ac:dyDescent="0.3">
      <c r="A1319" t="s">
        <v>1429</v>
      </c>
      <c r="B1319" t="s">
        <v>2311</v>
      </c>
      <c r="C1319" t="s">
        <v>442</v>
      </c>
      <c r="D1319">
        <v>4.6260000000000003</v>
      </c>
      <c r="E1319" s="4">
        <v>1480</v>
      </c>
      <c r="F1319" t="str">
        <f>HYPERLINK("https://www.google.com/maps/search/?api=1&amp;query=23.63233971,46.50878673", "View Map")</f>
        <v>View Map</v>
      </c>
      <c r="G1319" s="2">
        <v>0.76806562867594408</v>
      </c>
    </row>
    <row r="1320" spans="1:7" x14ac:dyDescent="0.3">
      <c r="A1320" t="s">
        <v>2312</v>
      </c>
      <c r="B1320" t="s">
        <v>2313</v>
      </c>
      <c r="C1320" t="s">
        <v>77</v>
      </c>
      <c r="D1320">
        <v>4.6239999999999997</v>
      </c>
      <c r="E1320" s="4">
        <v>1480</v>
      </c>
      <c r="F1320" t="str">
        <f>HYPERLINK("https://www.google.com/maps/search/?api=1&amp;query=22.25706443,46.78236455", "View Map")</f>
        <v>View Map</v>
      </c>
      <c r="G1320" s="2">
        <v>0.6239398441262215</v>
      </c>
    </row>
    <row r="1321" spans="1:7" x14ac:dyDescent="0.3">
      <c r="A1321" t="s">
        <v>2314</v>
      </c>
      <c r="B1321" t="s">
        <v>2315</v>
      </c>
      <c r="C1321" t="s">
        <v>8</v>
      </c>
      <c r="D1321">
        <v>4.6210000000000004</v>
      </c>
      <c r="E1321" s="4">
        <v>1479</v>
      </c>
      <c r="F1321" t="str">
        <f>HYPERLINK("https://www.google.com/maps/search/?api=1&amp;query=24.73221186,46.71942778", "View Map")</f>
        <v>View Map</v>
      </c>
    </row>
    <row r="1322" spans="1:7" x14ac:dyDescent="0.3">
      <c r="A1322" t="s">
        <v>2316</v>
      </c>
      <c r="B1322" t="s">
        <v>2317</v>
      </c>
      <c r="C1322" t="s">
        <v>1112</v>
      </c>
      <c r="D1322">
        <v>4.6210000000000004</v>
      </c>
      <c r="E1322" s="4">
        <v>1479</v>
      </c>
      <c r="F1322" t="str">
        <f>HYPERLINK("https://www.google.com/maps/search/?api=1&amp;query=26.02870003,44.9567723", "View Map")</f>
        <v>View Map</v>
      </c>
      <c r="G1322" s="2">
        <v>0.59210337504304889</v>
      </c>
    </row>
    <row r="1323" spans="1:7" x14ac:dyDescent="0.3">
      <c r="A1323" t="s">
        <v>2318</v>
      </c>
      <c r="B1323" t="s">
        <v>2319</v>
      </c>
      <c r="C1323" t="s">
        <v>8</v>
      </c>
      <c r="D1323">
        <v>4.6189999999999998</v>
      </c>
      <c r="E1323" s="4">
        <v>1478</v>
      </c>
      <c r="F1323" t="str">
        <f>HYPERLINK("https://www.google.com/maps/search/?api=1&amp;query=24.7014662,46.64439781", "View Map")</f>
        <v>View Map</v>
      </c>
    </row>
    <row r="1324" spans="1:7" x14ac:dyDescent="0.3">
      <c r="A1324" t="s">
        <v>908</v>
      </c>
      <c r="B1324" t="s">
        <v>2320</v>
      </c>
      <c r="C1324" t="s">
        <v>8</v>
      </c>
      <c r="D1324">
        <v>4.6189999999999998</v>
      </c>
      <c r="E1324" s="4">
        <v>1478</v>
      </c>
      <c r="F1324" t="str">
        <f>HYPERLINK("https://www.google.com/maps/search/?api=1&amp;query=24.79923,46.5878", "View Map")</f>
        <v>View Map</v>
      </c>
    </row>
    <row r="1325" spans="1:7" x14ac:dyDescent="0.3">
      <c r="A1325" t="s">
        <v>2321</v>
      </c>
      <c r="B1325" t="s">
        <v>2322</v>
      </c>
      <c r="C1325" t="s">
        <v>291</v>
      </c>
      <c r="D1325">
        <v>4.6139999999999999</v>
      </c>
      <c r="E1325" s="4">
        <v>1477</v>
      </c>
      <c r="F1325" t="str">
        <f>HYPERLINK("https://www.google.com/maps/search/?api=1&amp;query=23.71893995,44.67381371", "View Map")</f>
        <v>View Map</v>
      </c>
    </row>
    <row r="1326" spans="1:7" x14ac:dyDescent="0.3">
      <c r="A1326" t="s">
        <v>2323</v>
      </c>
      <c r="B1326" t="s">
        <v>2324</v>
      </c>
      <c r="C1326" t="s">
        <v>291</v>
      </c>
      <c r="D1326">
        <v>4.6130000000000004</v>
      </c>
      <c r="E1326" s="4">
        <v>1476</v>
      </c>
      <c r="F1326" t="str">
        <f>HYPERLINK("https://www.google.com/maps/search/?api=1&amp;query=23.49302395,44.39454124", "View Map")</f>
        <v>View Map</v>
      </c>
      <c r="G1326" s="2">
        <v>0.85738398732255605</v>
      </c>
    </row>
    <row r="1327" spans="1:7" x14ac:dyDescent="0.3">
      <c r="A1327" t="s">
        <v>46</v>
      </c>
      <c r="B1327" t="s">
        <v>2325</v>
      </c>
      <c r="C1327" t="s">
        <v>8</v>
      </c>
      <c r="D1327">
        <v>4.6109999999999998</v>
      </c>
      <c r="E1327" s="4">
        <v>1476</v>
      </c>
      <c r="F1327" t="str">
        <f>HYPERLINK("https://www.google.com/maps/search/?api=1&amp;query=24.93119984,46.8152622", "View Map")</f>
        <v>View Map</v>
      </c>
      <c r="G1327" s="2">
        <v>0.3989153351904457</v>
      </c>
    </row>
    <row r="1328" spans="1:7" x14ac:dyDescent="0.3">
      <c r="A1328" t="s">
        <v>2326</v>
      </c>
      <c r="B1328" t="s">
        <v>2327</v>
      </c>
      <c r="C1328" t="s">
        <v>8</v>
      </c>
      <c r="D1328">
        <v>4.6100000000000003</v>
      </c>
      <c r="E1328" s="4">
        <v>1475</v>
      </c>
      <c r="F1328" t="str">
        <f>HYPERLINK("https://www.google.com/maps/search/?api=1&amp;query=24.82493525,46.60410168", "View Map")</f>
        <v>View Map</v>
      </c>
    </row>
    <row r="1329" spans="1:7" x14ac:dyDescent="0.3">
      <c r="A1329" t="s">
        <v>881</v>
      </c>
      <c r="B1329" t="s">
        <v>2328</v>
      </c>
      <c r="C1329" t="s">
        <v>883</v>
      </c>
      <c r="D1329">
        <v>4.6050000000000004</v>
      </c>
      <c r="E1329" s="4">
        <v>1474</v>
      </c>
      <c r="F1329" t="str">
        <f>HYPERLINK("https://www.google.com/maps/search/?api=1&amp;query=25.5392979,47.16853233", "View Map")</f>
        <v>View Map</v>
      </c>
      <c r="G1329" s="2">
        <v>0.67616777255497629</v>
      </c>
    </row>
    <row r="1330" spans="1:7" x14ac:dyDescent="0.3">
      <c r="A1330" t="s">
        <v>28</v>
      </c>
      <c r="B1330" t="s">
        <v>2329</v>
      </c>
      <c r="C1330" t="s">
        <v>30</v>
      </c>
      <c r="D1330">
        <v>4.6020000000000003</v>
      </c>
      <c r="E1330" s="4">
        <v>1472</v>
      </c>
      <c r="F1330" t="str">
        <f>HYPERLINK("https://www.google.com/maps/search/?api=1&amp;query=24.18263358,47.464438", "View Map")</f>
        <v>View Map</v>
      </c>
      <c r="G1330" s="2">
        <v>0.68971317837756818</v>
      </c>
    </row>
    <row r="1331" spans="1:7" x14ac:dyDescent="0.3">
      <c r="A1331" t="s">
        <v>46</v>
      </c>
      <c r="B1331" t="s">
        <v>2330</v>
      </c>
      <c r="C1331" t="s">
        <v>55</v>
      </c>
      <c r="D1331">
        <v>4.5990000000000002</v>
      </c>
      <c r="E1331" s="4">
        <v>1472</v>
      </c>
      <c r="F1331" t="str">
        <f>HYPERLINK("https://www.google.com/maps/search/?api=1&amp;query=24.9036,46.4381", "View Map")</f>
        <v>View Map</v>
      </c>
      <c r="G1331" s="2">
        <v>0.73566682574231546</v>
      </c>
    </row>
    <row r="1332" spans="1:7" x14ac:dyDescent="0.3">
      <c r="A1332" t="s">
        <v>858</v>
      </c>
      <c r="B1332" t="s">
        <v>2331</v>
      </c>
      <c r="C1332" t="s">
        <v>8</v>
      </c>
      <c r="D1332">
        <v>4.5960000000000001</v>
      </c>
      <c r="E1332" s="4">
        <v>1471</v>
      </c>
      <c r="F1332" t="str">
        <f>HYPERLINK("https://www.google.com/maps/search/?api=1&amp;query=24.75101427,46.80759035", "View Map")</f>
        <v>View Map</v>
      </c>
    </row>
    <row r="1333" spans="1:7" x14ac:dyDescent="0.3">
      <c r="A1333" t="s">
        <v>46</v>
      </c>
      <c r="B1333" t="s">
        <v>2332</v>
      </c>
      <c r="C1333" t="s">
        <v>8</v>
      </c>
      <c r="D1333">
        <v>4.593</v>
      </c>
      <c r="E1333" s="4">
        <v>1470</v>
      </c>
      <c r="F1333" t="str">
        <f>HYPERLINK("https://www.google.com/maps/search/?api=1&amp;query=24.87531205,46.86324002", "View Map")</f>
        <v>View Map</v>
      </c>
    </row>
    <row r="1334" spans="1:7" x14ac:dyDescent="0.3">
      <c r="A1334" t="s">
        <v>73</v>
      </c>
      <c r="B1334" t="s">
        <v>2333</v>
      </c>
      <c r="C1334" t="s">
        <v>8</v>
      </c>
      <c r="D1334">
        <v>4.593</v>
      </c>
      <c r="E1334" s="4">
        <v>1470</v>
      </c>
      <c r="F1334" t="str">
        <f>HYPERLINK("https://www.google.com/maps/search/?api=1&amp;query=24.85592841,46.63178187", "View Map")</f>
        <v>View Map</v>
      </c>
    </row>
    <row r="1335" spans="1:7" x14ac:dyDescent="0.3">
      <c r="A1335" t="s">
        <v>2334</v>
      </c>
      <c r="B1335" t="s">
        <v>2335</v>
      </c>
      <c r="C1335" t="s">
        <v>8</v>
      </c>
      <c r="D1335">
        <v>4.5869999999999997</v>
      </c>
      <c r="E1335" s="4">
        <v>1468</v>
      </c>
      <c r="F1335" t="str">
        <f>HYPERLINK("https://www.google.com/maps/search/?api=1&amp;query=24.5520857,46.70207179", "View Map")</f>
        <v>View Map</v>
      </c>
      <c r="G1335" s="2">
        <v>0.41064457955221217</v>
      </c>
    </row>
    <row r="1336" spans="1:7" x14ac:dyDescent="0.3">
      <c r="A1336" t="s">
        <v>2336</v>
      </c>
      <c r="B1336" t="s">
        <v>2337</v>
      </c>
      <c r="C1336" t="s">
        <v>30</v>
      </c>
      <c r="D1336">
        <v>4.5819999999999999</v>
      </c>
      <c r="E1336" s="4">
        <v>1466</v>
      </c>
      <c r="F1336" t="str">
        <f>HYPERLINK("https://www.google.com/maps/search/?api=1&amp;query=24.23485765,47.76353632", "View Map")</f>
        <v>View Map</v>
      </c>
      <c r="G1336" s="2">
        <v>0.81207565397213555</v>
      </c>
    </row>
    <row r="1337" spans="1:7" x14ac:dyDescent="0.3">
      <c r="A1337" t="s">
        <v>2338</v>
      </c>
      <c r="B1337" t="s">
        <v>2339</v>
      </c>
      <c r="C1337" t="s">
        <v>8</v>
      </c>
      <c r="D1337">
        <v>4.58</v>
      </c>
      <c r="E1337" s="4">
        <v>1466</v>
      </c>
      <c r="F1337" t="str">
        <f>HYPERLINK("https://www.google.com/maps/search/?api=1&amp;query=24.68448551,46.74623529", "View Map")</f>
        <v>View Map</v>
      </c>
      <c r="G1337" s="2">
        <v>0.35886380082445257</v>
      </c>
    </row>
    <row r="1338" spans="1:7" x14ac:dyDescent="0.3">
      <c r="A1338" t="s">
        <v>2340</v>
      </c>
      <c r="B1338" t="s">
        <v>2341</v>
      </c>
      <c r="C1338" t="s">
        <v>8</v>
      </c>
      <c r="D1338">
        <v>4.5720000000000001</v>
      </c>
      <c r="E1338" s="4">
        <v>1463</v>
      </c>
      <c r="F1338" t="str">
        <f>HYPERLINK("https://www.google.com/maps/search/?api=1&amp;query=24.81092047,46.66143227", "View Map")</f>
        <v>View Map</v>
      </c>
      <c r="G1338" s="2">
        <v>0.40814050444248529</v>
      </c>
    </row>
    <row r="1339" spans="1:7" x14ac:dyDescent="0.3">
      <c r="A1339" t="s">
        <v>2342</v>
      </c>
      <c r="B1339" t="s">
        <v>2343</v>
      </c>
      <c r="C1339" t="s">
        <v>8</v>
      </c>
      <c r="D1339">
        <v>4.5650000000000004</v>
      </c>
      <c r="E1339" s="4">
        <v>1461</v>
      </c>
      <c r="F1339" t="str">
        <f>HYPERLINK("https://www.google.com/maps/search/?api=1&amp;query=24.72690391,46.81161775", "View Map")</f>
        <v>View Map</v>
      </c>
    </row>
    <row r="1340" spans="1:7" x14ac:dyDescent="0.3">
      <c r="A1340" t="s">
        <v>2344</v>
      </c>
      <c r="B1340" t="s">
        <v>2345</v>
      </c>
      <c r="C1340" t="s">
        <v>296</v>
      </c>
      <c r="D1340">
        <v>4.5620000000000003</v>
      </c>
      <c r="E1340" s="4">
        <v>1460</v>
      </c>
      <c r="F1340" t="str">
        <f>HYPERLINK("https://www.google.com/maps/search/?api=1&amp;query=24.48258968,46.05494477", "View Map")</f>
        <v>View Map</v>
      </c>
      <c r="G1340" s="2">
        <v>0.54229983679151728</v>
      </c>
    </row>
    <row r="1341" spans="1:7" x14ac:dyDescent="0.3">
      <c r="A1341" t="s">
        <v>2346</v>
      </c>
      <c r="B1341" t="s">
        <v>2347</v>
      </c>
      <c r="C1341" t="s">
        <v>8</v>
      </c>
      <c r="D1341">
        <v>4.5570000000000004</v>
      </c>
      <c r="E1341" s="4">
        <v>1458</v>
      </c>
      <c r="F1341" t="str">
        <f>HYPERLINK("https://www.google.com/maps/search/?api=1&amp;query=24.6197,46.59", "View Map")</f>
        <v>View Map</v>
      </c>
      <c r="G1341" s="2">
        <v>0.58630657579792156</v>
      </c>
    </row>
    <row r="1342" spans="1:7" x14ac:dyDescent="0.3">
      <c r="A1342" t="s">
        <v>2348</v>
      </c>
      <c r="B1342" t="s">
        <v>2349</v>
      </c>
      <c r="C1342" t="s">
        <v>8</v>
      </c>
      <c r="D1342">
        <v>4.556</v>
      </c>
      <c r="E1342" s="4">
        <v>1458</v>
      </c>
      <c r="F1342" t="str">
        <f>HYPERLINK("https://www.google.com/maps/search/?api=1&amp;query=24.78601768,46.66993738", "View Map")</f>
        <v>View Map</v>
      </c>
    </row>
    <row r="1343" spans="1:7" x14ac:dyDescent="0.3">
      <c r="A1343" t="s">
        <v>661</v>
      </c>
      <c r="B1343" t="s">
        <v>2350</v>
      </c>
      <c r="C1343" t="s">
        <v>214</v>
      </c>
      <c r="D1343">
        <v>4.5549999999999997</v>
      </c>
      <c r="E1343" s="4">
        <v>1457</v>
      </c>
      <c r="F1343" t="str">
        <f>HYPERLINK("https://www.google.com/maps/search/?api=1&amp;query=25.70290708,45.45487016", "View Map")</f>
        <v>View Map</v>
      </c>
      <c r="G1343" s="2">
        <v>0.58281834278935085</v>
      </c>
    </row>
    <row r="1344" spans="1:7" x14ac:dyDescent="0.3">
      <c r="A1344" t="s">
        <v>2351</v>
      </c>
      <c r="B1344" t="s">
        <v>2352</v>
      </c>
      <c r="C1344" t="s">
        <v>214</v>
      </c>
      <c r="D1344">
        <v>4.5540000000000003</v>
      </c>
      <c r="E1344" s="4">
        <v>1457</v>
      </c>
      <c r="F1344" t="str">
        <f>HYPERLINK("https://www.google.com/maps/search/?api=1&amp;query=26.46725887,45.35336951", "View Map")</f>
        <v>View Map</v>
      </c>
      <c r="G1344" s="2">
        <v>0.78179278814714381</v>
      </c>
    </row>
    <row r="1345" spans="1:7" x14ac:dyDescent="0.3">
      <c r="A1345" t="s">
        <v>2353</v>
      </c>
      <c r="B1345" t="s">
        <v>2354</v>
      </c>
      <c r="C1345" t="s">
        <v>255</v>
      </c>
      <c r="D1345">
        <v>4.5519999999999996</v>
      </c>
      <c r="E1345" s="4">
        <v>1457</v>
      </c>
      <c r="F1345" t="str">
        <f>HYPERLINK("https://www.google.com/maps/search/?api=1&amp;query=24.5348371,44.27351676", "View Map")</f>
        <v>View Map</v>
      </c>
      <c r="G1345" s="2">
        <v>0.89297321706669219</v>
      </c>
    </row>
    <row r="1346" spans="1:7" x14ac:dyDescent="0.3">
      <c r="A1346" t="s">
        <v>2355</v>
      </c>
      <c r="B1346" t="s">
        <v>2356</v>
      </c>
      <c r="C1346" t="s">
        <v>55</v>
      </c>
      <c r="D1346">
        <v>4.5519999999999996</v>
      </c>
      <c r="E1346" s="4">
        <v>1457</v>
      </c>
      <c r="F1346" t="str">
        <f>HYPERLINK("https://www.google.com/maps/search/?api=1&amp;query=24.75189835,46.57878527", "View Map")</f>
        <v>View Map</v>
      </c>
    </row>
    <row r="1347" spans="1:7" x14ac:dyDescent="0.3">
      <c r="A1347" t="s">
        <v>2357</v>
      </c>
      <c r="B1347" t="s">
        <v>2358</v>
      </c>
      <c r="C1347" t="s">
        <v>8</v>
      </c>
      <c r="D1347">
        <v>4.55</v>
      </c>
      <c r="E1347" s="4">
        <v>1456</v>
      </c>
      <c r="F1347" t="str">
        <f>HYPERLINK("https://www.google.com/maps/search/?api=1&amp;query=24.67507445,46.6926969", "View Map")</f>
        <v>View Map</v>
      </c>
    </row>
    <row r="1348" spans="1:7" x14ac:dyDescent="0.3">
      <c r="A1348" t="s">
        <v>2359</v>
      </c>
      <c r="B1348" t="s">
        <v>2360</v>
      </c>
      <c r="C1348" t="s">
        <v>30</v>
      </c>
      <c r="D1348">
        <v>4.5490000000000004</v>
      </c>
      <c r="E1348" s="4">
        <v>1456</v>
      </c>
      <c r="F1348" t="str">
        <f>HYPERLINK("https://www.google.com/maps/search/?api=1&amp;query=24.10082,47.26054", "View Map")</f>
        <v>View Map</v>
      </c>
    </row>
    <row r="1349" spans="1:7" x14ac:dyDescent="0.3">
      <c r="A1349" t="s">
        <v>2361</v>
      </c>
      <c r="B1349" t="s">
        <v>2362</v>
      </c>
      <c r="C1349" t="s">
        <v>466</v>
      </c>
      <c r="D1349">
        <v>4.5449999999999999</v>
      </c>
      <c r="E1349" s="4">
        <v>1454</v>
      </c>
      <c r="F1349" t="str">
        <f>HYPERLINK("https://www.google.com/maps/search/?api=1&amp;query=24.59130884,46.13438279", "View Map")</f>
        <v>View Map</v>
      </c>
      <c r="G1349" s="2">
        <v>0.7296627133227751</v>
      </c>
    </row>
    <row r="1350" spans="1:7" x14ac:dyDescent="0.3">
      <c r="A1350" t="s">
        <v>2363</v>
      </c>
      <c r="B1350" t="s">
        <v>2364</v>
      </c>
      <c r="C1350" t="s">
        <v>8</v>
      </c>
      <c r="D1350">
        <v>4.5430000000000001</v>
      </c>
      <c r="E1350" s="4">
        <v>1454</v>
      </c>
      <c r="F1350" t="str">
        <f>HYPERLINK("https://www.google.com/maps/search/?api=1&amp;query=24.75578177,46.74512079", "View Map")</f>
        <v>View Map</v>
      </c>
      <c r="G1350" s="2">
        <v>0.34423268409943319</v>
      </c>
    </row>
    <row r="1351" spans="1:7" x14ac:dyDescent="0.3">
      <c r="A1351" t="s">
        <v>2365</v>
      </c>
      <c r="B1351" t="s">
        <v>2366</v>
      </c>
      <c r="C1351" t="s">
        <v>8</v>
      </c>
      <c r="D1351">
        <v>4.5419999999999998</v>
      </c>
      <c r="E1351" s="4">
        <v>1453</v>
      </c>
      <c r="F1351" t="str">
        <f>HYPERLINK("https://www.google.com/maps/search/?api=1&amp;query=24.57878307,46.6626018", "View Map")</f>
        <v>View Map</v>
      </c>
    </row>
    <row r="1352" spans="1:7" x14ac:dyDescent="0.3">
      <c r="A1352" t="s">
        <v>678</v>
      </c>
      <c r="B1352" t="s">
        <v>2367</v>
      </c>
      <c r="C1352" t="s">
        <v>820</v>
      </c>
      <c r="D1352">
        <v>4.5350000000000001</v>
      </c>
      <c r="E1352" s="4">
        <v>1451</v>
      </c>
      <c r="F1352" t="str">
        <f>HYPERLINK("https://www.google.com/maps/search/?api=1&amp;query=0.0,0.0", "View Map")</f>
        <v>View Map</v>
      </c>
      <c r="G1352" s="2">
        <v>0.53920226014266659</v>
      </c>
    </row>
    <row r="1353" spans="1:7" x14ac:dyDescent="0.3">
      <c r="A1353" t="s">
        <v>146</v>
      </c>
      <c r="B1353" t="s">
        <v>2368</v>
      </c>
      <c r="C1353" t="s">
        <v>8</v>
      </c>
      <c r="D1353">
        <v>4.532</v>
      </c>
      <c r="E1353" s="4">
        <v>1450</v>
      </c>
      <c r="F1353" t="str">
        <f>HYPERLINK("https://www.google.com/maps/search/?api=1&amp;query=24.56043057,46.72315106", "View Map")</f>
        <v>View Map</v>
      </c>
    </row>
    <row r="1354" spans="1:7" x14ac:dyDescent="0.3">
      <c r="A1354" t="s">
        <v>2369</v>
      </c>
      <c r="B1354" t="s">
        <v>2370</v>
      </c>
      <c r="C1354" t="s">
        <v>8</v>
      </c>
      <c r="D1354">
        <v>4.532</v>
      </c>
      <c r="E1354" s="4">
        <v>1450</v>
      </c>
      <c r="F1354" t="str">
        <f>HYPERLINK("https://www.google.com/maps/search/?api=1&amp;query=24.75424432,46.66459586", "View Map")</f>
        <v>View Map</v>
      </c>
    </row>
    <row r="1355" spans="1:7" x14ac:dyDescent="0.3">
      <c r="A1355" t="s">
        <v>2371</v>
      </c>
      <c r="B1355" t="s">
        <v>2372</v>
      </c>
      <c r="C1355" t="s">
        <v>8</v>
      </c>
      <c r="D1355">
        <v>4.516</v>
      </c>
      <c r="E1355" s="4">
        <v>1445</v>
      </c>
      <c r="F1355" t="str">
        <f>HYPERLINK("https://www.google.com/maps/search/?api=1&amp;query=24.68403664,46.64290979", "View Map")</f>
        <v>View Map</v>
      </c>
    </row>
    <row r="1356" spans="1:7" x14ac:dyDescent="0.3">
      <c r="A1356" t="s">
        <v>2373</v>
      </c>
      <c r="B1356" t="s">
        <v>2374</v>
      </c>
      <c r="C1356" t="s">
        <v>255</v>
      </c>
      <c r="D1356">
        <v>4.5110000000000001</v>
      </c>
      <c r="E1356" s="4">
        <v>1444</v>
      </c>
      <c r="F1356" t="str">
        <f>HYPERLINK("https://www.google.com/maps/search/?api=1&amp;query=25.15037726,44.24668188", "View Map")</f>
        <v>View Map</v>
      </c>
      <c r="G1356" s="2">
        <v>0.88305150266258348</v>
      </c>
    </row>
    <row r="1357" spans="1:7" x14ac:dyDescent="0.3">
      <c r="A1357" t="s">
        <v>627</v>
      </c>
      <c r="B1357" t="s">
        <v>2375</v>
      </c>
      <c r="C1357" t="s">
        <v>8</v>
      </c>
      <c r="D1357">
        <v>4.5110000000000001</v>
      </c>
      <c r="E1357" s="4">
        <v>1443</v>
      </c>
      <c r="F1357" t="str">
        <f>HYPERLINK("https://www.google.com/maps/search/?api=1&amp;query=24.86124226,46.64060644", "View Map")</f>
        <v>View Map</v>
      </c>
    </row>
    <row r="1358" spans="1:7" x14ac:dyDescent="0.3">
      <c r="A1358" t="s">
        <v>2376</v>
      </c>
      <c r="B1358" t="s">
        <v>2377</v>
      </c>
      <c r="C1358" t="s">
        <v>8</v>
      </c>
      <c r="D1358">
        <v>4.5069999999999997</v>
      </c>
      <c r="E1358" s="4">
        <v>1442</v>
      </c>
      <c r="F1358" t="str">
        <f>HYPERLINK("https://www.google.com/maps/search/?api=1&amp;query=24.64942153,46.70695369", "View Map")</f>
        <v>View Map</v>
      </c>
      <c r="G1358" s="2">
        <v>0.19179835815072099</v>
      </c>
    </row>
    <row r="1359" spans="1:7" x14ac:dyDescent="0.3">
      <c r="A1359" t="s">
        <v>2378</v>
      </c>
      <c r="B1359" t="s">
        <v>2379</v>
      </c>
      <c r="C1359" t="s">
        <v>21</v>
      </c>
      <c r="D1359">
        <v>4.5</v>
      </c>
      <c r="E1359" s="4">
        <v>1440</v>
      </c>
      <c r="F1359" t="str">
        <f>HYPERLINK("https://www.google.com/maps/search/?api=1&amp;query=26.33404486,44.81111048", "View Map")</f>
        <v>View Map</v>
      </c>
      <c r="G1359" s="2">
        <v>0.74721993241583373</v>
      </c>
    </row>
    <row r="1360" spans="1:7" x14ac:dyDescent="0.3">
      <c r="A1360" t="s">
        <v>46</v>
      </c>
      <c r="B1360" t="s">
        <v>2380</v>
      </c>
      <c r="C1360" t="s">
        <v>8</v>
      </c>
      <c r="D1360">
        <v>4.4989999999999997</v>
      </c>
      <c r="E1360" s="4">
        <v>1440</v>
      </c>
      <c r="F1360" t="str">
        <f>HYPERLINK("https://www.google.com/maps/search/?api=1&amp;query=24.8482485,46.82373402", "View Map")</f>
        <v>View Map</v>
      </c>
    </row>
    <row r="1361" spans="1:7" x14ac:dyDescent="0.3">
      <c r="A1361" t="s">
        <v>46</v>
      </c>
      <c r="B1361" t="s">
        <v>2381</v>
      </c>
      <c r="C1361" t="s">
        <v>820</v>
      </c>
      <c r="D1361">
        <v>4.4980000000000002</v>
      </c>
      <c r="E1361" s="4">
        <v>1439</v>
      </c>
      <c r="F1361" t="str">
        <f>HYPERLINK("https://www.google.com/maps/search/?api=1&amp;query=0.0,0.0", "View Map")</f>
        <v>View Map</v>
      </c>
    </row>
    <row r="1362" spans="1:7" x14ac:dyDescent="0.3">
      <c r="A1362" t="s">
        <v>860</v>
      </c>
      <c r="B1362" t="s">
        <v>2382</v>
      </c>
      <c r="C1362" t="s">
        <v>8</v>
      </c>
      <c r="D1362">
        <v>4.4980000000000002</v>
      </c>
      <c r="E1362" s="4">
        <v>1439</v>
      </c>
      <c r="F1362" t="str">
        <f>HYPERLINK("https://www.google.com/maps/search/?api=1&amp;query=24.76677296,46.82896855", "View Map")</f>
        <v>View Map</v>
      </c>
      <c r="G1362" s="2">
        <v>0.3848453317386592</v>
      </c>
    </row>
    <row r="1363" spans="1:7" x14ac:dyDescent="0.3">
      <c r="A1363" t="s">
        <v>2383</v>
      </c>
      <c r="B1363" t="s">
        <v>2384</v>
      </c>
      <c r="C1363" t="s">
        <v>30</v>
      </c>
      <c r="D1363">
        <v>4.4969999999999999</v>
      </c>
      <c r="E1363" s="4">
        <v>1439</v>
      </c>
      <c r="F1363" t="str">
        <f>HYPERLINK("https://www.google.com/maps/search/?api=1&amp;query=24.17173734,47.30653452", "View Map")</f>
        <v>View Map</v>
      </c>
      <c r="G1363" s="2">
        <v>0.68134844969520547</v>
      </c>
    </row>
    <row r="1364" spans="1:7" x14ac:dyDescent="0.3">
      <c r="A1364" t="s">
        <v>2385</v>
      </c>
      <c r="B1364" t="s">
        <v>2386</v>
      </c>
      <c r="C1364" t="s">
        <v>8</v>
      </c>
      <c r="D1364">
        <v>4.4960000000000004</v>
      </c>
      <c r="E1364" s="4">
        <v>1439</v>
      </c>
      <c r="F1364" t="str">
        <f>HYPERLINK("https://www.google.com/maps/search/?api=1&amp;query=24.56232098,46.69868457", "View Map")</f>
        <v>View Map</v>
      </c>
      <c r="G1364" s="2">
        <v>0.39195189495659211</v>
      </c>
    </row>
    <row r="1365" spans="1:7" x14ac:dyDescent="0.3">
      <c r="A1365" t="s">
        <v>46</v>
      </c>
      <c r="B1365" t="s">
        <v>2387</v>
      </c>
      <c r="C1365" t="s">
        <v>8</v>
      </c>
      <c r="D1365">
        <v>4.4950000000000001</v>
      </c>
      <c r="E1365" s="4">
        <v>1438</v>
      </c>
      <c r="F1365" t="str">
        <f>HYPERLINK("https://www.google.com/maps/search/?api=1&amp;query=24.8714,46.6583", "View Map")</f>
        <v>View Map</v>
      </c>
    </row>
    <row r="1366" spans="1:7" x14ac:dyDescent="0.3">
      <c r="A1366" t="s">
        <v>2388</v>
      </c>
      <c r="B1366" t="s">
        <v>2389</v>
      </c>
      <c r="C1366" t="s">
        <v>255</v>
      </c>
      <c r="D1366">
        <v>4.492</v>
      </c>
      <c r="E1366" s="4">
        <v>1438</v>
      </c>
      <c r="F1366" t="str">
        <f>HYPERLINK("https://www.google.com/maps/search/?api=1&amp;query=24.68233726,44.95639094", "View Map")</f>
        <v>View Map</v>
      </c>
      <c r="G1366" s="2">
        <v>0.53835987549568898</v>
      </c>
    </row>
    <row r="1367" spans="1:7" x14ac:dyDescent="0.3">
      <c r="A1367" t="s">
        <v>2390</v>
      </c>
      <c r="B1367" t="s">
        <v>2391</v>
      </c>
      <c r="C1367" t="s">
        <v>8</v>
      </c>
      <c r="D1367">
        <v>4.492</v>
      </c>
      <c r="E1367" s="4">
        <v>1437</v>
      </c>
      <c r="F1367" t="str">
        <f>HYPERLINK("https://www.google.com/maps/search/?api=1&amp;query=24.81829816,46.63466773", "View Map")</f>
        <v>View Map</v>
      </c>
      <c r="G1367" s="2">
        <v>0.50935053947976128</v>
      </c>
    </row>
    <row r="1368" spans="1:7" x14ac:dyDescent="0.3">
      <c r="A1368" t="s">
        <v>2392</v>
      </c>
      <c r="B1368" t="s">
        <v>2393</v>
      </c>
      <c r="C1368" t="s">
        <v>8</v>
      </c>
      <c r="D1368">
        <v>4.4909999999999997</v>
      </c>
      <c r="E1368" s="4">
        <v>1437</v>
      </c>
      <c r="F1368" t="str">
        <f>HYPERLINK("https://www.google.com/maps/search/?api=1&amp;query=24.77965298,46.78322262", "View Map")</f>
        <v>View Map</v>
      </c>
    </row>
    <row r="1369" spans="1:7" x14ac:dyDescent="0.3">
      <c r="A1369" t="s">
        <v>2394</v>
      </c>
      <c r="B1369" t="s">
        <v>2395</v>
      </c>
      <c r="C1369" t="s">
        <v>8</v>
      </c>
      <c r="D1369">
        <v>4.4870000000000001</v>
      </c>
      <c r="E1369" s="4">
        <v>1436</v>
      </c>
      <c r="F1369" t="str">
        <f>HYPERLINK("https://www.google.com/maps/search/?api=1&amp;query=24.76467804,46.82075889", "View Map")</f>
        <v>View Map</v>
      </c>
    </row>
    <row r="1370" spans="1:7" x14ac:dyDescent="0.3">
      <c r="A1370" t="s">
        <v>2396</v>
      </c>
      <c r="B1370" t="s">
        <v>2397</v>
      </c>
      <c r="C1370" t="s">
        <v>296</v>
      </c>
      <c r="D1370">
        <v>4.4850000000000003</v>
      </c>
      <c r="E1370" s="4">
        <v>1435</v>
      </c>
      <c r="F1370" t="str">
        <f>HYPERLINK("https://www.google.com/maps/search/?api=1&amp;query=24.46566535,46.27107943", "View Map")</f>
        <v>View Map</v>
      </c>
      <c r="G1370" s="2">
        <v>0.6123723121385537</v>
      </c>
    </row>
    <row r="1371" spans="1:7" x14ac:dyDescent="0.3">
      <c r="A1371" t="s">
        <v>2398</v>
      </c>
      <c r="B1371" t="s">
        <v>2399</v>
      </c>
      <c r="C1371" t="s">
        <v>8</v>
      </c>
      <c r="D1371">
        <v>4.484</v>
      </c>
      <c r="E1371" s="4">
        <v>1435</v>
      </c>
      <c r="F1371" t="str">
        <f>HYPERLINK("https://www.google.com/maps/search/?api=1&amp;query=24.66323449,46.69626984", "View Map")</f>
        <v>View Map</v>
      </c>
      <c r="G1371" s="2">
        <v>0.4327858159345872</v>
      </c>
    </row>
    <row r="1372" spans="1:7" x14ac:dyDescent="0.3">
      <c r="A1372" t="s">
        <v>2400</v>
      </c>
      <c r="B1372" t="s">
        <v>2401</v>
      </c>
      <c r="C1372" t="s">
        <v>21</v>
      </c>
      <c r="D1372">
        <v>4.4829999999999997</v>
      </c>
      <c r="E1372" s="4">
        <v>1435</v>
      </c>
      <c r="F1372" t="str">
        <f>HYPERLINK("https://www.google.com/maps/search/?api=1&amp;query=26.28250759,44.83357734", "View Map")</f>
        <v>View Map</v>
      </c>
      <c r="G1372" s="2">
        <v>0.54590315724198479</v>
      </c>
    </row>
    <row r="1373" spans="1:7" x14ac:dyDescent="0.3">
      <c r="A1373" t="s">
        <v>2402</v>
      </c>
      <c r="B1373" t="s">
        <v>2403</v>
      </c>
      <c r="C1373" t="s">
        <v>30</v>
      </c>
      <c r="D1373">
        <v>4.4829999999999997</v>
      </c>
      <c r="E1373" s="4">
        <v>1435</v>
      </c>
      <c r="F1373" t="str">
        <f>HYPERLINK("https://www.google.com/maps/search/?api=1&amp;query=24.20163064,47.26514614", "View Map")</f>
        <v>View Map</v>
      </c>
      <c r="G1373" s="2">
        <v>0.4676947310630743</v>
      </c>
    </row>
    <row r="1374" spans="1:7" x14ac:dyDescent="0.3">
      <c r="A1374" t="s">
        <v>2404</v>
      </c>
      <c r="B1374" t="s">
        <v>2405</v>
      </c>
      <c r="C1374" t="s">
        <v>8</v>
      </c>
      <c r="D1374">
        <v>4.4820000000000002</v>
      </c>
      <c r="E1374" s="4">
        <v>1434</v>
      </c>
      <c r="F1374" t="str">
        <f>HYPERLINK("https://www.google.com/maps/search/?api=1&amp;query=24.78834867,46.87439784", "View Map")</f>
        <v>View Map</v>
      </c>
    </row>
    <row r="1375" spans="1:7" x14ac:dyDescent="0.3">
      <c r="A1375" t="s">
        <v>2406</v>
      </c>
      <c r="B1375" t="s">
        <v>2407</v>
      </c>
      <c r="C1375" t="s">
        <v>8</v>
      </c>
      <c r="D1375">
        <v>4.4809999999999999</v>
      </c>
      <c r="E1375" s="4">
        <v>1434</v>
      </c>
      <c r="F1375" t="str">
        <f>HYPERLINK("https://www.google.com/maps/search/?api=1&amp;query=24.7786849,46.77117956", "View Map")</f>
        <v>View Map</v>
      </c>
      <c r="G1375" s="2">
        <v>0.213198360286179</v>
      </c>
    </row>
    <row r="1376" spans="1:7" x14ac:dyDescent="0.3">
      <c r="A1376" t="s">
        <v>2408</v>
      </c>
      <c r="B1376" t="s">
        <v>2409</v>
      </c>
      <c r="C1376" t="s">
        <v>30</v>
      </c>
      <c r="D1376">
        <v>4.4710000000000001</v>
      </c>
      <c r="E1376" s="4">
        <v>1431</v>
      </c>
      <c r="F1376" t="str">
        <f>HYPERLINK("https://www.google.com/maps/search/?api=1&amp;query=24.10812208,47.28429742", "View Map")</f>
        <v>View Map</v>
      </c>
    </row>
    <row r="1377" spans="1:7" x14ac:dyDescent="0.3">
      <c r="A1377" t="s">
        <v>28</v>
      </c>
      <c r="B1377" t="s">
        <v>2410</v>
      </c>
      <c r="C1377" t="s">
        <v>30</v>
      </c>
      <c r="D1377">
        <v>4.47</v>
      </c>
      <c r="E1377" s="4">
        <v>1430</v>
      </c>
      <c r="F1377" t="str">
        <f>HYPERLINK("https://www.google.com/maps/search/?api=1&amp;query=24.17228438,47.32368765", "View Map")</f>
        <v>View Map</v>
      </c>
      <c r="G1377" s="2">
        <v>0.4837295595950899</v>
      </c>
    </row>
    <row r="1378" spans="1:7" x14ac:dyDescent="0.3">
      <c r="A1378" t="s">
        <v>385</v>
      </c>
      <c r="B1378" t="s">
        <v>2411</v>
      </c>
      <c r="C1378" t="s">
        <v>55</v>
      </c>
      <c r="D1378">
        <v>4.4690000000000003</v>
      </c>
      <c r="E1378" s="4">
        <v>1430</v>
      </c>
      <c r="F1378" t="str">
        <f>HYPERLINK("https://www.google.com/maps/search/?api=1&amp;query=24.74338814,46.51367712", "View Map")</f>
        <v>View Map</v>
      </c>
      <c r="G1378" s="2">
        <v>0.45620302410099572</v>
      </c>
    </row>
    <row r="1379" spans="1:7" x14ac:dyDescent="0.3">
      <c r="A1379" t="s">
        <v>146</v>
      </c>
      <c r="B1379" t="s">
        <v>2412</v>
      </c>
      <c r="C1379" t="s">
        <v>8</v>
      </c>
      <c r="D1379">
        <v>4.4649999999999999</v>
      </c>
      <c r="E1379" s="4">
        <v>1429</v>
      </c>
      <c r="F1379" t="str">
        <f>HYPERLINK("https://www.google.com/maps/search/?api=1&amp;query=24.62153594,46.71398173", "View Map")</f>
        <v>View Map</v>
      </c>
      <c r="G1379" s="2">
        <v>0.66061749192192887</v>
      </c>
    </row>
    <row r="1380" spans="1:7" x14ac:dyDescent="0.3">
      <c r="A1380" t="s">
        <v>2413</v>
      </c>
      <c r="B1380" t="s">
        <v>2414</v>
      </c>
      <c r="C1380" t="s">
        <v>8</v>
      </c>
      <c r="D1380">
        <v>4.46</v>
      </c>
      <c r="E1380" s="4">
        <v>1427</v>
      </c>
      <c r="F1380" t="str">
        <f>HYPERLINK("https://www.google.com/maps/search/?api=1&amp;query=24.58118257,46.64172567", "View Map")</f>
        <v>View Map</v>
      </c>
    </row>
    <row r="1381" spans="1:7" x14ac:dyDescent="0.3">
      <c r="A1381" t="s">
        <v>2415</v>
      </c>
      <c r="B1381" t="s">
        <v>2416</v>
      </c>
      <c r="C1381" t="s">
        <v>8</v>
      </c>
      <c r="D1381">
        <v>4.46</v>
      </c>
      <c r="E1381" s="4">
        <v>1427</v>
      </c>
      <c r="F1381" t="str">
        <f>HYPERLINK("https://www.google.com/maps/search/?api=1&amp;query=24.65445903,46.73400105", "View Map")</f>
        <v>View Map</v>
      </c>
    </row>
    <row r="1382" spans="1:7" x14ac:dyDescent="0.3">
      <c r="A1382" t="s">
        <v>2417</v>
      </c>
      <c r="B1382" t="s">
        <v>2418</v>
      </c>
      <c r="C1382" t="s">
        <v>8</v>
      </c>
      <c r="D1382">
        <v>4.4560000000000004</v>
      </c>
      <c r="E1382" s="4">
        <v>1426</v>
      </c>
      <c r="F1382" t="str">
        <f>HYPERLINK("https://www.google.com/maps/search/?api=1&amp;query=24.78226,46.62534", "View Map")</f>
        <v>View Map</v>
      </c>
    </row>
    <row r="1383" spans="1:7" x14ac:dyDescent="0.3">
      <c r="A1383" t="s">
        <v>46</v>
      </c>
      <c r="B1383" t="s">
        <v>2419</v>
      </c>
      <c r="C1383" t="s">
        <v>8</v>
      </c>
      <c r="D1383">
        <v>4.4489999999999998</v>
      </c>
      <c r="E1383" s="4">
        <v>1424</v>
      </c>
      <c r="F1383" t="str">
        <f>HYPERLINK("https://www.google.com/maps/search/?api=1&amp;query=24.81797816,46.72120351", "View Map")</f>
        <v>View Map</v>
      </c>
    </row>
    <row r="1384" spans="1:7" x14ac:dyDescent="0.3">
      <c r="A1384" t="s">
        <v>46</v>
      </c>
      <c r="B1384" t="s">
        <v>2420</v>
      </c>
      <c r="C1384" t="s">
        <v>8</v>
      </c>
      <c r="D1384">
        <v>4.4480000000000004</v>
      </c>
      <c r="E1384" s="4">
        <v>1423</v>
      </c>
      <c r="F1384" t="str">
        <f>HYPERLINK("https://www.google.com/maps/search/?api=1&amp;query=24.56421454,46.80790653", "View Map")</f>
        <v>View Map</v>
      </c>
      <c r="G1384" s="2">
        <v>0.36820792973560468</v>
      </c>
    </row>
    <row r="1385" spans="1:7" x14ac:dyDescent="0.3">
      <c r="A1385" t="s">
        <v>2421</v>
      </c>
      <c r="B1385" t="s">
        <v>2422</v>
      </c>
      <c r="C1385" t="s">
        <v>8</v>
      </c>
      <c r="D1385">
        <v>4.4450000000000003</v>
      </c>
      <c r="E1385" s="4">
        <v>1422</v>
      </c>
      <c r="F1385" t="str">
        <f>HYPERLINK("https://www.google.com/maps/search/?api=1&amp;query=24.77912425,46.74615559", "View Map")</f>
        <v>View Map</v>
      </c>
    </row>
    <row r="1386" spans="1:7" x14ac:dyDescent="0.3">
      <c r="A1386" t="s">
        <v>2423</v>
      </c>
      <c r="B1386" t="s">
        <v>2424</v>
      </c>
      <c r="C1386" t="s">
        <v>21</v>
      </c>
      <c r="D1386">
        <v>4.444</v>
      </c>
      <c r="E1386" s="4">
        <v>1422</v>
      </c>
      <c r="F1386" t="str">
        <f>HYPERLINK("https://www.google.com/maps/search/?api=1&amp;query=26.3180466,44.79630624", "View Map")</f>
        <v>View Map</v>
      </c>
      <c r="G1386" s="2">
        <v>0.47334547228866919</v>
      </c>
    </row>
    <row r="1387" spans="1:7" x14ac:dyDescent="0.3">
      <c r="A1387" t="s">
        <v>46</v>
      </c>
      <c r="B1387" t="s">
        <v>2425</v>
      </c>
      <c r="C1387" t="s">
        <v>8</v>
      </c>
      <c r="D1387">
        <v>4.4420000000000002</v>
      </c>
      <c r="E1387" s="4">
        <v>1421</v>
      </c>
      <c r="F1387" t="str">
        <f>HYPERLINK("https://www.google.com/maps/search/?api=1&amp;query=24.79557939,46.61727517", "View Map")</f>
        <v>View Map</v>
      </c>
    </row>
    <row r="1388" spans="1:7" x14ac:dyDescent="0.3">
      <c r="A1388" t="s">
        <v>2426</v>
      </c>
      <c r="B1388" t="s">
        <v>2427</v>
      </c>
      <c r="C1388" t="s">
        <v>255</v>
      </c>
      <c r="D1388">
        <v>4.4400000000000004</v>
      </c>
      <c r="E1388" s="4">
        <v>1421</v>
      </c>
      <c r="F1388" t="str">
        <f>HYPERLINK("https://www.google.com/maps/search/?api=1&amp;query=24.50687074,44.39894575", "View Map")</f>
        <v>View Map</v>
      </c>
      <c r="G1388" s="2">
        <v>0.71576638914637991</v>
      </c>
    </row>
    <row r="1389" spans="1:7" x14ac:dyDescent="0.3">
      <c r="A1389" t="s">
        <v>73</v>
      </c>
      <c r="B1389" t="s">
        <v>2428</v>
      </c>
      <c r="C1389" t="s">
        <v>8</v>
      </c>
      <c r="D1389">
        <v>4.4400000000000004</v>
      </c>
      <c r="E1389" s="4">
        <v>1421</v>
      </c>
      <c r="F1389" t="str">
        <f>HYPERLINK("https://www.google.com/maps/search/?api=1&amp;query=24.6636443,46.74780097", "View Map")</f>
        <v>View Map</v>
      </c>
      <c r="G1389" s="2">
        <v>0.82088403922402653</v>
      </c>
    </row>
    <row r="1390" spans="1:7" x14ac:dyDescent="0.3">
      <c r="A1390" t="s">
        <v>2429</v>
      </c>
      <c r="B1390" t="s">
        <v>2430</v>
      </c>
      <c r="C1390" t="s">
        <v>8</v>
      </c>
      <c r="D1390">
        <v>4.4390000000000001</v>
      </c>
      <c r="E1390" s="4">
        <v>1420</v>
      </c>
      <c r="F1390" t="str">
        <f>HYPERLINK("https://www.google.com/maps/search/?api=1&amp;query=24.73947482,46.67952217", "View Map")</f>
        <v>View Map</v>
      </c>
      <c r="G1390" s="2">
        <v>0.37853242568015377</v>
      </c>
    </row>
    <row r="1391" spans="1:7" x14ac:dyDescent="0.3">
      <c r="A1391" t="s">
        <v>2431</v>
      </c>
      <c r="B1391" t="s">
        <v>2432</v>
      </c>
      <c r="C1391" t="s">
        <v>8</v>
      </c>
      <c r="D1391">
        <v>4.4379999999999997</v>
      </c>
      <c r="E1391" s="4">
        <v>1420</v>
      </c>
      <c r="F1391" t="str">
        <f>HYPERLINK("https://www.google.com/maps/search/?api=1&amp;query=24.62332877,46.70473099", "View Map")</f>
        <v>View Map</v>
      </c>
    </row>
    <row r="1392" spans="1:7" x14ac:dyDescent="0.3">
      <c r="A1392" t="s">
        <v>2433</v>
      </c>
      <c r="B1392" t="s">
        <v>2434</v>
      </c>
      <c r="C1392" t="s">
        <v>30</v>
      </c>
      <c r="D1392">
        <v>4.4379999999999997</v>
      </c>
      <c r="E1392" s="4">
        <v>1420</v>
      </c>
      <c r="F1392" t="str">
        <f>HYPERLINK("https://www.google.com/maps/search/?api=1&amp;query=24.16016664,47.35824496", "View Map")</f>
        <v>View Map</v>
      </c>
      <c r="G1392" s="2">
        <v>0.67463353189114172</v>
      </c>
    </row>
    <row r="1393" spans="1:7" x14ac:dyDescent="0.3">
      <c r="A1393" t="s">
        <v>2435</v>
      </c>
      <c r="B1393" t="s">
        <v>2436</v>
      </c>
      <c r="C1393" t="s">
        <v>8</v>
      </c>
      <c r="D1393">
        <v>4.431</v>
      </c>
      <c r="E1393" s="4">
        <v>1418</v>
      </c>
      <c r="F1393" t="str">
        <f>HYPERLINK("https://www.google.com/maps/search/?api=1&amp;query=24.80429228,46.77294503", "View Map")</f>
        <v>View Map</v>
      </c>
    </row>
    <row r="1394" spans="1:7" x14ac:dyDescent="0.3">
      <c r="A1394" t="s">
        <v>2437</v>
      </c>
      <c r="B1394" t="s">
        <v>2438</v>
      </c>
      <c r="C1394" t="s">
        <v>8</v>
      </c>
      <c r="D1394">
        <v>4.431</v>
      </c>
      <c r="E1394" s="4">
        <v>1418</v>
      </c>
      <c r="F1394" t="str">
        <f>HYPERLINK("https://www.google.com/maps/search/?api=1&amp;query=24.80475812,46.86250165", "View Map")</f>
        <v>View Map</v>
      </c>
      <c r="G1394" s="2">
        <v>0.39815829362785138</v>
      </c>
    </row>
    <row r="1395" spans="1:7" x14ac:dyDescent="0.3">
      <c r="A1395" t="s">
        <v>2439</v>
      </c>
      <c r="B1395" t="s">
        <v>2440</v>
      </c>
      <c r="C1395" t="s">
        <v>8</v>
      </c>
      <c r="D1395">
        <v>4.4279999999999999</v>
      </c>
      <c r="E1395" s="4">
        <v>1417</v>
      </c>
      <c r="F1395" t="str">
        <f>HYPERLINK("https://www.google.com/maps/search/?api=1&amp;query=24.70104458,46.78713846", "View Map")</f>
        <v>View Map</v>
      </c>
    </row>
    <row r="1396" spans="1:7" x14ac:dyDescent="0.3">
      <c r="A1396" t="s">
        <v>2441</v>
      </c>
      <c r="B1396" t="s">
        <v>2442</v>
      </c>
      <c r="C1396" t="s">
        <v>30</v>
      </c>
      <c r="D1396">
        <v>4.4269999999999996</v>
      </c>
      <c r="E1396" s="4">
        <v>1417</v>
      </c>
      <c r="F1396" t="str">
        <f>HYPERLINK("https://www.google.com/maps/search/?api=1&amp;query=24.17231,47.21997", "View Map")</f>
        <v>View Map</v>
      </c>
      <c r="G1396" s="2">
        <v>0.63135187659419423</v>
      </c>
    </row>
    <row r="1397" spans="1:7" x14ac:dyDescent="0.3">
      <c r="A1397" t="s">
        <v>46</v>
      </c>
      <c r="B1397" t="s">
        <v>2443</v>
      </c>
      <c r="C1397" t="s">
        <v>8</v>
      </c>
      <c r="D1397">
        <v>4.4260000000000002</v>
      </c>
      <c r="E1397" s="4">
        <v>1416</v>
      </c>
      <c r="F1397" t="str">
        <f>HYPERLINK("https://www.google.com/maps/search/?api=1&amp;query=24.83797343,46.60331339", "View Map")</f>
        <v>View Map</v>
      </c>
    </row>
    <row r="1398" spans="1:7" x14ac:dyDescent="0.3">
      <c r="A1398" t="s">
        <v>2444</v>
      </c>
      <c r="B1398" t="s">
        <v>2445</v>
      </c>
      <c r="C1398" t="s">
        <v>8</v>
      </c>
      <c r="D1398">
        <v>4.4139999999999997</v>
      </c>
      <c r="E1398" s="4">
        <v>1412</v>
      </c>
      <c r="F1398" t="str">
        <f>HYPERLINK("https://www.google.com/maps/search/?api=1&amp;query=24.56964938,46.79819056", "View Map")</f>
        <v>View Map</v>
      </c>
    </row>
    <row r="1399" spans="1:7" x14ac:dyDescent="0.3">
      <c r="A1399" t="s">
        <v>2446</v>
      </c>
      <c r="B1399" t="s">
        <v>2447</v>
      </c>
      <c r="C1399" t="s">
        <v>8</v>
      </c>
      <c r="D1399">
        <v>4.41</v>
      </c>
      <c r="E1399" s="4">
        <v>1411</v>
      </c>
      <c r="F1399" t="str">
        <f>HYPERLINK("https://www.google.com/maps/search/?api=1&amp;query=24.62070451,46.74350791", "View Map")</f>
        <v>View Map</v>
      </c>
    </row>
    <row r="1400" spans="1:7" x14ac:dyDescent="0.3">
      <c r="A1400" t="s">
        <v>2448</v>
      </c>
      <c r="B1400" t="s">
        <v>2449</v>
      </c>
      <c r="C1400" t="s">
        <v>296</v>
      </c>
      <c r="D1400">
        <v>4.41</v>
      </c>
      <c r="E1400" s="4">
        <v>1411</v>
      </c>
      <c r="F1400" t="str">
        <f>HYPERLINK("https://www.google.com/maps/search/?api=1&amp;query=24.48140226,46.28774253", "View Map")</f>
        <v>View Map</v>
      </c>
      <c r="G1400" s="2">
        <v>0.66485867889197925</v>
      </c>
    </row>
    <row r="1401" spans="1:7" x14ac:dyDescent="0.3">
      <c r="A1401" t="s">
        <v>2450</v>
      </c>
      <c r="B1401" t="s">
        <v>2451</v>
      </c>
      <c r="C1401" t="s">
        <v>8</v>
      </c>
      <c r="D1401">
        <v>4.4029999999999996</v>
      </c>
      <c r="E1401" s="4">
        <v>1409</v>
      </c>
      <c r="F1401" t="str">
        <f>HYPERLINK("https://www.google.com/maps/search/?api=1&amp;query=24.64033223,46.74318718", "View Map")</f>
        <v>View Map</v>
      </c>
      <c r="G1401" s="2">
        <v>0.70913911743448077</v>
      </c>
    </row>
    <row r="1402" spans="1:7" x14ac:dyDescent="0.3">
      <c r="A1402" t="s">
        <v>2452</v>
      </c>
      <c r="B1402" t="s">
        <v>2453</v>
      </c>
      <c r="C1402" t="s">
        <v>8</v>
      </c>
      <c r="D1402">
        <v>4.4020000000000001</v>
      </c>
      <c r="E1402" s="4">
        <v>1409</v>
      </c>
      <c r="F1402" t="str">
        <f>HYPERLINK("https://www.google.com/maps/search/?api=1&amp;query=24.6782855,46.81130859", "View Map")</f>
        <v>View Map</v>
      </c>
      <c r="G1402" s="2">
        <v>0.36654719340223202</v>
      </c>
    </row>
    <row r="1403" spans="1:7" x14ac:dyDescent="0.3">
      <c r="A1403" t="s">
        <v>73</v>
      </c>
      <c r="B1403" t="s">
        <v>2454</v>
      </c>
      <c r="C1403" t="s">
        <v>8</v>
      </c>
      <c r="D1403">
        <v>4.4009999999999998</v>
      </c>
      <c r="E1403" s="4">
        <v>1408</v>
      </c>
      <c r="F1403" t="str">
        <f>HYPERLINK("https://www.google.com/maps/search/?api=1&amp;query=24.79565301,46.60994772", "View Map")</f>
        <v>View Map</v>
      </c>
    </row>
    <row r="1404" spans="1:7" x14ac:dyDescent="0.3">
      <c r="A1404" t="s">
        <v>2455</v>
      </c>
      <c r="B1404" t="s">
        <v>2456</v>
      </c>
      <c r="C1404" t="s">
        <v>8</v>
      </c>
      <c r="D1404">
        <v>4.3959999999999999</v>
      </c>
      <c r="E1404" s="4">
        <v>1407</v>
      </c>
      <c r="F1404" t="str">
        <f>HYPERLINK("https://www.google.com/maps/search/?api=1&amp;query=24.74081802,46.84435842", "View Map")</f>
        <v>View Map</v>
      </c>
    </row>
    <row r="1405" spans="1:7" x14ac:dyDescent="0.3">
      <c r="A1405" t="s">
        <v>2457</v>
      </c>
      <c r="B1405" t="s">
        <v>2458</v>
      </c>
      <c r="C1405" t="s">
        <v>296</v>
      </c>
      <c r="D1405">
        <v>4.3940000000000001</v>
      </c>
      <c r="E1405" s="4">
        <v>1406</v>
      </c>
      <c r="F1405" t="str">
        <f>HYPERLINK("https://www.google.com/maps/search/?api=1&amp;query=24.47559069,46.28405371", "View Map")</f>
        <v>View Map</v>
      </c>
      <c r="G1405" s="2">
        <v>0.67238721603197449</v>
      </c>
    </row>
    <row r="1406" spans="1:7" x14ac:dyDescent="0.3">
      <c r="A1406" t="s">
        <v>150</v>
      </c>
      <c r="B1406" t="s">
        <v>2459</v>
      </c>
      <c r="C1406" t="s">
        <v>8</v>
      </c>
      <c r="D1406">
        <v>4.3940000000000001</v>
      </c>
      <c r="E1406" s="4">
        <v>1406</v>
      </c>
      <c r="F1406" t="str">
        <f>HYPERLINK("https://www.google.com/maps/search/?api=1&amp;query=24.81358583,46.78162619", "View Map")</f>
        <v>View Map</v>
      </c>
    </row>
    <row r="1407" spans="1:7" x14ac:dyDescent="0.3">
      <c r="A1407" t="s">
        <v>2460</v>
      </c>
      <c r="B1407" t="s">
        <v>2461</v>
      </c>
      <c r="C1407" t="s">
        <v>21</v>
      </c>
      <c r="D1407">
        <v>4.3929999999999998</v>
      </c>
      <c r="E1407" s="4">
        <v>1406</v>
      </c>
      <c r="F1407" t="str">
        <f>HYPERLINK("https://www.google.com/maps/search/?api=1&amp;query=26.29795131,44.80020247", "View Map")</f>
        <v>View Map</v>
      </c>
      <c r="G1407" s="2">
        <v>0.76043983796566639</v>
      </c>
    </row>
    <row r="1408" spans="1:7" x14ac:dyDescent="0.3">
      <c r="A1408" t="s">
        <v>146</v>
      </c>
      <c r="B1408" t="s">
        <v>2462</v>
      </c>
      <c r="C1408" t="s">
        <v>8</v>
      </c>
      <c r="D1408">
        <v>4.3840000000000003</v>
      </c>
      <c r="E1408" s="4">
        <v>1403</v>
      </c>
      <c r="F1408" t="str">
        <f>HYPERLINK("https://www.google.com/maps/search/?api=1&amp;query=24.48765947,46.63532146", "View Map")</f>
        <v>View Map</v>
      </c>
    </row>
    <row r="1409" spans="1:7" x14ac:dyDescent="0.3">
      <c r="A1409" t="s">
        <v>2463</v>
      </c>
      <c r="B1409" t="s">
        <v>2464</v>
      </c>
      <c r="C1409" t="s">
        <v>8</v>
      </c>
      <c r="D1409">
        <v>4.3840000000000003</v>
      </c>
      <c r="E1409" s="4">
        <v>1403</v>
      </c>
      <c r="F1409" t="str">
        <f>HYPERLINK("https://www.google.com/maps/search/?api=1&amp;query=24.69925973,46.62485364", "View Map")</f>
        <v>View Map</v>
      </c>
    </row>
    <row r="1410" spans="1:7" x14ac:dyDescent="0.3">
      <c r="A1410" t="s">
        <v>2465</v>
      </c>
      <c r="B1410" t="s">
        <v>2466</v>
      </c>
      <c r="C1410" t="s">
        <v>8</v>
      </c>
      <c r="D1410">
        <v>4.383</v>
      </c>
      <c r="E1410" s="4">
        <v>1403</v>
      </c>
      <c r="F1410" t="str">
        <f>HYPERLINK("https://www.google.com/maps/search/?api=1&amp;query=24.56023288,46.79268631", "View Map")</f>
        <v>View Map</v>
      </c>
      <c r="G1410" s="2">
        <v>0.4068566282804994</v>
      </c>
    </row>
    <row r="1411" spans="1:7" x14ac:dyDescent="0.3">
      <c r="A1411" t="s">
        <v>2467</v>
      </c>
      <c r="B1411" t="s">
        <v>2468</v>
      </c>
      <c r="C1411" t="s">
        <v>646</v>
      </c>
      <c r="D1411">
        <v>4.3810000000000002</v>
      </c>
      <c r="E1411" s="4">
        <v>1402</v>
      </c>
      <c r="F1411" t="str">
        <f>HYPERLINK("https://www.google.com/maps/search/?api=1&amp;query=20.44686468,45.19487975", "View Map")</f>
        <v>View Map</v>
      </c>
      <c r="G1411" s="2">
        <v>0.86153654041909677</v>
      </c>
    </row>
    <row r="1412" spans="1:7" x14ac:dyDescent="0.3">
      <c r="A1412" t="s">
        <v>2469</v>
      </c>
      <c r="B1412" t="s">
        <v>2470</v>
      </c>
      <c r="C1412" t="s">
        <v>8</v>
      </c>
      <c r="D1412">
        <v>4.3769999999999998</v>
      </c>
      <c r="E1412" s="4">
        <v>1401</v>
      </c>
      <c r="F1412" t="str">
        <f>HYPERLINK("https://www.google.com/maps/search/?api=1&amp;query=24.79453383,46.65273936", "View Map")</f>
        <v>View Map</v>
      </c>
    </row>
    <row r="1413" spans="1:7" x14ac:dyDescent="0.3">
      <c r="A1413" t="s">
        <v>2471</v>
      </c>
      <c r="B1413" t="s">
        <v>2472</v>
      </c>
      <c r="C1413" t="s">
        <v>8</v>
      </c>
      <c r="D1413">
        <v>4.3769999999999998</v>
      </c>
      <c r="E1413" s="4">
        <v>1401</v>
      </c>
      <c r="F1413" t="str">
        <f>HYPERLINK("https://www.google.com/maps/search/?api=1&amp;query=24.8139523,46.79696303", "View Map")</f>
        <v>View Map</v>
      </c>
    </row>
    <row r="1414" spans="1:7" x14ac:dyDescent="0.3">
      <c r="A1414" t="s">
        <v>2473</v>
      </c>
      <c r="B1414" t="s">
        <v>2474</v>
      </c>
      <c r="C1414" t="s">
        <v>8</v>
      </c>
      <c r="D1414">
        <v>4.375</v>
      </c>
      <c r="E1414" s="4">
        <v>1400</v>
      </c>
      <c r="F1414" t="str">
        <f>HYPERLINK("https://www.google.com/maps/search/?api=1&amp;query=24.73660421,46.76481192", "View Map")</f>
        <v>View Map</v>
      </c>
    </row>
    <row r="1415" spans="1:7" x14ac:dyDescent="0.3">
      <c r="A1415" t="s">
        <v>28</v>
      </c>
      <c r="B1415" t="s">
        <v>2475</v>
      </c>
      <c r="C1415" t="s">
        <v>30</v>
      </c>
      <c r="D1415">
        <v>4.3680000000000003</v>
      </c>
      <c r="E1415" s="4">
        <v>1398</v>
      </c>
      <c r="F1415" t="str">
        <f>HYPERLINK("https://www.google.com/maps/search/?api=1&amp;query=24.14482656,47.37125849", "View Map")</f>
        <v>View Map</v>
      </c>
      <c r="G1415" s="2">
        <v>0.65116526799332664</v>
      </c>
    </row>
    <row r="1416" spans="1:7" x14ac:dyDescent="0.3">
      <c r="A1416" t="s">
        <v>2476</v>
      </c>
      <c r="B1416" t="s">
        <v>2477</v>
      </c>
      <c r="C1416" t="s">
        <v>21</v>
      </c>
      <c r="D1416">
        <v>4.3659999999999997</v>
      </c>
      <c r="E1416" s="4">
        <v>1397</v>
      </c>
      <c r="F1416" t="str">
        <f>HYPERLINK("https://www.google.com/maps/search/?api=1&amp;query=26.32463034,44.82753967", "View Map")</f>
        <v>View Map</v>
      </c>
      <c r="G1416" s="2">
        <v>0.64522048611814076</v>
      </c>
    </row>
    <row r="1417" spans="1:7" x14ac:dyDescent="0.3">
      <c r="A1417" t="s">
        <v>2478</v>
      </c>
      <c r="B1417" t="s">
        <v>2479</v>
      </c>
      <c r="C1417" t="s">
        <v>8</v>
      </c>
      <c r="D1417">
        <v>4.3659999999999997</v>
      </c>
      <c r="E1417" s="4">
        <v>1397</v>
      </c>
      <c r="F1417" t="str">
        <f>HYPERLINK("https://www.google.com/maps/search/?api=1&amp;query=24.8036957,46.90211765", "View Map")</f>
        <v>View Map</v>
      </c>
    </row>
    <row r="1418" spans="1:7" x14ac:dyDescent="0.3">
      <c r="A1418" t="s">
        <v>2480</v>
      </c>
      <c r="B1418" t="s">
        <v>2481</v>
      </c>
      <c r="C1418" t="s">
        <v>21</v>
      </c>
      <c r="D1418">
        <v>4.3650000000000002</v>
      </c>
      <c r="E1418" s="4">
        <v>1397</v>
      </c>
      <c r="F1418" t="str">
        <f>HYPERLINK("https://www.google.com/maps/search/?api=1&amp;query=26.31033251,44.89312666", "View Map")</f>
        <v>View Map</v>
      </c>
      <c r="G1418" s="2">
        <v>0.67425917869221119</v>
      </c>
    </row>
    <row r="1419" spans="1:7" x14ac:dyDescent="0.3">
      <c r="A1419" t="s">
        <v>73</v>
      </c>
      <c r="B1419" t="s">
        <v>2482</v>
      </c>
      <c r="C1419" t="s">
        <v>55</v>
      </c>
      <c r="D1419">
        <v>4.3630000000000004</v>
      </c>
      <c r="E1419" s="4">
        <v>1396</v>
      </c>
      <c r="F1419" t="str">
        <f>HYPERLINK("https://www.google.com/maps/search/?api=1&amp;query=24.74604704,46.53269361", "View Map")</f>
        <v>View Map</v>
      </c>
      <c r="G1419" s="2">
        <v>0.34281811170026277</v>
      </c>
    </row>
    <row r="1420" spans="1:7" x14ac:dyDescent="0.3">
      <c r="A1420" t="s">
        <v>46</v>
      </c>
      <c r="B1420" t="s">
        <v>2483</v>
      </c>
      <c r="C1420" t="s">
        <v>8</v>
      </c>
      <c r="D1420">
        <v>4.3600000000000003</v>
      </c>
      <c r="E1420" s="4">
        <v>1395</v>
      </c>
      <c r="F1420" t="str">
        <f>HYPERLINK("https://www.google.com/maps/search/?api=1&amp;query=24.86567163,46.65031705", "View Map")</f>
        <v>View Map</v>
      </c>
      <c r="G1420" s="2">
        <v>0.40006989985893932</v>
      </c>
    </row>
    <row r="1421" spans="1:7" x14ac:dyDescent="0.3">
      <c r="A1421" t="s">
        <v>73</v>
      </c>
      <c r="B1421" t="s">
        <v>2484</v>
      </c>
      <c r="C1421" t="s">
        <v>8</v>
      </c>
      <c r="D1421">
        <v>4.359</v>
      </c>
      <c r="E1421" s="4">
        <v>1395</v>
      </c>
      <c r="F1421" t="str">
        <f>HYPERLINK("https://www.google.com/maps/search/?api=1&amp;query=24.80736,46.60096", "View Map")</f>
        <v>View Map</v>
      </c>
    </row>
    <row r="1422" spans="1:7" x14ac:dyDescent="0.3">
      <c r="A1422" t="s">
        <v>2485</v>
      </c>
      <c r="B1422" t="s">
        <v>2486</v>
      </c>
      <c r="C1422" t="s">
        <v>255</v>
      </c>
      <c r="D1422">
        <v>4.3570000000000002</v>
      </c>
      <c r="E1422" s="4">
        <v>1394</v>
      </c>
      <c r="F1422" t="str">
        <f>HYPERLINK("https://www.google.com/maps/search/?api=1&amp;query=24.57128333,43.62901", "View Map")</f>
        <v>View Map</v>
      </c>
    </row>
    <row r="1423" spans="1:7" x14ac:dyDescent="0.3">
      <c r="A1423" t="s">
        <v>2487</v>
      </c>
      <c r="B1423" t="s">
        <v>2488</v>
      </c>
      <c r="C1423" t="s">
        <v>8</v>
      </c>
      <c r="D1423">
        <v>4.3570000000000002</v>
      </c>
      <c r="E1423" s="4">
        <v>1394</v>
      </c>
      <c r="F1423" t="str">
        <f>HYPERLINK("https://www.google.com/maps/search/?api=1&amp;query=24.61495971,46.69850173", "View Map")</f>
        <v>View Map</v>
      </c>
    </row>
    <row r="1424" spans="1:7" x14ac:dyDescent="0.3">
      <c r="A1424" t="s">
        <v>2489</v>
      </c>
      <c r="B1424" t="s">
        <v>2490</v>
      </c>
      <c r="C1424" t="s">
        <v>8</v>
      </c>
      <c r="D1424">
        <v>4.3559999999999999</v>
      </c>
      <c r="E1424" s="4">
        <v>1394</v>
      </c>
      <c r="F1424" t="str">
        <f>HYPERLINK("https://www.google.com/maps/search/?api=1&amp;query=24.75000313,46.74563075", "View Map")</f>
        <v>View Map</v>
      </c>
      <c r="G1424" s="2">
        <v>0.34958687188792259</v>
      </c>
    </row>
    <row r="1425" spans="1:7" x14ac:dyDescent="0.3">
      <c r="A1425" t="s">
        <v>834</v>
      </c>
      <c r="B1425" t="s">
        <v>2491</v>
      </c>
      <c r="C1425" t="s">
        <v>8</v>
      </c>
      <c r="D1425">
        <v>4.3559999999999999</v>
      </c>
      <c r="E1425" s="4">
        <v>1394</v>
      </c>
      <c r="F1425" t="str">
        <f>HYPERLINK("https://www.google.com/maps/search/?api=1&amp;query=24.69798989,46.71405306", "View Map")</f>
        <v>View Map</v>
      </c>
    </row>
    <row r="1426" spans="1:7" x14ac:dyDescent="0.3">
      <c r="A1426" t="s">
        <v>2492</v>
      </c>
      <c r="B1426" t="s">
        <v>2493</v>
      </c>
      <c r="C1426" t="s">
        <v>8</v>
      </c>
      <c r="D1426">
        <v>4.3550000000000004</v>
      </c>
      <c r="E1426" s="4">
        <v>1394</v>
      </c>
      <c r="F1426" t="str">
        <f>HYPERLINK("https://www.google.com/maps/search/?api=1&amp;query=24.57215663,46.58360309", "View Map")</f>
        <v>View Map</v>
      </c>
    </row>
    <row r="1427" spans="1:7" x14ac:dyDescent="0.3">
      <c r="A1427" t="s">
        <v>2494</v>
      </c>
      <c r="B1427" t="s">
        <v>2495</v>
      </c>
      <c r="C1427" t="s">
        <v>8</v>
      </c>
      <c r="D1427">
        <v>4.3540000000000001</v>
      </c>
      <c r="E1427" s="4">
        <v>1393</v>
      </c>
      <c r="F1427" t="str">
        <f>HYPERLINK("https://www.google.com/maps/search/?api=1&amp;query=24.66200276,46.8076914", "View Map")</f>
        <v>View Map</v>
      </c>
      <c r="G1427" s="2">
        <v>0.3936796263188585</v>
      </c>
    </row>
    <row r="1428" spans="1:7" x14ac:dyDescent="0.3">
      <c r="A1428" t="s">
        <v>2496</v>
      </c>
      <c r="B1428" t="s">
        <v>2497</v>
      </c>
      <c r="C1428" t="s">
        <v>8</v>
      </c>
      <c r="D1428">
        <v>4.3529999999999998</v>
      </c>
      <c r="E1428" s="4">
        <v>1393</v>
      </c>
      <c r="F1428" t="str">
        <f>HYPERLINK("https://www.google.com/maps/search/?api=1&amp;query=24.75305819,46.8368532", "View Map")</f>
        <v>View Map</v>
      </c>
    </row>
    <row r="1429" spans="1:7" x14ac:dyDescent="0.3">
      <c r="A1429" t="s">
        <v>46</v>
      </c>
      <c r="B1429" t="s">
        <v>2498</v>
      </c>
      <c r="C1429" t="s">
        <v>8</v>
      </c>
      <c r="D1429">
        <v>4.3520000000000003</v>
      </c>
      <c r="E1429" s="4">
        <v>1393</v>
      </c>
      <c r="F1429" t="str">
        <f>HYPERLINK("https://www.google.com/maps/search/?api=1&amp;query=24.86428164,46.64696819", "View Map")</f>
        <v>View Map</v>
      </c>
      <c r="G1429" s="2">
        <v>0.42356979512919068</v>
      </c>
    </row>
    <row r="1430" spans="1:7" x14ac:dyDescent="0.3">
      <c r="A1430" t="s">
        <v>2499</v>
      </c>
      <c r="B1430" t="s">
        <v>2500</v>
      </c>
      <c r="C1430" t="s">
        <v>214</v>
      </c>
      <c r="D1430">
        <v>4.351</v>
      </c>
      <c r="E1430" s="4">
        <v>1392</v>
      </c>
      <c r="F1430" t="str">
        <f>HYPERLINK("https://www.google.com/maps/search/?api=1&amp;query=25.62337307,45.57722311", "View Map")</f>
        <v>View Map</v>
      </c>
      <c r="G1430" s="2">
        <v>0.68394177041047155</v>
      </c>
    </row>
    <row r="1431" spans="1:7" x14ac:dyDescent="0.3">
      <c r="A1431" t="s">
        <v>1349</v>
      </c>
      <c r="B1431" t="s">
        <v>2501</v>
      </c>
      <c r="C1431" t="s">
        <v>270</v>
      </c>
      <c r="D1431">
        <v>4.3499999999999996</v>
      </c>
      <c r="E1431" s="4">
        <v>1392</v>
      </c>
      <c r="F1431" t="str">
        <f>HYPERLINK("https://www.google.com/maps/search/?api=1&amp;query=23.96111,47.17606", "View Map")</f>
        <v>View Map</v>
      </c>
      <c r="G1431" s="2">
        <v>0.37488956303766952</v>
      </c>
    </row>
    <row r="1432" spans="1:7" x14ac:dyDescent="0.3">
      <c r="A1432" t="s">
        <v>73</v>
      </c>
      <c r="B1432" t="s">
        <v>2502</v>
      </c>
      <c r="C1432" t="s">
        <v>8</v>
      </c>
      <c r="D1432">
        <v>4.3470000000000004</v>
      </c>
      <c r="E1432" s="4">
        <v>1391</v>
      </c>
      <c r="F1432" t="str">
        <f>HYPERLINK("https://www.google.com/maps/search/?api=1&amp;query=24.82997886,46.65481204", "View Map")</f>
        <v>View Map</v>
      </c>
    </row>
    <row r="1433" spans="1:7" x14ac:dyDescent="0.3">
      <c r="A1433" t="s">
        <v>2503</v>
      </c>
      <c r="B1433" t="s">
        <v>2504</v>
      </c>
      <c r="C1433" t="s">
        <v>30</v>
      </c>
      <c r="D1433">
        <v>4.3449999999999998</v>
      </c>
      <c r="E1433" s="4">
        <v>1390</v>
      </c>
      <c r="F1433" t="str">
        <f>HYPERLINK("https://www.google.com/maps/search/?api=1&amp;query=24.16037205,47.31689823", "View Map")</f>
        <v>View Map</v>
      </c>
      <c r="G1433" s="2">
        <v>0.35197210567928511</v>
      </c>
    </row>
    <row r="1434" spans="1:7" x14ac:dyDescent="0.3">
      <c r="A1434" t="s">
        <v>2505</v>
      </c>
      <c r="B1434" t="s">
        <v>2506</v>
      </c>
      <c r="C1434" t="s">
        <v>241</v>
      </c>
      <c r="D1434">
        <v>4.3410000000000002</v>
      </c>
      <c r="E1434" s="4">
        <v>1389</v>
      </c>
      <c r="F1434" t="str">
        <f>HYPERLINK("https://www.google.com/maps/search/?api=1&amp;query=20.43271828,44.85573303", "View Map")</f>
        <v>View Map</v>
      </c>
      <c r="G1434" s="2">
        <v>0.89007101546312939</v>
      </c>
    </row>
    <row r="1435" spans="1:7" x14ac:dyDescent="0.3">
      <c r="A1435" t="s">
        <v>46</v>
      </c>
      <c r="B1435" t="s">
        <v>2507</v>
      </c>
      <c r="C1435" t="s">
        <v>8</v>
      </c>
      <c r="D1435">
        <v>4.34</v>
      </c>
      <c r="E1435" s="4">
        <v>1389</v>
      </c>
      <c r="F1435" t="str">
        <f>HYPERLINK("https://www.google.com/maps/search/?api=1&amp;query=24.74721727,46.62628386", "View Map")</f>
        <v>View Map</v>
      </c>
    </row>
    <row r="1436" spans="1:7" x14ac:dyDescent="0.3">
      <c r="A1436" t="s">
        <v>2508</v>
      </c>
      <c r="B1436" t="s">
        <v>2509</v>
      </c>
      <c r="C1436" t="s">
        <v>214</v>
      </c>
      <c r="D1436">
        <v>4.3390000000000004</v>
      </c>
      <c r="E1436" s="4">
        <v>1388</v>
      </c>
      <c r="F1436" t="str">
        <f>HYPERLINK("https://www.google.com/maps/search/?api=1&amp;query=26.49673567,45.35158187", "View Map")</f>
        <v>View Map</v>
      </c>
      <c r="G1436" s="2">
        <v>0.71386053289450691</v>
      </c>
    </row>
    <row r="1437" spans="1:7" x14ac:dyDescent="0.3">
      <c r="A1437" t="s">
        <v>2510</v>
      </c>
      <c r="B1437" t="s">
        <v>2511</v>
      </c>
      <c r="C1437" t="s">
        <v>255</v>
      </c>
      <c r="D1437">
        <v>4.3390000000000004</v>
      </c>
      <c r="E1437" s="4">
        <v>1388</v>
      </c>
      <c r="F1437" t="str">
        <f>HYPERLINK("https://www.google.com/maps/search/?api=1&amp;query=24.50533018,44.39526609", "View Map")</f>
        <v>View Map</v>
      </c>
    </row>
    <row r="1438" spans="1:7" x14ac:dyDescent="0.3">
      <c r="A1438" t="s">
        <v>289</v>
      </c>
      <c r="B1438" t="s">
        <v>2512</v>
      </c>
      <c r="C1438" t="s">
        <v>291</v>
      </c>
      <c r="D1438">
        <v>4.335</v>
      </c>
      <c r="E1438" s="4">
        <v>1387</v>
      </c>
      <c r="F1438" t="str">
        <f>HYPERLINK("https://www.google.com/maps/search/?api=1&amp;query=24.08009438,45.3132777", "View Map")</f>
        <v>View Map</v>
      </c>
      <c r="G1438" s="2">
        <v>0.49988167062925137</v>
      </c>
    </row>
    <row r="1439" spans="1:7" x14ac:dyDescent="0.3">
      <c r="A1439" t="s">
        <v>2513</v>
      </c>
      <c r="B1439" t="s">
        <v>2514</v>
      </c>
      <c r="C1439" t="s">
        <v>646</v>
      </c>
      <c r="D1439">
        <v>4.335</v>
      </c>
      <c r="E1439" s="4">
        <v>1387</v>
      </c>
      <c r="F1439" t="str">
        <f>HYPERLINK("https://www.google.com/maps/search/?api=1&amp;query=20.46156062,45.58903528", "View Map")</f>
        <v>View Map</v>
      </c>
    </row>
    <row r="1440" spans="1:7" x14ac:dyDescent="0.3">
      <c r="A1440" t="s">
        <v>2515</v>
      </c>
      <c r="B1440" t="s">
        <v>2516</v>
      </c>
      <c r="C1440" t="s">
        <v>8</v>
      </c>
      <c r="D1440">
        <v>4.3339999999999996</v>
      </c>
      <c r="E1440" s="4">
        <v>1387</v>
      </c>
      <c r="F1440" t="str">
        <f>HYPERLINK("https://www.google.com/maps/search/?api=1&amp;query=24.77985182,46.66452388", "View Map")</f>
        <v>View Map</v>
      </c>
    </row>
    <row r="1441" spans="1:7" x14ac:dyDescent="0.3">
      <c r="A1441" t="s">
        <v>2517</v>
      </c>
      <c r="B1441" t="s">
        <v>2518</v>
      </c>
      <c r="C1441" t="s">
        <v>77</v>
      </c>
      <c r="D1441">
        <v>4.3330000000000002</v>
      </c>
      <c r="E1441" s="4">
        <v>1387</v>
      </c>
      <c r="F1441" t="str">
        <f>HYPERLINK("https://www.google.com/maps/search/?api=1&amp;query=22.45488746,46.58204475", "View Map")</f>
        <v>View Map</v>
      </c>
      <c r="G1441" s="2">
        <v>0.77951556917836551</v>
      </c>
    </row>
    <row r="1442" spans="1:7" x14ac:dyDescent="0.3">
      <c r="A1442" t="s">
        <v>28</v>
      </c>
      <c r="B1442" t="s">
        <v>2519</v>
      </c>
      <c r="C1442" t="s">
        <v>30</v>
      </c>
      <c r="D1442">
        <v>4.3289999999999997</v>
      </c>
      <c r="E1442" s="4">
        <v>1385</v>
      </c>
      <c r="F1442" t="str">
        <f>HYPERLINK("https://www.google.com/maps/search/?api=1&amp;query=24.10724635,47.26312493", "View Map")</f>
        <v>View Map</v>
      </c>
    </row>
    <row r="1443" spans="1:7" x14ac:dyDescent="0.3">
      <c r="A1443" t="s">
        <v>678</v>
      </c>
      <c r="B1443" t="s">
        <v>2520</v>
      </c>
      <c r="C1443" t="s">
        <v>21</v>
      </c>
      <c r="D1443">
        <v>4.3289999999999997</v>
      </c>
      <c r="E1443" s="4">
        <v>1385</v>
      </c>
      <c r="F1443" t="str">
        <f>HYPERLINK("https://www.google.com/maps/search/?api=1&amp;query=26.29491889,44.81955464", "View Map")</f>
        <v>View Map</v>
      </c>
      <c r="G1443" s="2">
        <v>0.54254022232559629</v>
      </c>
    </row>
    <row r="1444" spans="1:7" x14ac:dyDescent="0.3">
      <c r="A1444" t="s">
        <v>2521</v>
      </c>
      <c r="B1444" t="s">
        <v>2522</v>
      </c>
      <c r="C1444" t="s">
        <v>30</v>
      </c>
      <c r="D1444">
        <v>4.3250000000000002</v>
      </c>
      <c r="E1444" s="4">
        <v>1384</v>
      </c>
      <c r="F1444" t="str">
        <f>HYPERLINK("https://www.google.com/maps/search/?api=1&amp;query=24.13739516,47.35707489", "View Map")</f>
        <v>View Map</v>
      </c>
      <c r="G1444" s="2">
        <v>0.34910691980931591</v>
      </c>
    </row>
    <row r="1445" spans="1:7" x14ac:dyDescent="0.3">
      <c r="A1445" t="s">
        <v>46</v>
      </c>
      <c r="B1445" t="s">
        <v>2523</v>
      </c>
      <c r="C1445" t="s">
        <v>8</v>
      </c>
      <c r="D1445">
        <v>4.3239999999999998</v>
      </c>
      <c r="E1445" s="4">
        <v>1384</v>
      </c>
      <c r="F1445" t="str">
        <f>HYPERLINK("https://www.google.com/maps/search/?api=1&amp;query=24.90322617,46.64243701", "View Map")</f>
        <v>View Map</v>
      </c>
      <c r="G1445" s="2">
        <v>0.37060166772959952</v>
      </c>
    </row>
    <row r="1446" spans="1:7" x14ac:dyDescent="0.3">
      <c r="A1446" t="s">
        <v>2478</v>
      </c>
      <c r="B1446" t="s">
        <v>2524</v>
      </c>
      <c r="C1446" t="s">
        <v>8</v>
      </c>
      <c r="D1446">
        <v>4.3170000000000002</v>
      </c>
      <c r="E1446" s="4">
        <v>1381</v>
      </c>
      <c r="F1446" t="str">
        <f>HYPERLINK("https://www.google.com/maps/search/?api=1&amp;query=24.79919183,46.90345477", "View Map")</f>
        <v>View Map</v>
      </c>
    </row>
    <row r="1447" spans="1:7" x14ac:dyDescent="0.3">
      <c r="A1447" t="s">
        <v>2525</v>
      </c>
      <c r="B1447" t="s">
        <v>2526</v>
      </c>
      <c r="C1447" t="s">
        <v>8</v>
      </c>
      <c r="D1447">
        <v>4.3170000000000002</v>
      </c>
      <c r="E1447" s="4">
        <v>1381</v>
      </c>
      <c r="F1447" t="str">
        <f>HYPERLINK("https://www.google.com/maps/search/?api=1&amp;query=24.7564232,46.6780316", "View Map")</f>
        <v>View Map</v>
      </c>
      <c r="G1447" s="2">
        <v>0.40739831063160592</v>
      </c>
    </row>
    <row r="1448" spans="1:7" x14ac:dyDescent="0.3">
      <c r="A1448" t="s">
        <v>46</v>
      </c>
      <c r="B1448" t="s">
        <v>2527</v>
      </c>
      <c r="C1448" t="s">
        <v>8</v>
      </c>
      <c r="D1448">
        <v>4.3140000000000001</v>
      </c>
      <c r="E1448" s="4">
        <v>1380</v>
      </c>
      <c r="F1448" t="str">
        <f>HYPERLINK("https://www.google.com/maps/search/?api=1&amp;query=24.92651732,46.81035049", "View Map")</f>
        <v>View Map</v>
      </c>
      <c r="G1448" s="2">
        <v>0.37461373603676612</v>
      </c>
    </row>
    <row r="1449" spans="1:7" x14ac:dyDescent="0.3">
      <c r="A1449" t="s">
        <v>2528</v>
      </c>
      <c r="B1449" t="s">
        <v>2529</v>
      </c>
      <c r="C1449" t="s">
        <v>8</v>
      </c>
      <c r="D1449">
        <v>4.3140000000000001</v>
      </c>
      <c r="E1449" s="4">
        <v>1380</v>
      </c>
      <c r="F1449" t="str">
        <f>HYPERLINK("https://www.google.com/maps/search/?api=1&amp;query=24.69966945,46.76617788", "View Map")</f>
        <v>View Map</v>
      </c>
      <c r="G1449" s="2">
        <v>0.30094359220321498</v>
      </c>
    </row>
    <row r="1450" spans="1:7" x14ac:dyDescent="0.3">
      <c r="A1450" t="s">
        <v>2530</v>
      </c>
      <c r="B1450" t="s">
        <v>2531</v>
      </c>
      <c r="C1450" t="s">
        <v>8</v>
      </c>
      <c r="D1450">
        <v>4.3120000000000003</v>
      </c>
      <c r="E1450" s="4">
        <v>1380</v>
      </c>
      <c r="F1450" t="str">
        <f>HYPERLINK("https://www.google.com/maps/search/?api=1&amp;query=24.57764299,46.54183285", "View Map")</f>
        <v>View Map</v>
      </c>
    </row>
    <row r="1451" spans="1:7" x14ac:dyDescent="0.3">
      <c r="A1451" t="s">
        <v>2532</v>
      </c>
      <c r="B1451" t="s">
        <v>2533</v>
      </c>
      <c r="C1451" t="s">
        <v>8</v>
      </c>
      <c r="D1451">
        <v>4.3109999999999999</v>
      </c>
      <c r="E1451" s="4">
        <v>1379</v>
      </c>
      <c r="F1451" t="str">
        <f>HYPERLINK("https://www.google.com/maps/search/?api=1&amp;query=24.67065671,46.80566227", "View Map")</f>
        <v>View Map</v>
      </c>
    </row>
    <row r="1452" spans="1:7" x14ac:dyDescent="0.3">
      <c r="A1452" t="s">
        <v>2534</v>
      </c>
      <c r="B1452" t="s">
        <v>2535</v>
      </c>
      <c r="C1452" t="s">
        <v>8</v>
      </c>
      <c r="D1452">
        <v>4.3090000000000002</v>
      </c>
      <c r="E1452" s="4">
        <v>1379</v>
      </c>
      <c r="F1452" t="str">
        <f>HYPERLINK("https://www.google.com/maps/search/?api=1&amp;query=24.81908134,46.6605319", "View Map")</f>
        <v>View Map</v>
      </c>
      <c r="G1452" s="2">
        <v>0.38692815261691482</v>
      </c>
    </row>
    <row r="1453" spans="1:7" x14ac:dyDescent="0.3">
      <c r="A1453" t="s">
        <v>1277</v>
      </c>
      <c r="B1453" t="s">
        <v>2536</v>
      </c>
      <c r="C1453" t="s">
        <v>8</v>
      </c>
      <c r="D1453">
        <v>4.3070000000000004</v>
      </c>
      <c r="E1453" s="4">
        <v>1378</v>
      </c>
      <c r="F1453" t="str">
        <f>HYPERLINK("https://www.google.com/maps/search/?api=1&amp;query=24.6064935,46.75478962", "View Map")</f>
        <v>View Map</v>
      </c>
    </row>
    <row r="1454" spans="1:7" x14ac:dyDescent="0.3">
      <c r="A1454" t="s">
        <v>2537</v>
      </c>
      <c r="B1454" t="s">
        <v>2538</v>
      </c>
      <c r="C1454" t="s">
        <v>8</v>
      </c>
      <c r="D1454">
        <v>4.3049999999999997</v>
      </c>
      <c r="E1454" s="4">
        <v>1378</v>
      </c>
      <c r="F1454" t="str">
        <f>HYPERLINK("https://www.google.com/maps/search/?api=1&amp;query=24.72327384,46.81496584", "View Map")</f>
        <v>View Map</v>
      </c>
    </row>
    <row r="1455" spans="1:7" x14ac:dyDescent="0.3">
      <c r="A1455" t="s">
        <v>2539</v>
      </c>
      <c r="B1455" t="s">
        <v>2540</v>
      </c>
      <c r="C1455" t="s">
        <v>8</v>
      </c>
      <c r="D1455">
        <v>4.3019999999999996</v>
      </c>
      <c r="E1455" s="4">
        <v>1377</v>
      </c>
      <c r="F1455" t="str">
        <f>HYPERLINK("https://www.google.com/maps/search/?api=1&amp;query=24.79970292,46.80872302", "View Map")</f>
        <v>View Map</v>
      </c>
    </row>
    <row r="1456" spans="1:7" x14ac:dyDescent="0.3">
      <c r="A1456" t="s">
        <v>2541</v>
      </c>
      <c r="B1456" t="s">
        <v>2542</v>
      </c>
      <c r="C1456" t="s">
        <v>8</v>
      </c>
      <c r="D1456">
        <v>4.3019999999999996</v>
      </c>
      <c r="E1456" s="4">
        <v>1377</v>
      </c>
      <c r="F1456" t="str">
        <f>HYPERLINK("https://www.google.com/maps/search/?api=1&amp;query=24.6247,46.6886", "View Map")</f>
        <v>View Map</v>
      </c>
    </row>
    <row r="1457" spans="1:7" x14ac:dyDescent="0.3">
      <c r="A1457" t="s">
        <v>2543</v>
      </c>
      <c r="B1457" t="s">
        <v>2544</v>
      </c>
      <c r="C1457" t="s">
        <v>8</v>
      </c>
      <c r="D1457">
        <v>4.3010000000000002</v>
      </c>
      <c r="E1457" s="4">
        <v>1376</v>
      </c>
      <c r="F1457" t="str">
        <f>HYPERLINK("https://www.google.com/maps/search/?api=1&amp;query=24.75885056,46.67936433", "View Map")</f>
        <v>View Map</v>
      </c>
    </row>
    <row r="1458" spans="1:7" x14ac:dyDescent="0.3">
      <c r="A1458" t="s">
        <v>2545</v>
      </c>
      <c r="B1458" t="s">
        <v>2546</v>
      </c>
      <c r="C1458" t="s">
        <v>8</v>
      </c>
      <c r="D1458">
        <v>4.3</v>
      </c>
      <c r="E1458" s="4">
        <v>1376</v>
      </c>
      <c r="F1458" t="str">
        <f>HYPERLINK("https://www.google.com/maps/search/?api=1&amp;query=24.60116202,46.68076179", "View Map")</f>
        <v>View Map</v>
      </c>
      <c r="G1458" s="2">
        <v>0.51040653904316524</v>
      </c>
    </row>
    <row r="1459" spans="1:7" x14ac:dyDescent="0.3">
      <c r="A1459" t="s">
        <v>2547</v>
      </c>
      <c r="B1459" t="s">
        <v>2548</v>
      </c>
      <c r="C1459" t="s">
        <v>8</v>
      </c>
      <c r="D1459">
        <v>4.298</v>
      </c>
      <c r="E1459" s="4">
        <v>1375</v>
      </c>
      <c r="F1459" t="str">
        <f>HYPERLINK("https://www.google.com/maps/search/?api=1&amp;query=24.75037532,46.67545665", "View Map")</f>
        <v>View Map</v>
      </c>
    </row>
    <row r="1460" spans="1:7" x14ac:dyDescent="0.3">
      <c r="A1460" t="s">
        <v>2549</v>
      </c>
      <c r="B1460" t="s">
        <v>2550</v>
      </c>
      <c r="C1460" t="s">
        <v>8</v>
      </c>
      <c r="D1460">
        <v>4.2969999999999997</v>
      </c>
      <c r="E1460" s="4">
        <v>1375</v>
      </c>
      <c r="F1460" t="str">
        <f>HYPERLINK("https://www.google.com/maps/search/?api=1&amp;query=24.57398727,46.70811659", "View Map")</f>
        <v>View Map</v>
      </c>
      <c r="G1460" s="2">
        <v>0.41059572922563131</v>
      </c>
    </row>
    <row r="1461" spans="1:7" x14ac:dyDescent="0.3">
      <c r="A1461" t="s">
        <v>46</v>
      </c>
      <c r="B1461" t="s">
        <v>2551</v>
      </c>
      <c r="C1461" t="s">
        <v>8</v>
      </c>
      <c r="D1461">
        <v>4.2960000000000003</v>
      </c>
      <c r="E1461" s="4">
        <v>1375</v>
      </c>
      <c r="F1461" t="str">
        <f>HYPERLINK("https://www.google.com/maps/search/?api=1&amp;query=24.89167,46.61803", "View Map")</f>
        <v>View Map</v>
      </c>
      <c r="G1461" s="2">
        <v>0.60632888811267327</v>
      </c>
    </row>
    <row r="1462" spans="1:7" x14ac:dyDescent="0.3">
      <c r="A1462" t="s">
        <v>2552</v>
      </c>
      <c r="B1462" t="s">
        <v>2553</v>
      </c>
      <c r="C1462" t="s">
        <v>8</v>
      </c>
      <c r="D1462">
        <v>4.2939999999999996</v>
      </c>
      <c r="E1462" s="4">
        <v>1374</v>
      </c>
      <c r="F1462" t="str">
        <f>HYPERLINK("https://www.google.com/maps/search/?api=1&amp;query=24.7488239,46.78776709", "View Map")</f>
        <v>View Map</v>
      </c>
      <c r="G1462" s="2">
        <v>0.36253389332795782</v>
      </c>
    </row>
    <row r="1463" spans="1:7" x14ac:dyDescent="0.3">
      <c r="A1463" t="s">
        <v>2554</v>
      </c>
      <c r="B1463" t="s">
        <v>2555</v>
      </c>
      <c r="C1463" t="s">
        <v>8</v>
      </c>
      <c r="D1463">
        <v>4.2930000000000001</v>
      </c>
      <c r="E1463" s="4">
        <v>1374</v>
      </c>
      <c r="F1463" t="str">
        <f>HYPERLINK("https://www.google.com/maps/search/?api=1&amp;query=24.7639598,46.68871681", "View Map")</f>
        <v>View Map</v>
      </c>
    </row>
    <row r="1464" spans="1:7" x14ac:dyDescent="0.3">
      <c r="A1464" t="s">
        <v>150</v>
      </c>
      <c r="B1464" t="s">
        <v>2556</v>
      </c>
      <c r="C1464" t="s">
        <v>8</v>
      </c>
      <c r="D1464">
        <v>4.2930000000000001</v>
      </c>
      <c r="E1464" s="4">
        <v>1374</v>
      </c>
      <c r="F1464" t="str">
        <f>HYPERLINK("https://www.google.com/maps/search/?api=1&amp;query=24.80272639,46.87163955", "View Map")</f>
        <v>View Map</v>
      </c>
      <c r="G1464" s="2">
        <v>0.33688876159595399</v>
      </c>
    </row>
    <row r="1465" spans="1:7" x14ac:dyDescent="0.3">
      <c r="A1465" t="s">
        <v>2557</v>
      </c>
      <c r="B1465" t="s">
        <v>2558</v>
      </c>
      <c r="C1465" t="s">
        <v>21</v>
      </c>
      <c r="D1465">
        <v>4.2889999999999997</v>
      </c>
      <c r="E1465" s="4">
        <v>1372</v>
      </c>
      <c r="F1465" t="str">
        <f>HYPERLINK("https://www.google.com/maps/search/?api=1&amp;query=26.33553422,44.79362185", "View Map")</f>
        <v>View Map</v>
      </c>
      <c r="G1465" s="2">
        <v>0.63574984420324032</v>
      </c>
    </row>
    <row r="1466" spans="1:7" x14ac:dyDescent="0.3">
      <c r="A1466" t="s">
        <v>2559</v>
      </c>
      <c r="B1466" t="s">
        <v>2560</v>
      </c>
      <c r="C1466" t="s">
        <v>241</v>
      </c>
      <c r="D1466">
        <v>4.2880000000000003</v>
      </c>
      <c r="E1466" s="4">
        <v>1372</v>
      </c>
      <c r="F1466" t="str">
        <f>HYPERLINK("https://www.google.com/maps/search/?api=1&amp;query=20.47022873,44.84651266", "View Map")</f>
        <v>View Map</v>
      </c>
      <c r="G1466" s="2">
        <v>0.75852087791517231</v>
      </c>
    </row>
    <row r="1467" spans="1:7" x14ac:dyDescent="0.3">
      <c r="A1467" t="s">
        <v>2561</v>
      </c>
      <c r="B1467" t="s">
        <v>2562</v>
      </c>
      <c r="C1467" t="s">
        <v>296</v>
      </c>
      <c r="D1467">
        <v>4.2869999999999999</v>
      </c>
      <c r="E1467" s="4">
        <v>1372</v>
      </c>
      <c r="F1467" t="str">
        <f>HYPERLINK("https://www.google.com/maps/search/?api=1&amp;query=24.46682642,46.28840793", "View Map")</f>
        <v>View Map</v>
      </c>
      <c r="G1467" s="2">
        <v>0.42683527673656929</v>
      </c>
    </row>
    <row r="1468" spans="1:7" x14ac:dyDescent="0.3">
      <c r="A1468" t="s">
        <v>2563</v>
      </c>
      <c r="B1468" t="s">
        <v>2564</v>
      </c>
      <c r="C1468" t="s">
        <v>21</v>
      </c>
      <c r="D1468">
        <v>4.2859999999999996</v>
      </c>
      <c r="E1468" s="4">
        <v>1372</v>
      </c>
      <c r="F1468" t="str">
        <f>HYPERLINK("https://www.google.com/maps/search/?api=1&amp;query=26.29322262,44.80613686", "View Map")</f>
        <v>View Map</v>
      </c>
    </row>
    <row r="1469" spans="1:7" x14ac:dyDescent="0.3">
      <c r="A1469" t="s">
        <v>2565</v>
      </c>
      <c r="B1469" t="s">
        <v>2566</v>
      </c>
      <c r="C1469" t="s">
        <v>270</v>
      </c>
      <c r="D1469">
        <v>4.2839999999999998</v>
      </c>
      <c r="E1469" s="4">
        <v>1371</v>
      </c>
      <c r="F1469" t="str">
        <f>HYPERLINK("https://www.google.com/maps/search/?api=1&amp;query=23.99395062,47.1600723", "View Map")</f>
        <v>View Map</v>
      </c>
    </row>
    <row r="1470" spans="1:7" x14ac:dyDescent="0.3">
      <c r="A1470" t="s">
        <v>46</v>
      </c>
      <c r="B1470" t="s">
        <v>2567</v>
      </c>
      <c r="C1470" t="s">
        <v>8</v>
      </c>
      <c r="D1470">
        <v>4.2839999999999998</v>
      </c>
      <c r="E1470" s="4">
        <v>1371</v>
      </c>
      <c r="F1470" t="str">
        <f>HYPERLINK("https://www.google.com/maps/search/?api=1&amp;query=24.70035436,46.69717708", "View Map")</f>
        <v>View Map</v>
      </c>
      <c r="G1470" s="2">
        <v>0.47533390836257228</v>
      </c>
    </row>
    <row r="1471" spans="1:7" x14ac:dyDescent="0.3">
      <c r="A1471" t="s">
        <v>2568</v>
      </c>
      <c r="B1471" t="s">
        <v>2569</v>
      </c>
      <c r="C1471" t="s">
        <v>8</v>
      </c>
      <c r="D1471">
        <v>4.2809999999999997</v>
      </c>
      <c r="E1471" s="4">
        <v>1370</v>
      </c>
      <c r="F1471" t="str">
        <f>HYPERLINK("https://www.google.com/maps/search/?api=1&amp;query=24.5557612,46.72303303", "View Map")</f>
        <v>View Map</v>
      </c>
      <c r="G1471" s="2">
        <v>0.49431580567771471</v>
      </c>
    </row>
    <row r="1472" spans="1:7" x14ac:dyDescent="0.3">
      <c r="A1472" t="s">
        <v>2570</v>
      </c>
      <c r="B1472" t="s">
        <v>2571</v>
      </c>
      <c r="C1472" t="s">
        <v>8</v>
      </c>
      <c r="D1472">
        <v>4.2770000000000001</v>
      </c>
      <c r="E1472" s="4">
        <v>1369</v>
      </c>
      <c r="F1472" t="str">
        <f>HYPERLINK("https://www.google.com/maps/search/?api=1&amp;query=24.77880073,46.70693998", "View Map")</f>
        <v>View Map</v>
      </c>
    </row>
    <row r="1473" spans="1:7" x14ac:dyDescent="0.3">
      <c r="A1473" t="s">
        <v>2572</v>
      </c>
      <c r="B1473" t="s">
        <v>2573</v>
      </c>
      <c r="C1473" t="s">
        <v>30</v>
      </c>
      <c r="D1473">
        <v>4.2770000000000001</v>
      </c>
      <c r="E1473" s="4">
        <v>1369</v>
      </c>
      <c r="F1473" t="str">
        <f>HYPERLINK("https://www.google.com/maps/search/?api=1&amp;query=24.30191579,47.17265259", "View Map")</f>
        <v>View Map</v>
      </c>
    </row>
    <row r="1474" spans="1:7" x14ac:dyDescent="0.3">
      <c r="A1474" t="s">
        <v>46</v>
      </c>
      <c r="B1474" t="s">
        <v>2574</v>
      </c>
      <c r="C1474" t="s">
        <v>8</v>
      </c>
      <c r="D1474">
        <v>4.2759999999999998</v>
      </c>
      <c r="E1474" s="4">
        <v>1368</v>
      </c>
      <c r="F1474" t="str">
        <f>HYPERLINK("https://www.google.com/maps/search/?api=1&amp;query=24.86703855,46.64687671", "View Map")</f>
        <v>View Map</v>
      </c>
    </row>
    <row r="1475" spans="1:7" x14ac:dyDescent="0.3">
      <c r="A1475" t="s">
        <v>2575</v>
      </c>
      <c r="B1475" t="s">
        <v>2576</v>
      </c>
      <c r="C1475" t="s">
        <v>8</v>
      </c>
      <c r="D1475">
        <v>4.2750000000000004</v>
      </c>
      <c r="E1475" s="4">
        <v>1368</v>
      </c>
      <c r="F1475" t="str">
        <f>HYPERLINK("https://www.google.com/maps/search/?api=1&amp;query=24.82270876,46.63974852", "View Map")</f>
        <v>View Map</v>
      </c>
      <c r="G1475" s="2">
        <v>0.52119616544903358</v>
      </c>
    </row>
    <row r="1476" spans="1:7" x14ac:dyDescent="0.3">
      <c r="A1476" t="s">
        <v>2577</v>
      </c>
      <c r="B1476" t="s">
        <v>2578</v>
      </c>
      <c r="C1476" t="s">
        <v>8</v>
      </c>
      <c r="D1476">
        <v>4.274</v>
      </c>
      <c r="E1476" s="4">
        <v>1368</v>
      </c>
      <c r="F1476" t="str">
        <f>HYPERLINK("https://www.google.com/maps/search/?api=1&amp;query=24.70231294,46.75759735", "View Map")</f>
        <v>View Map</v>
      </c>
      <c r="G1476" s="2">
        <v>0.52820825273577854</v>
      </c>
    </row>
    <row r="1477" spans="1:7" x14ac:dyDescent="0.3">
      <c r="A1477" t="s">
        <v>2579</v>
      </c>
      <c r="B1477" t="s">
        <v>2580</v>
      </c>
      <c r="C1477" t="s">
        <v>8</v>
      </c>
      <c r="D1477">
        <v>4.2729999999999997</v>
      </c>
      <c r="E1477" s="4">
        <v>1367</v>
      </c>
      <c r="F1477" t="str">
        <f>HYPERLINK("https://www.google.com/maps/search/?api=1&amp;query=24.62143437,46.7524683", "View Map")</f>
        <v>View Map</v>
      </c>
    </row>
    <row r="1478" spans="1:7" x14ac:dyDescent="0.3">
      <c r="A1478" t="s">
        <v>146</v>
      </c>
      <c r="B1478" t="s">
        <v>2581</v>
      </c>
      <c r="C1478" t="s">
        <v>8</v>
      </c>
      <c r="D1478">
        <v>4.2720000000000002</v>
      </c>
      <c r="E1478" s="4">
        <v>1367</v>
      </c>
      <c r="F1478" t="str">
        <f>HYPERLINK("https://www.google.com/maps/search/?api=1&amp;query=24.55454811,46.63405477", "View Map")</f>
        <v>View Map</v>
      </c>
      <c r="G1478" s="2">
        <v>0.41410671571363222</v>
      </c>
    </row>
    <row r="1479" spans="1:7" x14ac:dyDescent="0.3">
      <c r="A1479" t="s">
        <v>2582</v>
      </c>
      <c r="B1479" t="s">
        <v>2583</v>
      </c>
      <c r="C1479" t="s">
        <v>8</v>
      </c>
      <c r="D1479">
        <v>4.2699999999999996</v>
      </c>
      <c r="E1479" s="4">
        <v>1366</v>
      </c>
      <c r="F1479" t="str">
        <f>HYPERLINK("https://www.google.com/maps/search/?api=1&amp;query=24.81887828,46.73195953", "View Map")</f>
        <v>View Map</v>
      </c>
    </row>
    <row r="1480" spans="1:7" x14ac:dyDescent="0.3">
      <c r="A1480" t="s">
        <v>2584</v>
      </c>
      <c r="B1480" t="s">
        <v>2585</v>
      </c>
      <c r="C1480" t="s">
        <v>16</v>
      </c>
      <c r="D1480">
        <v>4.2679999999999998</v>
      </c>
      <c r="E1480" s="4">
        <v>1366</v>
      </c>
      <c r="F1480" t="str">
        <f>HYPERLINK("https://www.google.com/maps/search/?api=1&amp;query=23.74346865,43.10195353", "View Map")</f>
        <v>View Map</v>
      </c>
      <c r="G1480" s="2">
        <v>0.63136205728317751</v>
      </c>
    </row>
    <row r="1481" spans="1:7" x14ac:dyDescent="0.3">
      <c r="A1481" t="s">
        <v>46</v>
      </c>
      <c r="B1481" t="s">
        <v>2586</v>
      </c>
      <c r="C1481" t="s">
        <v>8</v>
      </c>
      <c r="D1481">
        <v>4.2640000000000002</v>
      </c>
      <c r="E1481" s="4">
        <v>1365</v>
      </c>
      <c r="F1481" t="str">
        <f>HYPERLINK("https://www.google.com/maps/search/?api=1&amp;query=24.6894484,46.84775405", "View Map")</f>
        <v>View Map</v>
      </c>
    </row>
    <row r="1482" spans="1:7" x14ac:dyDescent="0.3">
      <c r="A1482" t="s">
        <v>2587</v>
      </c>
      <c r="B1482" t="s">
        <v>2588</v>
      </c>
      <c r="C1482" t="s">
        <v>241</v>
      </c>
      <c r="D1482">
        <v>4.2640000000000002</v>
      </c>
      <c r="E1482" s="4">
        <v>1365</v>
      </c>
      <c r="F1482" t="str">
        <f>HYPERLINK("https://www.google.com/maps/search/?api=1&amp;query=20.46947157,45.05679971", "View Map")</f>
        <v>View Map</v>
      </c>
      <c r="G1482" s="2">
        <v>0.57086955517320903</v>
      </c>
    </row>
    <row r="1483" spans="1:7" x14ac:dyDescent="0.3">
      <c r="A1483" t="s">
        <v>28</v>
      </c>
      <c r="B1483" t="s">
        <v>2589</v>
      </c>
      <c r="C1483" t="s">
        <v>30</v>
      </c>
      <c r="D1483">
        <v>4.2629999999999999</v>
      </c>
      <c r="E1483" s="4">
        <v>1364</v>
      </c>
      <c r="F1483" t="str">
        <f>HYPERLINK("https://www.google.com/maps/search/?api=1&amp;query=24.17216864,47.31968852", "View Map")</f>
        <v>View Map</v>
      </c>
      <c r="G1483" s="2">
        <v>0.51022376271427172</v>
      </c>
    </row>
    <row r="1484" spans="1:7" x14ac:dyDescent="0.3">
      <c r="A1484" t="s">
        <v>1679</v>
      </c>
      <c r="B1484" t="s">
        <v>2590</v>
      </c>
      <c r="C1484" t="s">
        <v>8</v>
      </c>
      <c r="D1484">
        <v>4.2619999999999996</v>
      </c>
      <c r="E1484" s="4">
        <v>1364</v>
      </c>
      <c r="F1484" t="str">
        <f>HYPERLINK("https://www.google.com/maps/search/?api=1&amp;query=24.66250716,46.72494639", "View Map")</f>
        <v>View Map</v>
      </c>
      <c r="G1484" s="2">
        <v>0.80491756443621443</v>
      </c>
    </row>
    <row r="1485" spans="1:7" x14ac:dyDescent="0.3">
      <c r="A1485" t="s">
        <v>2591</v>
      </c>
      <c r="B1485" t="s">
        <v>2592</v>
      </c>
      <c r="C1485" t="s">
        <v>8</v>
      </c>
      <c r="D1485">
        <v>4.2619999999999996</v>
      </c>
      <c r="E1485" s="4">
        <v>1364</v>
      </c>
      <c r="F1485" t="str">
        <f>HYPERLINK("https://www.google.com/maps/search/?api=1&amp;query=24.71092091,46.83455047", "View Map")</f>
        <v>View Map</v>
      </c>
    </row>
    <row r="1486" spans="1:7" x14ac:dyDescent="0.3">
      <c r="A1486" t="s">
        <v>2593</v>
      </c>
      <c r="B1486" t="s">
        <v>2594</v>
      </c>
      <c r="C1486" t="s">
        <v>21</v>
      </c>
      <c r="D1486">
        <v>4.2590000000000003</v>
      </c>
      <c r="E1486" s="4">
        <v>1363</v>
      </c>
      <c r="F1486" t="str">
        <f>HYPERLINK("https://www.google.com/maps/search/?api=1&amp;query=26.30339905,44.81865632", "View Map")</f>
        <v>View Map</v>
      </c>
      <c r="G1486" s="2">
        <v>0.56550552086618855</v>
      </c>
    </row>
    <row r="1487" spans="1:7" x14ac:dyDescent="0.3">
      <c r="A1487" t="s">
        <v>2595</v>
      </c>
      <c r="B1487" t="s">
        <v>2596</v>
      </c>
      <c r="C1487" t="s">
        <v>286</v>
      </c>
      <c r="D1487">
        <v>4.2569999999999997</v>
      </c>
      <c r="E1487" s="4">
        <v>1362</v>
      </c>
      <c r="F1487" t="str">
        <f>HYPERLINK("https://www.google.com/maps/search/?api=1&amp;query=25.24724084,45.21971028", "View Map")</f>
        <v>View Map</v>
      </c>
    </row>
    <row r="1488" spans="1:7" x14ac:dyDescent="0.3">
      <c r="A1488" t="s">
        <v>2597</v>
      </c>
      <c r="B1488" t="s">
        <v>2598</v>
      </c>
      <c r="C1488" t="s">
        <v>291</v>
      </c>
      <c r="D1488">
        <v>4.2560000000000002</v>
      </c>
      <c r="E1488" s="4">
        <v>1362</v>
      </c>
      <c r="F1488" t="str">
        <f>HYPERLINK("https://www.google.com/maps/search/?api=1&amp;query=23.78627,44.78729", "View Map")</f>
        <v>View Map</v>
      </c>
      <c r="G1488" s="2">
        <v>0.76061392373355829</v>
      </c>
    </row>
    <row r="1489" spans="1:7" x14ac:dyDescent="0.3">
      <c r="A1489" t="s">
        <v>242</v>
      </c>
      <c r="B1489" t="s">
        <v>2599</v>
      </c>
      <c r="C1489" t="s">
        <v>8</v>
      </c>
      <c r="D1489">
        <v>4.2549999999999999</v>
      </c>
      <c r="E1489" s="4">
        <v>1362</v>
      </c>
      <c r="F1489" t="str">
        <f>HYPERLINK("https://www.google.com/maps/search/?api=1&amp;query=24.77575861,46.80511905", "View Map")</f>
        <v>View Map</v>
      </c>
    </row>
    <row r="1490" spans="1:7" x14ac:dyDescent="0.3">
      <c r="A1490" t="s">
        <v>2600</v>
      </c>
      <c r="B1490" t="s">
        <v>2601</v>
      </c>
      <c r="C1490" t="s">
        <v>296</v>
      </c>
      <c r="D1490">
        <v>4.2539999999999996</v>
      </c>
      <c r="E1490" s="4">
        <v>1361</v>
      </c>
      <c r="F1490" t="str">
        <f>HYPERLINK("https://www.google.com/maps/search/?api=1&amp;query=24.45073409,46.30022976", "View Map")</f>
        <v>View Map</v>
      </c>
    </row>
    <row r="1491" spans="1:7" x14ac:dyDescent="0.3">
      <c r="A1491" t="s">
        <v>2602</v>
      </c>
      <c r="B1491" t="s">
        <v>2603</v>
      </c>
      <c r="C1491" t="s">
        <v>8</v>
      </c>
      <c r="D1491">
        <v>4.2539999999999996</v>
      </c>
      <c r="E1491" s="4">
        <v>1361</v>
      </c>
      <c r="F1491" t="str">
        <f>HYPERLINK("https://www.google.com/maps/search/?api=1&amp;query=24.58846695,46.56164869", "View Map")</f>
        <v>View Map</v>
      </c>
    </row>
    <row r="1492" spans="1:7" x14ac:dyDescent="0.3">
      <c r="A1492" t="s">
        <v>2604</v>
      </c>
      <c r="B1492" t="s">
        <v>2605</v>
      </c>
      <c r="C1492" t="s">
        <v>8</v>
      </c>
      <c r="D1492">
        <v>4.2510000000000003</v>
      </c>
      <c r="E1492" s="4">
        <v>1360</v>
      </c>
      <c r="F1492" t="str">
        <f>HYPERLINK("https://www.google.com/maps/search/?api=1&amp;query=24.72963194,46.75550089", "View Map")</f>
        <v>View Map</v>
      </c>
    </row>
    <row r="1493" spans="1:7" x14ac:dyDescent="0.3">
      <c r="A1493" t="s">
        <v>2606</v>
      </c>
      <c r="B1493" t="s">
        <v>2607</v>
      </c>
      <c r="C1493" t="s">
        <v>8</v>
      </c>
      <c r="D1493">
        <v>4.25</v>
      </c>
      <c r="E1493" s="4">
        <v>1360</v>
      </c>
      <c r="F1493" t="str">
        <f>HYPERLINK("https://www.google.com/maps/search/?api=1&amp;query=24.59896221,46.63927198", "View Map")</f>
        <v>View Map</v>
      </c>
    </row>
    <row r="1494" spans="1:7" x14ac:dyDescent="0.3">
      <c r="A1494" t="s">
        <v>2608</v>
      </c>
      <c r="B1494" t="s">
        <v>2609</v>
      </c>
      <c r="C1494" t="s">
        <v>16</v>
      </c>
      <c r="D1494">
        <v>4.2480000000000002</v>
      </c>
      <c r="E1494" s="4">
        <v>1359</v>
      </c>
      <c r="F1494" t="str">
        <f>HYPERLINK("https://www.google.com/maps/search/?api=1&amp;query=23.06165972,42.86639306", "View Map")</f>
        <v>View Map</v>
      </c>
      <c r="G1494" s="2">
        <v>0.65763845929839693</v>
      </c>
    </row>
    <row r="1495" spans="1:7" x14ac:dyDescent="0.3">
      <c r="A1495" t="s">
        <v>46</v>
      </c>
      <c r="B1495" t="s">
        <v>2610</v>
      </c>
      <c r="C1495" t="s">
        <v>8</v>
      </c>
      <c r="D1495">
        <v>4.2460000000000004</v>
      </c>
      <c r="E1495" s="4">
        <v>1359</v>
      </c>
      <c r="F1495" t="str">
        <f>HYPERLINK("https://www.google.com/maps/search/?api=1&amp;query=24.8482008,46.81758944", "View Map")</f>
        <v>View Map</v>
      </c>
      <c r="G1495" s="2">
        <v>0.49390667165802049</v>
      </c>
    </row>
    <row r="1496" spans="1:7" x14ac:dyDescent="0.3">
      <c r="A1496" t="s">
        <v>1788</v>
      </c>
      <c r="B1496" t="s">
        <v>2611</v>
      </c>
      <c r="C1496" t="s">
        <v>291</v>
      </c>
      <c r="D1496">
        <v>4.2450000000000001</v>
      </c>
      <c r="E1496" s="4">
        <v>1358</v>
      </c>
      <c r="F1496" t="str">
        <f>HYPERLINK("https://www.google.com/maps/search/?api=1&amp;query=24.08258881,45.3255726", "View Map")</f>
        <v>View Map</v>
      </c>
      <c r="G1496" s="2">
        <v>0.61418020727116018</v>
      </c>
    </row>
    <row r="1497" spans="1:7" x14ac:dyDescent="0.3">
      <c r="A1497" t="s">
        <v>46</v>
      </c>
      <c r="B1497" t="s">
        <v>2612</v>
      </c>
      <c r="C1497" t="s">
        <v>8</v>
      </c>
      <c r="D1497">
        <v>4.2450000000000001</v>
      </c>
      <c r="E1497" s="4">
        <v>1358</v>
      </c>
      <c r="F1497" t="str">
        <f>HYPERLINK("https://www.google.com/maps/search/?api=1&amp;query=24.66616227,46.68107825", "View Map")</f>
        <v>View Map</v>
      </c>
      <c r="G1497" s="2">
        <v>0.56321510832519528</v>
      </c>
    </row>
    <row r="1498" spans="1:7" x14ac:dyDescent="0.3">
      <c r="A1498" t="s">
        <v>46</v>
      </c>
      <c r="B1498" t="s">
        <v>2613</v>
      </c>
      <c r="C1498" t="s">
        <v>8</v>
      </c>
      <c r="D1498">
        <v>4.2409999999999997</v>
      </c>
      <c r="E1498" s="4">
        <v>1357</v>
      </c>
      <c r="F1498" t="str">
        <f>HYPERLINK("https://www.google.com/maps/search/?api=1&amp;query=24.6564,46.5778", "View Map")</f>
        <v>View Map</v>
      </c>
      <c r="G1498" s="2">
        <v>0.37734363408943739</v>
      </c>
    </row>
    <row r="1499" spans="1:7" x14ac:dyDescent="0.3">
      <c r="A1499" t="s">
        <v>2614</v>
      </c>
      <c r="B1499" t="s">
        <v>2615</v>
      </c>
      <c r="C1499" t="s">
        <v>8</v>
      </c>
      <c r="D1499">
        <v>4.2380000000000004</v>
      </c>
      <c r="E1499" s="4">
        <v>1356</v>
      </c>
      <c r="F1499" t="str">
        <f>HYPERLINK("https://www.google.com/maps/search/?api=1&amp;query=24.69143883,46.8090988", "View Map")</f>
        <v>View Map</v>
      </c>
    </row>
    <row r="1500" spans="1:7" x14ac:dyDescent="0.3">
      <c r="A1500" t="s">
        <v>2616</v>
      </c>
      <c r="B1500" t="s">
        <v>2617</v>
      </c>
      <c r="C1500" t="s">
        <v>77</v>
      </c>
      <c r="D1500">
        <v>4.2380000000000004</v>
      </c>
      <c r="E1500" s="4">
        <v>1356</v>
      </c>
      <c r="F1500" t="str">
        <f>HYPERLINK("https://www.google.com/maps/search/?api=1&amp;query=22.2928942,46.7299582", "View Map")</f>
        <v>View Map</v>
      </c>
      <c r="G1500" s="2">
        <v>0.55479253800379769</v>
      </c>
    </row>
    <row r="1501" spans="1:7" x14ac:dyDescent="0.3">
      <c r="A1501" t="s">
        <v>817</v>
      </c>
      <c r="B1501" t="s">
        <v>2618</v>
      </c>
      <c r="C1501" t="s">
        <v>30</v>
      </c>
      <c r="D1501">
        <v>4.2359999999999998</v>
      </c>
      <c r="E1501" s="4">
        <v>1356</v>
      </c>
      <c r="F1501" t="str">
        <f>HYPERLINK("https://www.google.com/maps/search/?api=1&amp;query=24.13352099,47.28804134", "View Map")</f>
        <v>View Map</v>
      </c>
      <c r="G1501" s="2">
        <v>0.75364206654551158</v>
      </c>
    </row>
    <row r="1502" spans="1:7" x14ac:dyDescent="0.3">
      <c r="A1502" t="s">
        <v>2619</v>
      </c>
      <c r="B1502" t="s">
        <v>2620</v>
      </c>
      <c r="C1502" t="s">
        <v>30</v>
      </c>
      <c r="D1502">
        <v>4.2309999999999999</v>
      </c>
      <c r="E1502" s="4">
        <v>1354</v>
      </c>
      <c r="F1502" t="str">
        <f>HYPERLINK("https://www.google.com/maps/search/?api=1&amp;query=24.17457708,47.29195324", "View Map")</f>
        <v>View Map</v>
      </c>
      <c r="G1502" s="2">
        <v>0.38012960661839829</v>
      </c>
    </row>
    <row r="1503" spans="1:7" x14ac:dyDescent="0.3">
      <c r="A1503" t="s">
        <v>2621</v>
      </c>
      <c r="B1503" t="s">
        <v>2622</v>
      </c>
      <c r="C1503" t="s">
        <v>8</v>
      </c>
      <c r="D1503">
        <v>4.2309999999999999</v>
      </c>
      <c r="E1503" s="4">
        <v>1354</v>
      </c>
      <c r="F1503" t="str">
        <f>HYPERLINK("https://www.google.com/maps/search/?api=1&amp;query=24.56661351,46.6275459", "View Map")</f>
        <v>View Map</v>
      </c>
    </row>
    <row r="1504" spans="1:7" x14ac:dyDescent="0.3">
      <c r="A1504" t="s">
        <v>2623</v>
      </c>
      <c r="B1504" t="s">
        <v>2624</v>
      </c>
      <c r="C1504" t="s">
        <v>8</v>
      </c>
      <c r="D1504">
        <v>4.2279999999999998</v>
      </c>
      <c r="E1504" s="4">
        <v>1353</v>
      </c>
      <c r="F1504" t="str">
        <f>HYPERLINK("https://www.google.com/maps/search/?api=1&amp;query=24.57482822,46.7925692", "View Map")</f>
        <v>View Map</v>
      </c>
      <c r="G1504" s="2">
        <v>0.41169371229473822</v>
      </c>
    </row>
    <row r="1505" spans="1:7" x14ac:dyDescent="0.3">
      <c r="A1505" t="s">
        <v>2625</v>
      </c>
      <c r="B1505" t="s">
        <v>2626</v>
      </c>
      <c r="C1505" t="s">
        <v>8</v>
      </c>
      <c r="D1505">
        <v>4.2279999999999998</v>
      </c>
      <c r="E1505" s="4">
        <v>1353</v>
      </c>
      <c r="F1505" t="str">
        <f>HYPERLINK("https://www.google.com/maps/search/?api=1&amp;query=24.63558934,46.68807658", "View Map")</f>
        <v>View Map</v>
      </c>
      <c r="G1505" s="2">
        <v>0.50276313016105767</v>
      </c>
    </row>
    <row r="1506" spans="1:7" x14ac:dyDescent="0.3">
      <c r="A1506" t="s">
        <v>2627</v>
      </c>
      <c r="B1506" t="s">
        <v>2628</v>
      </c>
      <c r="C1506" t="s">
        <v>30</v>
      </c>
      <c r="D1506">
        <v>4.2240000000000002</v>
      </c>
      <c r="E1506" s="4">
        <v>1352</v>
      </c>
      <c r="F1506" t="str">
        <f>HYPERLINK("https://www.google.com/maps/search/?api=1&amp;query=24.16174611,47.33567287", "View Map")</f>
        <v>View Map</v>
      </c>
      <c r="G1506" s="2">
        <v>0.44431579164553131</v>
      </c>
    </row>
    <row r="1507" spans="1:7" x14ac:dyDescent="0.3">
      <c r="A1507" t="s">
        <v>289</v>
      </c>
      <c r="B1507" t="s">
        <v>2629</v>
      </c>
      <c r="C1507" t="s">
        <v>393</v>
      </c>
      <c r="D1507">
        <v>4.2229999999999999</v>
      </c>
      <c r="E1507" s="4">
        <v>1351</v>
      </c>
      <c r="F1507" t="str">
        <f>HYPERLINK("https://www.google.com/maps/search/?api=1&amp;query=22.65511025,45.13754028", "View Map")</f>
        <v>View Map</v>
      </c>
      <c r="G1507" s="2">
        <v>0.71233317161740306</v>
      </c>
    </row>
    <row r="1508" spans="1:7" x14ac:dyDescent="0.3">
      <c r="A1508" t="s">
        <v>2630</v>
      </c>
      <c r="B1508" t="s">
        <v>2631</v>
      </c>
      <c r="C1508" t="s">
        <v>55</v>
      </c>
      <c r="D1508">
        <v>4.2210000000000001</v>
      </c>
      <c r="E1508" s="4">
        <v>1351</v>
      </c>
      <c r="F1508" t="str">
        <f>HYPERLINK("https://www.google.com/maps/search/?api=1&amp;query=24.7567641,46.5746134", "View Map")</f>
        <v>View Map</v>
      </c>
      <c r="G1508" s="2">
        <v>0.39591276715995127</v>
      </c>
    </row>
    <row r="1509" spans="1:7" x14ac:dyDescent="0.3">
      <c r="A1509" t="s">
        <v>2632</v>
      </c>
      <c r="B1509" t="s">
        <v>2633</v>
      </c>
      <c r="C1509" t="s">
        <v>8</v>
      </c>
      <c r="D1509">
        <v>4.22</v>
      </c>
      <c r="E1509" s="4">
        <v>1350</v>
      </c>
      <c r="F1509" t="str">
        <f>HYPERLINK("https://www.google.com/maps/search/?api=1&amp;query=24.76344774,46.74205352", "View Map")</f>
        <v>View Map</v>
      </c>
      <c r="G1509" s="2">
        <v>0.45652505936315491</v>
      </c>
    </row>
    <row r="1510" spans="1:7" x14ac:dyDescent="0.3">
      <c r="A1510" t="s">
        <v>2634</v>
      </c>
      <c r="B1510" t="s">
        <v>2635</v>
      </c>
      <c r="C1510" t="s">
        <v>8</v>
      </c>
      <c r="D1510">
        <v>4.2169999999999996</v>
      </c>
      <c r="E1510" s="4">
        <v>1350</v>
      </c>
      <c r="F1510" t="str">
        <f>HYPERLINK("https://www.google.com/maps/search/?api=1&amp;query=24.57624023,46.64218931", "View Map")</f>
        <v>View Map</v>
      </c>
    </row>
    <row r="1511" spans="1:7" x14ac:dyDescent="0.3">
      <c r="A1511" t="s">
        <v>2636</v>
      </c>
      <c r="B1511" t="s">
        <v>2637</v>
      </c>
      <c r="C1511" t="s">
        <v>21</v>
      </c>
      <c r="D1511">
        <v>4.2160000000000002</v>
      </c>
      <c r="E1511" s="4">
        <v>1349</v>
      </c>
      <c r="F1511" t="str">
        <f>HYPERLINK("https://www.google.com/maps/search/?api=1&amp;query=26.28043756,44.85890983", "View Map")</f>
        <v>View Map</v>
      </c>
      <c r="G1511" s="2">
        <v>0.76861104139116887</v>
      </c>
    </row>
    <row r="1512" spans="1:7" x14ac:dyDescent="0.3">
      <c r="A1512" t="s">
        <v>2638</v>
      </c>
      <c r="B1512" t="s">
        <v>2639</v>
      </c>
      <c r="C1512" t="s">
        <v>8</v>
      </c>
      <c r="D1512">
        <v>4.2160000000000002</v>
      </c>
      <c r="E1512" s="4">
        <v>1349</v>
      </c>
      <c r="F1512" t="str">
        <f>HYPERLINK("https://www.google.com/maps/search/?api=1&amp;query=24.80549012,46.70952652", "View Map")</f>
        <v>View Map</v>
      </c>
    </row>
    <row r="1513" spans="1:7" x14ac:dyDescent="0.3">
      <c r="A1513" t="s">
        <v>2640</v>
      </c>
      <c r="B1513" t="s">
        <v>2641</v>
      </c>
      <c r="C1513" t="s">
        <v>255</v>
      </c>
      <c r="D1513">
        <v>4.2119999999999997</v>
      </c>
      <c r="E1513" s="4">
        <v>1348</v>
      </c>
      <c r="F1513" t="str">
        <f>HYPERLINK("https://www.google.com/maps/search/?api=1&amp;query=25.19385663,44.59463217", "View Map")</f>
        <v>View Map</v>
      </c>
      <c r="G1513" s="2">
        <v>0.61361405782784562</v>
      </c>
    </row>
    <row r="1514" spans="1:7" x14ac:dyDescent="0.3">
      <c r="A1514" t="s">
        <v>2642</v>
      </c>
      <c r="B1514" t="s">
        <v>2643</v>
      </c>
      <c r="C1514" t="s">
        <v>8</v>
      </c>
      <c r="D1514">
        <v>4.2119999999999997</v>
      </c>
      <c r="E1514" s="4">
        <v>1348</v>
      </c>
      <c r="F1514" t="str">
        <f>HYPERLINK("https://www.google.com/maps/search/?api=1&amp;query=24.76325194,46.61802798", "View Map")</f>
        <v>View Map</v>
      </c>
    </row>
    <row r="1515" spans="1:7" x14ac:dyDescent="0.3">
      <c r="A1515" t="s">
        <v>2644</v>
      </c>
      <c r="B1515" t="s">
        <v>2645</v>
      </c>
      <c r="C1515" t="s">
        <v>8</v>
      </c>
      <c r="D1515">
        <v>4.2110000000000003</v>
      </c>
      <c r="E1515" s="4">
        <v>1348</v>
      </c>
      <c r="F1515" t="str">
        <f>HYPERLINK("https://www.google.com/maps/search/?api=1&amp;query=24.76304,46.72238", "View Map")</f>
        <v>View Map</v>
      </c>
      <c r="G1515" s="2">
        <v>0.38544136085337832</v>
      </c>
    </row>
    <row r="1516" spans="1:7" x14ac:dyDescent="0.3">
      <c r="A1516" t="s">
        <v>1273</v>
      </c>
      <c r="B1516" t="s">
        <v>2646</v>
      </c>
      <c r="C1516" t="s">
        <v>241</v>
      </c>
      <c r="D1516">
        <v>4.2089999999999996</v>
      </c>
      <c r="E1516" s="4">
        <v>1347</v>
      </c>
      <c r="F1516" t="str">
        <f>HYPERLINK("https://www.google.com/maps/search/?api=1&amp;query=20.4503241,44.8405842", "View Map")</f>
        <v>View Map</v>
      </c>
      <c r="G1516" s="2">
        <v>0.7030006876156949</v>
      </c>
    </row>
    <row r="1517" spans="1:7" x14ac:dyDescent="0.3">
      <c r="A1517" t="s">
        <v>46</v>
      </c>
      <c r="B1517" t="s">
        <v>2647</v>
      </c>
      <c r="C1517" t="s">
        <v>55</v>
      </c>
      <c r="D1517">
        <v>4.2069999999999999</v>
      </c>
      <c r="E1517" s="4">
        <v>1346</v>
      </c>
      <c r="F1517" t="str">
        <f>HYPERLINK("https://www.google.com/maps/search/?api=1&amp;query=24.775971,46.56946824", "View Map")</f>
        <v>View Map</v>
      </c>
      <c r="G1517" s="2">
        <v>0.48602180549815671</v>
      </c>
    </row>
    <row r="1518" spans="1:7" x14ac:dyDescent="0.3">
      <c r="A1518" t="s">
        <v>2648</v>
      </c>
      <c r="B1518" t="s">
        <v>2649</v>
      </c>
      <c r="C1518" t="s">
        <v>8</v>
      </c>
      <c r="D1518">
        <v>4.1989999999999998</v>
      </c>
      <c r="E1518" s="4">
        <v>1344</v>
      </c>
      <c r="F1518" t="str">
        <f>HYPERLINK("https://www.google.com/maps/search/?api=1&amp;query=24.7523324,46.67966672", "View Map")</f>
        <v>View Map</v>
      </c>
      <c r="G1518" s="2">
        <v>0.44355742806231918</v>
      </c>
    </row>
    <row r="1519" spans="1:7" x14ac:dyDescent="0.3">
      <c r="A1519" t="s">
        <v>2650</v>
      </c>
      <c r="B1519" t="s">
        <v>2651</v>
      </c>
      <c r="C1519" t="s">
        <v>8</v>
      </c>
      <c r="D1519">
        <v>4.1970000000000001</v>
      </c>
      <c r="E1519" s="4">
        <v>1343</v>
      </c>
      <c r="F1519" t="str">
        <f>HYPERLINK("https://www.google.com/maps/search/?api=1&amp;query=24.59449782,46.66248612", "View Map")</f>
        <v>View Map</v>
      </c>
    </row>
    <row r="1520" spans="1:7" x14ac:dyDescent="0.3">
      <c r="A1520" t="s">
        <v>2652</v>
      </c>
      <c r="B1520" t="s">
        <v>2653</v>
      </c>
      <c r="C1520" t="s">
        <v>255</v>
      </c>
      <c r="D1520">
        <v>4.1959999999999997</v>
      </c>
      <c r="E1520" s="4">
        <v>1343</v>
      </c>
      <c r="F1520" t="str">
        <f>HYPERLINK("https://www.google.com/maps/search/?api=1&amp;query=24.49543017,44.3764906", "View Map")</f>
        <v>View Map</v>
      </c>
    </row>
    <row r="1521" spans="1:7" x14ac:dyDescent="0.3">
      <c r="A1521" t="s">
        <v>2248</v>
      </c>
      <c r="B1521" t="s">
        <v>2654</v>
      </c>
      <c r="C1521" t="s">
        <v>30</v>
      </c>
      <c r="D1521">
        <v>4.194</v>
      </c>
      <c r="E1521" s="4">
        <v>1342</v>
      </c>
      <c r="F1521" t="str">
        <f>HYPERLINK("https://www.google.com/maps/search/?api=1&amp;query=24.12023,47.29528", "View Map")</f>
        <v>View Map</v>
      </c>
      <c r="G1521" s="2">
        <v>0.78237337876319046</v>
      </c>
    </row>
    <row r="1522" spans="1:7" x14ac:dyDescent="0.3">
      <c r="A1522" t="s">
        <v>2655</v>
      </c>
      <c r="B1522" t="s">
        <v>2656</v>
      </c>
      <c r="C1522" t="s">
        <v>393</v>
      </c>
      <c r="D1522">
        <v>4.1879999999999997</v>
      </c>
      <c r="E1522" s="4">
        <v>1340</v>
      </c>
      <c r="F1522" t="str">
        <f>HYPERLINK("https://www.google.com/maps/search/?api=1&amp;query=23.57204329,45.57354863", "View Map")</f>
        <v>View Map</v>
      </c>
      <c r="G1522" s="2">
        <v>0.48790921838872348</v>
      </c>
    </row>
    <row r="1523" spans="1:7" x14ac:dyDescent="0.3">
      <c r="A1523" t="s">
        <v>2657</v>
      </c>
      <c r="B1523" t="s">
        <v>2658</v>
      </c>
      <c r="C1523" t="s">
        <v>8</v>
      </c>
      <c r="D1523">
        <v>4.1849999999999996</v>
      </c>
      <c r="E1523" s="4">
        <v>1339</v>
      </c>
      <c r="F1523" t="str">
        <f>HYPERLINK("https://www.google.com/maps/search/?api=1&amp;query=24.74523184,46.79897044", "View Map")</f>
        <v>View Map</v>
      </c>
      <c r="G1523" s="2">
        <v>0.40237654112532251</v>
      </c>
    </row>
    <row r="1524" spans="1:7" x14ac:dyDescent="0.3">
      <c r="A1524" t="s">
        <v>2248</v>
      </c>
      <c r="B1524" t="s">
        <v>2659</v>
      </c>
      <c r="C1524" t="s">
        <v>30</v>
      </c>
      <c r="D1524">
        <v>4.1840000000000002</v>
      </c>
      <c r="E1524" s="4">
        <v>1339</v>
      </c>
      <c r="F1524" t="str">
        <f>HYPERLINK("https://www.google.com/maps/search/?api=1&amp;query=24.12023,47.29528", "View Map")</f>
        <v>View Map</v>
      </c>
      <c r="G1524" s="2">
        <v>0.84094013147407243</v>
      </c>
    </row>
    <row r="1525" spans="1:7" x14ac:dyDescent="0.3">
      <c r="A1525" t="s">
        <v>150</v>
      </c>
      <c r="B1525" t="s">
        <v>2660</v>
      </c>
      <c r="C1525" t="s">
        <v>8</v>
      </c>
      <c r="D1525">
        <v>4.1829999999999998</v>
      </c>
      <c r="E1525" s="4">
        <v>1338</v>
      </c>
      <c r="F1525" t="str">
        <f>HYPERLINK("https://www.google.com/maps/search/?api=1&amp;query=24.83415546,46.79568329", "View Map")</f>
        <v>View Map</v>
      </c>
    </row>
    <row r="1526" spans="1:7" x14ac:dyDescent="0.3">
      <c r="A1526" t="s">
        <v>2661</v>
      </c>
      <c r="B1526" t="s">
        <v>2662</v>
      </c>
      <c r="C1526" t="s">
        <v>8</v>
      </c>
      <c r="D1526">
        <v>4.1820000000000004</v>
      </c>
      <c r="E1526" s="4">
        <v>1338</v>
      </c>
      <c r="F1526" t="str">
        <f>HYPERLINK("https://www.google.com/maps/search/?api=1&amp;query=24.83693473,46.75207377", "View Map")</f>
        <v>View Map</v>
      </c>
    </row>
    <row r="1527" spans="1:7" x14ac:dyDescent="0.3">
      <c r="A1527" t="s">
        <v>934</v>
      </c>
      <c r="B1527" t="s">
        <v>2663</v>
      </c>
      <c r="C1527" t="s">
        <v>8</v>
      </c>
      <c r="D1527">
        <v>4.1820000000000004</v>
      </c>
      <c r="E1527" s="4">
        <v>1338</v>
      </c>
      <c r="F1527" t="str">
        <f>HYPERLINK("https://www.google.com/maps/search/?api=1&amp;query=24.64885868,46.80072088", "View Map")</f>
        <v>View Map</v>
      </c>
      <c r="G1527" s="2">
        <v>0.51768503941315902</v>
      </c>
    </row>
    <row r="1528" spans="1:7" x14ac:dyDescent="0.3">
      <c r="A1528" t="s">
        <v>2664</v>
      </c>
      <c r="B1528" t="s">
        <v>2665</v>
      </c>
      <c r="C1528" t="s">
        <v>8</v>
      </c>
      <c r="D1528">
        <v>4.18</v>
      </c>
      <c r="E1528" s="4">
        <v>1338</v>
      </c>
      <c r="F1528" t="str">
        <f>HYPERLINK("https://www.google.com/maps/search/?api=1&amp;query=24.62075159,46.71184437", "View Map")</f>
        <v>View Map</v>
      </c>
    </row>
    <row r="1529" spans="1:7" x14ac:dyDescent="0.3">
      <c r="A1529" t="s">
        <v>2666</v>
      </c>
      <c r="B1529" t="s">
        <v>2667</v>
      </c>
      <c r="C1529" t="s">
        <v>8</v>
      </c>
      <c r="D1529">
        <v>4.1779999999999999</v>
      </c>
      <c r="E1529" s="4">
        <v>1337</v>
      </c>
      <c r="F1529" t="str">
        <f>HYPERLINK("https://www.google.com/maps/search/?api=1&amp;query=24.81092439,46.85793814", "View Map")</f>
        <v>View Map</v>
      </c>
    </row>
    <row r="1530" spans="1:7" x14ac:dyDescent="0.3">
      <c r="A1530" t="s">
        <v>2668</v>
      </c>
      <c r="B1530" t="s">
        <v>2669</v>
      </c>
      <c r="C1530" t="s">
        <v>8</v>
      </c>
      <c r="D1530">
        <v>4.1769999999999996</v>
      </c>
      <c r="E1530" s="4">
        <v>1337</v>
      </c>
      <c r="F1530" t="str">
        <f>HYPERLINK("https://www.google.com/maps/search/?api=1&amp;query=24.57151923,46.6304919", "View Map")</f>
        <v>View Map</v>
      </c>
    </row>
    <row r="1531" spans="1:7" x14ac:dyDescent="0.3">
      <c r="A1531" t="s">
        <v>2670</v>
      </c>
      <c r="B1531" t="s">
        <v>2671</v>
      </c>
      <c r="C1531" t="s">
        <v>137</v>
      </c>
      <c r="D1531">
        <v>4.1760000000000002</v>
      </c>
      <c r="E1531" s="4">
        <v>1336</v>
      </c>
      <c r="F1531" t="str">
        <f>HYPERLINK("https://www.google.com/maps/search/?api=1&amp;query=23.44724739,46.787458", "View Map")</f>
        <v>View Map</v>
      </c>
      <c r="G1531" s="2">
        <v>0.60546500198674114</v>
      </c>
    </row>
    <row r="1532" spans="1:7" x14ac:dyDescent="0.3">
      <c r="A1532" t="s">
        <v>289</v>
      </c>
      <c r="B1532" t="s">
        <v>2672</v>
      </c>
      <c r="C1532" t="s">
        <v>393</v>
      </c>
      <c r="D1532">
        <v>4.1749999999999998</v>
      </c>
      <c r="E1532" s="4">
        <v>1336</v>
      </c>
      <c r="F1532" t="str">
        <f>HYPERLINK("https://www.google.com/maps/search/?api=1&amp;query=22.74332077,44.97755932", "View Map")</f>
        <v>View Map</v>
      </c>
      <c r="G1532" s="2">
        <v>0.77216556111373569</v>
      </c>
    </row>
    <row r="1533" spans="1:7" x14ac:dyDescent="0.3">
      <c r="A1533" t="s">
        <v>73</v>
      </c>
      <c r="B1533" t="s">
        <v>2673</v>
      </c>
      <c r="C1533" t="s">
        <v>8</v>
      </c>
      <c r="D1533">
        <v>4.1749999999999998</v>
      </c>
      <c r="E1533" s="4">
        <v>1336</v>
      </c>
      <c r="F1533" t="str">
        <f>HYPERLINK("https://www.google.com/maps/search/?api=1&amp;query=24.83265931,46.63791807", "View Map")</f>
        <v>View Map</v>
      </c>
    </row>
    <row r="1534" spans="1:7" x14ac:dyDescent="0.3">
      <c r="A1534" t="s">
        <v>46</v>
      </c>
      <c r="B1534" t="s">
        <v>2674</v>
      </c>
      <c r="C1534" t="s">
        <v>8</v>
      </c>
      <c r="D1534">
        <v>4.1749999999999998</v>
      </c>
      <c r="E1534" s="4">
        <v>1336</v>
      </c>
      <c r="F1534" t="str">
        <f>HYPERLINK("https://www.google.com/maps/search/?api=1&amp;query=24.59832019,46.77224332", "View Map")</f>
        <v>View Map</v>
      </c>
      <c r="G1534" s="2">
        <v>0.68036781728448892</v>
      </c>
    </row>
    <row r="1535" spans="1:7" x14ac:dyDescent="0.3">
      <c r="A1535" t="s">
        <v>2675</v>
      </c>
      <c r="B1535" t="s">
        <v>2676</v>
      </c>
      <c r="C1535" t="s">
        <v>8</v>
      </c>
      <c r="D1535">
        <v>4.1749999999999998</v>
      </c>
      <c r="E1535" s="4">
        <v>1336</v>
      </c>
      <c r="F1535" t="str">
        <f>HYPERLINK("https://www.google.com/maps/search/?api=1&amp;query=24.68954053,46.64155291", "View Map")</f>
        <v>View Map</v>
      </c>
      <c r="G1535" s="2">
        <v>0.40211556391573</v>
      </c>
    </row>
    <row r="1536" spans="1:7" x14ac:dyDescent="0.3">
      <c r="A1536" t="s">
        <v>2677</v>
      </c>
      <c r="B1536" t="s">
        <v>2678</v>
      </c>
      <c r="C1536" t="s">
        <v>8</v>
      </c>
      <c r="D1536">
        <v>4.1719999999999997</v>
      </c>
      <c r="E1536" s="4">
        <v>1335</v>
      </c>
      <c r="F1536" t="str">
        <f>HYPERLINK("https://www.google.com/maps/search/?api=1&amp;query=24.55287095,46.71891376", "View Map")</f>
        <v>View Map</v>
      </c>
      <c r="G1536" s="2">
        <v>0.35254354723549519</v>
      </c>
    </row>
    <row r="1537" spans="1:7" x14ac:dyDescent="0.3">
      <c r="A1537" t="s">
        <v>2679</v>
      </c>
      <c r="B1537" t="s">
        <v>2680</v>
      </c>
      <c r="C1537" t="s">
        <v>8</v>
      </c>
      <c r="D1537">
        <v>4.1680000000000001</v>
      </c>
      <c r="E1537" s="4">
        <v>1334</v>
      </c>
      <c r="F1537" t="str">
        <f>HYPERLINK("https://www.google.com/maps/search/?api=1&amp;query=24.78202877,46.76196356", "View Map")</f>
        <v>View Map</v>
      </c>
      <c r="G1537" s="2">
        <v>0.30259672539445731</v>
      </c>
    </row>
    <row r="1538" spans="1:7" x14ac:dyDescent="0.3">
      <c r="A1538" t="s">
        <v>2681</v>
      </c>
      <c r="B1538" t="s">
        <v>2682</v>
      </c>
      <c r="C1538" t="s">
        <v>8</v>
      </c>
      <c r="D1538">
        <v>4.1669999999999998</v>
      </c>
      <c r="E1538" s="4">
        <v>1333</v>
      </c>
      <c r="F1538" t="str">
        <f>HYPERLINK("https://www.google.com/maps/search/?api=1&amp;query=24.77888061,46.67934118", "View Map")</f>
        <v>View Map</v>
      </c>
      <c r="G1538" s="2">
        <v>1.3977745701689459</v>
      </c>
    </row>
    <row r="1539" spans="1:7" x14ac:dyDescent="0.3">
      <c r="A1539" t="s">
        <v>2683</v>
      </c>
      <c r="B1539" t="s">
        <v>2684</v>
      </c>
      <c r="C1539" t="s">
        <v>296</v>
      </c>
      <c r="D1539">
        <v>4.165</v>
      </c>
      <c r="E1539" s="4">
        <v>1333</v>
      </c>
      <c r="F1539" t="str">
        <f>HYPERLINK("https://www.google.com/maps/search/?api=1&amp;query=24.47099635,46.30449675", "View Map")</f>
        <v>View Map</v>
      </c>
      <c r="G1539" s="2">
        <v>0.49299367561171181</v>
      </c>
    </row>
    <row r="1540" spans="1:7" x14ac:dyDescent="0.3">
      <c r="A1540" t="s">
        <v>2685</v>
      </c>
      <c r="B1540" t="s">
        <v>2686</v>
      </c>
      <c r="C1540" t="s">
        <v>8</v>
      </c>
      <c r="D1540">
        <v>4.1619999999999999</v>
      </c>
      <c r="E1540" s="4">
        <v>1332</v>
      </c>
      <c r="F1540" t="str">
        <f>HYPERLINK("https://www.google.com/maps/search/?api=1&amp;query=24.71130372,46.85292816", "View Map")</f>
        <v>View Map</v>
      </c>
      <c r="G1540" s="2">
        <v>0.61901488617487166</v>
      </c>
    </row>
    <row r="1541" spans="1:7" x14ac:dyDescent="0.3">
      <c r="A1541" t="s">
        <v>1788</v>
      </c>
      <c r="B1541" t="s">
        <v>2687</v>
      </c>
      <c r="C1541" t="s">
        <v>393</v>
      </c>
      <c r="D1541">
        <v>4.1619999999999999</v>
      </c>
      <c r="E1541" s="4">
        <v>1332</v>
      </c>
      <c r="F1541" t="str">
        <f>HYPERLINK("https://www.google.com/maps/search/?api=1&amp;query=23.67353428,45.25538128", "View Map")</f>
        <v>View Map</v>
      </c>
      <c r="G1541" s="2">
        <v>0.60470924453576291</v>
      </c>
    </row>
    <row r="1542" spans="1:7" x14ac:dyDescent="0.3">
      <c r="A1542" t="s">
        <v>2688</v>
      </c>
      <c r="B1542" t="s">
        <v>2689</v>
      </c>
      <c r="C1542" t="s">
        <v>646</v>
      </c>
      <c r="D1542">
        <v>4.1580000000000004</v>
      </c>
      <c r="E1542" s="4">
        <v>1331</v>
      </c>
      <c r="F1542" t="str">
        <f>HYPERLINK("https://www.google.com/maps/search/?api=1&amp;query=20.45821062,45.59651651", "View Map")</f>
        <v>View Map</v>
      </c>
      <c r="G1542" s="2">
        <v>0.45386497467438552</v>
      </c>
    </row>
    <row r="1543" spans="1:7" x14ac:dyDescent="0.3">
      <c r="A1543" t="s">
        <v>2690</v>
      </c>
      <c r="B1543" t="s">
        <v>2691</v>
      </c>
      <c r="C1543" t="s">
        <v>255</v>
      </c>
      <c r="D1543">
        <v>4.157</v>
      </c>
      <c r="E1543" s="4">
        <v>1330</v>
      </c>
      <c r="F1543" t="str">
        <f>HYPERLINK("https://www.google.com/maps/search/?api=1&amp;query=25.02341321,44.39828746", "View Map")</f>
        <v>View Map</v>
      </c>
      <c r="G1543" s="2">
        <v>0.64097457548478298</v>
      </c>
    </row>
    <row r="1544" spans="1:7" x14ac:dyDescent="0.3">
      <c r="A1544" t="s">
        <v>146</v>
      </c>
      <c r="B1544" t="s">
        <v>2692</v>
      </c>
      <c r="C1544" t="s">
        <v>8</v>
      </c>
      <c r="D1544">
        <v>4.1539999999999999</v>
      </c>
      <c r="E1544" s="4">
        <v>1329</v>
      </c>
      <c r="F1544" t="str">
        <f>HYPERLINK("https://www.google.com/maps/search/?api=1&amp;query=24.56395998,46.81127406", "View Map")</f>
        <v>View Map</v>
      </c>
      <c r="G1544" s="2">
        <v>0.46723967886220469</v>
      </c>
    </row>
    <row r="1545" spans="1:7" x14ac:dyDescent="0.3">
      <c r="A1545" t="s">
        <v>46</v>
      </c>
      <c r="B1545" t="s">
        <v>2693</v>
      </c>
      <c r="C1545" t="s">
        <v>8</v>
      </c>
      <c r="D1545">
        <v>4.1500000000000004</v>
      </c>
      <c r="E1545" s="4">
        <v>1328</v>
      </c>
      <c r="F1545" t="str">
        <f>HYPERLINK("https://www.google.com/maps/search/?api=1&amp;query=24.81315951,46.79012088", "View Map")</f>
        <v>View Map</v>
      </c>
    </row>
    <row r="1546" spans="1:7" x14ac:dyDescent="0.3">
      <c r="A1546" t="s">
        <v>2694</v>
      </c>
      <c r="B1546" t="s">
        <v>2695</v>
      </c>
      <c r="C1546" t="s">
        <v>8</v>
      </c>
      <c r="D1546">
        <v>4.1449999999999996</v>
      </c>
      <c r="E1546" s="4">
        <v>1327</v>
      </c>
      <c r="F1546" t="str">
        <f>HYPERLINK("https://www.google.com/maps/search/?api=1&amp;query=24.56448392,46.69473232", "View Map")</f>
        <v>View Map</v>
      </c>
      <c r="G1546" s="2">
        <v>0.42385417698923039</v>
      </c>
    </row>
    <row r="1547" spans="1:7" x14ac:dyDescent="0.3">
      <c r="A1547" t="s">
        <v>2696</v>
      </c>
      <c r="B1547" t="s">
        <v>2697</v>
      </c>
      <c r="C1547" t="s">
        <v>8</v>
      </c>
      <c r="D1547">
        <v>4.1440000000000001</v>
      </c>
      <c r="E1547" s="4">
        <v>1326</v>
      </c>
      <c r="F1547" t="str">
        <f>HYPERLINK("https://www.google.com/maps/search/?api=1&amp;query=24.76836736,46.68432541", "View Map")</f>
        <v>View Map</v>
      </c>
    </row>
    <row r="1548" spans="1:7" x14ac:dyDescent="0.3">
      <c r="A1548" t="s">
        <v>2698</v>
      </c>
      <c r="B1548" t="s">
        <v>2699</v>
      </c>
      <c r="C1548" t="s">
        <v>8</v>
      </c>
      <c r="D1548">
        <v>4.1440000000000001</v>
      </c>
      <c r="E1548" s="4">
        <v>1326</v>
      </c>
      <c r="F1548" t="str">
        <f>HYPERLINK("https://www.google.com/maps/search/?api=1&amp;query=24.75338127,46.74998884", "View Map")</f>
        <v>View Map</v>
      </c>
    </row>
    <row r="1549" spans="1:7" x14ac:dyDescent="0.3">
      <c r="A1549" t="s">
        <v>2700</v>
      </c>
      <c r="B1549" t="s">
        <v>2701</v>
      </c>
      <c r="C1549" t="s">
        <v>255</v>
      </c>
      <c r="D1549">
        <v>4.1440000000000001</v>
      </c>
      <c r="E1549" s="4">
        <v>1326</v>
      </c>
      <c r="F1549" t="str">
        <f>HYPERLINK("https://www.google.com/maps/search/?api=1&amp;query=24.59762074,44.47119891", "View Map")</f>
        <v>View Map</v>
      </c>
      <c r="G1549" s="2">
        <v>0.71605755903528912</v>
      </c>
    </row>
    <row r="1550" spans="1:7" x14ac:dyDescent="0.3">
      <c r="A1550" t="s">
        <v>2702</v>
      </c>
      <c r="B1550" t="s">
        <v>2703</v>
      </c>
      <c r="C1550" t="s">
        <v>77</v>
      </c>
      <c r="D1550">
        <v>4.1420000000000003</v>
      </c>
      <c r="E1550" s="4">
        <v>1326</v>
      </c>
      <c r="F1550" t="str">
        <f>HYPERLINK("https://www.google.com/maps/search/?api=1&amp;query=22.30433732,46.71154137", "View Map")</f>
        <v>View Map</v>
      </c>
      <c r="G1550" s="2">
        <v>0.48631095489047138</v>
      </c>
    </row>
    <row r="1551" spans="1:7" x14ac:dyDescent="0.3">
      <c r="A1551" t="s">
        <v>46</v>
      </c>
      <c r="B1551" t="s">
        <v>2704</v>
      </c>
      <c r="C1551" t="s">
        <v>8</v>
      </c>
      <c r="D1551">
        <v>4.141</v>
      </c>
      <c r="E1551" s="4">
        <v>1325</v>
      </c>
      <c r="F1551" t="str">
        <f>HYPERLINK("https://www.google.com/maps/search/?api=1&amp;query=24.67755331,46.74678615", "View Map")</f>
        <v>View Map</v>
      </c>
    </row>
    <row r="1552" spans="1:7" x14ac:dyDescent="0.3">
      <c r="A1552" t="s">
        <v>2705</v>
      </c>
      <c r="B1552" t="s">
        <v>2706</v>
      </c>
      <c r="C1552" t="s">
        <v>8</v>
      </c>
      <c r="D1552">
        <v>4.1379999999999999</v>
      </c>
      <c r="E1552" s="4">
        <v>1324</v>
      </c>
      <c r="F1552" t="str">
        <f>HYPERLINK("https://www.google.com/maps/search/?api=1&amp;query=24.58844824,46.68656278", "View Map")</f>
        <v>View Map</v>
      </c>
      <c r="G1552" s="2">
        <v>0.33494464672713442</v>
      </c>
    </row>
    <row r="1553" spans="1:7" x14ac:dyDescent="0.3">
      <c r="A1553" t="s">
        <v>2707</v>
      </c>
      <c r="B1553" t="s">
        <v>2708</v>
      </c>
      <c r="C1553" t="s">
        <v>8</v>
      </c>
      <c r="D1553">
        <v>4.1349999999999998</v>
      </c>
      <c r="E1553" s="4">
        <v>1323</v>
      </c>
      <c r="F1553" t="str">
        <f>HYPERLINK("https://www.google.com/maps/search/?api=1&amp;query=24.74552817,46.83964266", "View Map")</f>
        <v>View Map</v>
      </c>
    </row>
    <row r="1554" spans="1:7" x14ac:dyDescent="0.3">
      <c r="A1554" t="s">
        <v>2709</v>
      </c>
      <c r="B1554" t="s">
        <v>2710</v>
      </c>
      <c r="C1554" t="s">
        <v>55</v>
      </c>
      <c r="D1554">
        <v>4.133</v>
      </c>
      <c r="E1554" s="4">
        <v>1322</v>
      </c>
      <c r="F1554" t="str">
        <f>HYPERLINK("https://www.google.com/maps/search/?api=1&amp;query=24.90731121,46.38222352", "View Map")</f>
        <v>View Map</v>
      </c>
      <c r="G1554" s="2">
        <v>0.64247795472842062</v>
      </c>
    </row>
    <row r="1555" spans="1:7" x14ac:dyDescent="0.3">
      <c r="A1555" t="s">
        <v>2711</v>
      </c>
      <c r="B1555" t="s">
        <v>2712</v>
      </c>
      <c r="C1555" t="s">
        <v>286</v>
      </c>
      <c r="D1555">
        <v>4.1319999999999997</v>
      </c>
      <c r="E1555" s="4">
        <v>1322</v>
      </c>
      <c r="F1555" t="str">
        <f>HYPERLINK("https://www.google.com/maps/search/?api=1&amp;query=25.22875269,45.25288397", "View Map")</f>
        <v>View Map</v>
      </c>
      <c r="G1555" s="2">
        <v>0.85178531143178515</v>
      </c>
    </row>
    <row r="1556" spans="1:7" x14ac:dyDescent="0.3">
      <c r="A1556" t="s">
        <v>2713</v>
      </c>
      <c r="B1556" t="s">
        <v>2714</v>
      </c>
      <c r="C1556" t="s">
        <v>8</v>
      </c>
      <c r="D1556">
        <v>4.1310000000000002</v>
      </c>
      <c r="E1556" s="4">
        <v>1322</v>
      </c>
      <c r="F1556" t="str">
        <f>HYPERLINK("https://www.google.com/maps/search/?api=1&amp;query=24.60341739,46.73835327", "View Map")</f>
        <v>View Map</v>
      </c>
      <c r="G1556" s="2">
        <v>0.36116791057013869</v>
      </c>
    </row>
    <row r="1557" spans="1:7" x14ac:dyDescent="0.3">
      <c r="A1557" t="s">
        <v>2715</v>
      </c>
      <c r="B1557" t="s">
        <v>2716</v>
      </c>
      <c r="C1557" t="s">
        <v>8</v>
      </c>
      <c r="D1557">
        <v>4.1280000000000001</v>
      </c>
      <c r="E1557" s="4">
        <v>1321</v>
      </c>
      <c r="F1557" t="str">
        <f>HYPERLINK("https://www.google.com/maps/search/?api=1&amp;query=24.56536863,46.7736222", "View Map")</f>
        <v>View Map</v>
      </c>
    </row>
    <row r="1558" spans="1:7" x14ac:dyDescent="0.3">
      <c r="A1558" t="s">
        <v>2717</v>
      </c>
      <c r="B1558" t="s">
        <v>2718</v>
      </c>
      <c r="C1558" t="s">
        <v>8</v>
      </c>
      <c r="D1558">
        <v>4.1269999999999998</v>
      </c>
      <c r="E1558" s="4">
        <v>1321</v>
      </c>
      <c r="F1558" t="str">
        <f>HYPERLINK("https://www.google.com/maps/search/?api=1&amp;query=24.73401482,46.61181588", "View Map")</f>
        <v>View Map</v>
      </c>
    </row>
    <row r="1559" spans="1:7" x14ac:dyDescent="0.3">
      <c r="A1559" t="s">
        <v>2719</v>
      </c>
      <c r="B1559" t="s">
        <v>2720</v>
      </c>
      <c r="C1559" t="s">
        <v>241</v>
      </c>
      <c r="D1559">
        <v>4.1260000000000003</v>
      </c>
      <c r="E1559" s="4">
        <v>1320</v>
      </c>
      <c r="F1559" t="str">
        <f>HYPERLINK("https://www.google.com/maps/search/?api=1&amp;query=20.46451015,44.76095763", "View Map")</f>
        <v>View Map</v>
      </c>
      <c r="G1559" s="2">
        <v>0.51700162133812488</v>
      </c>
    </row>
    <row r="1560" spans="1:7" x14ac:dyDescent="0.3">
      <c r="A1560" t="s">
        <v>2721</v>
      </c>
      <c r="B1560" t="s">
        <v>2722</v>
      </c>
      <c r="C1560" t="s">
        <v>8</v>
      </c>
      <c r="D1560">
        <v>4.125</v>
      </c>
      <c r="E1560" s="4">
        <v>1320</v>
      </c>
      <c r="F1560" t="str">
        <f>HYPERLINK("https://www.google.com/maps/search/?api=1&amp;query=24.80379941,46.71917251", "View Map")</f>
        <v>View Map</v>
      </c>
      <c r="G1560" s="2">
        <v>0.51244632177863214</v>
      </c>
    </row>
    <row r="1561" spans="1:7" x14ac:dyDescent="0.3">
      <c r="A1561" t="s">
        <v>2723</v>
      </c>
      <c r="B1561" t="s">
        <v>2724</v>
      </c>
      <c r="C1561" t="s">
        <v>270</v>
      </c>
      <c r="D1561">
        <v>4.125</v>
      </c>
      <c r="E1561" s="4">
        <v>1320</v>
      </c>
      <c r="F1561" t="str">
        <f>HYPERLINK("https://www.google.com/maps/search/?api=1&amp;query=23.99084306,47.12888933", "View Map")</f>
        <v>View Map</v>
      </c>
    </row>
    <row r="1562" spans="1:7" x14ac:dyDescent="0.3">
      <c r="A1562" t="s">
        <v>2725</v>
      </c>
      <c r="B1562" t="s">
        <v>2726</v>
      </c>
      <c r="C1562" t="s">
        <v>21</v>
      </c>
      <c r="D1562">
        <v>4.1239999999999997</v>
      </c>
      <c r="E1562" s="4">
        <v>1320</v>
      </c>
      <c r="F1562" t="str">
        <f>HYPERLINK("https://www.google.com/maps/search/?api=1&amp;query=26.31781309,44.82913966", "View Map")</f>
        <v>View Map</v>
      </c>
      <c r="G1562" s="2">
        <v>0.63000298827240575</v>
      </c>
    </row>
    <row r="1563" spans="1:7" x14ac:dyDescent="0.3">
      <c r="A1563" t="s">
        <v>1232</v>
      </c>
      <c r="B1563" t="s">
        <v>2727</v>
      </c>
      <c r="C1563" t="s">
        <v>8</v>
      </c>
      <c r="D1563">
        <v>4.1210000000000004</v>
      </c>
      <c r="E1563" s="4">
        <v>1319</v>
      </c>
      <c r="F1563" t="str">
        <f>HYPERLINK("https://www.google.com/maps/search/?api=1&amp;query=24.80040817,46.61245204", "View Map")</f>
        <v>View Map</v>
      </c>
    </row>
    <row r="1564" spans="1:7" x14ac:dyDescent="0.3">
      <c r="A1564" t="s">
        <v>2728</v>
      </c>
      <c r="B1564" t="s">
        <v>2729</v>
      </c>
      <c r="C1564" t="s">
        <v>8</v>
      </c>
      <c r="D1564">
        <v>4.12</v>
      </c>
      <c r="E1564" s="4">
        <v>1318</v>
      </c>
      <c r="F1564" t="str">
        <f>HYPERLINK("https://www.google.com/maps/search/?api=1&amp;query=24.39639471,46.83362787", "View Map")</f>
        <v>View Map</v>
      </c>
    </row>
    <row r="1565" spans="1:7" x14ac:dyDescent="0.3">
      <c r="A1565" t="s">
        <v>22</v>
      </c>
      <c r="B1565" t="s">
        <v>2730</v>
      </c>
      <c r="C1565" t="s">
        <v>8</v>
      </c>
      <c r="D1565">
        <v>4.117</v>
      </c>
      <c r="E1565" s="4">
        <v>1318</v>
      </c>
      <c r="F1565" t="str">
        <f>HYPERLINK("https://www.google.com/maps/search/?api=1&amp;query=24.75744134,46.82088493", "View Map")</f>
        <v>View Map</v>
      </c>
    </row>
    <row r="1566" spans="1:7" x14ac:dyDescent="0.3">
      <c r="A1566" t="s">
        <v>2731</v>
      </c>
      <c r="B1566" t="s">
        <v>2732</v>
      </c>
      <c r="C1566" t="s">
        <v>30</v>
      </c>
      <c r="D1566">
        <v>4.1130000000000004</v>
      </c>
      <c r="E1566" s="4">
        <v>1316</v>
      </c>
      <c r="F1566" t="str">
        <f>HYPERLINK("https://www.google.com/maps/search/?api=1&amp;query=24.17666425,47.31591366", "View Map")</f>
        <v>View Map</v>
      </c>
    </row>
    <row r="1567" spans="1:7" x14ac:dyDescent="0.3">
      <c r="A1567" t="s">
        <v>2733</v>
      </c>
      <c r="B1567" t="s">
        <v>2734</v>
      </c>
      <c r="C1567" t="s">
        <v>30</v>
      </c>
      <c r="D1567">
        <v>4.1109999999999998</v>
      </c>
      <c r="E1567" s="4">
        <v>1316</v>
      </c>
      <c r="F1567" t="str">
        <f>HYPERLINK("https://www.google.com/maps/search/?api=1&amp;query=24.21638332,47.32697028", "View Map")</f>
        <v>View Map</v>
      </c>
      <c r="G1567" s="2">
        <v>0.38312086325317518</v>
      </c>
    </row>
    <row r="1568" spans="1:7" x14ac:dyDescent="0.3">
      <c r="A1568" t="s">
        <v>2735</v>
      </c>
      <c r="B1568" t="s">
        <v>2736</v>
      </c>
      <c r="C1568" t="s">
        <v>8</v>
      </c>
      <c r="D1568">
        <v>4.1050000000000004</v>
      </c>
      <c r="E1568" s="4">
        <v>1314</v>
      </c>
      <c r="F1568" t="str">
        <f>HYPERLINK("https://www.google.com/maps/search/?api=1&amp;query=24.76646395,46.74085585", "View Map")</f>
        <v>View Map</v>
      </c>
      <c r="G1568" s="2">
        <v>0.38688610388875139</v>
      </c>
    </row>
    <row r="1569" spans="1:7" x14ac:dyDescent="0.3">
      <c r="A1569" t="s">
        <v>2737</v>
      </c>
      <c r="B1569" t="s">
        <v>2738</v>
      </c>
      <c r="C1569" t="s">
        <v>8</v>
      </c>
      <c r="D1569">
        <v>4.1029999999999998</v>
      </c>
      <c r="E1569" s="4">
        <v>1313</v>
      </c>
      <c r="F1569" t="str">
        <f>HYPERLINK("https://www.google.com/maps/search/?api=1&amp;query=24.68418988,46.83977357", "View Map")</f>
        <v>View Map</v>
      </c>
      <c r="G1569" s="2">
        <v>0.49897671970108382</v>
      </c>
    </row>
    <row r="1570" spans="1:7" x14ac:dyDescent="0.3">
      <c r="A1570" t="s">
        <v>289</v>
      </c>
      <c r="B1570" t="s">
        <v>2739</v>
      </c>
      <c r="C1570" t="s">
        <v>291</v>
      </c>
      <c r="D1570">
        <v>4.0990000000000002</v>
      </c>
      <c r="E1570" s="4">
        <v>1312</v>
      </c>
      <c r="F1570" t="str">
        <f>HYPERLINK("https://www.google.com/maps/search/?api=1&amp;query=24.08792028,45.30057911", "View Map")</f>
        <v>View Map</v>
      </c>
      <c r="G1570" s="2">
        <v>0.63979800514761354</v>
      </c>
    </row>
    <row r="1571" spans="1:7" x14ac:dyDescent="0.3">
      <c r="A1571" t="s">
        <v>2740</v>
      </c>
      <c r="B1571" t="s">
        <v>2741</v>
      </c>
      <c r="C1571" t="s">
        <v>8</v>
      </c>
      <c r="D1571">
        <v>4.0970000000000004</v>
      </c>
      <c r="E1571" s="4">
        <v>1311</v>
      </c>
      <c r="F1571" t="str">
        <f>HYPERLINK("https://www.google.com/maps/search/?api=1&amp;query=24.78494227,46.62163175", "View Map")</f>
        <v>View Map</v>
      </c>
    </row>
    <row r="1572" spans="1:7" x14ac:dyDescent="0.3">
      <c r="A1572" t="s">
        <v>2742</v>
      </c>
      <c r="B1572" t="s">
        <v>2743</v>
      </c>
      <c r="C1572" t="s">
        <v>8</v>
      </c>
      <c r="D1572">
        <v>4.0970000000000004</v>
      </c>
      <c r="E1572" s="4">
        <v>1311</v>
      </c>
      <c r="F1572" t="str">
        <f>HYPERLINK("https://www.google.com/maps/search/?api=1&amp;query=24.58768276,46.60791824", "View Map")</f>
        <v>View Map</v>
      </c>
      <c r="G1572" s="2">
        <v>0.43559391898074518</v>
      </c>
    </row>
    <row r="1573" spans="1:7" x14ac:dyDescent="0.3">
      <c r="A1573" t="s">
        <v>1790</v>
      </c>
      <c r="B1573" t="s">
        <v>2744</v>
      </c>
      <c r="C1573" t="s">
        <v>8</v>
      </c>
      <c r="D1573">
        <v>4.0960000000000001</v>
      </c>
      <c r="E1573" s="4">
        <v>1311</v>
      </c>
      <c r="F1573" t="str">
        <f>HYPERLINK("https://www.google.com/maps/search/?api=1&amp;query=24.70369435,46.80415082", "View Map")</f>
        <v>View Map</v>
      </c>
    </row>
    <row r="1574" spans="1:7" x14ac:dyDescent="0.3">
      <c r="A1574" t="s">
        <v>627</v>
      </c>
      <c r="B1574" t="s">
        <v>2745</v>
      </c>
      <c r="C1574" t="s">
        <v>8</v>
      </c>
      <c r="D1574">
        <v>4.0949999999999998</v>
      </c>
      <c r="E1574" s="4">
        <v>1310</v>
      </c>
      <c r="F1574" t="str">
        <f>HYPERLINK("https://www.google.com/maps/search/?api=1&amp;query=24.83175644,46.63592022", "View Map")</f>
        <v>View Map</v>
      </c>
      <c r="G1574" s="2">
        <v>0.46795183319568318</v>
      </c>
    </row>
    <row r="1575" spans="1:7" x14ac:dyDescent="0.3">
      <c r="A1575" t="s">
        <v>146</v>
      </c>
      <c r="B1575" t="s">
        <v>2746</v>
      </c>
      <c r="C1575" t="s">
        <v>8</v>
      </c>
      <c r="D1575">
        <v>4.0949999999999998</v>
      </c>
      <c r="E1575" s="4">
        <v>1310</v>
      </c>
      <c r="F1575" t="str">
        <f>HYPERLINK("https://www.google.com/maps/search/?api=1&amp;query=24.64706997,46.69197153", "View Map")</f>
        <v>View Map</v>
      </c>
    </row>
    <row r="1576" spans="1:7" x14ac:dyDescent="0.3">
      <c r="A1576" t="s">
        <v>1959</v>
      </c>
      <c r="B1576" t="s">
        <v>2747</v>
      </c>
      <c r="C1576" t="s">
        <v>8</v>
      </c>
      <c r="D1576">
        <v>4.093</v>
      </c>
      <c r="E1576" s="4">
        <v>1310</v>
      </c>
      <c r="F1576" t="str">
        <f>HYPERLINK("https://www.google.com/maps/search/?api=1&amp;query=24.60279927,46.83682335", "View Map")</f>
        <v>View Map</v>
      </c>
    </row>
    <row r="1577" spans="1:7" x14ac:dyDescent="0.3">
      <c r="A1577" t="s">
        <v>2748</v>
      </c>
      <c r="B1577" t="s">
        <v>2749</v>
      </c>
      <c r="C1577" t="s">
        <v>8</v>
      </c>
      <c r="D1577">
        <v>4.093</v>
      </c>
      <c r="E1577" s="4">
        <v>1310</v>
      </c>
      <c r="F1577" t="str">
        <f>HYPERLINK("https://www.google.com/maps/search/?api=1&amp;query=24.57631085,46.66646059", "View Map")</f>
        <v>View Map</v>
      </c>
      <c r="G1577" s="2">
        <v>0.3995877776505487</v>
      </c>
    </row>
    <row r="1578" spans="1:7" x14ac:dyDescent="0.3">
      <c r="A1578" t="s">
        <v>1077</v>
      </c>
      <c r="B1578" t="s">
        <v>2750</v>
      </c>
      <c r="C1578" t="s">
        <v>8</v>
      </c>
      <c r="D1578">
        <v>4.093</v>
      </c>
      <c r="E1578" s="4">
        <v>1310</v>
      </c>
      <c r="F1578" t="str">
        <f>HYPERLINK("https://www.google.com/maps/search/?api=1&amp;query=24.73369854,46.78811198", "View Map")</f>
        <v>View Map</v>
      </c>
    </row>
    <row r="1579" spans="1:7" x14ac:dyDescent="0.3">
      <c r="A1579" t="s">
        <v>73</v>
      </c>
      <c r="B1579" t="s">
        <v>2751</v>
      </c>
      <c r="C1579" t="s">
        <v>8</v>
      </c>
      <c r="D1579">
        <v>4.0919999999999996</v>
      </c>
      <c r="E1579" s="4">
        <v>1309</v>
      </c>
      <c r="F1579" t="str">
        <f>HYPERLINK("https://www.google.com/maps/search/?api=1&amp;query=24.81157258,46.66226254", "View Map")</f>
        <v>View Map</v>
      </c>
    </row>
    <row r="1580" spans="1:7" x14ac:dyDescent="0.3">
      <c r="A1580" t="s">
        <v>2752</v>
      </c>
      <c r="B1580" t="s">
        <v>2753</v>
      </c>
      <c r="C1580" t="s">
        <v>241</v>
      </c>
      <c r="D1580">
        <v>4.09</v>
      </c>
      <c r="E1580" s="4">
        <v>1309</v>
      </c>
      <c r="F1580" t="str">
        <f>HYPERLINK("https://www.google.com/maps/search/?api=1&amp;query=20.44575708,44.86397", "View Map")</f>
        <v>View Map</v>
      </c>
      <c r="G1580" s="2">
        <v>0.74536371690009351</v>
      </c>
    </row>
    <row r="1581" spans="1:7" x14ac:dyDescent="0.3">
      <c r="A1581" t="s">
        <v>2754</v>
      </c>
      <c r="B1581" t="s">
        <v>2755</v>
      </c>
      <c r="C1581" t="s">
        <v>8</v>
      </c>
      <c r="D1581">
        <v>4.0839999999999996</v>
      </c>
      <c r="E1581" s="4">
        <v>1307</v>
      </c>
      <c r="F1581" t="str">
        <f>HYPERLINK("https://www.google.com/maps/search/?api=1&amp;query=24.81237221,46.61698586", "View Map")</f>
        <v>View Map</v>
      </c>
      <c r="G1581" s="2">
        <v>0.47836084243487742</v>
      </c>
    </row>
    <row r="1582" spans="1:7" x14ac:dyDescent="0.3">
      <c r="A1582" t="s">
        <v>2756</v>
      </c>
      <c r="B1582" t="s">
        <v>2757</v>
      </c>
      <c r="C1582" t="s">
        <v>8</v>
      </c>
      <c r="D1582">
        <v>4.0839999999999996</v>
      </c>
      <c r="E1582" s="4">
        <v>1307</v>
      </c>
      <c r="F1582" t="str">
        <f>HYPERLINK("https://www.google.com/maps/search/?api=1&amp;query=24.74701065,46.77937003", "View Map")</f>
        <v>View Map</v>
      </c>
      <c r="G1582" s="2">
        <v>0.45071936599164192</v>
      </c>
    </row>
    <row r="1583" spans="1:7" x14ac:dyDescent="0.3">
      <c r="A1583" t="s">
        <v>2758</v>
      </c>
      <c r="B1583" t="s">
        <v>2759</v>
      </c>
      <c r="C1583" t="s">
        <v>8</v>
      </c>
      <c r="D1583">
        <v>4.0819999999999999</v>
      </c>
      <c r="E1583" s="4">
        <v>1306</v>
      </c>
      <c r="F1583" t="str">
        <f>HYPERLINK("https://www.google.com/maps/search/?api=1&amp;query=24.73709417,46.6789625", "View Map")</f>
        <v>View Map</v>
      </c>
      <c r="G1583" s="2">
        <v>0.35998379620459919</v>
      </c>
    </row>
    <row r="1584" spans="1:7" x14ac:dyDescent="0.3">
      <c r="A1584" t="s">
        <v>2760</v>
      </c>
      <c r="B1584" t="s">
        <v>2761</v>
      </c>
      <c r="C1584" t="s">
        <v>255</v>
      </c>
      <c r="D1584">
        <v>4.0819999999999999</v>
      </c>
      <c r="E1584" s="4">
        <v>1306</v>
      </c>
      <c r="F1584" t="str">
        <f>HYPERLINK("https://www.google.com/maps/search/?api=1&amp;query=24.91015823,44.72264797", "View Map")</f>
        <v>View Map</v>
      </c>
      <c r="G1584" s="2">
        <v>0.59904367706816797</v>
      </c>
    </row>
    <row r="1585" spans="1:7" x14ac:dyDescent="0.3">
      <c r="A1585" t="s">
        <v>46</v>
      </c>
      <c r="B1585" t="s">
        <v>2762</v>
      </c>
      <c r="C1585" t="s">
        <v>8</v>
      </c>
      <c r="D1585">
        <v>4.0810000000000004</v>
      </c>
      <c r="E1585" s="4">
        <v>1306</v>
      </c>
      <c r="F1585" t="str">
        <f>HYPERLINK("https://www.google.com/maps/search/?api=1&amp;query=24.92525789,46.82341566", "View Map")</f>
        <v>View Map</v>
      </c>
      <c r="G1585" s="2">
        <v>0.37999669579398759</v>
      </c>
    </row>
    <row r="1586" spans="1:7" x14ac:dyDescent="0.3">
      <c r="A1586" t="s">
        <v>2763</v>
      </c>
      <c r="B1586" t="s">
        <v>2764</v>
      </c>
      <c r="C1586" t="s">
        <v>8</v>
      </c>
      <c r="D1586">
        <v>4.0780000000000003</v>
      </c>
      <c r="E1586" s="4">
        <v>1305</v>
      </c>
      <c r="F1586" t="str">
        <f>HYPERLINK("https://www.google.com/maps/search/?api=1&amp;query=24.57384886,46.71337917", "View Map")</f>
        <v>View Map</v>
      </c>
    </row>
    <row r="1587" spans="1:7" x14ac:dyDescent="0.3">
      <c r="A1587" t="s">
        <v>2765</v>
      </c>
      <c r="B1587" t="s">
        <v>2766</v>
      </c>
      <c r="C1587" t="s">
        <v>8</v>
      </c>
      <c r="D1587">
        <v>4.077</v>
      </c>
      <c r="E1587" s="4">
        <v>1305</v>
      </c>
      <c r="F1587" t="str">
        <f>HYPERLINK("https://www.google.com/maps/search/?api=1&amp;query=24.62634393,46.79037156", "View Map")</f>
        <v>View Map</v>
      </c>
    </row>
    <row r="1588" spans="1:7" x14ac:dyDescent="0.3">
      <c r="A1588" t="s">
        <v>2767</v>
      </c>
      <c r="B1588" t="s">
        <v>2768</v>
      </c>
      <c r="C1588" t="s">
        <v>442</v>
      </c>
      <c r="D1588">
        <v>4.0739999999999998</v>
      </c>
      <c r="E1588" s="4">
        <v>1304</v>
      </c>
      <c r="F1588" t="str">
        <f>HYPERLINK("https://www.google.com/maps/search/?api=1&amp;query=23.63202967,46.51006722", "View Map")</f>
        <v>View Map</v>
      </c>
      <c r="G1588" s="2">
        <v>0.49598425237437649</v>
      </c>
    </row>
    <row r="1589" spans="1:7" x14ac:dyDescent="0.3">
      <c r="A1589" t="s">
        <v>2769</v>
      </c>
      <c r="B1589" t="s">
        <v>2770</v>
      </c>
      <c r="C1589" t="s">
        <v>466</v>
      </c>
      <c r="D1589">
        <v>4.0709999999999997</v>
      </c>
      <c r="E1589" s="4">
        <v>1303</v>
      </c>
      <c r="F1589" t="str">
        <f>HYPERLINK("https://www.google.com/maps/search/?api=1&amp;query=24.50587939,46.35950958", "View Map")</f>
        <v>View Map</v>
      </c>
    </row>
    <row r="1590" spans="1:7" x14ac:dyDescent="0.3">
      <c r="A1590" t="s">
        <v>2771</v>
      </c>
      <c r="B1590" t="s">
        <v>2772</v>
      </c>
      <c r="C1590" t="s">
        <v>8</v>
      </c>
      <c r="D1590">
        <v>4.0670000000000002</v>
      </c>
      <c r="E1590" s="4">
        <v>1301</v>
      </c>
      <c r="F1590" t="str">
        <f>HYPERLINK("https://www.google.com/maps/search/?api=1&amp;query=24.69832435,46.67139115", "View Map")</f>
        <v>View Map</v>
      </c>
    </row>
    <row r="1591" spans="1:7" x14ac:dyDescent="0.3">
      <c r="A1591" t="s">
        <v>2773</v>
      </c>
      <c r="B1591" t="s">
        <v>2774</v>
      </c>
      <c r="C1591" t="s">
        <v>466</v>
      </c>
      <c r="D1591">
        <v>4.0640000000000001</v>
      </c>
      <c r="E1591" s="4">
        <v>1300</v>
      </c>
      <c r="F1591" t="str">
        <f>HYPERLINK("https://www.google.com/maps/search/?api=1&amp;query=24.53325093,46.13602671", "View Map")</f>
        <v>View Map</v>
      </c>
      <c r="G1591" s="2">
        <v>0.76173314250953894</v>
      </c>
    </row>
    <row r="1592" spans="1:7" x14ac:dyDescent="0.3">
      <c r="A1592" t="s">
        <v>46</v>
      </c>
      <c r="B1592" t="s">
        <v>2775</v>
      </c>
      <c r="C1592" t="s">
        <v>8</v>
      </c>
      <c r="D1592">
        <v>4.0609999999999999</v>
      </c>
      <c r="E1592" s="4">
        <v>1300</v>
      </c>
      <c r="F1592" t="str">
        <f>HYPERLINK("https://www.google.com/maps/search/?api=1&amp;query=24.7949643,46.6001964", "View Map")</f>
        <v>View Map</v>
      </c>
      <c r="G1592" s="2">
        <v>0.53172149314480188</v>
      </c>
    </row>
    <row r="1593" spans="1:7" x14ac:dyDescent="0.3">
      <c r="A1593" t="s">
        <v>2776</v>
      </c>
      <c r="B1593" t="s">
        <v>2777</v>
      </c>
      <c r="C1593" t="s">
        <v>8</v>
      </c>
      <c r="D1593">
        <v>4.0599999999999996</v>
      </c>
      <c r="E1593" s="4">
        <v>1299</v>
      </c>
      <c r="F1593" t="str">
        <f>HYPERLINK("https://www.google.com/maps/search/?api=1&amp;query=24.54637712,46.64397463", "View Map")</f>
        <v>View Map</v>
      </c>
      <c r="G1593" s="2">
        <v>0.42694084548216521</v>
      </c>
    </row>
    <row r="1594" spans="1:7" x14ac:dyDescent="0.3">
      <c r="A1594" t="s">
        <v>46</v>
      </c>
      <c r="B1594" t="s">
        <v>2778</v>
      </c>
      <c r="C1594" t="s">
        <v>8</v>
      </c>
      <c r="D1594">
        <v>4.0590000000000002</v>
      </c>
      <c r="E1594" s="4">
        <v>1299</v>
      </c>
      <c r="F1594" t="str">
        <f>HYPERLINK("https://www.google.com/maps/search/?api=1&amp;query=24.84495221,46.81090646", "View Map")</f>
        <v>View Map</v>
      </c>
    </row>
    <row r="1595" spans="1:7" x14ac:dyDescent="0.3">
      <c r="A1595" t="s">
        <v>2779</v>
      </c>
      <c r="B1595" t="s">
        <v>2780</v>
      </c>
      <c r="C1595" t="s">
        <v>8</v>
      </c>
      <c r="D1595">
        <v>4.0570000000000004</v>
      </c>
      <c r="E1595" s="4">
        <v>1298</v>
      </c>
      <c r="F1595" t="str">
        <f>HYPERLINK("https://www.google.com/maps/search/?api=1&amp;query=24.57815744,46.69922591", "View Map")</f>
        <v>View Map</v>
      </c>
    </row>
    <row r="1596" spans="1:7" x14ac:dyDescent="0.3">
      <c r="A1596" t="s">
        <v>2781</v>
      </c>
      <c r="B1596" t="s">
        <v>2782</v>
      </c>
      <c r="C1596" t="s">
        <v>8</v>
      </c>
      <c r="D1596">
        <v>4.056</v>
      </c>
      <c r="E1596" s="4">
        <v>1298</v>
      </c>
      <c r="F1596" t="str">
        <f>HYPERLINK("https://www.google.com/maps/search/?api=1&amp;query=24.70655661,46.77345662", "View Map")</f>
        <v>View Map</v>
      </c>
    </row>
    <row r="1597" spans="1:7" x14ac:dyDescent="0.3">
      <c r="A1597" t="s">
        <v>2783</v>
      </c>
      <c r="B1597" t="s">
        <v>2784</v>
      </c>
      <c r="C1597" t="s">
        <v>214</v>
      </c>
      <c r="D1597">
        <v>4.0540000000000003</v>
      </c>
      <c r="E1597" s="4">
        <v>1297</v>
      </c>
      <c r="F1597" t="str">
        <f>HYPERLINK("https://www.google.com/maps/search/?api=1&amp;query=25.677163,45.45241771", "View Map")</f>
        <v>View Map</v>
      </c>
      <c r="G1597" s="2">
        <v>0.72943827495577973</v>
      </c>
    </row>
    <row r="1598" spans="1:7" x14ac:dyDescent="0.3">
      <c r="A1598" t="s">
        <v>2281</v>
      </c>
      <c r="B1598" t="s">
        <v>2785</v>
      </c>
      <c r="C1598" t="s">
        <v>8</v>
      </c>
      <c r="D1598">
        <v>4.0529999999999999</v>
      </c>
      <c r="E1598" s="4">
        <v>1297</v>
      </c>
      <c r="F1598" t="str">
        <f>HYPERLINK("https://www.google.com/maps/search/?api=1&amp;query=24.7160165,46.80830358", "View Map")</f>
        <v>View Map</v>
      </c>
      <c r="G1598" s="2">
        <v>0.43392071586275049</v>
      </c>
    </row>
    <row r="1599" spans="1:7" x14ac:dyDescent="0.3">
      <c r="A1599" t="s">
        <v>2786</v>
      </c>
      <c r="B1599" t="s">
        <v>2787</v>
      </c>
      <c r="C1599" t="s">
        <v>214</v>
      </c>
      <c r="D1599">
        <v>4.0529999999999999</v>
      </c>
      <c r="E1599" s="4">
        <v>1297</v>
      </c>
      <c r="F1599" t="str">
        <f>HYPERLINK("https://www.google.com/maps/search/?api=1&amp;query=25.55412988,45.68961791", "View Map")</f>
        <v>View Map</v>
      </c>
      <c r="G1599" s="2">
        <v>0.70810814724141025</v>
      </c>
    </row>
    <row r="1600" spans="1:7" x14ac:dyDescent="0.3">
      <c r="A1600" t="s">
        <v>2788</v>
      </c>
      <c r="B1600" t="s">
        <v>2789</v>
      </c>
      <c r="C1600" t="s">
        <v>8</v>
      </c>
      <c r="D1600">
        <v>4.0510000000000002</v>
      </c>
      <c r="E1600" s="4">
        <v>1296</v>
      </c>
      <c r="F1600" t="str">
        <f>HYPERLINK("https://www.google.com/maps/search/?api=1&amp;query=24.63013063,46.69867179", "View Map")</f>
        <v>View Map</v>
      </c>
    </row>
    <row r="1601" spans="1:7" x14ac:dyDescent="0.3">
      <c r="A1601" t="s">
        <v>2790</v>
      </c>
      <c r="B1601" t="s">
        <v>2791</v>
      </c>
      <c r="C1601" t="s">
        <v>8</v>
      </c>
      <c r="D1601">
        <v>4.0490000000000004</v>
      </c>
      <c r="E1601" s="4">
        <v>1296</v>
      </c>
      <c r="F1601" t="str">
        <f>HYPERLINK("https://www.google.com/maps/search/?api=1&amp;query=24.68756,46.64633", "View Map")</f>
        <v>View Map</v>
      </c>
    </row>
    <row r="1602" spans="1:7" x14ac:dyDescent="0.3">
      <c r="A1602" t="s">
        <v>352</v>
      </c>
      <c r="B1602" t="s">
        <v>2792</v>
      </c>
      <c r="C1602" t="s">
        <v>8</v>
      </c>
      <c r="D1602">
        <v>4.0449999999999999</v>
      </c>
      <c r="E1602" s="4">
        <v>1294</v>
      </c>
      <c r="F1602" t="str">
        <f>HYPERLINK("https://www.google.com/maps/search/?api=1&amp;query=24.7437355,46.77996039", "View Map")</f>
        <v>View Map</v>
      </c>
    </row>
    <row r="1603" spans="1:7" x14ac:dyDescent="0.3">
      <c r="A1603" t="s">
        <v>2793</v>
      </c>
      <c r="B1603" t="s">
        <v>2794</v>
      </c>
      <c r="C1603" t="s">
        <v>8</v>
      </c>
      <c r="D1603">
        <v>4.0439999999999996</v>
      </c>
      <c r="E1603" s="4">
        <v>1294</v>
      </c>
      <c r="F1603" t="str">
        <f>HYPERLINK("https://www.google.com/maps/search/?api=1&amp;query=24.76110876,46.68694082", "View Map")</f>
        <v>View Map</v>
      </c>
    </row>
    <row r="1604" spans="1:7" x14ac:dyDescent="0.3">
      <c r="A1604" t="s">
        <v>2795</v>
      </c>
      <c r="B1604" t="s">
        <v>2796</v>
      </c>
      <c r="C1604" t="s">
        <v>8</v>
      </c>
      <c r="D1604">
        <v>4.04</v>
      </c>
      <c r="E1604" s="4">
        <v>1293</v>
      </c>
      <c r="F1604" t="str">
        <f>HYPERLINK("https://www.google.com/maps/search/?api=1&amp;query=24.60949749,46.71273225", "View Map")</f>
        <v>View Map</v>
      </c>
      <c r="G1604" s="2">
        <v>0.38335113910855428</v>
      </c>
    </row>
    <row r="1605" spans="1:7" x14ac:dyDescent="0.3">
      <c r="A1605" t="s">
        <v>2797</v>
      </c>
      <c r="B1605" t="s">
        <v>2798</v>
      </c>
      <c r="C1605" t="s">
        <v>8</v>
      </c>
      <c r="D1605">
        <v>4.0389999999999997</v>
      </c>
      <c r="E1605" s="4">
        <v>1293</v>
      </c>
      <c r="F1605" t="str">
        <f>HYPERLINK("https://www.google.com/maps/search/?api=1&amp;query=24.5877806,46.77013176", "View Map")</f>
        <v>View Map</v>
      </c>
    </row>
    <row r="1606" spans="1:7" x14ac:dyDescent="0.3">
      <c r="A1606" t="s">
        <v>2799</v>
      </c>
      <c r="B1606" t="s">
        <v>2800</v>
      </c>
      <c r="C1606" t="s">
        <v>30</v>
      </c>
      <c r="D1606">
        <v>4.0359999999999996</v>
      </c>
      <c r="E1606" s="4">
        <v>1292</v>
      </c>
      <c r="F1606" t="str">
        <f>HYPERLINK("https://www.google.com/maps/search/?api=1&amp;query=24.17433325,47.31805519", "View Map")</f>
        <v>View Map</v>
      </c>
      <c r="G1606" s="2">
        <v>0.66993358993930441</v>
      </c>
    </row>
    <row r="1607" spans="1:7" x14ac:dyDescent="0.3">
      <c r="A1607" t="s">
        <v>2801</v>
      </c>
      <c r="B1607" t="s">
        <v>2802</v>
      </c>
      <c r="C1607" t="s">
        <v>291</v>
      </c>
      <c r="D1607">
        <v>4.0350000000000001</v>
      </c>
      <c r="E1607" s="4">
        <v>1291</v>
      </c>
      <c r="F1607" t="str">
        <f>HYPERLINK("https://www.google.com/maps/search/?api=1&amp;query=24.08329289,45.29422444", "View Map")</f>
        <v>View Map</v>
      </c>
      <c r="G1607" s="2">
        <v>0.74394717889621975</v>
      </c>
    </row>
    <row r="1608" spans="1:7" x14ac:dyDescent="0.3">
      <c r="A1608" t="s">
        <v>2803</v>
      </c>
      <c r="B1608" t="s">
        <v>2804</v>
      </c>
      <c r="C1608" t="s">
        <v>8</v>
      </c>
      <c r="D1608">
        <v>4.0339999999999998</v>
      </c>
      <c r="E1608" s="4">
        <v>1291</v>
      </c>
      <c r="F1608" t="str">
        <f>HYPERLINK("https://www.google.com/maps/search/?api=1&amp;query=24.69067085,46.81740514", "View Map")</f>
        <v>View Map</v>
      </c>
    </row>
    <row r="1609" spans="1:7" x14ac:dyDescent="0.3">
      <c r="A1609" t="s">
        <v>2805</v>
      </c>
      <c r="B1609" t="s">
        <v>2806</v>
      </c>
      <c r="C1609" t="s">
        <v>255</v>
      </c>
      <c r="D1609">
        <v>4.0339999999999998</v>
      </c>
      <c r="E1609" s="4">
        <v>1291</v>
      </c>
      <c r="F1609" t="str">
        <f>HYPERLINK("https://www.google.com/maps/search/?api=1&amp;query=25.11077649,44.67668749", "View Map")</f>
        <v>View Map</v>
      </c>
      <c r="G1609" s="2">
        <v>0.68614208527888831</v>
      </c>
    </row>
    <row r="1610" spans="1:7" x14ac:dyDescent="0.3">
      <c r="A1610" t="s">
        <v>2807</v>
      </c>
      <c r="B1610" t="s">
        <v>2808</v>
      </c>
      <c r="C1610" t="s">
        <v>255</v>
      </c>
      <c r="D1610">
        <v>4.03</v>
      </c>
      <c r="E1610" s="4">
        <v>1290</v>
      </c>
      <c r="F1610" t="str">
        <f>HYPERLINK("https://www.google.com/maps/search/?api=1&amp;query=24.7045442,44.88839119", "View Map")</f>
        <v>View Map</v>
      </c>
      <c r="G1610" s="2">
        <v>0.70973157705562595</v>
      </c>
    </row>
    <row r="1611" spans="1:7" x14ac:dyDescent="0.3">
      <c r="A1611" t="s">
        <v>46</v>
      </c>
      <c r="B1611" t="s">
        <v>2809</v>
      </c>
      <c r="C1611" t="s">
        <v>8</v>
      </c>
      <c r="D1611">
        <v>4.0289999999999999</v>
      </c>
      <c r="E1611" s="4">
        <v>1289</v>
      </c>
      <c r="F1611" t="str">
        <f>HYPERLINK("https://www.google.com/maps/search/?api=1&amp;query=24.87035104,46.65307017", "View Map")</f>
        <v>View Map</v>
      </c>
    </row>
    <row r="1612" spans="1:7" x14ac:dyDescent="0.3">
      <c r="A1612" t="s">
        <v>479</v>
      </c>
      <c r="B1612" t="s">
        <v>2810</v>
      </c>
      <c r="C1612" t="s">
        <v>738</v>
      </c>
      <c r="D1612">
        <v>4.0289999999999999</v>
      </c>
      <c r="E1612" s="4">
        <v>1289</v>
      </c>
      <c r="F1612" t="str">
        <f>HYPERLINK("https://www.google.com/maps/search/?api=1&amp;query=25.18007248,46.33793078", "View Map")</f>
        <v>View Map</v>
      </c>
      <c r="G1612" s="2">
        <v>0.64839450274051691</v>
      </c>
    </row>
    <row r="1613" spans="1:7" x14ac:dyDescent="0.3">
      <c r="A1613" t="s">
        <v>146</v>
      </c>
      <c r="B1613" t="s">
        <v>2811</v>
      </c>
      <c r="C1613" t="s">
        <v>8</v>
      </c>
      <c r="D1613">
        <v>4.0289999999999999</v>
      </c>
      <c r="E1613" s="4">
        <v>1289</v>
      </c>
      <c r="F1613" t="str">
        <f>HYPERLINK("https://www.google.com/maps/search/?api=1&amp;query=24.57499557,46.57905643", "View Map")</f>
        <v>View Map</v>
      </c>
    </row>
    <row r="1614" spans="1:7" x14ac:dyDescent="0.3">
      <c r="A1614" t="s">
        <v>1232</v>
      </c>
      <c r="B1614" t="s">
        <v>2812</v>
      </c>
      <c r="C1614" t="s">
        <v>8</v>
      </c>
      <c r="D1614">
        <v>4.0279999999999996</v>
      </c>
      <c r="E1614" s="4">
        <v>1289</v>
      </c>
      <c r="F1614" t="str">
        <f>HYPERLINK("https://www.google.com/maps/search/?api=1&amp;query=24.77581432,46.58818802", "View Map")</f>
        <v>View Map</v>
      </c>
    </row>
    <row r="1615" spans="1:7" x14ac:dyDescent="0.3">
      <c r="A1615" t="s">
        <v>2813</v>
      </c>
      <c r="B1615" t="s">
        <v>2814</v>
      </c>
      <c r="C1615" t="s">
        <v>8</v>
      </c>
      <c r="D1615">
        <v>4.0279999999999996</v>
      </c>
      <c r="E1615" s="4">
        <v>1289</v>
      </c>
      <c r="F1615" t="str">
        <f>HYPERLINK("https://www.google.com/maps/search/?api=1&amp;query=24.63109463,46.69367426", "View Map")</f>
        <v>View Map</v>
      </c>
      <c r="G1615" s="2">
        <v>0.40190403431446431</v>
      </c>
    </row>
    <row r="1616" spans="1:7" x14ac:dyDescent="0.3">
      <c r="A1616" t="s">
        <v>1046</v>
      </c>
      <c r="B1616" t="s">
        <v>2815</v>
      </c>
      <c r="C1616" t="s">
        <v>8</v>
      </c>
      <c r="D1616">
        <v>4.0259999999999998</v>
      </c>
      <c r="E1616" s="4">
        <v>1288</v>
      </c>
      <c r="F1616" t="str">
        <f>HYPERLINK("https://www.google.com/maps/search/?api=1&amp;query=24.71118916,46.80532115", "View Map")</f>
        <v>View Map</v>
      </c>
      <c r="G1616" s="2">
        <v>0.40774860557677522</v>
      </c>
    </row>
    <row r="1617" spans="1:7" x14ac:dyDescent="0.3">
      <c r="A1617" t="s">
        <v>2816</v>
      </c>
      <c r="B1617" t="s">
        <v>2817</v>
      </c>
      <c r="C1617" t="s">
        <v>8</v>
      </c>
      <c r="D1617">
        <v>4.0259999999999998</v>
      </c>
      <c r="E1617" s="4">
        <v>1288</v>
      </c>
      <c r="F1617" t="str">
        <f>HYPERLINK("https://www.google.com/maps/search/?api=1&amp;query=24.7912034,46.68409053", "View Map")</f>
        <v>View Map</v>
      </c>
    </row>
    <row r="1618" spans="1:7" x14ac:dyDescent="0.3">
      <c r="A1618" t="s">
        <v>2818</v>
      </c>
      <c r="B1618" t="s">
        <v>2819</v>
      </c>
      <c r="C1618" t="s">
        <v>8</v>
      </c>
      <c r="D1618">
        <v>4.0220000000000002</v>
      </c>
      <c r="E1618" s="4">
        <v>1287</v>
      </c>
      <c r="F1618" t="str">
        <f>HYPERLINK("https://www.google.com/maps/search/?api=1&amp;query=24.6705034,46.73703973", "View Map")</f>
        <v>View Map</v>
      </c>
      <c r="G1618" s="2">
        <v>0.4563477871913228</v>
      </c>
    </row>
    <row r="1619" spans="1:7" x14ac:dyDescent="0.3">
      <c r="A1619" t="s">
        <v>2820</v>
      </c>
      <c r="B1619" t="s">
        <v>2821</v>
      </c>
      <c r="C1619" t="s">
        <v>21</v>
      </c>
      <c r="D1619">
        <v>4.0220000000000002</v>
      </c>
      <c r="E1619" s="4">
        <v>1287</v>
      </c>
      <c r="F1619" t="str">
        <f>HYPERLINK("https://www.google.com/maps/search/?api=1&amp;query=26.3075785,44.80468752", "View Map")</f>
        <v>View Map</v>
      </c>
      <c r="G1619" s="2">
        <v>0.48849110740521112</v>
      </c>
    </row>
    <row r="1620" spans="1:7" x14ac:dyDescent="0.3">
      <c r="A1620" t="s">
        <v>46</v>
      </c>
      <c r="B1620" t="s">
        <v>2822</v>
      </c>
      <c r="C1620" t="s">
        <v>8</v>
      </c>
      <c r="D1620">
        <v>4.0209999999999999</v>
      </c>
      <c r="E1620" s="4">
        <v>1287</v>
      </c>
      <c r="F1620" t="str">
        <f>HYPERLINK("https://www.google.com/maps/search/?api=1&amp;query=24.88863907,46.6053174", "View Map")</f>
        <v>View Map</v>
      </c>
    </row>
    <row r="1621" spans="1:7" x14ac:dyDescent="0.3">
      <c r="A1621" t="s">
        <v>2823</v>
      </c>
      <c r="B1621" t="s">
        <v>2824</v>
      </c>
      <c r="C1621" t="s">
        <v>8</v>
      </c>
      <c r="D1621">
        <v>4.0209999999999999</v>
      </c>
      <c r="E1621" s="4">
        <v>1287</v>
      </c>
      <c r="F1621" t="str">
        <f>HYPERLINK("https://www.google.com/maps/search/?api=1&amp;query=24.5630388,46.69254617", "View Map")</f>
        <v>View Map</v>
      </c>
      <c r="G1621" s="2">
        <v>0.37480969556698368</v>
      </c>
    </row>
    <row r="1622" spans="1:7" x14ac:dyDescent="0.3">
      <c r="A1622" t="s">
        <v>2825</v>
      </c>
      <c r="B1622" t="s">
        <v>2826</v>
      </c>
      <c r="C1622" t="s">
        <v>8</v>
      </c>
      <c r="D1622">
        <v>4.0199999999999996</v>
      </c>
      <c r="E1622" s="4">
        <v>1287</v>
      </c>
      <c r="F1622" t="str">
        <f>HYPERLINK("https://www.google.com/maps/search/?api=1&amp;query=24.8117612,46.68612283", "View Map")</f>
        <v>View Map</v>
      </c>
    </row>
    <row r="1623" spans="1:7" x14ac:dyDescent="0.3">
      <c r="A1623" t="s">
        <v>2827</v>
      </c>
      <c r="B1623" t="s">
        <v>2828</v>
      </c>
      <c r="C1623" t="s">
        <v>8</v>
      </c>
      <c r="D1623">
        <v>4.0190000000000001</v>
      </c>
      <c r="E1623" s="4">
        <v>1286</v>
      </c>
      <c r="F1623" t="str">
        <f>HYPERLINK("https://www.google.com/maps/search/?api=1&amp;query=24.59681291,46.75703064", "View Map")</f>
        <v>View Map</v>
      </c>
    </row>
    <row r="1624" spans="1:7" x14ac:dyDescent="0.3">
      <c r="A1624" t="s">
        <v>2829</v>
      </c>
      <c r="B1624" t="s">
        <v>2830</v>
      </c>
      <c r="C1624" t="s">
        <v>21</v>
      </c>
      <c r="D1624">
        <v>4.0179999999999998</v>
      </c>
      <c r="E1624" s="4">
        <v>1286</v>
      </c>
      <c r="F1624" t="str">
        <f>HYPERLINK("https://www.google.com/maps/search/?api=1&amp;query=26.31126466,44.82186711", "View Map")</f>
        <v>View Map</v>
      </c>
      <c r="G1624" s="2">
        <v>0.62041233165251808</v>
      </c>
    </row>
    <row r="1625" spans="1:7" x14ac:dyDescent="0.3">
      <c r="A1625" t="s">
        <v>2831</v>
      </c>
      <c r="B1625" t="s">
        <v>2832</v>
      </c>
      <c r="C1625" t="s">
        <v>8</v>
      </c>
      <c r="D1625">
        <v>4.016</v>
      </c>
      <c r="E1625" s="4">
        <v>1285</v>
      </c>
      <c r="F1625" t="str">
        <f>HYPERLINK("https://www.google.com/maps/search/?api=1&amp;query=24.78967807,46.77506996", "View Map")</f>
        <v>View Map</v>
      </c>
    </row>
    <row r="1626" spans="1:7" x14ac:dyDescent="0.3">
      <c r="A1626" t="s">
        <v>2833</v>
      </c>
      <c r="B1626" t="s">
        <v>2834</v>
      </c>
      <c r="C1626" t="s">
        <v>21</v>
      </c>
      <c r="D1626">
        <v>4.0149999999999997</v>
      </c>
      <c r="E1626" s="4">
        <v>1285</v>
      </c>
      <c r="F1626" t="str">
        <f>HYPERLINK("https://www.google.com/maps/search/?api=1&amp;query=26.31689516,44.81432644", "View Map")</f>
        <v>View Map</v>
      </c>
      <c r="G1626" s="2">
        <v>0.42966800094184132</v>
      </c>
    </row>
    <row r="1627" spans="1:7" x14ac:dyDescent="0.3">
      <c r="A1627" t="s">
        <v>2835</v>
      </c>
      <c r="B1627" t="s">
        <v>2836</v>
      </c>
      <c r="C1627" t="s">
        <v>8</v>
      </c>
      <c r="D1627">
        <v>4.0140000000000002</v>
      </c>
      <c r="E1627" s="4">
        <v>1284</v>
      </c>
      <c r="F1627" t="str">
        <f>HYPERLINK("https://www.google.com/maps/search/?api=1&amp;query=24.7740432,46.6345697", "View Map")</f>
        <v>View Map</v>
      </c>
    </row>
    <row r="1628" spans="1:7" x14ac:dyDescent="0.3">
      <c r="A1628" t="s">
        <v>2837</v>
      </c>
      <c r="B1628" t="s">
        <v>2838</v>
      </c>
      <c r="C1628" t="s">
        <v>30</v>
      </c>
      <c r="D1628">
        <v>4.0140000000000002</v>
      </c>
      <c r="E1628" s="4">
        <v>1284</v>
      </c>
      <c r="F1628" t="str">
        <f>HYPERLINK("https://www.google.com/maps/search/?api=1&amp;query=24.15385797,47.36092772", "View Map")</f>
        <v>View Map</v>
      </c>
      <c r="G1628" s="2">
        <v>0.79741406448599217</v>
      </c>
    </row>
    <row r="1629" spans="1:7" x14ac:dyDescent="0.3">
      <c r="A1629" t="s">
        <v>2839</v>
      </c>
      <c r="B1629" t="s">
        <v>2840</v>
      </c>
      <c r="C1629" t="s">
        <v>8</v>
      </c>
      <c r="D1629">
        <v>4.0140000000000002</v>
      </c>
      <c r="E1629" s="4">
        <v>1284</v>
      </c>
      <c r="F1629" t="str">
        <f>HYPERLINK("https://www.google.com/maps/search/?api=1&amp;query=24.71110268,46.60522311", "View Map")</f>
        <v>View Map</v>
      </c>
      <c r="G1629" s="2">
        <v>0.36584041175233117</v>
      </c>
    </row>
    <row r="1630" spans="1:7" x14ac:dyDescent="0.3">
      <c r="A1630" t="s">
        <v>2841</v>
      </c>
      <c r="B1630" t="s">
        <v>2842</v>
      </c>
      <c r="C1630" t="s">
        <v>883</v>
      </c>
      <c r="D1630">
        <v>4.0129999999999999</v>
      </c>
      <c r="E1630" s="4">
        <v>1284</v>
      </c>
      <c r="F1630" t="str">
        <f>HYPERLINK("https://www.google.com/maps/search/?api=1&amp;query=25.56021613,47.16687943", "View Map")</f>
        <v>View Map</v>
      </c>
      <c r="G1630" s="2">
        <v>0.67698747205221221</v>
      </c>
    </row>
    <row r="1631" spans="1:7" x14ac:dyDescent="0.3">
      <c r="A1631" t="s">
        <v>2843</v>
      </c>
      <c r="B1631" t="s">
        <v>2844</v>
      </c>
      <c r="C1631" t="s">
        <v>8</v>
      </c>
      <c r="D1631">
        <v>4.0129999999999999</v>
      </c>
      <c r="E1631" s="4">
        <v>1284</v>
      </c>
      <c r="F1631" t="str">
        <f>HYPERLINK("https://www.google.com/maps/search/?api=1&amp;query=24.76137489,46.81414004", "View Map")</f>
        <v>View Map</v>
      </c>
    </row>
    <row r="1632" spans="1:7" x14ac:dyDescent="0.3">
      <c r="A1632" t="s">
        <v>2845</v>
      </c>
      <c r="B1632" t="s">
        <v>2846</v>
      </c>
      <c r="C1632" t="s">
        <v>8</v>
      </c>
      <c r="D1632">
        <v>4.0110000000000001</v>
      </c>
      <c r="E1632" s="4">
        <v>1284</v>
      </c>
      <c r="F1632" t="str">
        <f>HYPERLINK("https://www.google.com/maps/search/?api=1&amp;query=24.78786,46.75252646", "View Map")</f>
        <v>View Map</v>
      </c>
      <c r="G1632" s="2">
        <v>0.35542132381598562</v>
      </c>
    </row>
    <row r="1633" spans="1:7" x14ac:dyDescent="0.3">
      <c r="A1633" t="s">
        <v>938</v>
      </c>
      <c r="B1633" t="s">
        <v>2847</v>
      </c>
      <c r="C1633" t="s">
        <v>8</v>
      </c>
      <c r="D1633">
        <v>4.01</v>
      </c>
      <c r="E1633" s="4">
        <v>1283</v>
      </c>
      <c r="F1633" t="str">
        <f>HYPERLINK("https://www.google.com/maps/search/?api=1&amp;query=24.71266107,46.84090257", "View Map")</f>
        <v>View Map</v>
      </c>
    </row>
    <row r="1634" spans="1:7" x14ac:dyDescent="0.3">
      <c r="A1634" t="s">
        <v>2848</v>
      </c>
      <c r="B1634" t="s">
        <v>2849</v>
      </c>
      <c r="C1634" t="s">
        <v>214</v>
      </c>
      <c r="D1634">
        <v>4.0060000000000002</v>
      </c>
      <c r="E1634" s="4">
        <v>1282</v>
      </c>
      <c r="F1634" t="str">
        <f>HYPERLINK("https://www.google.com/maps/search/?api=1&amp;query=26.4010734,45.10056563", "View Map")</f>
        <v>View Map</v>
      </c>
      <c r="G1634" s="2">
        <v>0.81612177349072879</v>
      </c>
    </row>
    <row r="1635" spans="1:7" x14ac:dyDescent="0.3">
      <c r="A1635" t="s">
        <v>1262</v>
      </c>
      <c r="B1635" t="s">
        <v>2850</v>
      </c>
      <c r="C1635" t="s">
        <v>8</v>
      </c>
      <c r="D1635">
        <v>4.0039999999999996</v>
      </c>
      <c r="E1635" s="4">
        <v>1281</v>
      </c>
      <c r="F1635" t="str">
        <f>HYPERLINK("https://www.google.com/maps/search/?api=1&amp;query=24.76831011,46.81467673", "View Map")</f>
        <v>View Map</v>
      </c>
      <c r="G1635" s="2">
        <v>0.35217872013763579</v>
      </c>
    </row>
    <row r="1636" spans="1:7" x14ac:dyDescent="0.3">
      <c r="A1636" t="s">
        <v>2851</v>
      </c>
      <c r="B1636" t="s">
        <v>2852</v>
      </c>
      <c r="C1636" t="s">
        <v>883</v>
      </c>
      <c r="D1636">
        <v>4.0039999999999996</v>
      </c>
      <c r="E1636" s="4">
        <v>1281</v>
      </c>
      <c r="F1636" t="str">
        <f>HYPERLINK("https://www.google.com/maps/search/?api=1&amp;query=25.57397179,47.15612234", "View Map")</f>
        <v>View Map</v>
      </c>
    </row>
    <row r="1637" spans="1:7" x14ac:dyDescent="0.3">
      <c r="A1637" t="s">
        <v>469</v>
      </c>
      <c r="B1637" t="s">
        <v>2853</v>
      </c>
      <c r="C1637" t="s">
        <v>8</v>
      </c>
      <c r="D1637">
        <v>4.0039999999999996</v>
      </c>
      <c r="E1637" s="4">
        <v>1281</v>
      </c>
      <c r="F1637" t="str">
        <f>HYPERLINK("https://www.google.com/maps/search/?api=1&amp;query=24.69257482,46.75386476", "View Map")</f>
        <v>View Map</v>
      </c>
      <c r="G1637" s="2">
        <v>0.49916789681961438</v>
      </c>
    </row>
    <row r="1638" spans="1:7" x14ac:dyDescent="0.3">
      <c r="A1638" t="s">
        <v>2825</v>
      </c>
      <c r="B1638" t="s">
        <v>2854</v>
      </c>
      <c r="C1638" t="s">
        <v>8</v>
      </c>
      <c r="D1638">
        <v>4.0030000000000001</v>
      </c>
      <c r="E1638" s="4">
        <v>1281</v>
      </c>
      <c r="F1638" t="str">
        <f>HYPERLINK("https://www.google.com/maps/search/?api=1&amp;query=24.80458154,46.69120757", "View Map")</f>
        <v>View Map</v>
      </c>
      <c r="G1638" s="2">
        <v>0.39681799801186618</v>
      </c>
    </row>
    <row r="1639" spans="1:7" x14ac:dyDescent="0.3">
      <c r="A1639" t="s">
        <v>2855</v>
      </c>
      <c r="B1639" t="s">
        <v>2856</v>
      </c>
      <c r="C1639" t="s">
        <v>8</v>
      </c>
      <c r="D1639">
        <v>4.0030000000000001</v>
      </c>
      <c r="E1639" s="4">
        <v>1281</v>
      </c>
      <c r="F1639" t="str">
        <f>HYPERLINK("https://www.google.com/maps/search/?api=1&amp;query=24.70036,46.65296", "View Map")</f>
        <v>View Map</v>
      </c>
      <c r="G1639" s="2">
        <v>1.1405781727638269</v>
      </c>
    </row>
    <row r="1640" spans="1:7" x14ac:dyDescent="0.3">
      <c r="A1640" t="s">
        <v>2857</v>
      </c>
      <c r="B1640" t="s">
        <v>2858</v>
      </c>
      <c r="C1640" t="s">
        <v>8</v>
      </c>
      <c r="D1640">
        <v>4.0010000000000003</v>
      </c>
      <c r="E1640" s="4">
        <v>1280</v>
      </c>
      <c r="F1640" t="str">
        <f>HYPERLINK("https://www.google.com/maps/search/?api=1&amp;query=24.81095782,46.66806303", "View Map")</f>
        <v>View Map</v>
      </c>
    </row>
    <row r="1641" spans="1:7" x14ac:dyDescent="0.3">
      <c r="A1641" t="s">
        <v>2859</v>
      </c>
      <c r="B1641" t="s">
        <v>2860</v>
      </c>
      <c r="C1641" t="s">
        <v>8</v>
      </c>
      <c r="D1641">
        <v>4</v>
      </c>
      <c r="E1641" s="4">
        <v>1280</v>
      </c>
      <c r="F1641" t="str">
        <f>HYPERLINK("https://www.google.com/maps/search/?api=1&amp;query=24.60629086,46.74003516", "View Map")</f>
        <v>View Map</v>
      </c>
    </row>
    <row r="1642" spans="1:7" x14ac:dyDescent="0.3">
      <c r="A1642" t="s">
        <v>2861</v>
      </c>
      <c r="B1642" t="s">
        <v>2862</v>
      </c>
      <c r="C1642" t="s">
        <v>8</v>
      </c>
      <c r="D1642">
        <v>4</v>
      </c>
      <c r="E1642" s="4">
        <v>1280</v>
      </c>
      <c r="F1642" t="str">
        <f>HYPERLINK("https://www.google.com/maps/search/?api=1&amp;query=24.60780761,46.59942933", "View Map")</f>
        <v>View Map</v>
      </c>
    </row>
    <row r="1643" spans="1:7" x14ac:dyDescent="0.3">
      <c r="A1643" t="s">
        <v>2863</v>
      </c>
      <c r="B1643" t="s">
        <v>2864</v>
      </c>
      <c r="C1643" t="s">
        <v>8</v>
      </c>
      <c r="D1643">
        <v>3.9990000000000001</v>
      </c>
      <c r="E1643" s="4">
        <v>1280</v>
      </c>
      <c r="F1643" t="str">
        <f>HYPERLINK("https://www.google.com/maps/search/?api=1&amp;query=24.57897636,46.75765783", "View Map")</f>
        <v>View Map</v>
      </c>
    </row>
    <row r="1644" spans="1:7" x14ac:dyDescent="0.3">
      <c r="A1644" t="s">
        <v>2865</v>
      </c>
      <c r="B1644" t="s">
        <v>2866</v>
      </c>
      <c r="C1644" t="s">
        <v>255</v>
      </c>
      <c r="D1644">
        <v>3.9969999999999999</v>
      </c>
      <c r="E1644" s="4">
        <v>1279</v>
      </c>
      <c r="F1644" t="str">
        <f>HYPERLINK("https://www.google.com/maps/search/?api=1&amp;query=24.5783285,43.55278671", "View Map")</f>
        <v>View Map</v>
      </c>
      <c r="G1644" s="2">
        <v>0.88237186058630201</v>
      </c>
    </row>
    <row r="1645" spans="1:7" x14ac:dyDescent="0.3">
      <c r="A1645" t="s">
        <v>2867</v>
      </c>
      <c r="B1645" t="s">
        <v>2868</v>
      </c>
      <c r="C1645" t="s">
        <v>8</v>
      </c>
      <c r="D1645">
        <v>3.996</v>
      </c>
      <c r="E1645" s="4">
        <v>1279</v>
      </c>
      <c r="F1645" t="str">
        <f>HYPERLINK("https://www.google.com/maps/search/?api=1&amp;query=24.79404111,46.74193226", "View Map")</f>
        <v>View Map</v>
      </c>
    </row>
    <row r="1646" spans="1:7" x14ac:dyDescent="0.3">
      <c r="A1646" t="s">
        <v>2869</v>
      </c>
      <c r="B1646" t="s">
        <v>2870</v>
      </c>
      <c r="C1646" t="s">
        <v>393</v>
      </c>
      <c r="D1646">
        <v>3.99</v>
      </c>
      <c r="E1646" s="4">
        <v>1277</v>
      </c>
      <c r="F1646" t="str">
        <f>HYPERLINK("https://www.google.com/maps/search/?api=1&amp;query=22.52068005,44.79688116", "View Map")</f>
        <v>View Map</v>
      </c>
      <c r="G1646" s="2">
        <v>0.68734468988667852</v>
      </c>
    </row>
    <row r="1647" spans="1:7" x14ac:dyDescent="0.3">
      <c r="A1647" t="s">
        <v>2871</v>
      </c>
      <c r="B1647" t="s">
        <v>2872</v>
      </c>
      <c r="C1647" t="s">
        <v>21</v>
      </c>
      <c r="D1647">
        <v>3.9849999999999999</v>
      </c>
      <c r="E1647" s="4">
        <v>1275</v>
      </c>
      <c r="F1647" t="str">
        <f>HYPERLINK("https://www.google.com/maps/search/?api=1&amp;query=26.32825168,44.7907369", "View Map")</f>
        <v>View Map</v>
      </c>
      <c r="G1647" s="2">
        <v>0.43768754967159801</v>
      </c>
    </row>
    <row r="1648" spans="1:7" x14ac:dyDescent="0.3">
      <c r="A1648" t="s">
        <v>1273</v>
      </c>
      <c r="B1648" t="s">
        <v>2873</v>
      </c>
      <c r="C1648" t="s">
        <v>241</v>
      </c>
      <c r="D1648">
        <v>3.9849999999999999</v>
      </c>
      <c r="E1648" s="4">
        <v>1275</v>
      </c>
      <c r="F1648" t="str">
        <f>HYPERLINK("https://www.google.com/maps/search/?api=1&amp;query=20.43293361,44.82176449", "View Map")</f>
        <v>View Map</v>
      </c>
      <c r="G1648" s="2">
        <v>0.85214137304260873</v>
      </c>
    </row>
    <row r="1649" spans="1:7" x14ac:dyDescent="0.3">
      <c r="A1649" t="s">
        <v>2874</v>
      </c>
      <c r="B1649" t="s">
        <v>2875</v>
      </c>
      <c r="C1649" t="s">
        <v>8</v>
      </c>
      <c r="D1649">
        <v>3.984</v>
      </c>
      <c r="E1649" s="4">
        <v>1275</v>
      </c>
      <c r="F1649" t="str">
        <f>HYPERLINK("https://www.google.com/maps/search/?api=1&amp;query=24.57046906,46.6182374", "View Map")</f>
        <v>View Map</v>
      </c>
      <c r="G1649" s="2">
        <v>0.3787766619321723</v>
      </c>
    </row>
    <row r="1650" spans="1:7" x14ac:dyDescent="0.3">
      <c r="A1650" t="s">
        <v>46</v>
      </c>
      <c r="B1650" t="s">
        <v>2876</v>
      </c>
      <c r="C1650" t="s">
        <v>8</v>
      </c>
      <c r="D1650">
        <v>3.984</v>
      </c>
      <c r="E1650" s="4">
        <v>1275</v>
      </c>
      <c r="F1650" t="str">
        <f>HYPERLINK("https://www.google.com/maps/search/?api=1&amp;query=24.75990983,46.80886356", "View Map")</f>
        <v>View Map</v>
      </c>
    </row>
    <row r="1651" spans="1:7" x14ac:dyDescent="0.3">
      <c r="A1651" t="s">
        <v>2877</v>
      </c>
      <c r="B1651" t="s">
        <v>2878</v>
      </c>
      <c r="C1651" t="s">
        <v>8</v>
      </c>
      <c r="D1651">
        <v>3.9820000000000002</v>
      </c>
      <c r="E1651" s="4">
        <v>1274</v>
      </c>
      <c r="F1651" t="str">
        <f>HYPERLINK("https://www.google.com/maps/search/?api=1&amp;query=24.80937133,46.65371925", "View Map")</f>
        <v>View Map</v>
      </c>
    </row>
    <row r="1652" spans="1:7" x14ac:dyDescent="0.3">
      <c r="A1652" t="s">
        <v>2879</v>
      </c>
      <c r="B1652" t="s">
        <v>2880</v>
      </c>
      <c r="C1652" t="s">
        <v>8</v>
      </c>
      <c r="D1652">
        <v>3.9780000000000002</v>
      </c>
      <c r="E1652" s="4">
        <v>1273</v>
      </c>
      <c r="F1652" t="str">
        <f>HYPERLINK("https://www.google.com/maps/search/?api=1&amp;query=24.62069505,46.76202884", "View Map")</f>
        <v>View Map</v>
      </c>
      <c r="G1652" s="2">
        <v>0.37186267909639248</v>
      </c>
    </row>
    <row r="1653" spans="1:7" x14ac:dyDescent="0.3">
      <c r="A1653" t="s">
        <v>146</v>
      </c>
      <c r="B1653" t="s">
        <v>2881</v>
      </c>
      <c r="C1653" t="s">
        <v>8</v>
      </c>
      <c r="D1653">
        <v>3.9769999999999999</v>
      </c>
      <c r="E1653" s="4">
        <v>1273</v>
      </c>
      <c r="F1653" t="str">
        <f>HYPERLINK("https://www.google.com/maps/search/?api=1&amp;query=24.55584605,46.61643833", "View Map")</f>
        <v>View Map</v>
      </c>
    </row>
    <row r="1654" spans="1:7" x14ac:dyDescent="0.3">
      <c r="A1654" t="s">
        <v>2882</v>
      </c>
      <c r="B1654" t="s">
        <v>2883</v>
      </c>
      <c r="C1654" t="s">
        <v>8</v>
      </c>
      <c r="D1654">
        <v>3.9769999999999999</v>
      </c>
      <c r="E1654" s="4">
        <v>1273</v>
      </c>
      <c r="F1654" t="str">
        <f>HYPERLINK("https://www.google.com/maps/search/?api=1&amp;query=24.57384886,46.71337917", "View Map")</f>
        <v>View Map</v>
      </c>
    </row>
    <row r="1655" spans="1:7" x14ac:dyDescent="0.3">
      <c r="A1655" t="s">
        <v>627</v>
      </c>
      <c r="B1655" t="s">
        <v>2884</v>
      </c>
      <c r="C1655" t="s">
        <v>8</v>
      </c>
      <c r="D1655">
        <v>3.976</v>
      </c>
      <c r="E1655" s="4">
        <v>1272</v>
      </c>
      <c r="F1655" t="str">
        <f>HYPERLINK("https://www.google.com/maps/search/?api=1&amp;query=24.62043141,46.53928568", "View Map")</f>
        <v>View Map</v>
      </c>
    </row>
    <row r="1656" spans="1:7" x14ac:dyDescent="0.3">
      <c r="A1656" t="s">
        <v>2885</v>
      </c>
      <c r="B1656" t="s">
        <v>2886</v>
      </c>
      <c r="C1656" t="s">
        <v>55</v>
      </c>
      <c r="D1656">
        <v>3.9710000000000001</v>
      </c>
      <c r="E1656" s="4">
        <v>1271</v>
      </c>
      <c r="F1656" t="str">
        <f>HYPERLINK("https://www.google.com/maps/search/?api=1&amp;query=24.7532337,46.57687528", "View Map")</f>
        <v>View Map</v>
      </c>
    </row>
    <row r="1657" spans="1:7" x14ac:dyDescent="0.3">
      <c r="A1657" t="s">
        <v>2887</v>
      </c>
      <c r="B1657" t="s">
        <v>2888</v>
      </c>
      <c r="C1657" t="s">
        <v>8</v>
      </c>
      <c r="D1657">
        <v>3.9710000000000001</v>
      </c>
      <c r="E1657" s="4">
        <v>1271</v>
      </c>
      <c r="F1657" t="str">
        <f>HYPERLINK("https://www.google.com/maps/search/?api=1&amp;query=24.56862568,46.62866045", "View Map")</f>
        <v>View Map</v>
      </c>
    </row>
    <row r="1658" spans="1:7" x14ac:dyDescent="0.3">
      <c r="A1658" t="s">
        <v>146</v>
      </c>
      <c r="B1658" t="s">
        <v>2889</v>
      </c>
      <c r="C1658" t="s">
        <v>8</v>
      </c>
      <c r="D1658">
        <v>3.968</v>
      </c>
      <c r="E1658" s="4">
        <v>1270</v>
      </c>
      <c r="F1658" t="str">
        <f>HYPERLINK("https://www.google.com/maps/search/?api=1&amp;query=24.54522849,46.5181886", "View Map")</f>
        <v>View Map</v>
      </c>
    </row>
    <row r="1659" spans="1:7" x14ac:dyDescent="0.3">
      <c r="A1659" t="s">
        <v>2890</v>
      </c>
      <c r="B1659" t="s">
        <v>2891</v>
      </c>
      <c r="C1659" t="s">
        <v>8</v>
      </c>
      <c r="D1659">
        <v>3.968</v>
      </c>
      <c r="E1659" s="4">
        <v>1270</v>
      </c>
      <c r="F1659" t="str">
        <f>HYPERLINK("https://www.google.com/maps/search/?api=1&amp;query=24.59685742,46.65816017", "View Map")</f>
        <v>View Map</v>
      </c>
      <c r="G1659" s="2">
        <v>0.40221117672179968</v>
      </c>
    </row>
    <row r="1660" spans="1:7" x14ac:dyDescent="0.3">
      <c r="A1660" t="s">
        <v>2892</v>
      </c>
      <c r="B1660" t="s">
        <v>2893</v>
      </c>
      <c r="C1660" t="s">
        <v>8</v>
      </c>
      <c r="D1660">
        <v>3.9670000000000001</v>
      </c>
      <c r="E1660" s="4">
        <v>1269</v>
      </c>
      <c r="F1660" t="str">
        <f>HYPERLINK("https://www.google.com/maps/search/?api=1&amp;query=24.67887008,46.68110562", "View Map")</f>
        <v>View Map</v>
      </c>
    </row>
    <row r="1661" spans="1:7" x14ac:dyDescent="0.3">
      <c r="A1661" t="s">
        <v>150</v>
      </c>
      <c r="B1661" t="s">
        <v>2894</v>
      </c>
      <c r="C1661" t="s">
        <v>8</v>
      </c>
      <c r="D1661">
        <v>3.9630000000000001</v>
      </c>
      <c r="E1661" s="4">
        <v>1268</v>
      </c>
      <c r="F1661" t="str">
        <f>HYPERLINK("https://www.google.com/maps/search/?api=1&amp;query=24.82851438,46.65938841", "View Map")</f>
        <v>View Map</v>
      </c>
    </row>
    <row r="1662" spans="1:7" x14ac:dyDescent="0.3">
      <c r="A1662" t="s">
        <v>2895</v>
      </c>
      <c r="B1662" t="s">
        <v>2896</v>
      </c>
      <c r="C1662" t="s">
        <v>270</v>
      </c>
      <c r="D1662">
        <v>3.9580000000000002</v>
      </c>
      <c r="E1662" s="4">
        <v>1266</v>
      </c>
      <c r="F1662" t="str">
        <f>HYPERLINK("https://www.google.com/maps/search/?api=1&amp;query=23.97517199,47.11902617", "View Map")</f>
        <v>View Map</v>
      </c>
      <c r="G1662" s="2">
        <v>0.70065017073234626</v>
      </c>
    </row>
    <row r="1663" spans="1:7" x14ac:dyDescent="0.3">
      <c r="A1663" t="s">
        <v>2897</v>
      </c>
      <c r="B1663" t="s">
        <v>2898</v>
      </c>
      <c r="C1663" t="s">
        <v>30</v>
      </c>
      <c r="D1663">
        <v>3.9580000000000002</v>
      </c>
      <c r="E1663" s="4">
        <v>1266</v>
      </c>
      <c r="F1663" t="str">
        <f>HYPERLINK("https://www.google.com/maps/search/?api=1&amp;query=24.15643066,47.34191796", "View Map")</f>
        <v>View Map</v>
      </c>
      <c r="G1663" s="2">
        <v>0.51879434745157171</v>
      </c>
    </row>
    <row r="1664" spans="1:7" x14ac:dyDescent="0.3">
      <c r="A1664" t="s">
        <v>2899</v>
      </c>
      <c r="B1664" t="s">
        <v>2900</v>
      </c>
      <c r="C1664" t="s">
        <v>8</v>
      </c>
      <c r="D1664">
        <v>3.9569999999999999</v>
      </c>
      <c r="E1664" s="4">
        <v>1266</v>
      </c>
      <c r="F1664" t="str">
        <f>HYPERLINK("https://www.google.com/maps/search/?api=1&amp;query=24.75965878,46.67599022", "View Map")</f>
        <v>View Map</v>
      </c>
    </row>
    <row r="1665" spans="1:7" x14ac:dyDescent="0.3">
      <c r="A1665" t="s">
        <v>2901</v>
      </c>
      <c r="B1665" t="s">
        <v>2902</v>
      </c>
      <c r="C1665" t="s">
        <v>8</v>
      </c>
      <c r="D1665">
        <v>3.9540000000000002</v>
      </c>
      <c r="E1665" s="4">
        <v>1265</v>
      </c>
      <c r="F1665" t="str">
        <f>HYPERLINK("https://www.google.com/maps/search/?api=1&amp;query=24.57108441,46.53949635", "View Map")</f>
        <v>View Map</v>
      </c>
    </row>
    <row r="1666" spans="1:7" x14ac:dyDescent="0.3">
      <c r="A1666" t="s">
        <v>2903</v>
      </c>
      <c r="B1666" t="s">
        <v>2904</v>
      </c>
      <c r="C1666" t="s">
        <v>8</v>
      </c>
      <c r="D1666">
        <v>3.9510000000000001</v>
      </c>
      <c r="E1666" s="4">
        <v>1264</v>
      </c>
      <c r="F1666" t="str">
        <f>HYPERLINK("https://www.google.com/maps/search/?api=1&amp;query=24.4126395,46.84482336", "View Map")</f>
        <v>View Map</v>
      </c>
      <c r="G1666" s="2">
        <v>0.44149066693728051</v>
      </c>
    </row>
    <row r="1667" spans="1:7" x14ac:dyDescent="0.3">
      <c r="A1667" t="s">
        <v>2905</v>
      </c>
      <c r="B1667" t="s">
        <v>2906</v>
      </c>
      <c r="C1667" t="s">
        <v>8</v>
      </c>
      <c r="D1667">
        <v>3.948</v>
      </c>
      <c r="E1667" s="4">
        <v>1263</v>
      </c>
      <c r="F1667" t="str">
        <f>HYPERLINK("https://www.google.com/maps/search/?api=1&amp;query=24.77770008,46.82086736", "View Map")</f>
        <v>View Map</v>
      </c>
      <c r="G1667" s="2">
        <v>0.38663471519960418</v>
      </c>
    </row>
    <row r="1668" spans="1:7" x14ac:dyDescent="0.3">
      <c r="A1668" t="s">
        <v>146</v>
      </c>
      <c r="B1668" t="s">
        <v>2907</v>
      </c>
      <c r="C1668" t="s">
        <v>8</v>
      </c>
      <c r="D1668">
        <v>3.9470000000000001</v>
      </c>
      <c r="E1668" s="4">
        <v>1263</v>
      </c>
      <c r="F1668" t="str">
        <f>HYPERLINK("https://www.google.com/maps/search/?api=1&amp;query=24.5667,46.5228", "View Map")</f>
        <v>View Map</v>
      </c>
      <c r="G1668" s="2">
        <v>0.49053235644024529</v>
      </c>
    </row>
    <row r="1669" spans="1:7" x14ac:dyDescent="0.3">
      <c r="A1669" t="s">
        <v>2908</v>
      </c>
      <c r="B1669" t="s">
        <v>2909</v>
      </c>
      <c r="C1669" t="s">
        <v>8</v>
      </c>
      <c r="D1669">
        <v>3.9460000000000002</v>
      </c>
      <c r="E1669" s="4">
        <v>1263</v>
      </c>
      <c r="F1669" t="str">
        <f>HYPERLINK("https://www.google.com/maps/search/?api=1&amp;query=24.71157002,46.63674319", "View Map")</f>
        <v>View Map</v>
      </c>
    </row>
    <row r="1670" spans="1:7" x14ac:dyDescent="0.3">
      <c r="A1670" t="s">
        <v>860</v>
      </c>
      <c r="B1670" t="s">
        <v>2910</v>
      </c>
      <c r="C1670" t="s">
        <v>8</v>
      </c>
      <c r="D1670">
        <v>3.9449999999999998</v>
      </c>
      <c r="E1670" s="4">
        <v>1262</v>
      </c>
      <c r="F1670" t="str">
        <f>HYPERLINK("https://www.google.com/maps/search/?api=1&amp;query=24.71807026,46.83111536", "View Map")</f>
        <v>View Map</v>
      </c>
    </row>
    <row r="1671" spans="1:7" x14ac:dyDescent="0.3">
      <c r="A1671" t="s">
        <v>2911</v>
      </c>
      <c r="B1671" t="s">
        <v>2912</v>
      </c>
      <c r="C1671" t="s">
        <v>883</v>
      </c>
      <c r="D1671">
        <v>3.9420000000000002</v>
      </c>
      <c r="E1671" s="4">
        <v>1261</v>
      </c>
      <c r="F1671" t="str">
        <f>HYPERLINK("https://www.google.com/maps/search/?api=1&amp;query=25.55761472,47.16581941", "View Map")</f>
        <v>View Map</v>
      </c>
      <c r="G1671" s="2">
        <v>0.6664811887178308</v>
      </c>
    </row>
    <row r="1672" spans="1:7" x14ac:dyDescent="0.3">
      <c r="A1672" t="s">
        <v>2913</v>
      </c>
      <c r="B1672" t="s">
        <v>2914</v>
      </c>
      <c r="C1672" t="s">
        <v>214</v>
      </c>
      <c r="D1672">
        <v>3.9409999999999998</v>
      </c>
      <c r="E1672" s="4">
        <v>1261</v>
      </c>
      <c r="F1672" t="str">
        <f>HYPERLINK("https://www.google.com/maps/search/?api=1&amp;query=25.69664192,45.88027634", "View Map")</f>
        <v>View Map</v>
      </c>
      <c r="G1672" s="2">
        <v>0.54998704373457175</v>
      </c>
    </row>
    <row r="1673" spans="1:7" x14ac:dyDescent="0.3">
      <c r="A1673" t="s">
        <v>2915</v>
      </c>
      <c r="B1673" t="s">
        <v>2916</v>
      </c>
      <c r="C1673" t="s">
        <v>8</v>
      </c>
      <c r="D1673">
        <v>3.9409999999999998</v>
      </c>
      <c r="E1673" s="4">
        <v>1261</v>
      </c>
      <c r="F1673" t="str">
        <f>HYPERLINK("https://www.google.com/maps/search/?api=1&amp;query=24.78286639,46.6186074", "View Map")</f>
        <v>View Map</v>
      </c>
    </row>
    <row r="1674" spans="1:7" x14ac:dyDescent="0.3">
      <c r="A1674" t="s">
        <v>2917</v>
      </c>
      <c r="B1674" t="s">
        <v>2918</v>
      </c>
      <c r="C1674" t="s">
        <v>8</v>
      </c>
      <c r="D1674">
        <v>3.94</v>
      </c>
      <c r="E1674" s="4">
        <v>1261</v>
      </c>
      <c r="F1674" t="str">
        <f>HYPERLINK("https://www.google.com/maps/search/?api=1&amp;query=24.62948346,46.55079822", "View Map")</f>
        <v>View Map</v>
      </c>
      <c r="G1674" s="2">
        <v>0.33313716190245951</v>
      </c>
    </row>
    <row r="1675" spans="1:7" x14ac:dyDescent="0.3">
      <c r="A1675" t="s">
        <v>2919</v>
      </c>
      <c r="B1675" t="s">
        <v>2920</v>
      </c>
      <c r="C1675" t="s">
        <v>8</v>
      </c>
      <c r="D1675">
        <v>3.9380000000000002</v>
      </c>
      <c r="E1675" s="4">
        <v>1260</v>
      </c>
      <c r="F1675" t="str">
        <f>HYPERLINK("https://www.google.com/maps/search/?api=1&amp;query=24.59147088,46.68608856", "View Map")</f>
        <v>View Map</v>
      </c>
    </row>
    <row r="1676" spans="1:7" x14ac:dyDescent="0.3">
      <c r="A1676" t="s">
        <v>2921</v>
      </c>
      <c r="B1676" t="s">
        <v>2922</v>
      </c>
      <c r="C1676" t="s">
        <v>214</v>
      </c>
      <c r="D1676">
        <v>3.9340000000000002</v>
      </c>
      <c r="E1676" s="4">
        <v>1259</v>
      </c>
      <c r="F1676" t="str">
        <f>HYPERLINK("https://www.google.com/maps/search/?api=1&amp;query=25.7037787,45.86701311", "View Map")</f>
        <v>View Map</v>
      </c>
      <c r="G1676" s="2">
        <v>0.6649558579485203</v>
      </c>
    </row>
    <row r="1677" spans="1:7" x14ac:dyDescent="0.3">
      <c r="A1677" t="s">
        <v>46</v>
      </c>
      <c r="B1677" t="s">
        <v>2923</v>
      </c>
      <c r="C1677" t="s">
        <v>8</v>
      </c>
      <c r="D1677">
        <v>3.931</v>
      </c>
      <c r="E1677" s="4">
        <v>1258</v>
      </c>
      <c r="F1677" t="str">
        <f>HYPERLINK("https://www.google.com/maps/search/?api=1&amp;query=24.60640589,46.52185655", "View Map")</f>
        <v>View Map</v>
      </c>
    </row>
    <row r="1678" spans="1:7" x14ac:dyDescent="0.3">
      <c r="A1678" t="s">
        <v>2924</v>
      </c>
      <c r="B1678" t="s">
        <v>2925</v>
      </c>
      <c r="C1678" t="s">
        <v>8</v>
      </c>
      <c r="D1678">
        <v>3.93</v>
      </c>
      <c r="E1678" s="4">
        <v>1258</v>
      </c>
      <c r="F1678" t="str">
        <f>HYPERLINK("https://www.google.com/maps/search/?api=1&amp;query=24.78535614,46.75093366", "View Map")</f>
        <v>View Map</v>
      </c>
    </row>
    <row r="1679" spans="1:7" x14ac:dyDescent="0.3">
      <c r="A1679" t="s">
        <v>2926</v>
      </c>
      <c r="B1679" t="s">
        <v>2927</v>
      </c>
      <c r="C1679" t="s">
        <v>8</v>
      </c>
      <c r="D1679">
        <v>3.93</v>
      </c>
      <c r="E1679" s="4">
        <v>1258</v>
      </c>
      <c r="F1679" t="str">
        <f>HYPERLINK("https://www.google.com/maps/search/?api=1&amp;query=24.59856951,46.65122219", "View Map")</f>
        <v>View Map</v>
      </c>
      <c r="G1679" s="2">
        <v>0.40808978605860408</v>
      </c>
    </row>
    <row r="1680" spans="1:7" x14ac:dyDescent="0.3">
      <c r="A1680" t="s">
        <v>2928</v>
      </c>
      <c r="B1680" t="s">
        <v>2929</v>
      </c>
      <c r="C1680" t="s">
        <v>8</v>
      </c>
      <c r="D1680">
        <v>3.9289999999999998</v>
      </c>
      <c r="E1680" s="4">
        <v>1257</v>
      </c>
      <c r="F1680" t="str">
        <f>HYPERLINK("https://www.google.com/maps/search/?api=1&amp;query=24.7194477,46.67688108", "View Map")</f>
        <v>View Map</v>
      </c>
    </row>
    <row r="1681" spans="1:7" x14ac:dyDescent="0.3">
      <c r="A1681" t="s">
        <v>28</v>
      </c>
      <c r="B1681" t="s">
        <v>2930</v>
      </c>
      <c r="C1681" t="s">
        <v>30</v>
      </c>
      <c r="D1681">
        <v>3.9289999999999998</v>
      </c>
      <c r="E1681" s="4">
        <v>1257</v>
      </c>
      <c r="F1681" t="str">
        <f>HYPERLINK("https://www.google.com/maps/search/?api=1&amp;query=24.15644239,47.28409537", "View Map")</f>
        <v>View Map</v>
      </c>
      <c r="G1681" s="2">
        <v>0.52410230080512665</v>
      </c>
    </row>
    <row r="1682" spans="1:7" x14ac:dyDescent="0.3">
      <c r="A1682" t="s">
        <v>2931</v>
      </c>
      <c r="B1682" t="s">
        <v>2932</v>
      </c>
      <c r="C1682" t="s">
        <v>8</v>
      </c>
      <c r="D1682">
        <v>3.9249999999999998</v>
      </c>
      <c r="E1682" s="4">
        <v>1256</v>
      </c>
      <c r="F1682" t="str">
        <f>HYPERLINK("https://www.google.com/maps/search/?api=1&amp;query=24.72861432,46.84520681", "View Map")</f>
        <v>View Map</v>
      </c>
      <c r="G1682" s="2">
        <v>0.34981127732031658</v>
      </c>
    </row>
    <row r="1683" spans="1:7" x14ac:dyDescent="0.3">
      <c r="A1683" t="s">
        <v>2933</v>
      </c>
      <c r="B1683" t="s">
        <v>2934</v>
      </c>
      <c r="C1683" t="s">
        <v>8</v>
      </c>
      <c r="D1683">
        <v>3.9249999999999998</v>
      </c>
      <c r="E1683" s="4">
        <v>1256</v>
      </c>
      <c r="F1683" t="str">
        <f>HYPERLINK("https://www.google.com/maps/search/?api=1&amp;query=24.79632194,46.70051198", "View Map")</f>
        <v>View Map</v>
      </c>
      <c r="G1683" s="2">
        <v>0.73802624724622556</v>
      </c>
    </row>
    <row r="1684" spans="1:7" x14ac:dyDescent="0.3">
      <c r="A1684" t="s">
        <v>2935</v>
      </c>
      <c r="B1684" t="s">
        <v>2936</v>
      </c>
      <c r="C1684" t="s">
        <v>8</v>
      </c>
      <c r="D1684">
        <v>3.9249999999999998</v>
      </c>
      <c r="E1684" s="4">
        <v>1256</v>
      </c>
      <c r="F1684" t="str">
        <f>HYPERLINK("https://www.google.com/maps/search/?api=1&amp;query=24.5919537,46.7471375", "View Map")</f>
        <v>View Map</v>
      </c>
      <c r="G1684" s="2">
        <v>0.67560666403649028</v>
      </c>
    </row>
    <row r="1685" spans="1:7" x14ac:dyDescent="0.3">
      <c r="A1685" t="s">
        <v>2937</v>
      </c>
      <c r="B1685" t="s">
        <v>2938</v>
      </c>
      <c r="C1685" t="s">
        <v>393</v>
      </c>
      <c r="D1685">
        <v>3.9239999999999999</v>
      </c>
      <c r="E1685" s="4">
        <v>1256</v>
      </c>
      <c r="F1685" t="str">
        <f>HYPERLINK("https://www.google.com/maps/search/?api=1&amp;query=23.54389533,45.51203126", "View Map")</f>
        <v>View Map</v>
      </c>
      <c r="G1685" s="2">
        <v>0.36911875261531207</v>
      </c>
    </row>
    <row r="1686" spans="1:7" x14ac:dyDescent="0.3">
      <c r="A1686" t="s">
        <v>2939</v>
      </c>
      <c r="B1686" t="s">
        <v>2940</v>
      </c>
      <c r="C1686" t="s">
        <v>8</v>
      </c>
      <c r="D1686">
        <v>3.9239999999999999</v>
      </c>
      <c r="E1686" s="4">
        <v>1256</v>
      </c>
      <c r="F1686" t="str">
        <f>HYPERLINK("https://www.google.com/maps/search/?api=1&amp;query=24.67519209,46.79597774", "View Map")</f>
        <v>View Map</v>
      </c>
      <c r="G1686" s="2">
        <v>0.3745324752153103</v>
      </c>
    </row>
    <row r="1687" spans="1:7" x14ac:dyDescent="0.3">
      <c r="A1687" t="s">
        <v>2941</v>
      </c>
      <c r="B1687" t="s">
        <v>2942</v>
      </c>
      <c r="C1687" t="s">
        <v>291</v>
      </c>
      <c r="D1687">
        <v>3.9220000000000002</v>
      </c>
      <c r="E1687" s="4">
        <v>1255</v>
      </c>
      <c r="F1687" t="str">
        <f>HYPERLINK("https://www.google.com/maps/search/?api=1&amp;query=24.38654875,45.57332201", "View Map")</f>
        <v>View Map</v>
      </c>
      <c r="G1687" s="2">
        <v>0.81102357613113529</v>
      </c>
    </row>
    <row r="1688" spans="1:7" x14ac:dyDescent="0.3">
      <c r="A1688" t="s">
        <v>2943</v>
      </c>
      <c r="B1688" t="s">
        <v>2944</v>
      </c>
      <c r="C1688" t="s">
        <v>8</v>
      </c>
      <c r="D1688">
        <v>3.919</v>
      </c>
      <c r="E1688" s="4">
        <v>1254</v>
      </c>
      <c r="F1688" t="str">
        <f>HYPERLINK("https://www.google.com/maps/search/?api=1&amp;query=24.68324188,46.78661618", "View Map")</f>
        <v>View Map</v>
      </c>
    </row>
    <row r="1689" spans="1:7" x14ac:dyDescent="0.3">
      <c r="A1689" t="s">
        <v>2945</v>
      </c>
      <c r="B1689" t="s">
        <v>2946</v>
      </c>
      <c r="C1689" t="s">
        <v>8</v>
      </c>
      <c r="D1689">
        <v>3.919</v>
      </c>
      <c r="E1689" s="4">
        <v>1254</v>
      </c>
      <c r="F1689" t="str">
        <f>HYPERLINK("https://www.google.com/maps/search/?api=1&amp;query=24.67620514,46.82159739", "View Map")</f>
        <v>View Map</v>
      </c>
      <c r="G1689" s="2">
        <v>0.53415300961599133</v>
      </c>
    </row>
    <row r="1690" spans="1:7" x14ac:dyDescent="0.3">
      <c r="A1690" t="s">
        <v>2947</v>
      </c>
      <c r="B1690" t="s">
        <v>2948</v>
      </c>
      <c r="C1690" t="s">
        <v>8</v>
      </c>
      <c r="D1690">
        <v>3.9129999999999998</v>
      </c>
      <c r="E1690" s="4">
        <v>1252</v>
      </c>
      <c r="F1690" t="str">
        <f>HYPERLINK("https://www.google.com/maps/search/?api=1&amp;query=24.60464948,46.63196645", "View Map")</f>
        <v>View Map</v>
      </c>
    </row>
    <row r="1691" spans="1:7" x14ac:dyDescent="0.3">
      <c r="A1691" t="s">
        <v>2949</v>
      </c>
      <c r="B1691" t="s">
        <v>2950</v>
      </c>
      <c r="C1691" t="s">
        <v>8</v>
      </c>
      <c r="D1691">
        <v>3.911</v>
      </c>
      <c r="E1691" s="4">
        <v>1252</v>
      </c>
      <c r="F1691" t="str">
        <f>HYPERLINK("https://www.google.com/maps/search/?api=1&amp;query=24.83112837,46.6431487", "View Map")</f>
        <v>View Map</v>
      </c>
    </row>
    <row r="1692" spans="1:7" x14ac:dyDescent="0.3">
      <c r="A1692" t="s">
        <v>2951</v>
      </c>
      <c r="B1692" t="s">
        <v>2952</v>
      </c>
      <c r="C1692" t="s">
        <v>646</v>
      </c>
      <c r="D1692">
        <v>3.907</v>
      </c>
      <c r="E1692" s="4">
        <v>1250</v>
      </c>
      <c r="F1692" t="str">
        <f>HYPERLINK("https://www.google.com/maps/search/?api=1&amp;query=20.44875011,45.58904253", "View Map")</f>
        <v>View Map</v>
      </c>
      <c r="G1692" s="2">
        <v>0.6397548819704364</v>
      </c>
    </row>
    <row r="1693" spans="1:7" x14ac:dyDescent="0.3">
      <c r="A1693" t="s">
        <v>146</v>
      </c>
      <c r="B1693" t="s">
        <v>2953</v>
      </c>
      <c r="C1693" t="s">
        <v>8</v>
      </c>
      <c r="D1693">
        <v>3.907</v>
      </c>
      <c r="E1693" s="4">
        <v>1250</v>
      </c>
      <c r="F1693" t="str">
        <f>HYPERLINK("https://www.google.com/maps/search/?api=1&amp;query=24.61499848,46.65565514", "View Map")</f>
        <v>View Map</v>
      </c>
      <c r="G1693" s="2">
        <v>0.37187148430764372</v>
      </c>
    </row>
    <row r="1694" spans="1:7" x14ac:dyDescent="0.3">
      <c r="A1694" t="s">
        <v>2954</v>
      </c>
      <c r="B1694" t="s">
        <v>2955</v>
      </c>
      <c r="C1694" t="s">
        <v>883</v>
      </c>
      <c r="D1694">
        <v>3.9049999999999998</v>
      </c>
      <c r="E1694" s="4">
        <v>1249</v>
      </c>
      <c r="F1694" t="str">
        <f>HYPERLINK("https://www.google.com/maps/search/?api=1&amp;query=25.57467605,47.16449081", "View Map")</f>
        <v>View Map</v>
      </c>
      <c r="G1694" s="2">
        <v>0.51712512129656618</v>
      </c>
    </row>
    <row r="1695" spans="1:7" x14ac:dyDescent="0.3">
      <c r="A1695" t="s">
        <v>817</v>
      </c>
      <c r="B1695" t="s">
        <v>2956</v>
      </c>
      <c r="C1695" t="s">
        <v>30</v>
      </c>
      <c r="D1695">
        <v>3.903</v>
      </c>
      <c r="E1695" s="4">
        <v>1249</v>
      </c>
      <c r="F1695" t="str">
        <f>HYPERLINK("https://www.google.com/maps/search/?api=1&amp;query=24.13352099,47.28804134", "View Map")</f>
        <v>View Map</v>
      </c>
      <c r="G1695" s="2">
        <v>0.7661793093566438</v>
      </c>
    </row>
    <row r="1696" spans="1:7" x14ac:dyDescent="0.3">
      <c r="A1696" t="s">
        <v>2957</v>
      </c>
      <c r="B1696" t="s">
        <v>2958</v>
      </c>
      <c r="C1696" t="s">
        <v>214</v>
      </c>
      <c r="D1696">
        <v>3.903</v>
      </c>
      <c r="E1696" s="4">
        <v>1249</v>
      </c>
      <c r="F1696" t="str">
        <f>HYPERLINK("https://www.google.com/maps/search/?api=1&amp;query=25.89825886,45.3602935", "View Map")</f>
        <v>View Map</v>
      </c>
      <c r="G1696" s="2">
        <v>0.46775212287188461</v>
      </c>
    </row>
    <row r="1697" spans="1:7" x14ac:dyDescent="0.3">
      <c r="A1697" t="s">
        <v>2417</v>
      </c>
      <c r="B1697" t="s">
        <v>2959</v>
      </c>
      <c r="C1697" t="s">
        <v>8</v>
      </c>
      <c r="D1697">
        <v>3.9009999999999998</v>
      </c>
      <c r="E1697" s="4">
        <v>1248</v>
      </c>
      <c r="F1697" t="str">
        <f>HYPERLINK("https://www.google.com/maps/search/?api=1&amp;query=24.79177462,46.6289388", "View Map")</f>
        <v>View Map</v>
      </c>
    </row>
    <row r="1698" spans="1:7" x14ac:dyDescent="0.3">
      <c r="A1698" t="s">
        <v>2960</v>
      </c>
      <c r="B1698" t="s">
        <v>2961</v>
      </c>
      <c r="C1698" t="s">
        <v>8</v>
      </c>
      <c r="D1698">
        <v>3.9009999999999998</v>
      </c>
      <c r="E1698" s="4">
        <v>1248</v>
      </c>
      <c r="F1698" t="str">
        <f>HYPERLINK("https://www.google.com/maps/search/?api=1&amp;query=24.56097905,46.69732179", "View Map")</f>
        <v>View Map</v>
      </c>
    </row>
    <row r="1699" spans="1:7" x14ac:dyDescent="0.3">
      <c r="A1699" t="s">
        <v>2962</v>
      </c>
      <c r="B1699" t="s">
        <v>2963</v>
      </c>
      <c r="C1699" t="s">
        <v>214</v>
      </c>
      <c r="D1699">
        <v>3.8929999999999998</v>
      </c>
      <c r="E1699" s="4">
        <v>1246</v>
      </c>
      <c r="F1699" t="str">
        <f>HYPERLINK("https://www.google.com/maps/search/?api=1&amp;query=25.60234615,45.61944636", "View Map")</f>
        <v>View Map</v>
      </c>
      <c r="G1699" s="2">
        <v>0.70013801903569861</v>
      </c>
    </row>
    <row r="1700" spans="1:7" x14ac:dyDescent="0.3">
      <c r="A1700" t="s">
        <v>2964</v>
      </c>
      <c r="B1700" t="s">
        <v>2965</v>
      </c>
      <c r="C1700" t="s">
        <v>8</v>
      </c>
      <c r="D1700">
        <v>3.8919999999999999</v>
      </c>
      <c r="E1700" s="4">
        <v>1245</v>
      </c>
      <c r="F1700" t="str">
        <f>HYPERLINK("https://www.google.com/maps/search/?api=1&amp;query=24.71793968,46.65749159", "View Map")</f>
        <v>View Map</v>
      </c>
    </row>
    <row r="1701" spans="1:7" x14ac:dyDescent="0.3">
      <c r="A1701" t="s">
        <v>2966</v>
      </c>
      <c r="B1701" t="s">
        <v>2967</v>
      </c>
      <c r="C1701" t="s">
        <v>255</v>
      </c>
      <c r="D1701">
        <v>3.891</v>
      </c>
      <c r="E1701" s="4">
        <v>1245</v>
      </c>
      <c r="F1701" t="str">
        <f>HYPERLINK("https://www.google.com/maps/search/?api=1&amp;query=24.61608404,43.65553571", "View Map")</f>
        <v>View Map</v>
      </c>
      <c r="G1701" s="2">
        <v>0.84567958316859848</v>
      </c>
    </row>
    <row r="1702" spans="1:7" x14ac:dyDescent="0.3">
      <c r="A1702" t="s">
        <v>2968</v>
      </c>
      <c r="B1702" t="s">
        <v>2969</v>
      </c>
      <c r="C1702" t="s">
        <v>30</v>
      </c>
      <c r="D1702">
        <v>3.891</v>
      </c>
      <c r="E1702" s="4">
        <v>1245</v>
      </c>
      <c r="F1702" t="str">
        <f>HYPERLINK("https://www.google.com/maps/search/?api=1&amp;query=24.15622105,47.37319424", "View Map")</f>
        <v>View Map</v>
      </c>
      <c r="G1702" s="2">
        <v>0.56106454291751828</v>
      </c>
    </row>
    <row r="1703" spans="1:7" x14ac:dyDescent="0.3">
      <c r="A1703" t="s">
        <v>2970</v>
      </c>
      <c r="B1703" t="s">
        <v>2971</v>
      </c>
      <c r="C1703" t="s">
        <v>241</v>
      </c>
      <c r="D1703">
        <v>3.89</v>
      </c>
      <c r="E1703" s="4">
        <v>1245</v>
      </c>
      <c r="F1703" t="str">
        <f>HYPERLINK("https://www.google.com/maps/search/?api=1&amp;query=20.42122862,45.09734073", "View Map")</f>
        <v>View Map</v>
      </c>
      <c r="G1703" s="2">
        <v>0.44748463875508521</v>
      </c>
    </row>
    <row r="1704" spans="1:7" x14ac:dyDescent="0.3">
      <c r="A1704" t="s">
        <v>2972</v>
      </c>
      <c r="B1704" t="s">
        <v>2973</v>
      </c>
      <c r="C1704" t="s">
        <v>8</v>
      </c>
      <c r="D1704">
        <v>3.8860000000000001</v>
      </c>
      <c r="E1704" s="4">
        <v>1244</v>
      </c>
      <c r="F1704" t="str">
        <f>HYPERLINK("https://www.google.com/maps/search/?api=1&amp;query=24.68684513,46.78518232", "View Map")</f>
        <v>View Map</v>
      </c>
    </row>
    <row r="1705" spans="1:7" x14ac:dyDescent="0.3">
      <c r="A1705" t="s">
        <v>2974</v>
      </c>
      <c r="B1705" t="s">
        <v>2975</v>
      </c>
      <c r="C1705" t="s">
        <v>8</v>
      </c>
      <c r="D1705">
        <v>3.8820000000000001</v>
      </c>
      <c r="E1705" s="4">
        <v>1242</v>
      </c>
      <c r="F1705" t="str">
        <f>HYPERLINK("https://www.google.com/maps/search/?api=1&amp;query=24.48985023,46.61884721", "View Map")</f>
        <v>View Map</v>
      </c>
    </row>
    <row r="1706" spans="1:7" x14ac:dyDescent="0.3">
      <c r="A1706" t="s">
        <v>2976</v>
      </c>
      <c r="B1706" t="s">
        <v>2977</v>
      </c>
      <c r="C1706" t="s">
        <v>738</v>
      </c>
      <c r="D1706">
        <v>3.879</v>
      </c>
      <c r="E1706" s="4">
        <v>1241</v>
      </c>
      <c r="F1706" t="str">
        <f>HYPERLINK("https://www.google.com/maps/search/?api=1&amp;query=25.10369069,46.19247544", "View Map")</f>
        <v>View Map</v>
      </c>
      <c r="G1706" s="2">
        <v>0.44455472724057782</v>
      </c>
    </row>
    <row r="1707" spans="1:7" x14ac:dyDescent="0.3">
      <c r="A1707" t="s">
        <v>2978</v>
      </c>
      <c r="B1707" t="s">
        <v>2979</v>
      </c>
      <c r="C1707" t="s">
        <v>8</v>
      </c>
      <c r="D1707">
        <v>3.875</v>
      </c>
      <c r="E1707" s="4">
        <v>1240</v>
      </c>
      <c r="F1707" t="str">
        <f>HYPERLINK("https://www.google.com/maps/search/?api=1&amp;query=24.6929258,46.66634433", "View Map")</f>
        <v>View Map</v>
      </c>
      <c r="G1707" s="2">
        <v>0.68815104104835167</v>
      </c>
    </row>
    <row r="1708" spans="1:7" x14ac:dyDescent="0.3">
      <c r="A1708" t="s">
        <v>150</v>
      </c>
      <c r="B1708" t="s">
        <v>2980</v>
      </c>
      <c r="C1708" t="s">
        <v>8</v>
      </c>
      <c r="D1708">
        <v>3.8740000000000001</v>
      </c>
      <c r="E1708" s="4">
        <v>1240</v>
      </c>
      <c r="F1708" t="str">
        <f>HYPERLINK("https://www.google.com/maps/search/?api=1&amp;query=24.82137947,46.75631389", "View Map")</f>
        <v>View Map</v>
      </c>
    </row>
    <row r="1709" spans="1:7" x14ac:dyDescent="0.3">
      <c r="A1709" t="s">
        <v>2369</v>
      </c>
      <c r="B1709" t="s">
        <v>2981</v>
      </c>
      <c r="C1709" t="s">
        <v>8</v>
      </c>
      <c r="D1709">
        <v>3.8690000000000002</v>
      </c>
      <c r="E1709" s="4">
        <v>1238</v>
      </c>
      <c r="F1709" t="str">
        <f>HYPERLINK("https://www.google.com/maps/search/?api=1&amp;query=24.79855301,46.61681285", "View Map")</f>
        <v>View Map</v>
      </c>
      <c r="G1709" s="2">
        <v>0.4118572179585438</v>
      </c>
    </row>
    <row r="1710" spans="1:7" x14ac:dyDescent="0.3">
      <c r="A1710" t="s">
        <v>2982</v>
      </c>
      <c r="B1710" t="s">
        <v>2983</v>
      </c>
      <c r="C1710" t="s">
        <v>8</v>
      </c>
      <c r="D1710">
        <v>3.8690000000000002</v>
      </c>
      <c r="E1710" s="4">
        <v>1238</v>
      </c>
      <c r="F1710" t="str">
        <f>HYPERLINK("https://www.google.com/maps/search/?api=1&amp;query=24.62056377,46.54295943", "View Map")</f>
        <v>View Map</v>
      </c>
    </row>
    <row r="1711" spans="1:7" x14ac:dyDescent="0.3">
      <c r="A1711" t="s">
        <v>46</v>
      </c>
      <c r="B1711" t="s">
        <v>2984</v>
      </c>
      <c r="C1711" t="s">
        <v>8</v>
      </c>
      <c r="D1711">
        <v>3.8639999999999999</v>
      </c>
      <c r="E1711" s="4">
        <v>1237</v>
      </c>
      <c r="F1711" t="str">
        <f>HYPERLINK("https://www.google.com/maps/search/?api=1&amp;query=24.82282759,46.880381", "View Map")</f>
        <v>View Map</v>
      </c>
    </row>
    <row r="1712" spans="1:7" x14ac:dyDescent="0.3">
      <c r="A1712" t="s">
        <v>2985</v>
      </c>
      <c r="B1712" t="s">
        <v>2986</v>
      </c>
      <c r="C1712" t="s">
        <v>21</v>
      </c>
      <c r="D1712">
        <v>3.863</v>
      </c>
      <c r="E1712" s="4">
        <v>1236</v>
      </c>
      <c r="F1712" t="str">
        <f>HYPERLINK("https://www.google.com/maps/search/?api=1&amp;query=26.25015625,44.8280527", "View Map")</f>
        <v>View Map</v>
      </c>
    </row>
    <row r="1713" spans="1:7" x14ac:dyDescent="0.3">
      <c r="A1713" t="s">
        <v>2987</v>
      </c>
      <c r="B1713" t="s">
        <v>2988</v>
      </c>
      <c r="C1713" t="s">
        <v>8</v>
      </c>
      <c r="D1713">
        <v>3.8620000000000001</v>
      </c>
      <c r="E1713" s="4">
        <v>1236</v>
      </c>
      <c r="F1713" t="str">
        <f>HYPERLINK("https://www.google.com/maps/search/?api=1&amp;query=24.71843199,46.85317115", "View Map")</f>
        <v>View Map</v>
      </c>
    </row>
    <row r="1714" spans="1:7" x14ac:dyDescent="0.3">
      <c r="A1714" t="s">
        <v>2989</v>
      </c>
      <c r="B1714" t="s">
        <v>2990</v>
      </c>
      <c r="C1714" t="s">
        <v>8</v>
      </c>
      <c r="D1714">
        <v>3.8620000000000001</v>
      </c>
      <c r="E1714" s="4">
        <v>1236</v>
      </c>
      <c r="F1714" t="str">
        <f>HYPERLINK("https://www.google.com/maps/search/?api=1&amp;query=24.76982841,46.75012222", "View Map")</f>
        <v>View Map</v>
      </c>
    </row>
    <row r="1715" spans="1:7" x14ac:dyDescent="0.3">
      <c r="A1715" t="s">
        <v>28</v>
      </c>
      <c r="B1715" t="s">
        <v>2991</v>
      </c>
      <c r="C1715" t="s">
        <v>820</v>
      </c>
      <c r="D1715">
        <v>3.8620000000000001</v>
      </c>
      <c r="E1715" s="4">
        <v>1236</v>
      </c>
      <c r="F1715" t="str">
        <f>HYPERLINK("https://www.google.com/maps/search/?api=1&amp;query=0.0,0.0", "View Map")</f>
        <v>View Map</v>
      </c>
      <c r="G1715" s="2">
        <v>0.56917511025207723</v>
      </c>
    </row>
    <row r="1716" spans="1:7" x14ac:dyDescent="0.3">
      <c r="A1716" t="s">
        <v>2992</v>
      </c>
      <c r="B1716" t="s">
        <v>2993</v>
      </c>
      <c r="C1716" t="s">
        <v>8</v>
      </c>
      <c r="D1716">
        <v>3.8620000000000001</v>
      </c>
      <c r="E1716" s="4">
        <v>1236</v>
      </c>
      <c r="F1716" t="str">
        <f>HYPERLINK("https://www.google.com/maps/search/?api=1&amp;query=24.79765983,46.80032423", "View Map")</f>
        <v>View Map</v>
      </c>
    </row>
    <row r="1717" spans="1:7" x14ac:dyDescent="0.3">
      <c r="A1717" t="s">
        <v>2994</v>
      </c>
      <c r="B1717" t="s">
        <v>2995</v>
      </c>
      <c r="C1717" t="s">
        <v>286</v>
      </c>
      <c r="D1717">
        <v>3.8610000000000002</v>
      </c>
      <c r="E1717" s="4">
        <v>1235</v>
      </c>
      <c r="F1717" t="str">
        <f>HYPERLINK("https://www.google.com/maps/search/?api=1&amp;query=25.25102779,45.23360559", "View Map")</f>
        <v>View Map</v>
      </c>
      <c r="G1717" s="2">
        <v>0.43536117203071278</v>
      </c>
    </row>
    <row r="1718" spans="1:7" x14ac:dyDescent="0.3">
      <c r="A1718" t="s">
        <v>2996</v>
      </c>
      <c r="B1718" t="s">
        <v>2997</v>
      </c>
      <c r="C1718" t="s">
        <v>8</v>
      </c>
      <c r="D1718">
        <v>3.8559999999999999</v>
      </c>
      <c r="E1718" s="4">
        <v>1234</v>
      </c>
      <c r="F1718" t="str">
        <f>HYPERLINK("https://www.google.com/maps/search/?api=1&amp;query=24.56236108,46.74887174", "View Map")</f>
        <v>View Map</v>
      </c>
      <c r="G1718" s="2">
        <v>0.40538260644197732</v>
      </c>
    </row>
    <row r="1719" spans="1:7" x14ac:dyDescent="0.3">
      <c r="A1719" t="s">
        <v>2998</v>
      </c>
      <c r="B1719" t="s">
        <v>2999</v>
      </c>
      <c r="C1719" t="s">
        <v>8</v>
      </c>
      <c r="D1719">
        <v>3.8540000000000001</v>
      </c>
      <c r="E1719" s="4">
        <v>1233</v>
      </c>
      <c r="F1719" t="str">
        <f>HYPERLINK("https://www.google.com/maps/search/?api=1&amp;query=24.63608326,46.70658558", "View Map")</f>
        <v>View Map</v>
      </c>
    </row>
    <row r="1720" spans="1:7" x14ac:dyDescent="0.3">
      <c r="A1720" t="s">
        <v>3000</v>
      </c>
      <c r="B1720" t="s">
        <v>3001</v>
      </c>
      <c r="C1720" t="s">
        <v>8</v>
      </c>
      <c r="D1720">
        <v>3.8530000000000002</v>
      </c>
      <c r="E1720" s="4">
        <v>1233</v>
      </c>
      <c r="F1720" t="str">
        <f>HYPERLINK("https://www.google.com/maps/search/?api=1&amp;query=24.71718451,46.77474608", "View Map")</f>
        <v>View Map</v>
      </c>
      <c r="G1720" s="2">
        <v>0.64535358224861139</v>
      </c>
    </row>
    <row r="1721" spans="1:7" x14ac:dyDescent="0.3">
      <c r="A1721" t="s">
        <v>3002</v>
      </c>
      <c r="B1721" t="s">
        <v>3003</v>
      </c>
      <c r="C1721" t="s">
        <v>8</v>
      </c>
      <c r="D1721">
        <v>3.8490000000000002</v>
      </c>
      <c r="E1721" s="4">
        <v>1232</v>
      </c>
      <c r="F1721" t="str">
        <f>HYPERLINK("https://www.google.com/maps/search/?api=1&amp;query=24.7339594,46.74493408", "View Map")</f>
        <v>View Map</v>
      </c>
    </row>
    <row r="1722" spans="1:7" x14ac:dyDescent="0.3">
      <c r="A1722" t="s">
        <v>2933</v>
      </c>
      <c r="B1722" t="s">
        <v>3004</v>
      </c>
      <c r="C1722" t="s">
        <v>8</v>
      </c>
      <c r="D1722">
        <v>3.8479999999999999</v>
      </c>
      <c r="E1722" s="4">
        <v>1231</v>
      </c>
      <c r="F1722" t="str">
        <f>HYPERLINK("https://www.google.com/maps/search/?api=1&amp;query=24.79597795,46.70048079", "View Map")</f>
        <v>View Map</v>
      </c>
      <c r="G1722" s="2">
        <v>0.72469058824170607</v>
      </c>
    </row>
    <row r="1723" spans="1:7" x14ac:dyDescent="0.3">
      <c r="A1723" t="s">
        <v>3005</v>
      </c>
      <c r="B1723" t="s">
        <v>3006</v>
      </c>
      <c r="C1723" t="s">
        <v>255</v>
      </c>
      <c r="D1723">
        <v>3.8460000000000001</v>
      </c>
      <c r="E1723" s="4">
        <v>1231</v>
      </c>
      <c r="F1723" t="str">
        <f>HYPERLINK("https://www.google.com/maps/search/?api=1&amp;query=25.19341282,44.60036332", "View Map")</f>
        <v>View Map</v>
      </c>
      <c r="G1723" s="2">
        <v>0.69969328355101512</v>
      </c>
    </row>
    <row r="1724" spans="1:7" x14ac:dyDescent="0.3">
      <c r="A1724" t="s">
        <v>3007</v>
      </c>
      <c r="B1724" t="s">
        <v>3008</v>
      </c>
      <c r="C1724" t="s">
        <v>21</v>
      </c>
      <c r="D1724">
        <v>3.8450000000000002</v>
      </c>
      <c r="E1724" s="4">
        <v>1230</v>
      </c>
      <c r="F1724" t="str">
        <f>HYPERLINK("https://www.google.com/maps/search/?api=1&amp;query=26.30462311,44.82894203", "View Map")</f>
        <v>View Map</v>
      </c>
      <c r="G1724" s="2">
        <v>0.68667487724983856</v>
      </c>
    </row>
    <row r="1725" spans="1:7" x14ac:dyDescent="0.3">
      <c r="A1725" t="s">
        <v>3009</v>
      </c>
      <c r="B1725" t="s">
        <v>3010</v>
      </c>
      <c r="C1725" t="s">
        <v>30</v>
      </c>
      <c r="D1725">
        <v>3.8450000000000002</v>
      </c>
      <c r="E1725" s="4">
        <v>1231</v>
      </c>
      <c r="F1725" t="str">
        <f>HYPERLINK("https://www.google.com/maps/search/?api=1&amp;query=24.19154391,47.2902271", "View Map")</f>
        <v>View Map</v>
      </c>
      <c r="G1725" s="2">
        <v>0.58496623921495461</v>
      </c>
    </row>
    <row r="1726" spans="1:7" x14ac:dyDescent="0.3">
      <c r="A1726" t="s">
        <v>46</v>
      </c>
      <c r="B1726" t="s">
        <v>3011</v>
      </c>
      <c r="C1726" t="s">
        <v>8</v>
      </c>
      <c r="D1726">
        <v>3.8450000000000002</v>
      </c>
      <c r="E1726" s="4">
        <v>1230</v>
      </c>
      <c r="F1726" t="str">
        <f>HYPERLINK("https://www.google.com/maps/search/?api=1&amp;query=24.6110802,46.5055734", "View Map")</f>
        <v>View Map</v>
      </c>
    </row>
    <row r="1727" spans="1:7" x14ac:dyDescent="0.3">
      <c r="A1727" t="s">
        <v>459</v>
      </c>
      <c r="B1727" t="s">
        <v>3012</v>
      </c>
      <c r="C1727" t="s">
        <v>286</v>
      </c>
      <c r="D1727">
        <v>3.8420000000000001</v>
      </c>
      <c r="E1727" s="4">
        <v>1230</v>
      </c>
      <c r="F1727" t="str">
        <f>HYPERLINK("https://www.google.com/maps/search/?api=1&amp;query=25.24233958,45.24204342", "View Map")</f>
        <v>View Map</v>
      </c>
      <c r="G1727" s="2">
        <v>0.63890731026152969</v>
      </c>
    </row>
    <row r="1728" spans="1:7" x14ac:dyDescent="0.3">
      <c r="A1728" t="s">
        <v>3013</v>
      </c>
      <c r="B1728" t="s">
        <v>3014</v>
      </c>
      <c r="C1728" t="s">
        <v>8</v>
      </c>
      <c r="D1728">
        <v>3.8410000000000002</v>
      </c>
      <c r="E1728" s="4">
        <v>1229</v>
      </c>
      <c r="F1728" t="str">
        <f>HYPERLINK("https://www.google.com/maps/search/?api=1&amp;query=24.62685783,46.6557251", "View Map")</f>
        <v>View Map</v>
      </c>
      <c r="G1728" s="2">
        <v>0.3685276998856879</v>
      </c>
    </row>
    <row r="1729" spans="1:7" x14ac:dyDescent="0.3">
      <c r="A1729" t="s">
        <v>3015</v>
      </c>
      <c r="B1729" t="s">
        <v>3016</v>
      </c>
      <c r="C1729" t="s">
        <v>296</v>
      </c>
      <c r="D1729">
        <v>3.84</v>
      </c>
      <c r="E1729" s="4">
        <v>1229</v>
      </c>
      <c r="F1729" t="str">
        <f>HYPERLINK("https://www.google.com/maps/search/?api=1&amp;query=24.49135346,46.23901855", "View Map")</f>
        <v>View Map</v>
      </c>
      <c r="G1729" s="2">
        <v>0.66466891133841133</v>
      </c>
    </row>
    <row r="1730" spans="1:7" x14ac:dyDescent="0.3">
      <c r="A1730" t="s">
        <v>3017</v>
      </c>
      <c r="B1730" t="s">
        <v>3018</v>
      </c>
      <c r="C1730" t="s">
        <v>214</v>
      </c>
      <c r="D1730">
        <v>3.839</v>
      </c>
      <c r="E1730" s="4">
        <v>1229</v>
      </c>
      <c r="F1730" t="str">
        <f>HYPERLINK("https://www.google.com/maps/search/?api=1&amp;query=26.64913678,45.33288793", "View Map")</f>
        <v>View Map</v>
      </c>
      <c r="G1730" s="2">
        <v>0.63644057007846566</v>
      </c>
    </row>
    <row r="1731" spans="1:7" x14ac:dyDescent="0.3">
      <c r="A1731" t="s">
        <v>3019</v>
      </c>
      <c r="B1731" t="s">
        <v>3020</v>
      </c>
      <c r="C1731" t="s">
        <v>21</v>
      </c>
      <c r="D1731">
        <v>3.8330000000000002</v>
      </c>
      <c r="E1731" s="4">
        <v>1227</v>
      </c>
      <c r="F1731" t="str">
        <f>HYPERLINK("https://www.google.com/maps/search/?api=1&amp;query=26.29557123,44.81939294", "View Map")</f>
        <v>View Map</v>
      </c>
      <c r="G1731" s="2">
        <v>0.48902984956578133</v>
      </c>
    </row>
    <row r="1732" spans="1:7" x14ac:dyDescent="0.3">
      <c r="A1732" t="s">
        <v>1273</v>
      </c>
      <c r="B1732" t="s">
        <v>3021</v>
      </c>
      <c r="C1732" t="s">
        <v>241</v>
      </c>
      <c r="D1732">
        <v>3.8330000000000002</v>
      </c>
      <c r="E1732" s="4">
        <v>1227</v>
      </c>
      <c r="F1732" t="str">
        <f>HYPERLINK("https://www.google.com/maps/search/?api=1&amp;query=20.4503241,44.8405842", "View Map")</f>
        <v>View Map</v>
      </c>
      <c r="G1732" s="2">
        <v>0.61991786002718885</v>
      </c>
    </row>
    <row r="1733" spans="1:7" x14ac:dyDescent="0.3">
      <c r="A1733" t="s">
        <v>3022</v>
      </c>
      <c r="B1733" t="s">
        <v>3023</v>
      </c>
      <c r="C1733" t="s">
        <v>8</v>
      </c>
      <c r="D1733">
        <v>3.8319999999999999</v>
      </c>
      <c r="E1733" s="4">
        <v>1226</v>
      </c>
      <c r="F1733" t="str">
        <f>HYPERLINK("https://www.google.com/maps/search/?api=1&amp;query=24.69414993,46.59166411", "View Map")</f>
        <v>View Map</v>
      </c>
    </row>
    <row r="1734" spans="1:7" x14ac:dyDescent="0.3">
      <c r="A1734" t="s">
        <v>3024</v>
      </c>
      <c r="B1734" t="s">
        <v>3025</v>
      </c>
      <c r="C1734" t="s">
        <v>8</v>
      </c>
      <c r="D1734">
        <v>3.831</v>
      </c>
      <c r="E1734" s="4">
        <v>1226</v>
      </c>
      <c r="F1734" t="str">
        <f>HYPERLINK("https://www.google.com/maps/search/?api=1&amp;query=24.80313311,46.81063206", "View Map")</f>
        <v>View Map</v>
      </c>
    </row>
    <row r="1735" spans="1:7" x14ac:dyDescent="0.3">
      <c r="A1735" t="s">
        <v>3026</v>
      </c>
      <c r="B1735" t="s">
        <v>3027</v>
      </c>
      <c r="C1735" t="s">
        <v>77</v>
      </c>
      <c r="D1735">
        <v>3.8290000000000002</v>
      </c>
      <c r="E1735" s="4">
        <v>1225</v>
      </c>
      <c r="F1735" t="str">
        <f>HYPERLINK("https://www.google.com/maps/search/?api=1&amp;query=22.30063055,46.71270919", "View Map")</f>
        <v>View Map</v>
      </c>
      <c r="G1735" s="2">
        <v>0.41027064280015052</v>
      </c>
    </row>
    <row r="1736" spans="1:7" x14ac:dyDescent="0.3">
      <c r="A1736" t="s">
        <v>3028</v>
      </c>
      <c r="B1736" t="s">
        <v>3029</v>
      </c>
      <c r="C1736" t="s">
        <v>241</v>
      </c>
      <c r="D1736">
        <v>3.827</v>
      </c>
      <c r="E1736" s="4">
        <v>1225</v>
      </c>
      <c r="F1736" t="str">
        <f>HYPERLINK("https://www.google.com/maps/search/?api=1&amp;query=20.49206405,44.74902214", "View Map")</f>
        <v>View Map</v>
      </c>
      <c r="G1736" s="2">
        <v>0.63926796335221481</v>
      </c>
    </row>
    <row r="1737" spans="1:7" x14ac:dyDescent="0.3">
      <c r="A1737" t="s">
        <v>3030</v>
      </c>
      <c r="B1737" t="s">
        <v>3031</v>
      </c>
      <c r="C1737" t="s">
        <v>8</v>
      </c>
      <c r="D1737">
        <v>3.8260000000000001</v>
      </c>
      <c r="E1737" s="4">
        <v>1224</v>
      </c>
      <c r="F1737" t="str">
        <f>HYPERLINK("https://www.google.com/maps/search/?api=1&amp;query=24.57107711,46.85112133", "View Map")</f>
        <v>View Map</v>
      </c>
    </row>
    <row r="1738" spans="1:7" x14ac:dyDescent="0.3">
      <c r="A1738" t="s">
        <v>3032</v>
      </c>
      <c r="B1738" t="s">
        <v>3033</v>
      </c>
      <c r="C1738" t="s">
        <v>16</v>
      </c>
      <c r="D1738">
        <v>3.8260000000000001</v>
      </c>
      <c r="E1738" s="4">
        <v>1224</v>
      </c>
      <c r="F1738" t="str">
        <f>HYPERLINK("https://www.google.com/maps/search/?api=1&amp;query=24.39456468,42.14509513", "View Map")</f>
        <v>View Map</v>
      </c>
      <c r="G1738" s="2">
        <v>0.79465824286666209</v>
      </c>
    </row>
    <row r="1739" spans="1:7" x14ac:dyDescent="0.3">
      <c r="A1739" t="s">
        <v>358</v>
      </c>
      <c r="B1739" t="s">
        <v>3034</v>
      </c>
      <c r="C1739" t="s">
        <v>8</v>
      </c>
      <c r="D1739">
        <v>3.8260000000000001</v>
      </c>
      <c r="E1739" s="4">
        <v>1224</v>
      </c>
      <c r="F1739" t="str">
        <f>HYPERLINK("https://www.google.com/maps/search/?api=1&amp;query=24.79630775,46.7139173", "View Map")</f>
        <v>View Map</v>
      </c>
      <c r="G1739" s="2">
        <v>0.24222530588533009</v>
      </c>
    </row>
    <row r="1740" spans="1:7" x14ac:dyDescent="0.3">
      <c r="A1740" t="s">
        <v>73</v>
      </c>
      <c r="B1740" t="s">
        <v>3035</v>
      </c>
      <c r="C1740" t="s">
        <v>8</v>
      </c>
      <c r="D1740">
        <v>3.8239999999999998</v>
      </c>
      <c r="E1740" s="4">
        <v>1224</v>
      </c>
      <c r="F1740" t="str">
        <f>HYPERLINK("https://www.google.com/maps/search/?api=1&amp;query=24.65968414,46.79532928", "View Map")</f>
        <v>View Map</v>
      </c>
    </row>
    <row r="1741" spans="1:7" x14ac:dyDescent="0.3">
      <c r="A1741" t="s">
        <v>3036</v>
      </c>
      <c r="B1741" t="s">
        <v>3037</v>
      </c>
      <c r="C1741" t="s">
        <v>8</v>
      </c>
      <c r="D1741">
        <v>3.8210000000000002</v>
      </c>
      <c r="E1741" s="4">
        <v>1223</v>
      </c>
      <c r="F1741" t="str">
        <f>HYPERLINK("https://www.google.com/maps/search/?api=1&amp;query=24.74466858,46.64722074", "View Map")</f>
        <v>View Map</v>
      </c>
    </row>
    <row r="1742" spans="1:7" x14ac:dyDescent="0.3">
      <c r="A1742" t="s">
        <v>46</v>
      </c>
      <c r="B1742" t="s">
        <v>3038</v>
      </c>
      <c r="C1742" t="s">
        <v>8</v>
      </c>
      <c r="D1742">
        <v>3.82</v>
      </c>
      <c r="E1742" s="4">
        <v>1223</v>
      </c>
      <c r="F1742" t="str">
        <f>HYPERLINK("https://www.google.com/maps/search/?api=1&amp;query=24.77329,46.64554", "View Map")</f>
        <v>View Map</v>
      </c>
    </row>
    <row r="1743" spans="1:7" x14ac:dyDescent="0.3">
      <c r="A1743" t="s">
        <v>3039</v>
      </c>
      <c r="B1743" t="s">
        <v>3040</v>
      </c>
      <c r="C1743" t="s">
        <v>8</v>
      </c>
      <c r="D1743">
        <v>3.82</v>
      </c>
      <c r="E1743" s="4">
        <v>1222</v>
      </c>
      <c r="F1743" t="str">
        <f>HYPERLINK("https://www.google.com/maps/search/?api=1&amp;query=24.74487553,46.81617151", "View Map")</f>
        <v>View Map</v>
      </c>
      <c r="G1743" s="2">
        <v>0.46318316134799098</v>
      </c>
    </row>
    <row r="1744" spans="1:7" x14ac:dyDescent="0.3">
      <c r="A1744" t="s">
        <v>3041</v>
      </c>
      <c r="B1744" t="s">
        <v>3042</v>
      </c>
      <c r="C1744" t="s">
        <v>8</v>
      </c>
      <c r="D1744">
        <v>3.819</v>
      </c>
      <c r="E1744" s="4">
        <v>1222</v>
      </c>
      <c r="F1744" t="str">
        <f>HYPERLINK("https://www.google.com/maps/search/?api=1&amp;query=24.79302535,46.88215924", "View Map")</f>
        <v>View Map</v>
      </c>
    </row>
    <row r="1745" spans="1:7" x14ac:dyDescent="0.3">
      <c r="A1745" t="s">
        <v>146</v>
      </c>
      <c r="B1745" t="s">
        <v>3043</v>
      </c>
      <c r="C1745" t="s">
        <v>8</v>
      </c>
      <c r="D1745">
        <v>3.819</v>
      </c>
      <c r="E1745" s="4">
        <v>1222</v>
      </c>
      <c r="F1745" t="str">
        <f>HYPERLINK("https://www.google.com/maps/search/?api=1&amp;query=24.5475,46.5019", "View Map")</f>
        <v>View Map</v>
      </c>
    </row>
    <row r="1746" spans="1:7" x14ac:dyDescent="0.3">
      <c r="A1746" t="s">
        <v>717</v>
      </c>
      <c r="B1746" t="s">
        <v>3044</v>
      </c>
      <c r="C1746" t="s">
        <v>255</v>
      </c>
      <c r="D1746">
        <v>3.8180000000000001</v>
      </c>
      <c r="E1746" s="4">
        <v>1222</v>
      </c>
      <c r="F1746" t="str">
        <f>HYPERLINK("https://www.google.com/maps/search/?api=1&amp;query=24.55480113,44.45257969", "View Map")</f>
        <v>View Map</v>
      </c>
      <c r="G1746" s="2">
        <v>0.6331260118637958</v>
      </c>
    </row>
    <row r="1747" spans="1:7" x14ac:dyDescent="0.3">
      <c r="A1747" t="s">
        <v>3045</v>
      </c>
      <c r="B1747" t="s">
        <v>3046</v>
      </c>
      <c r="C1747" t="s">
        <v>255</v>
      </c>
      <c r="D1747">
        <v>3.8170000000000002</v>
      </c>
      <c r="E1747" s="4">
        <v>1222</v>
      </c>
      <c r="F1747" t="str">
        <f>HYPERLINK("https://www.google.com/maps/search/?api=1&amp;query=25.1901464,44.59711585", "View Map")</f>
        <v>View Map</v>
      </c>
      <c r="G1747" s="2">
        <v>0.61347330178500248</v>
      </c>
    </row>
    <row r="1748" spans="1:7" x14ac:dyDescent="0.3">
      <c r="A1748" t="s">
        <v>3047</v>
      </c>
      <c r="B1748" t="s">
        <v>3048</v>
      </c>
      <c r="C1748" t="s">
        <v>8</v>
      </c>
      <c r="D1748">
        <v>3.8159999999999998</v>
      </c>
      <c r="E1748" s="4">
        <v>1221</v>
      </c>
      <c r="F1748" t="str">
        <f>HYPERLINK("https://www.google.com/maps/search/?api=1&amp;query=24.69049771,46.77193113", "View Map")</f>
        <v>View Map</v>
      </c>
    </row>
    <row r="1749" spans="1:7" x14ac:dyDescent="0.3">
      <c r="A1749" t="s">
        <v>3049</v>
      </c>
      <c r="B1749" t="s">
        <v>3050</v>
      </c>
      <c r="C1749" t="s">
        <v>8</v>
      </c>
      <c r="D1749">
        <v>3.8140000000000001</v>
      </c>
      <c r="E1749" s="4">
        <v>1221</v>
      </c>
      <c r="F1749" t="str">
        <f>HYPERLINK("https://www.google.com/maps/search/?api=1&amp;query=24.61121842,46.75690634", "View Map")</f>
        <v>View Map</v>
      </c>
    </row>
    <row r="1750" spans="1:7" x14ac:dyDescent="0.3">
      <c r="A1750" t="s">
        <v>1391</v>
      </c>
      <c r="B1750" t="s">
        <v>3051</v>
      </c>
      <c r="C1750" t="s">
        <v>8</v>
      </c>
      <c r="D1750">
        <v>3.81</v>
      </c>
      <c r="E1750" s="4">
        <v>1219</v>
      </c>
      <c r="F1750" t="str">
        <f>HYPERLINK("https://www.google.com/maps/search/?api=1&amp;query=24.73914909,46.82461504", "View Map")</f>
        <v>View Map</v>
      </c>
    </row>
    <row r="1751" spans="1:7" x14ac:dyDescent="0.3">
      <c r="A1751" t="s">
        <v>3052</v>
      </c>
      <c r="B1751" t="s">
        <v>3053</v>
      </c>
      <c r="C1751" t="s">
        <v>8</v>
      </c>
      <c r="D1751">
        <v>3.8079999999999998</v>
      </c>
      <c r="E1751" s="4">
        <v>1219</v>
      </c>
      <c r="F1751" t="str">
        <f>HYPERLINK("https://www.google.com/maps/search/?api=1&amp;query=24.63588831,46.71842114", "View Map")</f>
        <v>View Map</v>
      </c>
    </row>
    <row r="1752" spans="1:7" x14ac:dyDescent="0.3">
      <c r="A1752" t="s">
        <v>46</v>
      </c>
      <c r="B1752" t="s">
        <v>3054</v>
      </c>
      <c r="C1752" t="s">
        <v>8</v>
      </c>
      <c r="D1752">
        <v>3.8079999999999998</v>
      </c>
      <c r="E1752" s="4">
        <v>1219</v>
      </c>
      <c r="F1752" t="str">
        <f>HYPERLINK("https://www.google.com/maps/search/?api=1&amp;query=24.8856,46.6236", "View Map")</f>
        <v>View Map</v>
      </c>
    </row>
    <row r="1753" spans="1:7" x14ac:dyDescent="0.3">
      <c r="A1753" t="s">
        <v>411</v>
      </c>
      <c r="B1753" t="s">
        <v>3055</v>
      </c>
      <c r="C1753" t="s">
        <v>77</v>
      </c>
      <c r="D1753">
        <v>3.8069999999999999</v>
      </c>
      <c r="E1753" s="4">
        <v>1218</v>
      </c>
      <c r="F1753" t="str">
        <f>HYPERLINK("https://www.google.com/maps/search/?api=1&amp;query=22.27756152,46.72174519", "View Map")</f>
        <v>View Map</v>
      </c>
      <c r="G1753" s="2">
        <v>0.65823449430083547</v>
      </c>
    </row>
    <row r="1754" spans="1:7" x14ac:dyDescent="0.3">
      <c r="A1754" t="s">
        <v>3056</v>
      </c>
      <c r="B1754" t="s">
        <v>3057</v>
      </c>
      <c r="C1754" t="s">
        <v>30</v>
      </c>
      <c r="D1754">
        <v>3.8069999999999999</v>
      </c>
      <c r="E1754" s="4">
        <v>1218</v>
      </c>
      <c r="F1754" t="str">
        <f>HYPERLINK("https://www.google.com/maps/search/?api=1&amp;query=24.13346,47.24654", "View Map")</f>
        <v>View Map</v>
      </c>
    </row>
    <row r="1755" spans="1:7" x14ac:dyDescent="0.3">
      <c r="A1755" t="s">
        <v>46</v>
      </c>
      <c r="B1755" t="s">
        <v>3058</v>
      </c>
      <c r="C1755" t="s">
        <v>8</v>
      </c>
      <c r="D1755">
        <v>3.8069999999999999</v>
      </c>
      <c r="E1755" s="4">
        <v>1218</v>
      </c>
      <c r="F1755" t="str">
        <f>HYPERLINK("https://www.google.com/maps/search/?api=1&amp;query=24.64479596,46.55154994", "View Map")</f>
        <v>View Map</v>
      </c>
      <c r="G1755" s="2">
        <v>0.76360864856191601</v>
      </c>
    </row>
    <row r="1756" spans="1:7" x14ac:dyDescent="0.3">
      <c r="A1756" t="s">
        <v>3059</v>
      </c>
      <c r="B1756" t="s">
        <v>3060</v>
      </c>
      <c r="C1756" t="s">
        <v>291</v>
      </c>
      <c r="D1756">
        <v>3.806</v>
      </c>
      <c r="E1756" s="4">
        <v>1218</v>
      </c>
      <c r="F1756" t="str">
        <f>HYPERLINK("https://www.google.com/maps/search/?api=1&amp;query=23.87612788,45.49921998", "View Map")</f>
        <v>View Map</v>
      </c>
      <c r="G1756" s="2">
        <v>0.84497440654527134</v>
      </c>
    </row>
    <row r="1757" spans="1:7" x14ac:dyDescent="0.3">
      <c r="A1757" t="s">
        <v>3061</v>
      </c>
      <c r="B1757" t="s">
        <v>3062</v>
      </c>
      <c r="C1757" t="s">
        <v>8</v>
      </c>
      <c r="D1757">
        <v>3.798</v>
      </c>
      <c r="E1757" s="4">
        <v>1215</v>
      </c>
      <c r="F1757" t="str">
        <f>HYPERLINK("https://www.google.com/maps/search/?api=1&amp;query=24.57383894,46.6336162", "View Map")</f>
        <v>View Map</v>
      </c>
      <c r="G1757" s="2">
        <v>0.55657523236774509</v>
      </c>
    </row>
    <row r="1758" spans="1:7" x14ac:dyDescent="0.3">
      <c r="A1758" t="s">
        <v>3063</v>
      </c>
      <c r="B1758" t="s">
        <v>3064</v>
      </c>
      <c r="C1758" t="s">
        <v>30</v>
      </c>
      <c r="D1758">
        <v>3.7970000000000002</v>
      </c>
      <c r="E1758" s="4">
        <v>1215</v>
      </c>
      <c r="F1758" t="str">
        <f>HYPERLINK("https://www.google.com/maps/search/?api=1&amp;query=24.13984213,47.34107527", "View Map")</f>
        <v>View Map</v>
      </c>
      <c r="G1758" s="2">
        <v>0.57804354454077322</v>
      </c>
    </row>
    <row r="1759" spans="1:7" x14ac:dyDescent="0.3">
      <c r="A1759" t="s">
        <v>3065</v>
      </c>
      <c r="B1759" t="s">
        <v>3066</v>
      </c>
      <c r="C1759" t="s">
        <v>55</v>
      </c>
      <c r="D1759">
        <v>3.7930000000000001</v>
      </c>
      <c r="E1759" s="4">
        <v>1214</v>
      </c>
      <c r="F1759" t="str">
        <f>HYPERLINK("https://www.google.com/maps/search/?api=1&amp;query=24.73165303,46.60699195", "View Map")</f>
        <v>View Map</v>
      </c>
    </row>
    <row r="1760" spans="1:7" x14ac:dyDescent="0.3">
      <c r="A1760" t="s">
        <v>146</v>
      </c>
      <c r="B1760" t="s">
        <v>3067</v>
      </c>
      <c r="C1760" t="s">
        <v>8</v>
      </c>
      <c r="D1760">
        <v>3.7869999999999999</v>
      </c>
      <c r="E1760" s="4">
        <v>1212</v>
      </c>
      <c r="F1760" t="str">
        <f>HYPERLINK("https://www.google.com/maps/search/?api=1&amp;query=24.6125,46.7017", "View Map")</f>
        <v>View Map</v>
      </c>
    </row>
    <row r="1761" spans="1:7" x14ac:dyDescent="0.3">
      <c r="A1761" t="s">
        <v>740</v>
      </c>
      <c r="B1761" t="s">
        <v>3068</v>
      </c>
      <c r="C1761" t="s">
        <v>255</v>
      </c>
      <c r="D1761">
        <v>3.786</v>
      </c>
      <c r="E1761" s="4">
        <v>1212</v>
      </c>
      <c r="F1761" t="str">
        <f>HYPERLINK("https://www.google.com/maps/search/?api=1&amp;query=25.06963126,44.69718296", "View Map")</f>
        <v>View Map</v>
      </c>
      <c r="G1761" s="2">
        <v>0.54110929058359725</v>
      </c>
    </row>
    <row r="1762" spans="1:7" x14ac:dyDescent="0.3">
      <c r="A1762" t="s">
        <v>3069</v>
      </c>
      <c r="B1762" t="s">
        <v>3070</v>
      </c>
      <c r="C1762" t="s">
        <v>8</v>
      </c>
      <c r="D1762">
        <v>3.7839999999999998</v>
      </c>
      <c r="E1762" s="4">
        <v>1211</v>
      </c>
      <c r="F1762" t="str">
        <f>HYPERLINK("https://www.google.com/maps/search/?api=1&amp;query=24.7959913,46.79859628", "View Map")</f>
        <v>View Map</v>
      </c>
      <c r="G1762" s="2">
        <v>0.37487341788926198</v>
      </c>
    </row>
    <row r="1763" spans="1:7" x14ac:dyDescent="0.3">
      <c r="A1763" t="s">
        <v>3071</v>
      </c>
      <c r="B1763" t="s">
        <v>3072</v>
      </c>
      <c r="C1763" t="s">
        <v>21</v>
      </c>
      <c r="D1763">
        <v>3.7789999999999999</v>
      </c>
      <c r="E1763" s="4">
        <v>1209</v>
      </c>
      <c r="F1763" t="str">
        <f>HYPERLINK("https://www.google.com/maps/search/?api=1&amp;query=26.30608873,44.83163698", "View Map")</f>
        <v>View Map</v>
      </c>
      <c r="G1763" s="2">
        <v>0.85201690119963924</v>
      </c>
    </row>
    <row r="1764" spans="1:7" x14ac:dyDescent="0.3">
      <c r="A1764" t="s">
        <v>3073</v>
      </c>
      <c r="B1764" t="s">
        <v>3074</v>
      </c>
      <c r="C1764" t="s">
        <v>8</v>
      </c>
      <c r="D1764">
        <v>3.7789999999999999</v>
      </c>
      <c r="E1764" s="4">
        <v>1209</v>
      </c>
      <c r="F1764" t="str">
        <f>HYPERLINK("https://www.google.com/maps/search/?api=1&amp;query=24.62958405,46.74681961", "View Map")</f>
        <v>View Map</v>
      </c>
    </row>
    <row r="1765" spans="1:7" x14ac:dyDescent="0.3">
      <c r="A1765" t="s">
        <v>146</v>
      </c>
      <c r="B1765" t="s">
        <v>3075</v>
      </c>
      <c r="C1765" t="s">
        <v>8</v>
      </c>
      <c r="D1765">
        <v>3.7749999999999999</v>
      </c>
      <c r="E1765" s="4">
        <v>1208</v>
      </c>
      <c r="F1765" t="str">
        <f>HYPERLINK("https://www.google.com/maps/search/?api=1&amp;query=24.51705063,46.68465337", "View Map")</f>
        <v>View Map</v>
      </c>
      <c r="G1765" s="2">
        <v>0.39339095668092139</v>
      </c>
    </row>
    <row r="1766" spans="1:7" x14ac:dyDescent="0.3">
      <c r="A1766" t="s">
        <v>908</v>
      </c>
      <c r="B1766" t="s">
        <v>3076</v>
      </c>
      <c r="C1766" t="s">
        <v>8</v>
      </c>
      <c r="D1766">
        <v>3.7730000000000001</v>
      </c>
      <c r="E1766" s="4">
        <v>1207</v>
      </c>
      <c r="F1766" t="str">
        <f>HYPERLINK("https://www.google.com/maps/search/?api=1&amp;query=24.69129537,46.6507574", "View Map")</f>
        <v>View Map</v>
      </c>
    </row>
    <row r="1767" spans="1:7" x14ac:dyDescent="0.3">
      <c r="A1767" t="s">
        <v>3077</v>
      </c>
      <c r="B1767" t="s">
        <v>3078</v>
      </c>
      <c r="C1767" t="s">
        <v>883</v>
      </c>
      <c r="D1767">
        <v>3.7719999999999998</v>
      </c>
      <c r="E1767" s="4">
        <v>1207</v>
      </c>
      <c r="F1767" t="str">
        <f>HYPERLINK("https://www.google.com/maps/search/?api=1&amp;query=25.40415528,47.21579319", "View Map")</f>
        <v>View Map</v>
      </c>
      <c r="G1767" s="2">
        <v>0.35212065794877401</v>
      </c>
    </row>
    <row r="1768" spans="1:7" x14ac:dyDescent="0.3">
      <c r="A1768" t="s">
        <v>3079</v>
      </c>
      <c r="B1768" t="s">
        <v>3080</v>
      </c>
      <c r="C1768" t="s">
        <v>21</v>
      </c>
      <c r="D1768">
        <v>3.7719999999999998</v>
      </c>
      <c r="E1768" s="4">
        <v>1207</v>
      </c>
      <c r="F1768" t="str">
        <f>HYPERLINK("https://www.google.com/maps/search/?api=1&amp;query=26.29408877,44.78909298", "View Map")</f>
        <v>View Map</v>
      </c>
      <c r="G1768" s="2">
        <v>0.6072927736369873</v>
      </c>
    </row>
    <row r="1769" spans="1:7" x14ac:dyDescent="0.3">
      <c r="A1769" t="s">
        <v>2848</v>
      </c>
      <c r="B1769" t="s">
        <v>3081</v>
      </c>
      <c r="C1769" t="s">
        <v>214</v>
      </c>
      <c r="D1769">
        <v>3.7709999999999999</v>
      </c>
      <c r="E1769" s="4">
        <v>1207</v>
      </c>
      <c r="F1769" t="str">
        <f>HYPERLINK("https://www.google.com/maps/search/?api=1&amp;query=26.5090677,45.34735978", "View Map")</f>
        <v>View Map</v>
      </c>
      <c r="G1769" s="2">
        <v>0.72672217193952582</v>
      </c>
    </row>
    <row r="1770" spans="1:7" x14ac:dyDescent="0.3">
      <c r="A1770" t="s">
        <v>3082</v>
      </c>
      <c r="B1770" t="s">
        <v>3083</v>
      </c>
      <c r="C1770" t="s">
        <v>8</v>
      </c>
      <c r="D1770">
        <v>3.7709999999999999</v>
      </c>
      <c r="E1770" s="4">
        <v>1207</v>
      </c>
      <c r="F1770" t="str">
        <f>HYPERLINK("https://www.google.com/maps/search/?api=1&amp;query=24.84015919,46.80501704", "View Map")</f>
        <v>View Map</v>
      </c>
      <c r="G1770" s="2">
        <v>0.40596599412894102</v>
      </c>
    </row>
    <row r="1771" spans="1:7" x14ac:dyDescent="0.3">
      <c r="A1771" t="s">
        <v>3084</v>
      </c>
      <c r="B1771" t="s">
        <v>3085</v>
      </c>
      <c r="C1771" t="s">
        <v>255</v>
      </c>
      <c r="D1771">
        <v>3.7690000000000001</v>
      </c>
      <c r="E1771" s="4">
        <v>1206</v>
      </c>
      <c r="F1771" t="str">
        <f>HYPERLINK("https://www.google.com/maps/search/?api=1&amp;query=25.10099387,43.80679561", "View Map")</f>
        <v>View Map</v>
      </c>
      <c r="G1771" s="2">
        <v>0.4976496626037531</v>
      </c>
    </row>
    <row r="1772" spans="1:7" x14ac:dyDescent="0.3">
      <c r="A1772" t="s">
        <v>3086</v>
      </c>
      <c r="B1772" t="s">
        <v>3087</v>
      </c>
      <c r="C1772" t="s">
        <v>8</v>
      </c>
      <c r="D1772">
        <v>3.7690000000000001</v>
      </c>
      <c r="E1772" s="4">
        <v>1206</v>
      </c>
      <c r="F1772" t="str">
        <f>HYPERLINK("https://www.google.com/maps/search/?api=1&amp;query=24.65905346,46.80447859", "View Map")</f>
        <v>View Map</v>
      </c>
      <c r="G1772" s="2">
        <v>0.95358243376702168</v>
      </c>
    </row>
    <row r="1773" spans="1:7" x14ac:dyDescent="0.3">
      <c r="A1773" t="s">
        <v>3088</v>
      </c>
      <c r="B1773" t="s">
        <v>3089</v>
      </c>
      <c r="C1773" t="s">
        <v>8</v>
      </c>
      <c r="D1773">
        <v>3.766</v>
      </c>
      <c r="E1773" s="4">
        <v>1205</v>
      </c>
      <c r="F1773" t="str">
        <f>HYPERLINK("https://www.google.com/maps/search/?api=1&amp;query=24.58233104,46.58818715", "View Map")</f>
        <v>View Map</v>
      </c>
    </row>
    <row r="1774" spans="1:7" x14ac:dyDescent="0.3">
      <c r="A1774" t="s">
        <v>3090</v>
      </c>
      <c r="B1774" t="s">
        <v>3091</v>
      </c>
      <c r="C1774" t="s">
        <v>8</v>
      </c>
      <c r="D1774">
        <v>3.766</v>
      </c>
      <c r="E1774" s="4">
        <v>1205</v>
      </c>
      <c r="F1774" t="str">
        <f>HYPERLINK("https://www.google.com/maps/search/?api=1&amp;query=24.78884288,46.68571218", "View Map")</f>
        <v>View Map</v>
      </c>
      <c r="G1774" s="2">
        <v>0.59957858262192298</v>
      </c>
    </row>
    <row r="1775" spans="1:7" x14ac:dyDescent="0.3">
      <c r="A1775" t="s">
        <v>3092</v>
      </c>
      <c r="B1775" t="s">
        <v>3093</v>
      </c>
      <c r="C1775" t="s">
        <v>738</v>
      </c>
      <c r="D1775">
        <v>3.7650000000000001</v>
      </c>
      <c r="E1775" s="4">
        <v>1205</v>
      </c>
      <c r="F1775" t="str">
        <f>HYPERLINK("https://www.google.com/maps/search/?api=1&amp;query=25.12975876,46.11103557", "View Map")</f>
        <v>View Map</v>
      </c>
      <c r="G1775" s="2">
        <v>0.70816296976873838</v>
      </c>
    </row>
    <row r="1776" spans="1:7" x14ac:dyDescent="0.3">
      <c r="A1776" t="s">
        <v>411</v>
      </c>
      <c r="B1776" t="s">
        <v>3094</v>
      </c>
      <c r="C1776" t="s">
        <v>77</v>
      </c>
      <c r="D1776">
        <v>3.7639999999999998</v>
      </c>
      <c r="E1776" s="4">
        <v>1204</v>
      </c>
      <c r="F1776" t="str">
        <f>HYPERLINK("https://www.google.com/maps/search/?api=1&amp;query=22.2974572,46.70735911", "View Map")</f>
        <v>View Map</v>
      </c>
      <c r="G1776" s="2">
        <v>0.50865703544895147</v>
      </c>
    </row>
    <row r="1777" spans="1:7" x14ac:dyDescent="0.3">
      <c r="A1777" t="s">
        <v>3095</v>
      </c>
      <c r="B1777" t="s">
        <v>3096</v>
      </c>
      <c r="C1777" t="s">
        <v>214</v>
      </c>
      <c r="D1777">
        <v>3.762</v>
      </c>
      <c r="E1777" s="4">
        <v>1204</v>
      </c>
      <c r="F1777" t="str">
        <f>HYPERLINK("https://www.google.com/maps/search/?api=1&amp;query=25.61805656,45.55171753", "View Map")</f>
        <v>View Map</v>
      </c>
      <c r="G1777" s="2">
        <v>0.55374168845324423</v>
      </c>
    </row>
    <row r="1778" spans="1:7" x14ac:dyDescent="0.3">
      <c r="A1778" t="s">
        <v>73</v>
      </c>
      <c r="B1778" t="s">
        <v>3097</v>
      </c>
      <c r="C1778" t="s">
        <v>8</v>
      </c>
      <c r="D1778">
        <v>3.762</v>
      </c>
      <c r="E1778" s="4">
        <v>1204</v>
      </c>
      <c r="F1778" t="str">
        <f>HYPERLINK("https://www.google.com/maps/search/?api=1&amp;query=24.59180147,46.76817156", "View Map")</f>
        <v>View Map</v>
      </c>
      <c r="G1778" s="2">
        <v>0.70681518163585333</v>
      </c>
    </row>
    <row r="1779" spans="1:7" x14ac:dyDescent="0.3">
      <c r="A1779" t="s">
        <v>3098</v>
      </c>
      <c r="B1779" t="s">
        <v>3099</v>
      </c>
      <c r="C1779" t="s">
        <v>8</v>
      </c>
      <c r="D1779">
        <v>3.7610000000000001</v>
      </c>
      <c r="E1779" s="4">
        <v>1203</v>
      </c>
      <c r="F1779" t="str">
        <f>HYPERLINK("https://www.google.com/maps/search/?api=1&amp;query=24.71654173,46.79855543", "View Map")</f>
        <v>View Map</v>
      </c>
      <c r="G1779" s="2">
        <v>0.48992342720822529</v>
      </c>
    </row>
    <row r="1780" spans="1:7" x14ac:dyDescent="0.3">
      <c r="A1780" t="s">
        <v>3100</v>
      </c>
      <c r="B1780" t="s">
        <v>3101</v>
      </c>
      <c r="C1780" t="s">
        <v>8</v>
      </c>
      <c r="D1780">
        <v>3.76</v>
      </c>
      <c r="E1780" s="4">
        <v>1203</v>
      </c>
      <c r="F1780" t="str">
        <f>HYPERLINK("https://www.google.com/maps/search/?api=1&amp;query=24.6014242,46.66135325", "View Map")</f>
        <v>View Map</v>
      </c>
    </row>
    <row r="1781" spans="1:7" x14ac:dyDescent="0.3">
      <c r="A1781" t="s">
        <v>3102</v>
      </c>
      <c r="B1781" t="s">
        <v>3103</v>
      </c>
      <c r="C1781" t="s">
        <v>255</v>
      </c>
      <c r="D1781">
        <v>3.758</v>
      </c>
      <c r="E1781" s="4">
        <v>1202</v>
      </c>
      <c r="F1781" t="str">
        <f>HYPERLINK("https://www.google.com/maps/search/?api=1&amp;query=25.40020482,44.15474261", "View Map")</f>
        <v>View Map</v>
      </c>
      <c r="G1781" s="2">
        <v>0.49375108776078591</v>
      </c>
    </row>
    <row r="1782" spans="1:7" x14ac:dyDescent="0.3">
      <c r="A1782" t="s">
        <v>3104</v>
      </c>
      <c r="B1782" t="s">
        <v>3105</v>
      </c>
      <c r="C1782" t="s">
        <v>21</v>
      </c>
      <c r="D1782">
        <v>3.7549999999999999</v>
      </c>
      <c r="E1782" s="4">
        <v>1202</v>
      </c>
      <c r="F1782" t="str">
        <f>HYPERLINK("https://www.google.com/maps/search/?api=1&amp;query=26.31676632,44.81740767", "View Map")</f>
        <v>View Map</v>
      </c>
      <c r="G1782" s="2">
        <v>0.56170043077851761</v>
      </c>
    </row>
    <row r="1783" spans="1:7" x14ac:dyDescent="0.3">
      <c r="A1783" t="s">
        <v>3106</v>
      </c>
      <c r="B1783" t="s">
        <v>3107</v>
      </c>
      <c r="C1783" t="s">
        <v>291</v>
      </c>
      <c r="D1783">
        <v>3.7530000000000001</v>
      </c>
      <c r="E1783" s="4">
        <v>1201</v>
      </c>
      <c r="F1783" t="str">
        <f>HYPERLINK("https://www.google.com/maps/search/?api=1&amp;query=24.39246912,45.30707111", "View Map")</f>
        <v>View Map</v>
      </c>
      <c r="G1783" s="2">
        <v>0.34698016177948349</v>
      </c>
    </row>
    <row r="1784" spans="1:7" x14ac:dyDescent="0.3">
      <c r="A1784" t="s">
        <v>3108</v>
      </c>
      <c r="B1784" t="s">
        <v>3109</v>
      </c>
      <c r="C1784" t="s">
        <v>8</v>
      </c>
      <c r="D1784">
        <v>3.7519999999999998</v>
      </c>
      <c r="E1784" s="4">
        <v>1201</v>
      </c>
      <c r="F1784" t="str">
        <f>HYPERLINK("https://www.google.com/maps/search/?api=1&amp;query=24.72666641,46.85361565", "View Map")</f>
        <v>View Map</v>
      </c>
    </row>
    <row r="1785" spans="1:7" x14ac:dyDescent="0.3">
      <c r="A1785" t="s">
        <v>3110</v>
      </c>
      <c r="B1785" t="s">
        <v>3111</v>
      </c>
      <c r="C1785" t="s">
        <v>8</v>
      </c>
      <c r="D1785">
        <v>3.7490000000000001</v>
      </c>
      <c r="E1785" s="4">
        <v>1200</v>
      </c>
      <c r="F1785" t="str">
        <f>HYPERLINK("https://www.google.com/maps/search/?api=1&amp;query=24.5886,46.6819", "View Map")</f>
        <v>View Map</v>
      </c>
    </row>
    <row r="1786" spans="1:7" x14ac:dyDescent="0.3">
      <c r="A1786" t="s">
        <v>3112</v>
      </c>
      <c r="B1786" t="s">
        <v>3113</v>
      </c>
      <c r="C1786" t="s">
        <v>291</v>
      </c>
      <c r="D1786">
        <v>3.7490000000000001</v>
      </c>
      <c r="E1786" s="4">
        <v>1200</v>
      </c>
      <c r="F1786" t="str">
        <f>HYPERLINK("https://www.google.com/maps/search/?api=1&amp;query=24.43025166,45.87336685", "View Map")</f>
        <v>View Map</v>
      </c>
      <c r="G1786" s="2">
        <v>0.74049829975129644</v>
      </c>
    </row>
    <row r="1787" spans="1:7" x14ac:dyDescent="0.3">
      <c r="A1787" t="s">
        <v>3114</v>
      </c>
      <c r="B1787" t="s">
        <v>3115</v>
      </c>
      <c r="C1787" t="s">
        <v>8</v>
      </c>
      <c r="D1787">
        <v>3.7480000000000002</v>
      </c>
      <c r="E1787" s="4">
        <v>1199</v>
      </c>
      <c r="F1787" t="str">
        <f>HYPERLINK("https://www.google.com/maps/search/?api=1&amp;query=24.82202884,46.62588032", "View Map")</f>
        <v>View Map</v>
      </c>
    </row>
    <row r="1788" spans="1:7" x14ac:dyDescent="0.3">
      <c r="A1788" t="s">
        <v>385</v>
      </c>
      <c r="B1788" t="s">
        <v>3116</v>
      </c>
      <c r="C1788" t="s">
        <v>255</v>
      </c>
      <c r="D1788">
        <v>3.7480000000000002</v>
      </c>
      <c r="E1788" s="4">
        <v>1200</v>
      </c>
      <c r="F1788" t="str">
        <f>HYPERLINK("https://www.google.com/maps/search/?api=1&amp;query=24.55248334,44.45686525", "View Map")</f>
        <v>View Map</v>
      </c>
      <c r="G1788" s="2">
        <v>0.61102155058948093</v>
      </c>
    </row>
    <row r="1789" spans="1:7" x14ac:dyDescent="0.3">
      <c r="A1789" t="s">
        <v>3117</v>
      </c>
      <c r="B1789" t="s">
        <v>3118</v>
      </c>
      <c r="C1789" t="s">
        <v>214</v>
      </c>
      <c r="D1789">
        <v>3.7469999999999999</v>
      </c>
      <c r="E1789" s="4">
        <v>1199</v>
      </c>
      <c r="F1789" t="str">
        <f>HYPERLINK("https://www.google.com/maps/search/?api=1&amp;query=25.91394047,45.90513273", "View Map")</f>
        <v>View Map</v>
      </c>
      <c r="G1789" s="2">
        <v>0.77126114220391884</v>
      </c>
    </row>
    <row r="1790" spans="1:7" x14ac:dyDescent="0.3">
      <c r="A1790" t="s">
        <v>259</v>
      </c>
      <c r="B1790" t="s">
        <v>3119</v>
      </c>
      <c r="C1790" t="s">
        <v>8</v>
      </c>
      <c r="D1790">
        <v>3.746</v>
      </c>
      <c r="E1790" s="4">
        <v>1199</v>
      </c>
      <c r="F1790" t="str">
        <f>HYPERLINK("https://www.google.com/maps/search/?api=1&amp;query=24.75253842,46.77390533", "View Map")</f>
        <v>View Map</v>
      </c>
    </row>
    <row r="1791" spans="1:7" x14ac:dyDescent="0.3">
      <c r="A1791" t="s">
        <v>3120</v>
      </c>
      <c r="B1791" t="s">
        <v>3121</v>
      </c>
      <c r="C1791" t="s">
        <v>442</v>
      </c>
      <c r="D1791">
        <v>3.7429999999999999</v>
      </c>
      <c r="E1791" s="4">
        <v>1198</v>
      </c>
      <c r="F1791" t="str">
        <f>HYPERLINK("https://www.google.com/maps/search/?api=1&amp;query=23.63807022,46.50699498", "View Map")</f>
        <v>View Map</v>
      </c>
      <c r="G1791" s="2">
        <v>0.58249295348919994</v>
      </c>
    </row>
    <row r="1792" spans="1:7" x14ac:dyDescent="0.3">
      <c r="A1792" t="s">
        <v>3122</v>
      </c>
      <c r="B1792" t="s">
        <v>3123</v>
      </c>
      <c r="C1792" t="s">
        <v>137</v>
      </c>
      <c r="D1792">
        <v>3.742</v>
      </c>
      <c r="E1792" s="4">
        <v>1197</v>
      </c>
      <c r="F1792" t="str">
        <f>HYPERLINK("https://www.google.com/maps/search/?api=1&amp;query=23.20405201,46.42188859", "View Map")</f>
        <v>View Map</v>
      </c>
      <c r="G1792" s="2">
        <v>0.65879008435263242</v>
      </c>
    </row>
    <row r="1793" spans="1:7" x14ac:dyDescent="0.3">
      <c r="A1793" t="s">
        <v>3124</v>
      </c>
      <c r="B1793" t="s">
        <v>3125</v>
      </c>
      <c r="C1793" t="s">
        <v>8</v>
      </c>
      <c r="D1793">
        <v>3.742</v>
      </c>
      <c r="E1793" s="4">
        <v>1197</v>
      </c>
      <c r="F1793" t="str">
        <f>HYPERLINK("https://www.google.com/maps/search/?api=1&amp;query=24.74273643,46.84253558", "View Map")</f>
        <v>View Map</v>
      </c>
    </row>
    <row r="1794" spans="1:7" x14ac:dyDescent="0.3">
      <c r="A1794" t="s">
        <v>339</v>
      </c>
      <c r="B1794" t="s">
        <v>3126</v>
      </c>
      <c r="C1794" t="s">
        <v>8</v>
      </c>
      <c r="D1794">
        <v>3.7410000000000001</v>
      </c>
      <c r="E1794" s="4">
        <v>1197</v>
      </c>
      <c r="F1794" t="str">
        <f>HYPERLINK("https://www.google.com/maps/search/?api=1&amp;query=24.78094902,46.74120913", "View Map")</f>
        <v>View Map</v>
      </c>
      <c r="G1794" s="2">
        <v>0.37800454091745928</v>
      </c>
    </row>
    <row r="1795" spans="1:7" x14ac:dyDescent="0.3">
      <c r="A1795" t="s">
        <v>3127</v>
      </c>
      <c r="B1795" t="s">
        <v>3128</v>
      </c>
      <c r="C1795" t="s">
        <v>8</v>
      </c>
      <c r="D1795">
        <v>3.7410000000000001</v>
      </c>
      <c r="E1795" s="4">
        <v>1197</v>
      </c>
      <c r="F1795" t="str">
        <f>HYPERLINK("https://www.google.com/maps/search/?api=1&amp;query=24.55261447,46.49174604", "View Map")</f>
        <v>View Map</v>
      </c>
      <c r="G1795" s="2">
        <v>0.37795052969365589</v>
      </c>
    </row>
    <row r="1796" spans="1:7" x14ac:dyDescent="0.3">
      <c r="A1796" t="s">
        <v>3129</v>
      </c>
      <c r="B1796" t="s">
        <v>3130</v>
      </c>
      <c r="C1796" t="s">
        <v>8</v>
      </c>
      <c r="D1796">
        <v>3.7370000000000001</v>
      </c>
      <c r="E1796" s="4">
        <v>1196</v>
      </c>
      <c r="F1796" t="str">
        <f>HYPERLINK("https://www.google.com/maps/search/?api=1&amp;query=24.82722544,46.6510338", "View Map")</f>
        <v>View Map</v>
      </c>
    </row>
    <row r="1797" spans="1:7" x14ac:dyDescent="0.3">
      <c r="A1797" t="s">
        <v>3131</v>
      </c>
      <c r="B1797" t="s">
        <v>3132</v>
      </c>
      <c r="C1797" t="s">
        <v>291</v>
      </c>
      <c r="D1797">
        <v>3.7360000000000002</v>
      </c>
      <c r="E1797" s="4">
        <v>1195</v>
      </c>
      <c r="F1797" t="str">
        <f>HYPERLINK("https://www.google.com/maps/search/?api=1&amp;query=24.4143316,45.81323545", "View Map")</f>
        <v>View Map</v>
      </c>
      <c r="G1797" s="2">
        <v>0.51696627422830355</v>
      </c>
    </row>
    <row r="1798" spans="1:7" x14ac:dyDescent="0.3">
      <c r="A1798" t="s">
        <v>3133</v>
      </c>
      <c r="B1798" t="s">
        <v>3134</v>
      </c>
      <c r="C1798" t="s">
        <v>8</v>
      </c>
      <c r="D1798">
        <v>3.734</v>
      </c>
      <c r="E1798" s="4">
        <v>1195</v>
      </c>
      <c r="F1798" t="str">
        <f>HYPERLINK("https://www.google.com/maps/search/?api=1&amp;query=24.62823722,46.69525798", "View Map")</f>
        <v>View Map</v>
      </c>
    </row>
    <row r="1799" spans="1:7" x14ac:dyDescent="0.3">
      <c r="A1799" t="s">
        <v>46</v>
      </c>
      <c r="B1799" t="s">
        <v>3135</v>
      </c>
      <c r="C1799" t="s">
        <v>55</v>
      </c>
      <c r="D1799">
        <v>3.73</v>
      </c>
      <c r="E1799" s="4">
        <v>1194</v>
      </c>
      <c r="F1799" t="str">
        <f>HYPERLINK("https://www.google.com/maps/search/?api=1&amp;query=24.7509973,46.56875915", "View Map")</f>
        <v>View Map</v>
      </c>
    </row>
    <row r="1800" spans="1:7" x14ac:dyDescent="0.3">
      <c r="A1800" t="s">
        <v>3136</v>
      </c>
      <c r="B1800" t="s">
        <v>3137</v>
      </c>
      <c r="C1800" t="s">
        <v>8</v>
      </c>
      <c r="D1800">
        <v>3.73</v>
      </c>
      <c r="E1800" s="4">
        <v>1193</v>
      </c>
      <c r="F1800" t="str">
        <f>HYPERLINK("https://www.google.com/maps/search/?api=1&amp;query=24.67892788,46.67711122", "View Map")</f>
        <v>View Map</v>
      </c>
    </row>
    <row r="1801" spans="1:7" x14ac:dyDescent="0.3">
      <c r="A1801" t="s">
        <v>3138</v>
      </c>
      <c r="B1801" t="s">
        <v>3139</v>
      </c>
      <c r="C1801" t="s">
        <v>291</v>
      </c>
      <c r="D1801">
        <v>3.7280000000000002</v>
      </c>
      <c r="E1801" s="4">
        <v>1193</v>
      </c>
      <c r="F1801" t="str">
        <f>HYPERLINK("https://www.google.com/maps/search/?api=1&amp;query=24.34309655,45.82040363", "View Map")</f>
        <v>View Map</v>
      </c>
      <c r="G1801" s="2">
        <v>0.47052920405783299</v>
      </c>
    </row>
    <row r="1802" spans="1:7" x14ac:dyDescent="0.3">
      <c r="A1802" t="s">
        <v>3140</v>
      </c>
      <c r="B1802" t="s">
        <v>3141</v>
      </c>
      <c r="C1802" t="s">
        <v>214</v>
      </c>
      <c r="D1802">
        <v>3.726</v>
      </c>
      <c r="E1802" s="4">
        <v>1192</v>
      </c>
      <c r="F1802" t="str">
        <f>HYPERLINK("https://www.google.com/maps/search/?api=1&amp;query=25.61805656,45.55171753", "View Map")</f>
        <v>View Map</v>
      </c>
      <c r="G1802" s="2">
        <v>0.63284586104677776</v>
      </c>
    </row>
    <row r="1803" spans="1:7" x14ac:dyDescent="0.3">
      <c r="A1803" t="s">
        <v>3142</v>
      </c>
      <c r="B1803" t="s">
        <v>3143</v>
      </c>
      <c r="C1803" t="s">
        <v>8</v>
      </c>
      <c r="D1803">
        <v>3.726</v>
      </c>
      <c r="E1803" s="4">
        <v>1192</v>
      </c>
      <c r="F1803" t="str">
        <f>HYPERLINK("https://www.google.com/maps/search/?api=1&amp;query=24.78314284,46.8099122", "View Map")</f>
        <v>View Map</v>
      </c>
      <c r="G1803" s="2">
        <v>0.49757806320166398</v>
      </c>
    </row>
    <row r="1804" spans="1:7" x14ac:dyDescent="0.3">
      <c r="A1804" t="s">
        <v>3144</v>
      </c>
      <c r="B1804" t="s">
        <v>3145</v>
      </c>
      <c r="C1804" t="s">
        <v>8</v>
      </c>
      <c r="D1804">
        <v>3.7240000000000002</v>
      </c>
      <c r="E1804" s="4">
        <v>1192</v>
      </c>
      <c r="F1804" t="str">
        <f>HYPERLINK("https://www.google.com/maps/search/?api=1&amp;query=24.60208314,46.76333598", "View Map")</f>
        <v>View Map</v>
      </c>
    </row>
    <row r="1805" spans="1:7" x14ac:dyDescent="0.3">
      <c r="A1805" t="s">
        <v>3146</v>
      </c>
      <c r="B1805" t="s">
        <v>3147</v>
      </c>
      <c r="C1805" t="s">
        <v>214</v>
      </c>
      <c r="D1805">
        <v>3.722</v>
      </c>
      <c r="E1805" s="4">
        <v>1191</v>
      </c>
      <c r="F1805" t="str">
        <f>HYPERLINK("https://www.google.com/maps/search/?api=1&amp;query=25.61247508,45.56077342", "View Map")</f>
        <v>View Map</v>
      </c>
      <c r="G1805" s="2">
        <v>0.55639265900373136</v>
      </c>
    </row>
    <row r="1806" spans="1:7" x14ac:dyDescent="0.3">
      <c r="A1806" t="s">
        <v>3148</v>
      </c>
      <c r="B1806" t="s">
        <v>3149</v>
      </c>
      <c r="C1806" t="s">
        <v>241</v>
      </c>
      <c r="D1806">
        <v>3.7210000000000001</v>
      </c>
      <c r="E1806" s="4">
        <v>1191</v>
      </c>
      <c r="F1806" t="str">
        <f>HYPERLINK("https://www.google.com/maps/search/?api=1&amp;query=20.46213119,44.79875545", "View Map")</f>
        <v>View Map</v>
      </c>
      <c r="G1806" s="2">
        <v>0.45671394239069468</v>
      </c>
    </row>
    <row r="1807" spans="1:7" x14ac:dyDescent="0.3">
      <c r="A1807" t="s">
        <v>3150</v>
      </c>
      <c r="B1807" t="s">
        <v>3151</v>
      </c>
      <c r="C1807" t="s">
        <v>214</v>
      </c>
      <c r="D1807">
        <v>3.7189999999999999</v>
      </c>
      <c r="E1807" s="4">
        <v>1190</v>
      </c>
      <c r="F1807" t="str">
        <f>HYPERLINK("https://www.google.com/maps/search/?api=1&amp;query=25.69688476,45.89049019", "View Map")</f>
        <v>View Map</v>
      </c>
      <c r="G1807" s="2">
        <v>0.65155398872930226</v>
      </c>
    </row>
    <row r="1808" spans="1:7" x14ac:dyDescent="0.3">
      <c r="A1808" t="s">
        <v>3152</v>
      </c>
      <c r="B1808" t="s">
        <v>3153</v>
      </c>
      <c r="C1808" t="s">
        <v>8</v>
      </c>
      <c r="D1808">
        <v>3.714</v>
      </c>
      <c r="E1808" s="4">
        <v>1188</v>
      </c>
      <c r="F1808" t="str">
        <f>HYPERLINK("https://www.google.com/maps/search/?api=1&amp;query=24.7644474,46.67268185", "View Map")</f>
        <v>View Map</v>
      </c>
    </row>
    <row r="1809" spans="1:7" x14ac:dyDescent="0.3">
      <c r="A1809" t="s">
        <v>46</v>
      </c>
      <c r="B1809" t="s">
        <v>3154</v>
      </c>
      <c r="C1809" t="s">
        <v>8</v>
      </c>
      <c r="D1809">
        <v>3.7120000000000002</v>
      </c>
      <c r="E1809" s="4">
        <v>1188</v>
      </c>
      <c r="F1809" t="str">
        <f>HYPERLINK("https://www.google.com/maps/search/?api=1&amp;query=24.92525789,46.82341566", "View Map")</f>
        <v>View Map</v>
      </c>
    </row>
    <row r="1810" spans="1:7" x14ac:dyDescent="0.3">
      <c r="A1810" t="s">
        <v>817</v>
      </c>
      <c r="B1810" t="s">
        <v>3155</v>
      </c>
      <c r="C1810" t="s">
        <v>30</v>
      </c>
      <c r="D1810">
        <v>3.7109999999999999</v>
      </c>
      <c r="E1810" s="4">
        <v>1187</v>
      </c>
      <c r="F1810" t="str">
        <f>HYPERLINK("https://www.google.com/maps/search/?api=1&amp;query=24.13352099,47.28804134", "View Map")</f>
        <v>View Map</v>
      </c>
      <c r="G1810" s="2">
        <v>0.79967038408713043</v>
      </c>
    </row>
    <row r="1811" spans="1:7" x14ac:dyDescent="0.3">
      <c r="A1811" t="s">
        <v>3156</v>
      </c>
      <c r="B1811" t="s">
        <v>3157</v>
      </c>
      <c r="C1811" t="s">
        <v>214</v>
      </c>
      <c r="D1811">
        <v>3.7090000000000001</v>
      </c>
      <c r="E1811" s="4">
        <v>1187</v>
      </c>
      <c r="F1811" t="str">
        <f>HYPERLINK("https://www.google.com/maps/search/?api=1&amp;query=25.67378258,45.45701651", "View Map")</f>
        <v>View Map</v>
      </c>
      <c r="G1811" s="2">
        <v>0.68791306053557388</v>
      </c>
    </row>
    <row r="1812" spans="1:7" x14ac:dyDescent="0.3">
      <c r="A1812" t="s">
        <v>3158</v>
      </c>
      <c r="B1812" t="s">
        <v>3159</v>
      </c>
      <c r="C1812" t="s">
        <v>214</v>
      </c>
      <c r="D1812">
        <v>3.7050000000000001</v>
      </c>
      <c r="E1812" s="4">
        <v>1186</v>
      </c>
      <c r="F1812" t="str">
        <f>HYPERLINK("https://www.google.com/maps/search/?api=1&amp;query=26.49364844,45.35771736", "View Map")</f>
        <v>View Map</v>
      </c>
      <c r="G1812" s="2">
        <v>0.64510663770727339</v>
      </c>
    </row>
    <row r="1813" spans="1:7" x14ac:dyDescent="0.3">
      <c r="A1813" t="s">
        <v>3160</v>
      </c>
      <c r="B1813" t="s">
        <v>3161</v>
      </c>
      <c r="C1813" t="s">
        <v>296</v>
      </c>
      <c r="D1813">
        <v>3.702</v>
      </c>
      <c r="E1813" s="4">
        <v>1185</v>
      </c>
      <c r="F1813" t="str">
        <f>HYPERLINK("https://www.google.com/maps/search/?api=1&amp;query=24.47171586,46.25176565", "View Map")</f>
        <v>View Map</v>
      </c>
      <c r="G1813" s="2">
        <v>0.54768767635652249</v>
      </c>
    </row>
    <row r="1814" spans="1:7" x14ac:dyDescent="0.3">
      <c r="A1814" t="s">
        <v>3162</v>
      </c>
      <c r="B1814" t="s">
        <v>3163</v>
      </c>
      <c r="C1814" t="s">
        <v>8</v>
      </c>
      <c r="D1814">
        <v>3.702</v>
      </c>
      <c r="E1814" s="4">
        <v>1185</v>
      </c>
      <c r="F1814" t="str">
        <f>HYPERLINK("https://www.google.com/maps/search/?api=1&amp;query=24.70282583,46.82400919", "View Map")</f>
        <v>View Map</v>
      </c>
    </row>
    <row r="1815" spans="1:7" x14ac:dyDescent="0.3">
      <c r="A1815" t="s">
        <v>3164</v>
      </c>
      <c r="B1815" t="s">
        <v>3165</v>
      </c>
      <c r="C1815" t="s">
        <v>255</v>
      </c>
      <c r="D1815">
        <v>3.7010000000000001</v>
      </c>
      <c r="E1815" s="4">
        <v>1184</v>
      </c>
      <c r="F1815" t="str">
        <f>HYPERLINK("https://www.google.com/maps/search/?api=1&amp;query=25.0127334,43.83355829", "View Map")</f>
        <v>View Map</v>
      </c>
      <c r="G1815" s="2">
        <v>0.39916985143735828</v>
      </c>
    </row>
    <row r="1816" spans="1:7" x14ac:dyDescent="0.3">
      <c r="A1816" t="s">
        <v>627</v>
      </c>
      <c r="B1816" t="s">
        <v>3166</v>
      </c>
      <c r="C1816" t="s">
        <v>8</v>
      </c>
      <c r="D1816">
        <v>3.6989999999999998</v>
      </c>
      <c r="E1816" s="4">
        <v>1184</v>
      </c>
      <c r="F1816" t="str">
        <f>HYPERLINK("https://www.google.com/maps/search/?api=1&amp;query=24.62884491,46.5406288", "View Map")</f>
        <v>View Map</v>
      </c>
      <c r="G1816" s="2">
        <v>0.4992404468176474</v>
      </c>
    </row>
    <row r="1817" spans="1:7" x14ac:dyDescent="0.3">
      <c r="A1817" t="s">
        <v>3167</v>
      </c>
      <c r="B1817" t="s">
        <v>3168</v>
      </c>
      <c r="C1817" t="s">
        <v>21</v>
      </c>
      <c r="D1817">
        <v>3.698</v>
      </c>
      <c r="E1817" s="4">
        <v>1183</v>
      </c>
      <c r="F1817" t="str">
        <f>HYPERLINK("https://www.google.com/maps/search/?api=1&amp;query=26.29511218,44.81476662", "View Map")</f>
        <v>View Map</v>
      </c>
      <c r="G1817" s="2">
        <v>0.66731558891746146</v>
      </c>
    </row>
    <row r="1818" spans="1:7" x14ac:dyDescent="0.3">
      <c r="A1818" t="s">
        <v>1959</v>
      </c>
      <c r="B1818" t="s">
        <v>3169</v>
      </c>
      <c r="C1818" t="s">
        <v>8</v>
      </c>
      <c r="D1818">
        <v>3.6960000000000002</v>
      </c>
      <c r="E1818" s="4">
        <v>1183</v>
      </c>
      <c r="F1818" t="str">
        <f>HYPERLINK("https://www.google.com/maps/search/?api=1&amp;query=24.67533,46.85330097", "View Map")</f>
        <v>View Map</v>
      </c>
    </row>
    <row r="1819" spans="1:7" x14ac:dyDescent="0.3">
      <c r="A1819" t="s">
        <v>3170</v>
      </c>
      <c r="B1819" t="s">
        <v>3171</v>
      </c>
      <c r="C1819" t="s">
        <v>646</v>
      </c>
      <c r="D1819">
        <v>3.6949999999999998</v>
      </c>
      <c r="E1819" s="4">
        <v>1182</v>
      </c>
      <c r="F1819" t="str">
        <f>HYPERLINK("https://www.google.com/maps/search/?api=1&amp;query=20.46636605,45.57404965", "View Map")</f>
        <v>View Map</v>
      </c>
      <c r="G1819" s="2">
        <v>0.65337021633432524</v>
      </c>
    </row>
    <row r="1820" spans="1:7" x14ac:dyDescent="0.3">
      <c r="A1820" t="s">
        <v>3172</v>
      </c>
      <c r="B1820" t="s">
        <v>3173</v>
      </c>
      <c r="C1820" t="s">
        <v>8</v>
      </c>
      <c r="D1820">
        <v>3.6930000000000001</v>
      </c>
      <c r="E1820" s="4">
        <v>1182</v>
      </c>
      <c r="F1820" t="str">
        <f>HYPERLINK("https://www.google.com/maps/search/?api=1&amp;query=24.71926343,46.68494767", "View Map")</f>
        <v>View Map</v>
      </c>
    </row>
    <row r="1821" spans="1:7" x14ac:dyDescent="0.3">
      <c r="A1821" t="s">
        <v>3174</v>
      </c>
      <c r="B1821" t="s">
        <v>3175</v>
      </c>
      <c r="C1821" t="s">
        <v>214</v>
      </c>
      <c r="D1821">
        <v>3.6920000000000002</v>
      </c>
      <c r="E1821" s="4">
        <v>1182</v>
      </c>
      <c r="F1821" t="str">
        <f>HYPERLINK("https://www.google.com/maps/search/?api=1&amp;query=26.48591391,45.3423921", "View Map")</f>
        <v>View Map</v>
      </c>
      <c r="G1821" s="2">
        <v>0.67803314977672646</v>
      </c>
    </row>
    <row r="1822" spans="1:7" x14ac:dyDescent="0.3">
      <c r="A1822" t="s">
        <v>3176</v>
      </c>
      <c r="B1822" t="s">
        <v>3177</v>
      </c>
      <c r="C1822" t="s">
        <v>8</v>
      </c>
      <c r="D1822">
        <v>3.6920000000000002</v>
      </c>
      <c r="E1822" s="4">
        <v>1181</v>
      </c>
      <c r="F1822" t="str">
        <f>HYPERLINK("https://www.google.com/maps/search/?api=1&amp;query=24.59347232,46.76192855", "View Map")</f>
        <v>View Map</v>
      </c>
      <c r="G1822" s="2">
        <v>0.64702443609022564</v>
      </c>
    </row>
    <row r="1823" spans="1:7" x14ac:dyDescent="0.3">
      <c r="A1823" t="s">
        <v>3178</v>
      </c>
      <c r="B1823" t="s">
        <v>3179</v>
      </c>
      <c r="C1823" t="s">
        <v>255</v>
      </c>
      <c r="D1823">
        <v>3.6909999999999998</v>
      </c>
      <c r="E1823" s="4">
        <v>1181</v>
      </c>
      <c r="F1823" t="str">
        <f>HYPERLINK("https://www.google.com/maps/search/?api=1&amp;query=25.10616019,44.67717816", "View Map")</f>
        <v>View Map</v>
      </c>
      <c r="G1823" s="2">
        <v>0.75109283314707331</v>
      </c>
    </row>
    <row r="1824" spans="1:7" x14ac:dyDescent="0.3">
      <c r="A1824" t="s">
        <v>46</v>
      </c>
      <c r="B1824" t="s">
        <v>3180</v>
      </c>
      <c r="C1824" t="s">
        <v>8</v>
      </c>
      <c r="D1824">
        <v>3.69</v>
      </c>
      <c r="E1824" s="4">
        <v>1181</v>
      </c>
      <c r="F1824" t="str">
        <f>HYPERLINK("https://www.google.com/maps/search/?api=1&amp;query=24.55117376,46.77483011", "View Map")</f>
        <v>View Map</v>
      </c>
    </row>
    <row r="1825" spans="1:7" x14ac:dyDescent="0.3">
      <c r="A1825" t="s">
        <v>2248</v>
      </c>
      <c r="B1825" t="s">
        <v>3181</v>
      </c>
      <c r="C1825" t="s">
        <v>30</v>
      </c>
      <c r="D1825">
        <v>3.6890000000000001</v>
      </c>
      <c r="E1825" s="4">
        <v>1181</v>
      </c>
      <c r="F1825" t="str">
        <f>HYPERLINK("https://www.google.com/maps/search/?api=1&amp;query=24.12023,47.29528", "View Map")</f>
        <v>View Map</v>
      </c>
      <c r="G1825" s="2">
        <v>0.70349645816932349</v>
      </c>
    </row>
    <row r="1826" spans="1:7" x14ac:dyDescent="0.3">
      <c r="A1826" t="s">
        <v>3182</v>
      </c>
      <c r="B1826" t="s">
        <v>3183</v>
      </c>
      <c r="C1826" t="s">
        <v>255</v>
      </c>
      <c r="D1826">
        <v>3.6890000000000001</v>
      </c>
      <c r="E1826" s="4">
        <v>1180</v>
      </c>
      <c r="F1826" t="str">
        <f>HYPERLINK("https://www.google.com/maps/search/?api=1&amp;query=24.36536421,43.63372897", "View Map")</f>
        <v>View Map</v>
      </c>
      <c r="G1826" s="2">
        <v>0.6180750737026981</v>
      </c>
    </row>
    <row r="1827" spans="1:7" x14ac:dyDescent="0.3">
      <c r="A1827" t="s">
        <v>3184</v>
      </c>
      <c r="B1827" t="s">
        <v>3185</v>
      </c>
      <c r="C1827" t="s">
        <v>8</v>
      </c>
      <c r="D1827">
        <v>3.6859999999999999</v>
      </c>
      <c r="E1827" s="4">
        <v>1180</v>
      </c>
      <c r="F1827" t="str">
        <f>HYPERLINK("https://www.google.com/maps/search/?api=1&amp;query=24.57945465,46.60578049", "View Map")</f>
        <v>View Map</v>
      </c>
    </row>
    <row r="1828" spans="1:7" x14ac:dyDescent="0.3">
      <c r="A1828" t="s">
        <v>3186</v>
      </c>
      <c r="B1828" t="s">
        <v>3187</v>
      </c>
      <c r="C1828" t="s">
        <v>8</v>
      </c>
      <c r="D1828">
        <v>3.6850000000000001</v>
      </c>
      <c r="E1828" s="4">
        <v>1179</v>
      </c>
      <c r="F1828" t="str">
        <f>HYPERLINK("https://www.google.com/maps/search/?api=1&amp;query=24.75339638,46.65612992", "View Map")</f>
        <v>View Map</v>
      </c>
    </row>
    <row r="1829" spans="1:7" x14ac:dyDescent="0.3">
      <c r="A1829" t="s">
        <v>1116</v>
      </c>
      <c r="B1829" t="s">
        <v>3188</v>
      </c>
      <c r="C1829" t="s">
        <v>8</v>
      </c>
      <c r="D1829">
        <v>3.6850000000000001</v>
      </c>
      <c r="E1829" s="4">
        <v>1179</v>
      </c>
      <c r="F1829" t="str">
        <f>HYPERLINK("https://www.google.com/maps/search/?api=1&amp;query=24.75684631,46.65556172", "View Map")</f>
        <v>View Map</v>
      </c>
    </row>
    <row r="1830" spans="1:7" x14ac:dyDescent="0.3">
      <c r="A1830" t="s">
        <v>3189</v>
      </c>
      <c r="B1830" t="s">
        <v>3190</v>
      </c>
      <c r="C1830" t="s">
        <v>30</v>
      </c>
      <c r="D1830">
        <v>3.6850000000000001</v>
      </c>
      <c r="E1830" s="4">
        <v>1179</v>
      </c>
      <c r="F1830" t="str">
        <f>HYPERLINK("https://www.google.com/maps/search/?api=1&amp;query=24.15854041,47.35769802", "View Map")</f>
        <v>View Map</v>
      </c>
      <c r="G1830" s="2">
        <v>0.54525793245245802</v>
      </c>
    </row>
    <row r="1831" spans="1:7" x14ac:dyDescent="0.3">
      <c r="A1831" t="s">
        <v>3191</v>
      </c>
      <c r="B1831" t="s">
        <v>3192</v>
      </c>
      <c r="C1831" t="s">
        <v>286</v>
      </c>
      <c r="D1831">
        <v>3.6850000000000001</v>
      </c>
      <c r="E1831" s="4">
        <v>1179</v>
      </c>
      <c r="F1831" t="str">
        <f>HYPERLINK("https://www.google.com/maps/search/?api=1&amp;query=25.29876206,45.51607859", "View Map")</f>
        <v>View Map</v>
      </c>
      <c r="G1831" s="2">
        <v>0.58635187582912474</v>
      </c>
    </row>
    <row r="1832" spans="1:7" x14ac:dyDescent="0.3">
      <c r="A1832" t="s">
        <v>3193</v>
      </c>
      <c r="B1832" t="s">
        <v>3194</v>
      </c>
      <c r="C1832" t="s">
        <v>214</v>
      </c>
      <c r="D1832">
        <v>3.6840000000000002</v>
      </c>
      <c r="E1832" s="4">
        <v>1179</v>
      </c>
      <c r="F1832" t="str">
        <f>HYPERLINK("https://www.google.com/maps/search/?api=1&amp;query=25.60418032,45.61574046", "View Map")</f>
        <v>View Map</v>
      </c>
      <c r="G1832" s="2">
        <v>0.69924929146305714</v>
      </c>
    </row>
    <row r="1833" spans="1:7" x14ac:dyDescent="0.3">
      <c r="A1833" t="s">
        <v>3195</v>
      </c>
      <c r="B1833" t="s">
        <v>3196</v>
      </c>
      <c r="C1833" t="s">
        <v>738</v>
      </c>
      <c r="D1833">
        <v>3.6840000000000002</v>
      </c>
      <c r="E1833" s="4">
        <v>1179</v>
      </c>
      <c r="F1833" t="str">
        <f>HYPERLINK("https://www.google.com/maps/search/?api=1&amp;query=25.10840808,46.1022231", "View Map")</f>
        <v>View Map</v>
      </c>
      <c r="G1833" s="2">
        <v>0.44601276624549702</v>
      </c>
    </row>
    <row r="1834" spans="1:7" x14ac:dyDescent="0.3">
      <c r="A1834" t="s">
        <v>46</v>
      </c>
      <c r="B1834" t="s">
        <v>3197</v>
      </c>
      <c r="C1834" t="s">
        <v>8</v>
      </c>
      <c r="D1834">
        <v>3.6819999999999999</v>
      </c>
      <c r="E1834" s="4">
        <v>1178</v>
      </c>
      <c r="F1834" t="str">
        <f>HYPERLINK("https://www.google.com/maps/search/?api=1&amp;query=24.78781431,46.60127892", "View Map")</f>
        <v>View Map</v>
      </c>
    </row>
    <row r="1835" spans="1:7" x14ac:dyDescent="0.3">
      <c r="A1835" t="s">
        <v>46</v>
      </c>
      <c r="B1835" t="s">
        <v>3198</v>
      </c>
      <c r="C1835" t="s">
        <v>8</v>
      </c>
      <c r="D1835">
        <v>3.6819999999999999</v>
      </c>
      <c r="E1835" s="4">
        <v>1178</v>
      </c>
      <c r="F1835" t="str">
        <f>HYPERLINK("https://www.google.com/maps/search/?api=1&amp;query=24.70948604,46.84672797", "View Map")</f>
        <v>View Map</v>
      </c>
    </row>
    <row r="1836" spans="1:7" x14ac:dyDescent="0.3">
      <c r="A1836" t="s">
        <v>3199</v>
      </c>
      <c r="B1836" t="s">
        <v>3200</v>
      </c>
      <c r="C1836" t="s">
        <v>364</v>
      </c>
      <c r="D1836">
        <v>3.681</v>
      </c>
      <c r="E1836" s="4">
        <v>1178</v>
      </c>
      <c r="F1836" t="str">
        <f>HYPERLINK("https://www.google.com/maps/search/?api=1&amp;query=25.41914458,46.10101351", "View Map")</f>
        <v>View Map</v>
      </c>
      <c r="G1836" s="2">
        <v>0.45976196391374019</v>
      </c>
    </row>
    <row r="1837" spans="1:7" x14ac:dyDescent="0.3">
      <c r="A1837" t="s">
        <v>46</v>
      </c>
      <c r="B1837" t="s">
        <v>3201</v>
      </c>
      <c r="C1837" t="s">
        <v>8</v>
      </c>
      <c r="D1837">
        <v>3.681</v>
      </c>
      <c r="E1837" s="4">
        <v>1178</v>
      </c>
      <c r="F1837" t="str">
        <f>HYPERLINK("https://www.google.com/maps/search/?api=1&amp;query=24.87893936,46.87002482", "View Map")</f>
        <v>View Map</v>
      </c>
    </row>
    <row r="1838" spans="1:7" x14ac:dyDescent="0.3">
      <c r="A1838" t="s">
        <v>3202</v>
      </c>
      <c r="B1838" t="s">
        <v>3203</v>
      </c>
      <c r="C1838" t="s">
        <v>8</v>
      </c>
      <c r="D1838">
        <v>3.6789999999999998</v>
      </c>
      <c r="E1838" s="4">
        <v>1177</v>
      </c>
      <c r="F1838" t="str">
        <f>HYPERLINK("https://www.google.com/maps/search/?api=1&amp;query=24.68162114,46.78213944", "View Map")</f>
        <v>View Map</v>
      </c>
    </row>
    <row r="1839" spans="1:7" x14ac:dyDescent="0.3">
      <c r="A1839" t="s">
        <v>3204</v>
      </c>
      <c r="B1839" t="s">
        <v>3205</v>
      </c>
      <c r="C1839" t="s">
        <v>55</v>
      </c>
      <c r="D1839">
        <v>3.6789999999999998</v>
      </c>
      <c r="E1839" s="4">
        <v>1177</v>
      </c>
      <c r="F1839" t="str">
        <f>HYPERLINK("https://www.google.com/maps/search/?api=1&amp;query=24.89695548,46.29572851", "View Map")</f>
        <v>View Map</v>
      </c>
      <c r="G1839" s="2">
        <v>0.52900810132223053</v>
      </c>
    </row>
    <row r="1840" spans="1:7" x14ac:dyDescent="0.3">
      <c r="A1840" t="s">
        <v>3206</v>
      </c>
      <c r="B1840" t="s">
        <v>3207</v>
      </c>
      <c r="C1840" t="s">
        <v>8</v>
      </c>
      <c r="D1840">
        <v>3.6779999999999999</v>
      </c>
      <c r="E1840" s="4">
        <v>1177</v>
      </c>
      <c r="F1840" t="str">
        <f>HYPERLINK("https://www.google.com/maps/search/?api=1&amp;query=24.79472957,46.87509731", "View Map")</f>
        <v>View Map</v>
      </c>
    </row>
    <row r="1841" spans="1:7" x14ac:dyDescent="0.3">
      <c r="A1841" t="s">
        <v>3208</v>
      </c>
      <c r="B1841" t="s">
        <v>3209</v>
      </c>
      <c r="C1841" t="s">
        <v>8</v>
      </c>
      <c r="D1841">
        <v>3.677</v>
      </c>
      <c r="E1841" s="4">
        <v>1177</v>
      </c>
      <c r="F1841" t="str">
        <f>HYPERLINK("https://www.google.com/maps/search/?api=1&amp;query=24.57247204,46.61897024", "View Map")</f>
        <v>View Map</v>
      </c>
      <c r="G1841" s="2">
        <v>0.20576282386272041</v>
      </c>
    </row>
    <row r="1842" spans="1:7" x14ac:dyDescent="0.3">
      <c r="A1842" t="s">
        <v>3210</v>
      </c>
      <c r="B1842" t="s">
        <v>3211</v>
      </c>
      <c r="C1842" t="s">
        <v>291</v>
      </c>
      <c r="D1842">
        <v>3.6760000000000002</v>
      </c>
      <c r="E1842" s="4">
        <v>1176</v>
      </c>
      <c r="F1842" t="str">
        <f>HYPERLINK("https://www.google.com/maps/search/?api=1&amp;query=22.59050529,44.6793725", "View Map")</f>
        <v>View Map</v>
      </c>
      <c r="G1842" s="2">
        <v>0.794431995344969</v>
      </c>
    </row>
    <row r="1843" spans="1:7" x14ac:dyDescent="0.3">
      <c r="A1843" t="s">
        <v>3212</v>
      </c>
      <c r="B1843" t="s">
        <v>3213</v>
      </c>
      <c r="C1843" t="s">
        <v>8</v>
      </c>
      <c r="D1843">
        <v>3.673</v>
      </c>
      <c r="E1843" s="4">
        <v>1175</v>
      </c>
      <c r="F1843" t="str">
        <f>HYPERLINK("https://www.google.com/maps/search/?api=1&amp;query=24.63914295,46.70451745", "View Map")</f>
        <v>View Map</v>
      </c>
    </row>
    <row r="1844" spans="1:7" x14ac:dyDescent="0.3">
      <c r="A1844" t="s">
        <v>963</v>
      </c>
      <c r="B1844" t="s">
        <v>3214</v>
      </c>
      <c r="C1844" t="s">
        <v>241</v>
      </c>
      <c r="D1844">
        <v>3.6709999999999998</v>
      </c>
      <c r="E1844" s="4">
        <v>1175</v>
      </c>
      <c r="F1844" t="str">
        <f>HYPERLINK("https://www.google.com/maps/search/?api=1&amp;query=20.43638493,44.84514764", "View Map")</f>
        <v>View Map</v>
      </c>
      <c r="G1844" s="2">
        <v>0.62390775559789835</v>
      </c>
    </row>
    <row r="1845" spans="1:7" x14ac:dyDescent="0.3">
      <c r="A1845" t="s">
        <v>46</v>
      </c>
      <c r="B1845" t="s">
        <v>3215</v>
      </c>
      <c r="C1845" t="s">
        <v>8</v>
      </c>
      <c r="D1845">
        <v>3.6669999999999998</v>
      </c>
      <c r="E1845" s="4">
        <v>1173</v>
      </c>
      <c r="F1845" t="str">
        <f>HYPERLINK("https://www.google.com/maps/search/?api=1&amp;query=24.80921122,46.67418771", "View Map")</f>
        <v>View Map</v>
      </c>
      <c r="G1845" s="2">
        <v>0.52152781464935816</v>
      </c>
    </row>
    <row r="1846" spans="1:7" x14ac:dyDescent="0.3">
      <c r="A1846" t="s">
        <v>3216</v>
      </c>
      <c r="B1846" t="s">
        <v>3217</v>
      </c>
      <c r="C1846" t="s">
        <v>30</v>
      </c>
      <c r="D1846">
        <v>3.665</v>
      </c>
      <c r="E1846" s="4">
        <v>1173</v>
      </c>
      <c r="F1846" t="str">
        <f>HYPERLINK("https://www.google.com/maps/search/?api=1&amp;query=24.1879591,47.29645055", "View Map")</f>
        <v>View Map</v>
      </c>
      <c r="G1846" s="2">
        <v>0.69624764205355094</v>
      </c>
    </row>
    <row r="1847" spans="1:7" x14ac:dyDescent="0.3">
      <c r="A1847" t="s">
        <v>3218</v>
      </c>
      <c r="B1847" t="s">
        <v>3219</v>
      </c>
      <c r="C1847" t="s">
        <v>30</v>
      </c>
      <c r="D1847">
        <v>3.6619999999999999</v>
      </c>
      <c r="E1847" s="4">
        <v>1172</v>
      </c>
      <c r="F1847" t="str">
        <f>HYPERLINK("https://www.google.com/maps/search/?api=1&amp;query=24.20124108,47.27116904", "View Map")</f>
        <v>View Map</v>
      </c>
    </row>
    <row r="1848" spans="1:7" x14ac:dyDescent="0.3">
      <c r="A1848" t="s">
        <v>46</v>
      </c>
      <c r="B1848" t="s">
        <v>3220</v>
      </c>
      <c r="C1848" t="s">
        <v>8</v>
      </c>
      <c r="D1848">
        <v>3.6619999999999999</v>
      </c>
      <c r="E1848" s="4">
        <v>1172</v>
      </c>
      <c r="F1848" t="str">
        <f>HYPERLINK("https://www.google.com/maps/search/?api=1&amp;query=24.63015591,46.74005455", "View Map")</f>
        <v>View Map</v>
      </c>
    </row>
    <row r="1849" spans="1:7" x14ac:dyDescent="0.3">
      <c r="A1849" t="s">
        <v>46</v>
      </c>
      <c r="B1849" t="s">
        <v>3221</v>
      </c>
      <c r="C1849" t="s">
        <v>8</v>
      </c>
      <c r="D1849">
        <v>3.661</v>
      </c>
      <c r="E1849" s="4">
        <v>1171</v>
      </c>
      <c r="F1849" t="str">
        <f>HYPERLINK("https://www.google.com/maps/search/?api=1&amp;query=24.92525789,46.82341566", "View Map")</f>
        <v>View Map</v>
      </c>
    </row>
    <row r="1850" spans="1:7" x14ac:dyDescent="0.3">
      <c r="A1850" t="s">
        <v>3222</v>
      </c>
      <c r="B1850" t="s">
        <v>3223</v>
      </c>
      <c r="C1850" t="s">
        <v>8</v>
      </c>
      <c r="D1850">
        <v>3.66</v>
      </c>
      <c r="E1850" s="4">
        <v>1171</v>
      </c>
      <c r="F1850" t="str">
        <f>HYPERLINK("https://www.google.com/maps/search/?api=1&amp;query=24.74364401,46.77466416", "View Map")</f>
        <v>View Map</v>
      </c>
    </row>
    <row r="1851" spans="1:7" x14ac:dyDescent="0.3">
      <c r="A1851" t="s">
        <v>3224</v>
      </c>
      <c r="B1851" t="s">
        <v>3225</v>
      </c>
      <c r="C1851" t="s">
        <v>8</v>
      </c>
      <c r="D1851">
        <v>3.6589999999999998</v>
      </c>
      <c r="E1851" s="4">
        <v>1171</v>
      </c>
      <c r="F1851" t="str">
        <f>HYPERLINK("https://www.google.com/maps/search/?api=1&amp;query=24.81720172,46.75195524", "View Map")</f>
        <v>View Map</v>
      </c>
    </row>
    <row r="1852" spans="1:7" x14ac:dyDescent="0.3">
      <c r="A1852" t="s">
        <v>3226</v>
      </c>
      <c r="B1852" t="s">
        <v>3227</v>
      </c>
      <c r="C1852" t="s">
        <v>8</v>
      </c>
      <c r="D1852">
        <v>3.6589999999999998</v>
      </c>
      <c r="E1852" s="4">
        <v>1171</v>
      </c>
      <c r="F1852" t="str">
        <f>HYPERLINK("https://www.google.com/maps/search/?api=1&amp;query=24.69087579,46.6892298", "View Map")</f>
        <v>View Map</v>
      </c>
    </row>
    <row r="1853" spans="1:7" x14ac:dyDescent="0.3">
      <c r="A1853" t="s">
        <v>3228</v>
      </c>
      <c r="B1853" t="s">
        <v>3229</v>
      </c>
      <c r="C1853" t="s">
        <v>8</v>
      </c>
      <c r="D1853">
        <v>3.6549999999999998</v>
      </c>
      <c r="E1853" s="4">
        <v>1170</v>
      </c>
      <c r="F1853" t="str">
        <f>HYPERLINK("https://www.google.com/maps/search/?api=1&amp;query=24.80766089,46.7991815", "View Map")</f>
        <v>View Map</v>
      </c>
    </row>
    <row r="1854" spans="1:7" x14ac:dyDescent="0.3">
      <c r="A1854" t="s">
        <v>3230</v>
      </c>
      <c r="B1854" t="s">
        <v>3231</v>
      </c>
      <c r="C1854" t="s">
        <v>8</v>
      </c>
      <c r="D1854">
        <v>3.6549999999999998</v>
      </c>
      <c r="E1854" s="4">
        <v>1170</v>
      </c>
      <c r="F1854" t="str">
        <f>HYPERLINK("https://www.google.com/maps/search/?api=1&amp;query=24.72159569,46.8461449", "View Map")</f>
        <v>View Map</v>
      </c>
    </row>
    <row r="1855" spans="1:7" x14ac:dyDescent="0.3">
      <c r="A1855" t="s">
        <v>3232</v>
      </c>
      <c r="B1855" t="s">
        <v>3233</v>
      </c>
      <c r="C1855" t="s">
        <v>8</v>
      </c>
      <c r="D1855">
        <v>3.6509999999999998</v>
      </c>
      <c r="E1855" s="4">
        <v>1168</v>
      </c>
      <c r="F1855" t="str">
        <f>HYPERLINK("https://www.google.com/maps/search/?api=1&amp;query=24.7319,46.7589", "View Map")</f>
        <v>View Map</v>
      </c>
    </row>
    <row r="1856" spans="1:7" x14ac:dyDescent="0.3">
      <c r="A1856" t="s">
        <v>817</v>
      </c>
      <c r="B1856" t="s">
        <v>3234</v>
      </c>
      <c r="C1856" t="s">
        <v>30</v>
      </c>
      <c r="D1856">
        <v>3.649</v>
      </c>
      <c r="E1856" s="4">
        <v>1168</v>
      </c>
      <c r="F1856" t="str">
        <f>HYPERLINK("https://www.google.com/maps/search/?api=1&amp;query=24.13352099,47.28804134", "View Map")</f>
        <v>View Map</v>
      </c>
      <c r="G1856" s="2">
        <v>0.69796465375278094</v>
      </c>
    </row>
    <row r="1857" spans="1:7" x14ac:dyDescent="0.3">
      <c r="A1857" t="s">
        <v>46</v>
      </c>
      <c r="B1857" t="s">
        <v>3235</v>
      </c>
      <c r="C1857" t="s">
        <v>8</v>
      </c>
      <c r="D1857">
        <v>3.649</v>
      </c>
      <c r="E1857" s="4">
        <v>1168</v>
      </c>
      <c r="F1857" t="str">
        <f>HYPERLINK("https://www.google.com/maps/search/?api=1&amp;query=24.87410778,46.61739178", "View Map")</f>
        <v>View Map</v>
      </c>
    </row>
    <row r="1858" spans="1:7" x14ac:dyDescent="0.3">
      <c r="A1858" t="s">
        <v>3236</v>
      </c>
      <c r="B1858" t="s">
        <v>3237</v>
      </c>
      <c r="C1858" t="s">
        <v>8</v>
      </c>
      <c r="D1858">
        <v>3.6469999999999998</v>
      </c>
      <c r="E1858" s="4">
        <v>1167</v>
      </c>
      <c r="F1858" t="str">
        <f>HYPERLINK("https://www.google.com/maps/search/?api=1&amp;query=24.78581512,46.78185771", "View Map")</f>
        <v>View Map</v>
      </c>
    </row>
    <row r="1859" spans="1:7" x14ac:dyDescent="0.3">
      <c r="A1859" t="s">
        <v>405</v>
      </c>
      <c r="B1859" t="s">
        <v>3238</v>
      </c>
      <c r="C1859" t="s">
        <v>8</v>
      </c>
      <c r="D1859">
        <v>3.6469999999999998</v>
      </c>
      <c r="E1859" s="4">
        <v>1167</v>
      </c>
      <c r="F1859" t="str">
        <f>HYPERLINK("https://www.google.com/maps/search/?api=1&amp;query=24.7703171,46.73542049", "View Map")</f>
        <v>View Map</v>
      </c>
    </row>
    <row r="1860" spans="1:7" x14ac:dyDescent="0.3">
      <c r="A1860" t="s">
        <v>3239</v>
      </c>
      <c r="B1860" t="s">
        <v>3240</v>
      </c>
      <c r="C1860" t="s">
        <v>55</v>
      </c>
      <c r="D1860">
        <v>3.6459999999999999</v>
      </c>
      <c r="E1860" s="4">
        <v>1167</v>
      </c>
      <c r="F1860" t="str">
        <f>HYPERLINK("https://www.google.com/maps/search/?api=1&amp;query=24.75406637,46.56460863", "View Map")</f>
        <v>View Map</v>
      </c>
      <c r="G1860" s="2">
        <v>0.35269839208441522</v>
      </c>
    </row>
    <row r="1861" spans="1:7" x14ac:dyDescent="0.3">
      <c r="A1861" t="s">
        <v>3241</v>
      </c>
      <c r="B1861" t="s">
        <v>3242</v>
      </c>
      <c r="C1861" t="s">
        <v>8</v>
      </c>
      <c r="D1861">
        <v>3.6440000000000001</v>
      </c>
      <c r="E1861" s="4">
        <v>1166</v>
      </c>
      <c r="F1861" t="str">
        <f>HYPERLINK("https://www.google.com/maps/search/?api=1&amp;query=24.71256,46.74539", "View Map")</f>
        <v>View Map</v>
      </c>
      <c r="G1861" s="2">
        <v>0.66192360972470754</v>
      </c>
    </row>
    <row r="1862" spans="1:7" x14ac:dyDescent="0.3">
      <c r="A1862" t="s">
        <v>3243</v>
      </c>
      <c r="B1862" t="s">
        <v>3244</v>
      </c>
      <c r="C1862" t="s">
        <v>8</v>
      </c>
      <c r="D1862">
        <v>3.6440000000000001</v>
      </c>
      <c r="E1862" s="4">
        <v>1166</v>
      </c>
      <c r="F1862" t="str">
        <f>HYPERLINK("https://www.google.com/maps/search/?api=1&amp;query=24.79599211,46.78337301", "View Map")</f>
        <v>View Map</v>
      </c>
    </row>
    <row r="1863" spans="1:7" x14ac:dyDescent="0.3">
      <c r="A1863" t="s">
        <v>3245</v>
      </c>
      <c r="B1863" t="s">
        <v>3246</v>
      </c>
      <c r="C1863" t="s">
        <v>738</v>
      </c>
      <c r="D1863">
        <v>3.6419999999999999</v>
      </c>
      <c r="E1863" s="4">
        <v>1165</v>
      </c>
      <c r="F1863" t="str">
        <f>HYPERLINK("https://www.google.com/maps/search/?api=1&amp;query=25.11742741,46.36196024", "View Map")</f>
        <v>View Map</v>
      </c>
      <c r="G1863" s="2">
        <v>0.57444085307135084</v>
      </c>
    </row>
    <row r="1864" spans="1:7" x14ac:dyDescent="0.3">
      <c r="A1864" t="s">
        <v>146</v>
      </c>
      <c r="B1864" t="s">
        <v>3247</v>
      </c>
      <c r="C1864" t="s">
        <v>8</v>
      </c>
      <c r="D1864">
        <v>3.64</v>
      </c>
      <c r="E1864" s="4">
        <v>1165</v>
      </c>
      <c r="F1864" t="str">
        <f>HYPERLINK("https://www.google.com/maps/search/?api=1&amp;query=24.5508,46.5658", "View Map")</f>
        <v>View Map</v>
      </c>
      <c r="G1864" s="2">
        <v>0.36381750414086439</v>
      </c>
    </row>
    <row r="1865" spans="1:7" x14ac:dyDescent="0.3">
      <c r="A1865" t="s">
        <v>3248</v>
      </c>
      <c r="B1865" t="s">
        <v>3249</v>
      </c>
      <c r="C1865" t="s">
        <v>8</v>
      </c>
      <c r="D1865">
        <v>3.64</v>
      </c>
      <c r="E1865" s="4">
        <v>1165</v>
      </c>
      <c r="F1865" t="str">
        <f>HYPERLINK("https://www.google.com/maps/search/?api=1&amp;query=24.55218905,46.78653029", "View Map")</f>
        <v>View Map</v>
      </c>
    </row>
    <row r="1866" spans="1:7" x14ac:dyDescent="0.3">
      <c r="A1866" t="s">
        <v>3250</v>
      </c>
      <c r="B1866" t="s">
        <v>3251</v>
      </c>
      <c r="C1866" t="s">
        <v>393</v>
      </c>
      <c r="D1866">
        <v>3.6389999999999998</v>
      </c>
      <c r="E1866" s="4">
        <v>1165</v>
      </c>
      <c r="F1866" t="str">
        <f>HYPERLINK("https://www.google.com/maps/search/?api=1&amp;query=23.60699927,45.44052175", "View Map")</f>
        <v>View Map</v>
      </c>
      <c r="G1866" s="2">
        <v>0.62104505058845594</v>
      </c>
    </row>
    <row r="1867" spans="1:7" x14ac:dyDescent="0.3">
      <c r="A1867" t="s">
        <v>46</v>
      </c>
      <c r="B1867" t="s">
        <v>3252</v>
      </c>
      <c r="C1867" t="s">
        <v>8</v>
      </c>
      <c r="D1867">
        <v>3.637</v>
      </c>
      <c r="E1867" s="4">
        <v>1164</v>
      </c>
      <c r="F1867" t="str">
        <f>HYPERLINK("https://www.google.com/maps/search/?api=1&amp;query=24.8292,46.7397", "View Map")</f>
        <v>View Map</v>
      </c>
      <c r="G1867" s="2">
        <v>0.39400071960338923</v>
      </c>
    </row>
    <row r="1868" spans="1:7" x14ac:dyDescent="0.3">
      <c r="A1868" t="s">
        <v>3253</v>
      </c>
      <c r="B1868" t="s">
        <v>3254</v>
      </c>
      <c r="C1868" t="s">
        <v>8</v>
      </c>
      <c r="D1868">
        <v>3.637</v>
      </c>
      <c r="E1868" s="4">
        <v>1164</v>
      </c>
      <c r="F1868" t="str">
        <f>HYPERLINK("https://www.google.com/maps/search/?api=1&amp;query=24.4844033,46.63315748", "View Map")</f>
        <v>View Map</v>
      </c>
      <c r="G1868" s="2">
        <v>0.40562418756521718</v>
      </c>
    </row>
    <row r="1869" spans="1:7" x14ac:dyDescent="0.3">
      <c r="A1869" t="s">
        <v>3255</v>
      </c>
      <c r="B1869" t="s">
        <v>3256</v>
      </c>
      <c r="C1869" t="s">
        <v>8</v>
      </c>
      <c r="D1869">
        <v>3.6360000000000001</v>
      </c>
      <c r="E1869" s="4">
        <v>1164</v>
      </c>
      <c r="F1869" t="str">
        <f>HYPERLINK("https://www.google.com/maps/search/?api=1&amp;query=24.76929878,46.83061247", "View Map")</f>
        <v>View Map</v>
      </c>
    </row>
    <row r="1870" spans="1:7" x14ac:dyDescent="0.3">
      <c r="A1870" t="s">
        <v>1349</v>
      </c>
      <c r="B1870" t="s">
        <v>3257</v>
      </c>
      <c r="C1870" t="s">
        <v>270</v>
      </c>
      <c r="D1870">
        <v>3.633</v>
      </c>
      <c r="E1870" s="4">
        <v>1163</v>
      </c>
      <c r="F1870" t="str">
        <f>HYPERLINK("https://www.google.com/maps/search/?api=1&amp;query=23.99382088,47.11645642", "View Map")</f>
        <v>View Map</v>
      </c>
      <c r="G1870" s="2">
        <v>0.48178429853399929</v>
      </c>
    </row>
    <row r="1871" spans="1:7" x14ac:dyDescent="0.3">
      <c r="A1871" t="s">
        <v>73</v>
      </c>
      <c r="B1871" t="s">
        <v>3258</v>
      </c>
      <c r="C1871" t="s">
        <v>8</v>
      </c>
      <c r="D1871">
        <v>3.6309999999999998</v>
      </c>
      <c r="E1871" s="4">
        <v>1162</v>
      </c>
      <c r="F1871" t="str">
        <f>HYPERLINK("https://www.google.com/maps/search/?api=1&amp;query=24.61656146,46.50009838", "View Map")</f>
        <v>View Map</v>
      </c>
    </row>
    <row r="1872" spans="1:7" x14ac:dyDescent="0.3">
      <c r="A1872" t="s">
        <v>3259</v>
      </c>
      <c r="B1872" t="s">
        <v>3260</v>
      </c>
      <c r="C1872" t="s">
        <v>241</v>
      </c>
      <c r="D1872">
        <v>3.6309999999999998</v>
      </c>
      <c r="E1872" s="4">
        <v>1162</v>
      </c>
      <c r="F1872" t="str">
        <f>HYPERLINK("https://www.google.com/maps/search/?api=1&amp;query=20.46044554,44.77590333", "View Map")</f>
        <v>View Map</v>
      </c>
      <c r="G1872" s="2">
        <v>0.51636167938308719</v>
      </c>
    </row>
    <row r="1873" spans="1:7" x14ac:dyDescent="0.3">
      <c r="A1873" t="s">
        <v>3261</v>
      </c>
      <c r="B1873" t="s">
        <v>3262</v>
      </c>
      <c r="C1873" t="s">
        <v>8</v>
      </c>
      <c r="D1873">
        <v>3.629</v>
      </c>
      <c r="E1873" s="4">
        <v>1161</v>
      </c>
      <c r="F1873" t="str">
        <f>HYPERLINK("https://www.google.com/maps/search/?api=1&amp;query=24.72949646,46.77480097", "View Map")</f>
        <v>View Map</v>
      </c>
    </row>
    <row r="1874" spans="1:7" x14ac:dyDescent="0.3">
      <c r="A1874" t="s">
        <v>3263</v>
      </c>
      <c r="B1874" t="s">
        <v>3264</v>
      </c>
      <c r="C1874" t="s">
        <v>8</v>
      </c>
      <c r="D1874">
        <v>3.625</v>
      </c>
      <c r="E1874" s="4">
        <v>1160</v>
      </c>
      <c r="F1874" t="str">
        <f>HYPERLINK("https://www.google.com/maps/search/?api=1&amp;query=24.58572068,46.61544731", "View Map")</f>
        <v>View Map</v>
      </c>
    </row>
    <row r="1875" spans="1:7" x14ac:dyDescent="0.3">
      <c r="A1875" t="s">
        <v>3265</v>
      </c>
      <c r="B1875" t="s">
        <v>3266</v>
      </c>
      <c r="C1875" t="s">
        <v>8</v>
      </c>
      <c r="D1875">
        <v>3.6240000000000001</v>
      </c>
      <c r="E1875" s="4">
        <v>1160</v>
      </c>
      <c r="F1875" t="str">
        <f>HYPERLINK("https://www.google.com/maps/search/?api=1&amp;query=24.66875972,46.73301653", "View Map")</f>
        <v>View Map</v>
      </c>
    </row>
    <row r="1876" spans="1:7" x14ac:dyDescent="0.3">
      <c r="A1876" t="s">
        <v>3267</v>
      </c>
      <c r="B1876" t="s">
        <v>3268</v>
      </c>
      <c r="C1876" t="s">
        <v>8</v>
      </c>
      <c r="D1876">
        <v>3.6219999999999999</v>
      </c>
      <c r="E1876" s="4">
        <v>1159</v>
      </c>
      <c r="F1876" t="str">
        <f>HYPERLINK("https://www.google.com/maps/search/?api=1&amp;query=24.56838085,46.63753815", "View Map")</f>
        <v>View Map</v>
      </c>
    </row>
    <row r="1877" spans="1:7" x14ac:dyDescent="0.3">
      <c r="A1877" t="s">
        <v>3269</v>
      </c>
      <c r="B1877" t="s">
        <v>3270</v>
      </c>
      <c r="C1877" t="s">
        <v>8</v>
      </c>
      <c r="D1877">
        <v>3.621</v>
      </c>
      <c r="E1877" s="4">
        <v>1159</v>
      </c>
      <c r="F1877" t="str">
        <f>HYPERLINK("https://www.google.com/maps/search/?api=1&amp;query=24.69785448,46.83342102", "View Map")</f>
        <v>View Map</v>
      </c>
      <c r="G1877" s="2">
        <v>0.37583749945282802</v>
      </c>
    </row>
    <row r="1878" spans="1:7" x14ac:dyDescent="0.3">
      <c r="A1878" t="s">
        <v>2101</v>
      </c>
      <c r="B1878" t="s">
        <v>3271</v>
      </c>
      <c r="C1878" t="s">
        <v>883</v>
      </c>
      <c r="D1878">
        <v>3.6190000000000002</v>
      </c>
      <c r="E1878" s="4">
        <v>1158</v>
      </c>
      <c r="F1878" t="str">
        <f>HYPERLINK("https://www.google.com/maps/search/?api=1&amp;query=25.54979306,47.18032012", "View Map")</f>
        <v>View Map</v>
      </c>
      <c r="G1878" s="2">
        <v>0.43952648592010912</v>
      </c>
    </row>
    <row r="1879" spans="1:7" x14ac:dyDescent="0.3">
      <c r="A1879" t="s">
        <v>3272</v>
      </c>
      <c r="B1879" t="s">
        <v>3273</v>
      </c>
      <c r="C1879" t="s">
        <v>30</v>
      </c>
      <c r="D1879">
        <v>3.617</v>
      </c>
      <c r="E1879" s="4">
        <v>1157</v>
      </c>
      <c r="F1879" t="str">
        <f>HYPERLINK("https://www.google.com/maps/search/?api=1&amp;query=24.15136039,47.32975642", "View Map")</f>
        <v>View Map</v>
      </c>
      <c r="G1879" s="2">
        <v>0.50348910933853119</v>
      </c>
    </row>
    <row r="1880" spans="1:7" x14ac:dyDescent="0.3">
      <c r="A1880" t="s">
        <v>1788</v>
      </c>
      <c r="B1880" t="s">
        <v>3274</v>
      </c>
      <c r="C1880" t="s">
        <v>393</v>
      </c>
      <c r="D1880">
        <v>3.617</v>
      </c>
      <c r="E1880" s="4">
        <v>1158</v>
      </c>
      <c r="F1880" t="str">
        <f>HYPERLINK("https://www.google.com/maps/search/?api=1&amp;query=23.55932563,45.45249919", "View Map")</f>
        <v>View Map</v>
      </c>
      <c r="G1880" s="2">
        <v>0.64511795873391098</v>
      </c>
    </row>
    <row r="1881" spans="1:7" x14ac:dyDescent="0.3">
      <c r="A1881" t="s">
        <v>46</v>
      </c>
      <c r="B1881" t="s">
        <v>3275</v>
      </c>
      <c r="C1881" t="s">
        <v>8</v>
      </c>
      <c r="D1881">
        <v>3.6150000000000002</v>
      </c>
      <c r="E1881" s="4">
        <v>1157</v>
      </c>
      <c r="F1881" t="str">
        <f>HYPERLINK("https://www.google.com/maps/search/?api=1&amp;query=24.86500454,46.64300251", "View Map")</f>
        <v>View Map</v>
      </c>
    </row>
    <row r="1882" spans="1:7" x14ac:dyDescent="0.3">
      <c r="A1882" t="s">
        <v>3276</v>
      </c>
      <c r="B1882" t="s">
        <v>3277</v>
      </c>
      <c r="C1882" t="s">
        <v>738</v>
      </c>
      <c r="D1882">
        <v>3.613</v>
      </c>
      <c r="E1882" s="4">
        <v>1156</v>
      </c>
      <c r="F1882" t="str">
        <f>HYPERLINK("https://www.google.com/maps/search/?api=1&amp;query=25.16733503,46.33427591", "View Map")</f>
        <v>View Map</v>
      </c>
    </row>
    <row r="1883" spans="1:7" x14ac:dyDescent="0.3">
      <c r="A1883" t="s">
        <v>3278</v>
      </c>
      <c r="B1883" t="s">
        <v>3279</v>
      </c>
      <c r="C1883" t="s">
        <v>393</v>
      </c>
      <c r="D1883">
        <v>3.609</v>
      </c>
      <c r="E1883" s="4">
        <v>1155</v>
      </c>
      <c r="F1883" t="str">
        <f>HYPERLINK("https://www.google.com/maps/search/?api=1&amp;query=22.6545339,44.78875066", "View Map")</f>
        <v>View Map</v>
      </c>
      <c r="G1883" s="2">
        <v>0.93174319933129235</v>
      </c>
    </row>
    <row r="1884" spans="1:7" x14ac:dyDescent="0.3">
      <c r="A1884" t="s">
        <v>576</v>
      </c>
      <c r="B1884" t="s">
        <v>3280</v>
      </c>
      <c r="C1884" t="s">
        <v>8</v>
      </c>
      <c r="D1884">
        <v>3.6</v>
      </c>
      <c r="E1884" s="4">
        <v>1152</v>
      </c>
      <c r="F1884" t="str">
        <f>HYPERLINK("https://www.google.com/maps/search/?api=1&amp;query=24.57384886,46.71337917", "View Map")</f>
        <v>View Map</v>
      </c>
    </row>
    <row r="1885" spans="1:7" x14ac:dyDescent="0.3">
      <c r="A1885" t="s">
        <v>3281</v>
      </c>
      <c r="B1885" t="s">
        <v>3282</v>
      </c>
      <c r="C1885" t="s">
        <v>255</v>
      </c>
      <c r="D1885">
        <v>3.5990000000000002</v>
      </c>
      <c r="E1885" s="4">
        <v>1152</v>
      </c>
      <c r="F1885" t="str">
        <f>HYPERLINK("https://www.google.com/maps/search/?api=1&amp;query=25.26241282,44.21773332", "View Map")</f>
        <v>View Map</v>
      </c>
      <c r="G1885" s="2">
        <v>0.4951582647207492</v>
      </c>
    </row>
    <row r="1886" spans="1:7" x14ac:dyDescent="0.3">
      <c r="A1886" t="s">
        <v>3112</v>
      </c>
      <c r="B1886" t="s">
        <v>3283</v>
      </c>
      <c r="C1886" t="s">
        <v>291</v>
      </c>
      <c r="D1886">
        <v>3.597</v>
      </c>
      <c r="E1886" s="4">
        <v>1151</v>
      </c>
      <c r="F1886" t="str">
        <f>HYPERLINK("https://www.google.com/maps/search/?api=1&amp;query=24.27750544,45.8733683", "View Map")</f>
        <v>View Map</v>
      </c>
      <c r="G1886" s="2">
        <v>0.76835141634339843</v>
      </c>
    </row>
    <row r="1887" spans="1:7" x14ac:dyDescent="0.3">
      <c r="A1887" t="s">
        <v>3284</v>
      </c>
      <c r="B1887" t="s">
        <v>3285</v>
      </c>
      <c r="C1887" t="s">
        <v>8</v>
      </c>
      <c r="D1887">
        <v>3.5950000000000002</v>
      </c>
      <c r="E1887" s="4">
        <v>1150</v>
      </c>
      <c r="F1887" t="str">
        <f>HYPERLINK("https://www.google.com/maps/search/?api=1&amp;query=24.52691935,46.70987795", "View Map")</f>
        <v>View Map</v>
      </c>
      <c r="G1887" s="2">
        <v>0.3360542998969831</v>
      </c>
    </row>
    <row r="1888" spans="1:7" x14ac:dyDescent="0.3">
      <c r="A1888" t="s">
        <v>3286</v>
      </c>
      <c r="B1888" t="s">
        <v>3287</v>
      </c>
      <c r="C1888" t="s">
        <v>8</v>
      </c>
      <c r="D1888">
        <v>3.5950000000000002</v>
      </c>
      <c r="E1888" s="4">
        <v>1150</v>
      </c>
      <c r="F1888" t="str">
        <f>HYPERLINK("https://www.google.com/maps/search/?api=1&amp;query=24.61055679,46.67228234", "View Map")</f>
        <v>View Map</v>
      </c>
      <c r="G1888" s="2">
        <v>0.36352645524048383</v>
      </c>
    </row>
    <row r="1889" spans="1:7" x14ac:dyDescent="0.3">
      <c r="A1889" t="s">
        <v>3288</v>
      </c>
      <c r="B1889" t="s">
        <v>3289</v>
      </c>
      <c r="C1889" t="s">
        <v>8</v>
      </c>
      <c r="D1889">
        <v>3.593</v>
      </c>
      <c r="E1889" s="4">
        <v>1150</v>
      </c>
      <c r="F1889" t="str">
        <f>HYPERLINK("https://www.google.com/maps/search/?api=1&amp;query=24.73645164,46.64181861", "View Map")</f>
        <v>View Map</v>
      </c>
    </row>
    <row r="1890" spans="1:7" x14ac:dyDescent="0.3">
      <c r="A1890" t="s">
        <v>3290</v>
      </c>
      <c r="B1890" t="s">
        <v>3291</v>
      </c>
      <c r="C1890" t="s">
        <v>30</v>
      </c>
      <c r="D1890">
        <v>3.59</v>
      </c>
      <c r="E1890" s="4">
        <v>1149</v>
      </c>
      <c r="F1890" t="str">
        <f>HYPERLINK("https://www.google.com/maps/search/?api=1&amp;query=24.15263076,47.36839676", "View Map")</f>
        <v>View Map</v>
      </c>
      <c r="G1890" s="2">
        <v>0.55408391429902748</v>
      </c>
    </row>
    <row r="1891" spans="1:7" x14ac:dyDescent="0.3">
      <c r="A1891" t="s">
        <v>146</v>
      </c>
      <c r="B1891" t="s">
        <v>3292</v>
      </c>
      <c r="C1891" t="s">
        <v>8</v>
      </c>
      <c r="D1891">
        <v>3.59</v>
      </c>
      <c r="E1891" s="4">
        <v>1149</v>
      </c>
      <c r="F1891" t="str">
        <f>HYPERLINK("https://www.google.com/maps/search/?api=1&amp;query=24.56845157,46.54672512", "View Map")</f>
        <v>View Map</v>
      </c>
    </row>
    <row r="1892" spans="1:7" x14ac:dyDescent="0.3">
      <c r="A1892" t="s">
        <v>3293</v>
      </c>
      <c r="B1892" t="s">
        <v>3294</v>
      </c>
      <c r="C1892" t="s">
        <v>30</v>
      </c>
      <c r="D1892">
        <v>3.59</v>
      </c>
      <c r="E1892" s="4">
        <v>1149</v>
      </c>
      <c r="F1892" t="str">
        <f>HYPERLINK("https://www.google.com/maps/search/?api=1&amp;query=24.28050941,47.29267323", "View Map")</f>
        <v>View Map</v>
      </c>
      <c r="G1892" s="2">
        <v>0.69748039240234694</v>
      </c>
    </row>
    <row r="1893" spans="1:7" x14ac:dyDescent="0.3">
      <c r="A1893" t="s">
        <v>3295</v>
      </c>
      <c r="B1893" t="s">
        <v>3296</v>
      </c>
      <c r="C1893" t="s">
        <v>8</v>
      </c>
      <c r="D1893">
        <v>3.59</v>
      </c>
      <c r="E1893" s="4">
        <v>1149</v>
      </c>
      <c r="F1893" t="str">
        <f>HYPERLINK("https://www.google.com/maps/search/?api=1&amp;query=24.63089997,46.69888684", "View Map")</f>
        <v>View Map</v>
      </c>
    </row>
    <row r="1894" spans="1:7" x14ac:dyDescent="0.3">
      <c r="A1894" t="s">
        <v>46</v>
      </c>
      <c r="B1894" t="s">
        <v>3297</v>
      </c>
      <c r="C1894" t="s">
        <v>8</v>
      </c>
      <c r="D1894">
        <v>3.589</v>
      </c>
      <c r="E1894" s="4">
        <v>1148</v>
      </c>
      <c r="F1894" t="str">
        <f>HYPERLINK("https://www.google.com/maps/search/?api=1&amp;query=24.67955636,46.57896969", "View Map")</f>
        <v>View Map</v>
      </c>
    </row>
    <row r="1895" spans="1:7" x14ac:dyDescent="0.3">
      <c r="A1895" t="s">
        <v>1118</v>
      </c>
      <c r="B1895" t="s">
        <v>3298</v>
      </c>
      <c r="C1895" t="s">
        <v>8</v>
      </c>
      <c r="D1895">
        <v>3.589</v>
      </c>
      <c r="E1895" s="4">
        <v>1148</v>
      </c>
      <c r="F1895" t="str">
        <f>HYPERLINK("https://www.google.com/maps/search/?api=1&amp;query=24.69238976,46.75732329", "View Map")</f>
        <v>View Map</v>
      </c>
      <c r="G1895" s="2">
        <v>0.3007392961763018</v>
      </c>
    </row>
    <row r="1896" spans="1:7" x14ac:dyDescent="0.3">
      <c r="A1896" t="s">
        <v>3299</v>
      </c>
      <c r="B1896" t="s">
        <v>3300</v>
      </c>
      <c r="C1896" t="s">
        <v>646</v>
      </c>
      <c r="D1896">
        <v>3.5880000000000001</v>
      </c>
      <c r="E1896" s="4">
        <v>1148</v>
      </c>
      <c r="F1896" t="str">
        <f>HYPERLINK("https://www.google.com/maps/search/?api=1&amp;query=20.4641214,45.57750053", "View Map")</f>
        <v>View Map</v>
      </c>
    </row>
    <row r="1897" spans="1:7" x14ac:dyDescent="0.3">
      <c r="A1897" t="s">
        <v>3301</v>
      </c>
      <c r="B1897" t="s">
        <v>3302</v>
      </c>
      <c r="C1897" t="s">
        <v>8</v>
      </c>
      <c r="D1897">
        <v>3.5870000000000002</v>
      </c>
      <c r="E1897" s="4">
        <v>1148</v>
      </c>
      <c r="F1897" t="str">
        <f>HYPERLINK("https://www.google.com/maps/search/?api=1&amp;query=24.60170897,46.69501853", "View Map")</f>
        <v>View Map</v>
      </c>
    </row>
    <row r="1898" spans="1:7" x14ac:dyDescent="0.3">
      <c r="A1898" t="s">
        <v>3303</v>
      </c>
      <c r="B1898" t="s">
        <v>3304</v>
      </c>
      <c r="C1898" t="s">
        <v>8</v>
      </c>
      <c r="D1898">
        <v>3.5859999999999999</v>
      </c>
      <c r="E1898" s="4">
        <v>1147</v>
      </c>
      <c r="F1898" t="str">
        <f>HYPERLINK("https://www.google.com/maps/search/?api=1&amp;query=24.70491,46.82291", "View Map")</f>
        <v>View Map</v>
      </c>
      <c r="G1898" s="2">
        <v>0.65206671081816936</v>
      </c>
    </row>
    <row r="1899" spans="1:7" x14ac:dyDescent="0.3">
      <c r="A1899" t="s">
        <v>3305</v>
      </c>
      <c r="B1899" t="s">
        <v>3306</v>
      </c>
      <c r="C1899" t="s">
        <v>8</v>
      </c>
      <c r="D1899">
        <v>3.585</v>
      </c>
      <c r="E1899" s="4">
        <v>1147</v>
      </c>
      <c r="F1899" t="str">
        <f>HYPERLINK("https://www.google.com/maps/search/?api=1&amp;query=24.70416107,46.61735232", "View Map")</f>
        <v>View Map</v>
      </c>
      <c r="G1899" s="2">
        <v>0.81830622136154796</v>
      </c>
    </row>
    <row r="1900" spans="1:7" x14ac:dyDescent="0.3">
      <c r="A1900" t="s">
        <v>3307</v>
      </c>
      <c r="B1900" t="s">
        <v>3308</v>
      </c>
      <c r="C1900" t="s">
        <v>296</v>
      </c>
      <c r="D1900">
        <v>3.5840000000000001</v>
      </c>
      <c r="E1900" s="4">
        <v>1147</v>
      </c>
      <c r="F1900" t="str">
        <f>HYPERLINK("https://www.google.com/maps/search/?api=1&amp;query=24.45867421,46.2692289", "View Map")</f>
        <v>View Map</v>
      </c>
      <c r="G1900" s="2">
        <v>0.64792762579164365</v>
      </c>
    </row>
    <row r="1901" spans="1:7" x14ac:dyDescent="0.3">
      <c r="A1901" t="s">
        <v>3309</v>
      </c>
      <c r="B1901" t="s">
        <v>3310</v>
      </c>
      <c r="C1901" t="s">
        <v>8</v>
      </c>
      <c r="D1901">
        <v>3.5830000000000002</v>
      </c>
      <c r="E1901" s="4">
        <v>1147</v>
      </c>
      <c r="F1901" t="str">
        <f>HYPERLINK("https://www.google.com/maps/search/?api=1&amp;query=24.81996525,46.61316953", "View Map")</f>
        <v>View Map</v>
      </c>
      <c r="G1901" s="2">
        <v>0.63589279036553892</v>
      </c>
    </row>
    <row r="1902" spans="1:7" x14ac:dyDescent="0.3">
      <c r="A1902" t="s">
        <v>3311</v>
      </c>
      <c r="B1902" t="s">
        <v>3312</v>
      </c>
      <c r="C1902" t="s">
        <v>8</v>
      </c>
      <c r="D1902">
        <v>3.58</v>
      </c>
      <c r="E1902" s="4">
        <v>1146</v>
      </c>
      <c r="F1902" t="str">
        <f>HYPERLINK("https://www.google.com/maps/search/?api=1&amp;query=24.7449828,46.66923227", "View Map")</f>
        <v>View Map</v>
      </c>
    </row>
    <row r="1903" spans="1:7" x14ac:dyDescent="0.3">
      <c r="A1903" t="s">
        <v>3313</v>
      </c>
      <c r="B1903" t="s">
        <v>3314</v>
      </c>
      <c r="C1903" t="s">
        <v>8</v>
      </c>
      <c r="D1903">
        <v>3.58</v>
      </c>
      <c r="E1903" s="4">
        <v>1145</v>
      </c>
      <c r="F1903" t="str">
        <f>HYPERLINK("https://www.google.com/maps/search/?api=1&amp;query=24.76813,46.653602", "View Map")</f>
        <v>View Map</v>
      </c>
    </row>
    <row r="1904" spans="1:7" x14ac:dyDescent="0.3">
      <c r="A1904" t="s">
        <v>717</v>
      </c>
      <c r="B1904" t="s">
        <v>3315</v>
      </c>
      <c r="C1904" t="s">
        <v>255</v>
      </c>
      <c r="D1904">
        <v>3.5790000000000002</v>
      </c>
      <c r="E1904" s="4">
        <v>1145</v>
      </c>
      <c r="F1904" t="str">
        <f>HYPERLINK("https://www.google.com/maps/search/?api=1&amp;query=25.00488357,43.82359207", "View Map")</f>
        <v>View Map</v>
      </c>
      <c r="G1904" s="2">
        <v>0.35538712220762148</v>
      </c>
    </row>
    <row r="1905" spans="1:7" x14ac:dyDescent="0.3">
      <c r="A1905" t="s">
        <v>3316</v>
      </c>
      <c r="B1905" t="s">
        <v>3317</v>
      </c>
      <c r="C1905" t="s">
        <v>270</v>
      </c>
      <c r="D1905">
        <v>3.5790000000000002</v>
      </c>
      <c r="E1905" s="4">
        <v>1145</v>
      </c>
      <c r="F1905" t="str">
        <f>HYPERLINK("https://www.google.com/maps/search/?api=1&amp;query=23.99573483,47.13340157", "View Map")</f>
        <v>View Map</v>
      </c>
      <c r="G1905" s="2">
        <v>0.42897701605271832</v>
      </c>
    </row>
    <row r="1906" spans="1:7" x14ac:dyDescent="0.3">
      <c r="A1906" t="s">
        <v>1002</v>
      </c>
      <c r="B1906" t="s">
        <v>3318</v>
      </c>
      <c r="C1906" t="s">
        <v>214</v>
      </c>
      <c r="D1906">
        <v>3.5779999999999998</v>
      </c>
      <c r="E1906" s="4">
        <v>1145</v>
      </c>
      <c r="F1906" t="str">
        <f>HYPERLINK("https://www.google.com/maps/search/?api=1&amp;query=25.91078974,45.39940848", "View Map")</f>
        <v>View Map</v>
      </c>
      <c r="G1906" s="2">
        <v>0.6187580465498036</v>
      </c>
    </row>
    <row r="1907" spans="1:7" x14ac:dyDescent="0.3">
      <c r="A1907" t="s">
        <v>3319</v>
      </c>
      <c r="B1907" t="s">
        <v>3320</v>
      </c>
      <c r="C1907" t="s">
        <v>8</v>
      </c>
      <c r="D1907">
        <v>3.5760000000000001</v>
      </c>
      <c r="E1907" s="4">
        <v>1144</v>
      </c>
      <c r="F1907" t="str">
        <f>HYPERLINK("https://www.google.com/maps/search/?api=1&amp;query=24.7340109,46.6118178", "View Map")</f>
        <v>View Map</v>
      </c>
    </row>
    <row r="1908" spans="1:7" x14ac:dyDescent="0.3">
      <c r="A1908" t="s">
        <v>817</v>
      </c>
      <c r="B1908" t="s">
        <v>3321</v>
      </c>
      <c r="C1908" t="s">
        <v>30</v>
      </c>
      <c r="D1908">
        <v>3.5760000000000001</v>
      </c>
      <c r="E1908" s="4">
        <v>1144</v>
      </c>
      <c r="F1908" t="str">
        <f>HYPERLINK("https://www.google.com/maps/search/?api=1&amp;query=24.13352099,47.28804134", "View Map")</f>
        <v>View Map</v>
      </c>
      <c r="G1908" s="2">
        <v>0.75771975294732186</v>
      </c>
    </row>
    <row r="1909" spans="1:7" x14ac:dyDescent="0.3">
      <c r="A1909" t="s">
        <v>3322</v>
      </c>
      <c r="B1909" t="s">
        <v>3323</v>
      </c>
      <c r="C1909" t="s">
        <v>393</v>
      </c>
      <c r="D1909">
        <v>3.5710000000000002</v>
      </c>
      <c r="E1909" s="4">
        <v>1143</v>
      </c>
      <c r="F1909" t="str">
        <f>HYPERLINK("https://www.google.com/maps/search/?api=1&amp;query=22.52873728,45.0810632", "View Map")</f>
        <v>View Map</v>
      </c>
      <c r="G1909" s="2">
        <v>0.67843639546790679</v>
      </c>
    </row>
    <row r="1910" spans="1:7" x14ac:dyDescent="0.3">
      <c r="A1910" t="s">
        <v>3324</v>
      </c>
      <c r="B1910" t="s">
        <v>3325</v>
      </c>
      <c r="C1910" t="s">
        <v>8</v>
      </c>
      <c r="D1910">
        <v>3.5680000000000001</v>
      </c>
      <c r="E1910" s="4">
        <v>1142</v>
      </c>
      <c r="F1910" t="str">
        <f>HYPERLINK("https://www.google.com/maps/search/?api=1&amp;query=24.65038768,46.76493806", "View Map")</f>
        <v>View Map</v>
      </c>
    </row>
    <row r="1911" spans="1:7" x14ac:dyDescent="0.3">
      <c r="A1911" t="s">
        <v>3326</v>
      </c>
      <c r="B1911" t="s">
        <v>3327</v>
      </c>
      <c r="C1911" t="s">
        <v>8</v>
      </c>
      <c r="D1911">
        <v>3.5659999999999998</v>
      </c>
      <c r="E1911" s="4">
        <v>1141</v>
      </c>
      <c r="F1911" t="str">
        <f>HYPERLINK("https://www.google.com/maps/search/?api=1&amp;query=24.58322524,46.52242644", "View Map")</f>
        <v>View Map</v>
      </c>
      <c r="G1911" s="2">
        <v>0.2542463206736742</v>
      </c>
    </row>
    <row r="1912" spans="1:7" x14ac:dyDescent="0.3">
      <c r="A1912" t="s">
        <v>46</v>
      </c>
      <c r="B1912" t="s">
        <v>3328</v>
      </c>
      <c r="C1912" t="s">
        <v>8</v>
      </c>
      <c r="D1912">
        <v>3.5609999999999999</v>
      </c>
      <c r="E1912" s="4">
        <v>1140</v>
      </c>
      <c r="F1912" t="str">
        <f>HYPERLINK("https://www.google.com/maps/search/?api=1&amp;query=24.85931823,46.82822139", "View Map")</f>
        <v>View Map</v>
      </c>
      <c r="G1912" s="2">
        <v>0.29214400740084318</v>
      </c>
    </row>
    <row r="1913" spans="1:7" x14ac:dyDescent="0.3">
      <c r="A1913" t="s">
        <v>3329</v>
      </c>
      <c r="B1913" t="s">
        <v>3330</v>
      </c>
      <c r="C1913" t="s">
        <v>8</v>
      </c>
      <c r="D1913">
        <v>3.5609999999999999</v>
      </c>
      <c r="E1913" s="4">
        <v>1140</v>
      </c>
      <c r="F1913" t="str">
        <f>HYPERLINK("https://www.google.com/maps/search/?api=1&amp;query=24.79987267,46.87013012", "View Map")</f>
        <v>View Map</v>
      </c>
      <c r="G1913" s="2">
        <v>0.4391901536162347</v>
      </c>
    </row>
    <row r="1914" spans="1:7" x14ac:dyDescent="0.3">
      <c r="A1914" t="s">
        <v>3331</v>
      </c>
      <c r="B1914" t="s">
        <v>3332</v>
      </c>
      <c r="C1914" t="s">
        <v>8</v>
      </c>
      <c r="D1914">
        <v>3.56</v>
      </c>
      <c r="E1914" s="4">
        <v>1139</v>
      </c>
      <c r="F1914" t="str">
        <f>HYPERLINK("https://www.google.com/maps/search/?api=1&amp;query=24.67908754,46.59760152", "View Map")</f>
        <v>View Map</v>
      </c>
    </row>
    <row r="1915" spans="1:7" x14ac:dyDescent="0.3">
      <c r="A1915" t="s">
        <v>3333</v>
      </c>
      <c r="B1915" t="s">
        <v>3334</v>
      </c>
      <c r="C1915" t="s">
        <v>21</v>
      </c>
      <c r="D1915">
        <v>3.5590000000000002</v>
      </c>
      <c r="E1915" s="4">
        <v>1139</v>
      </c>
      <c r="F1915" t="str">
        <f>HYPERLINK("https://www.google.com/maps/search/?api=1&amp;query=26.26407745,44.80352869", "View Map")</f>
        <v>View Map</v>
      </c>
      <c r="G1915" s="2">
        <v>0.71799941204484075</v>
      </c>
    </row>
    <row r="1916" spans="1:7" x14ac:dyDescent="0.3">
      <c r="A1916" t="s">
        <v>3335</v>
      </c>
      <c r="B1916" t="s">
        <v>3336</v>
      </c>
      <c r="C1916" t="s">
        <v>8</v>
      </c>
      <c r="D1916">
        <v>3.5590000000000002</v>
      </c>
      <c r="E1916" s="4">
        <v>1139</v>
      </c>
      <c r="F1916" t="str">
        <f>HYPERLINK("https://www.google.com/maps/search/?api=1&amp;query=24.6030049,46.74012515", "View Map")</f>
        <v>View Map</v>
      </c>
    </row>
    <row r="1917" spans="1:7" x14ac:dyDescent="0.3">
      <c r="A1917" t="s">
        <v>3337</v>
      </c>
      <c r="B1917" t="s">
        <v>3338</v>
      </c>
      <c r="C1917" t="s">
        <v>8</v>
      </c>
      <c r="D1917">
        <v>3.5579999999999998</v>
      </c>
      <c r="E1917" s="4">
        <v>1139</v>
      </c>
      <c r="F1917" t="str">
        <f>HYPERLINK("https://www.google.com/maps/search/?api=1&amp;query=24.61484005,46.71801665", "View Map")</f>
        <v>View Map</v>
      </c>
    </row>
    <row r="1918" spans="1:7" x14ac:dyDescent="0.3">
      <c r="A1918" t="s">
        <v>3339</v>
      </c>
      <c r="B1918" t="s">
        <v>3340</v>
      </c>
      <c r="C1918" t="s">
        <v>291</v>
      </c>
      <c r="D1918">
        <v>3.5569999999999999</v>
      </c>
      <c r="E1918" s="4">
        <v>1138</v>
      </c>
      <c r="F1918" t="str">
        <f>HYPERLINK("https://www.google.com/maps/search/?api=1&amp;query=23.99629295,45.39097411", "View Map")</f>
        <v>View Map</v>
      </c>
      <c r="G1918" s="2">
        <v>0.51524601594306751</v>
      </c>
    </row>
    <row r="1919" spans="1:7" x14ac:dyDescent="0.3">
      <c r="A1919" t="s">
        <v>3341</v>
      </c>
      <c r="B1919" t="s">
        <v>3342</v>
      </c>
      <c r="C1919" t="s">
        <v>364</v>
      </c>
      <c r="D1919">
        <v>3.5569999999999999</v>
      </c>
      <c r="E1919" s="4">
        <v>1138</v>
      </c>
      <c r="F1919" t="str">
        <f>HYPERLINK("https://www.google.com/maps/search/?api=1&amp;query=25.41378054,46.04784435", "View Map")</f>
        <v>View Map</v>
      </c>
      <c r="G1919" s="2">
        <v>0.64862592730621216</v>
      </c>
    </row>
    <row r="1920" spans="1:7" x14ac:dyDescent="0.3">
      <c r="A1920" t="s">
        <v>3343</v>
      </c>
      <c r="B1920" t="s">
        <v>3344</v>
      </c>
      <c r="C1920" t="s">
        <v>137</v>
      </c>
      <c r="D1920">
        <v>3.5550000000000002</v>
      </c>
      <c r="E1920" s="4">
        <v>1138</v>
      </c>
      <c r="F1920" t="str">
        <f>HYPERLINK("https://www.google.com/maps/search/?api=1&amp;query=23.49188929,46.86474432", "View Map")</f>
        <v>View Map</v>
      </c>
      <c r="G1920" s="2">
        <v>0.43042410983268281</v>
      </c>
    </row>
    <row r="1921" spans="1:7" x14ac:dyDescent="0.3">
      <c r="A1921" t="s">
        <v>3345</v>
      </c>
      <c r="B1921" t="s">
        <v>3346</v>
      </c>
      <c r="C1921" t="s">
        <v>21</v>
      </c>
      <c r="D1921">
        <v>3.5539999999999998</v>
      </c>
      <c r="E1921" s="4">
        <v>1137</v>
      </c>
      <c r="F1921" t="str">
        <f>HYPERLINK("https://www.google.com/maps/search/?api=1&amp;query=26.31639593,44.81199981", "View Map")</f>
        <v>View Map</v>
      </c>
      <c r="G1921" s="2">
        <v>0.65578458511587467</v>
      </c>
    </row>
    <row r="1922" spans="1:7" x14ac:dyDescent="0.3">
      <c r="A1922" t="s">
        <v>3347</v>
      </c>
      <c r="B1922" t="s">
        <v>3348</v>
      </c>
      <c r="C1922" t="s">
        <v>8</v>
      </c>
      <c r="D1922">
        <v>3.5539999999999998</v>
      </c>
      <c r="E1922" s="4">
        <v>1137</v>
      </c>
      <c r="F1922" t="str">
        <f>HYPERLINK("https://www.google.com/maps/search/?api=1&amp;query=24.66714119,46.75608582", "View Map")</f>
        <v>View Map</v>
      </c>
      <c r="G1922" s="2">
        <v>0.37451869756565759</v>
      </c>
    </row>
    <row r="1923" spans="1:7" x14ac:dyDescent="0.3">
      <c r="A1923" t="s">
        <v>1273</v>
      </c>
      <c r="B1923" t="s">
        <v>3349</v>
      </c>
      <c r="C1923" t="s">
        <v>646</v>
      </c>
      <c r="D1923">
        <v>3.552</v>
      </c>
      <c r="E1923" s="4">
        <v>1137</v>
      </c>
      <c r="F1923" t="str">
        <f>HYPERLINK("https://www.google.com/maps/search/?api=1&amp;query=20.47450422,45.27818951", "View Map")</f>
        <v>View Map</v>
      </c>
      <c r="G1923" s="2">
        <v>0.70980319366076694</v>
      </c>
    </row>
    <row r="1924" spans="1:7" x14ac:dyDescent="0.3">
      <c r="A1924" t="s">
        <v>3350</v>
      </c>
      <c r="B1924" t="s">
        <v>3351</v>
      </c>
      <c r="C1924" t="s">
        <v>8</v>
      </c>
      <c r="D1924">
        <v>3.5510000000000002</v>
      </c>
      <c r="E1924" s="4">
        <v>1136</v>
      </c>
      <c r="F1924" t="str">
        <f>HYPERLINK("https://www.google.com/maps/search/?api=1&amp;query=24.57694573,46.66337742", "View Map")</f>
        <v>View Map</v>
      </c>
    </row>
    <row r="1925" spans="1:7" x14ac:dyDescent="0.3">
      <c r="A1925" t="s">
        <v>3352</v>
      </c>
      <c r="B1925" t="s">
        <v>3353</v>
      </c>
      <c r="C1925" t="s">
        <v>8</v>
      </c>
      <c r="D1925">
        <v>3.5489999999999999</v>
      </c>
      <c r="E1925" s="4">
        <v>1136</v>
      </c>
      <c r="F1925" t="str">
        <f>HYPERLINK("https://www.google.com/maps/search/?api=1&amp;query=24.53179082,46.68905157", "View Map")</f>
        <v>View Map</v>
      </c>
    </row>
    <row r="1926" spans="1:7" x14ac:dyDescent="0.3">
      <c r="A1926" t="s">
        <v>3354</v>
      </c>
      <c r="B1926" t="s">
        <v>3355</v>
      </c>
      <c r="C1926" t="s">
        <v>8</v>
      </c>
      <c r="D1926">
        <v>3.544</v>
      </c>
      <c r="E1926" s="4">
        <v>1134</v>
      </c>
      <c r="F1926" t="str">
        <f>HYPERLINK("https://www.google.com/maps/search/?api=1&amp;query=24.69872224,46.65581211", "View Map")</f>
        <v>View Map</v>
      </c>
      <c r="G1926" s="2">
        <v>0.46527362462139338</v>
      </c>
    </row>
    <row r="1927" spans="1:7" x14ac:dyDescent="0.3">
      <c r="A1927" t="s">
        <v>3356</v>
      </c>
      <c r="B1927" t="s">
        <v>3357</v>
      </c>
      <c r="C1927" t="s">
        <v>30</v>
      </c>
      <c r="D1927">
        <v>3.5430000000000001</v>
      </c>
      <c r="E1927" s="4">
        <v>1134</v>
      </c>
      <c r="F1927" t="str">
        <f>HYPERLINK("https://www.google.com/maps/search/?api=1&amp;query=24.14302867,47.29647217", "View Map")</f>
        <v>View Map</v>
      </c>
      <c r="G1927" s="2">
        <v>0.58055875671975843</v>
      </c>
    </row>
    <row r="1928" spans="1:7" x14ac:dyDescent="0.3">
      <c r="A1928" t="s">
        <v>3358</v>
      </c>
      <c r="B1928" t="s">
        <v>3359</v>
      </c>
      <c r="C1928" t="s">
        <v>8</v>
      </c>
      <c r="D1928">
        <v>3.5419999999999998</v>
      </c>
      <c r="E1928" s="4">
        <v>1133</v>
      </c>
      <c r="F1928" t="str">
        <f>HYPERLINK("https://www.google.com/maps/search/?api=1&amp;query=24.710044,46.61807074", "View Map")</f>
        <v>View Map</v>
      </c>
      <c r="G1928" s="2">
        <v>0.27409749789627508</v>
      </c>
    </row>
    <row r="1929" spans="1:7" x14ac:dyDescent="0.3">
      <c r="A1929" t="s">
        <v>3360</v>
      </c>
      <c r="B1929" t="s">
        <v>3361</v>
      </c>
      <c r="C1929" t="s">
        <v>255</v>
      </c>
      <c r="D1929">
        <v>3.54</v>
      </c>
      <c r="E1929" s="4">
        <v>1133</v>
      </c>
      <c r="F1929" t="str">
        <f>HYPERLINK("https://www.google.com/maps/search/?api=1&amp;query=24.54456886,44.43271592", "View Map")</f>
        <v>View Map</v>
      </c>
      <c r="G1929" s="2">
        <v>0.7649673170484913</v>
      </c>
    </row>
    <row r="1930" spans="1:7" x14ac:dyDescent="0.3">
      <c r="A1930" t="s">
        <v>1729</v>
      </c>
      <c r="B1930" t="s">
        <v>3362</v>
      </c>
      <c r="C1930" t="s">
        <v>8</v>
      </c>
      <c r="D1930">
        <v>3.5390000000000001</v>
      </c>
      <c r="E1930" s="4">
        <v>1132</v>
      </c>
      <c r="F1930" t="str">
        <f>HYPERLINK("https://www.google.com/maps/search/?api=1&amp;query=24.76315013,46.62212029", "View Map")</f>
        <v>View Map</v>
      </c>
      <c r="G1930" s="2">
        <v>0.28168556905733338</v>
      </c>
    </row>
    <row r="1931" spans="1:7" x14ac:dyDescent="0.3">
      <c r="A1931" t="s">
        <v>3363</v>
      </c>
      <c r="B1931" t="s">
        <v>3364</v>
      </c>
      <c r="C1931" t="s">
        <v>738</v>
      </c>
      <c r="D1931">
        <v>3.5379999999999998</v>
      </c>
      <c r="E1931" s="4">
        <v>1132</v>
      </c>
      <c r="F1931" t="str">
        <f>HYPERLINK("https://www.google.com/maps/search/?api=1&amp;query=25.12030799,46.08747276", "View Map")</f>
        <v>View Map</v>
      </c>
      <c r="G1931" s="2">
        <v>0.64594563450976428</v>
      </c>
    </row>
    <row r="1932" spans="1:7" x14ac:dyDescent="0.3">
      <c r="A1932" t="s">
        <v>1778</v>
      </c>
      <c r="B1932" t="s">
        <v>3365</v>
      </c>
      <c r="C1932" t="s">
        <v>8</v>
      </c>
      <c r="D1932">
        <v>3.536</v>
      </c>
      <c r="E1932" s="4">
        <v>1131</v>
      </c>
      <c r="F1932" t="str">
        <f>HYPERLINK("https://www.google.com/maps/search/?api=1&amp;query=24.77802,46.81731", "View Map")</f>
        <v>View Map</v>
      </c>
    </row>
    <row r="1933" spans="1:7" x14ac:dyDescent="0.3">
      <c r="A1933" t="s">
        <v>46</v>
      </c>
      <c r="B1933" t="s">
        <v>3366</v>
      </c>
      <c r="C1933" t="s">
        <v>8</v>
      </c>
      <c r="D1933">
        <v>3.536</v>
      </c>
      <c r="E1933" s="4">
        <v>1132</v>
      </c>
      <c r="F1933" t="str">
        <f>HYPERLINK("https://www.google.com/maps/search/?api=1&amp;query=24.86278597,46.80990426", "View Map")</f>
        <v>View Map</v>
      </c>
      <c r="G1933" s="2">
        <v>0.45432027864373581</v>
      </c>
    </row>
    <row r="1934" spans="1:7" x14ac:dyDescent="0.3">
      <c r="A1934" t="s">
        <v>3367</v>
      </c>
      <c r="B1934" t="s">
        <v>3368</v>
      </c>
      <c r="C1934" t="s">
        <v>8</v>
      </c>
      <c r="D1934">
        <v>3.5329999999999999</v>
      </c>
      <c r="E1934" s="4">
        <v>1131</v>
      </c>
      <c r="F1934" t="str">
        <f>HYPERLINK("https://www.google.com/maps/search/?api=1&amp;query=24.7168156,46.84746171", "View Map")</f>
        <v>View Map</v>
      </c>
    </row>
    <row r="1935" spans="1:7" x14ac:dyDescent="0.3">
      <c r="A1935" t="s">
        <v>46</v>
      </c>
      <c r="B1935" t="s">
        <v>3369</v>
      </c>
      <c r="C1935" t="s">
        <v>8</v>
      </c>
      <c r="D1935">
        <v>3.5329999999999999</v>
      </c>
      <c r="E1935" s="4">
        <v>1130</v>
      </c>
      <c r="F1935" t="str">
        <f>HYPERLINK("https://www.google.com/maps/search/?api=1&amp;query=24.68471957,46.57645429", "View Map")</f>
        <v>View Map</v>
      </c>
    </row>
    <row r="1936" spans="1:7" x14ac:dyDescent="0.3">
      <c r="A1936" t="s">
        <v>46</v>
      </c>
      <c r="B1936" t="s">
        <v>3370</v>
      </c>
      <c r="C1936" t="s">
        <v>8</v>
      </c>
      <c r="D1936">
        <v>3.528</v>
      </c>
      <c r="E1936" s="4">
        <v>1129</v>
      </c>
      <c r="F1936" t="str">
        <f>HYPERLINK("https://www.google.com/maps/search/?api=1&amp;query=24.82674918,46.76319077", "View Map")</f>
        <v>View Map</v>
      </c>
      <c r="G1936" s="2">
        <v>0.49758546951433869</v>
      </c>
    </row>
    <row r="1937" spans="1:7" x14ac:dyDescent="0.3">
      <c r="A1937" t="s">
        <v>3371</v>
      </c>
      <c r="B1937" t="s">
        <v>3372</v>
      </c>
      <c r="C1937" t="s">
        <v>393</v>
      </c>
      <c r="D1937">
        <v>3.5249999999999999</v>
      </c>
      <c r="E1937" s="4">
        <v>1128</v>
      </c>
      <c r="F1937" t="str">
        <f>HYPERLINK("https://www.google.com/maps/search/?api=1&amp;query=23.57552805,45.57842444", "View Map")</f>
        <v>View Map</v>
      </c>
      <c r="G1937" s="2">
        <v>0.48629077234941409</v>
      </c>
    </row>
    <row r="1938" spans="1:7" x14ac:dyDescent="0.3">
      <c r="A1938" t="s">
        <v>46</v>
      </c>
      <c r="B1938" t="s">
        <v>3373</v>
      </c>
      <c r="C1938" t="s">
        <v>8</v>
      </c>
      <c r="D1938">
        <v>3.524</v>
      </c>
      <c r="E1938" s="4">
        <v>1128</v>
      </c>
      <c r="F1938" t="str">
        <f>HYPERLINK("https://www.google.com/maps/search/?api=1&amp;query=24.84057362,46.88259005", "View Map")</f>
        <v>View Map</v>
      </c>
      <c r="G1938" s="2">
        <v>0.49861197621432091</v>
      </c>
    </row>
    <row r="1939" spans="1:7" x14ac:dyDescent="0.3">
      <c r="A1939" t="s">
        <v>3374</v>
      </c>
      <c r="B1939" t="s">
        <v>3375</v>
      </c>
      <c r="C1939" t="s">
        <v>8</v>
      </c>
      <c r="D1939">
        <v>3.5230000000000001</v>
      </c>
      <c r="E1939" s="4">
        <v>1127</v>
      </c>
      <c r="F1939" t="str">
        <f>HYPERLINK("https://www.google.com/maps/search/?api=1&amp;query=24.68870058,46.78801037", "View Map")</f>
        <v>View Map</v>
      </c>
    </row>
    <row r="1940" spans="1:7" x14ac:dyDescent="0.3">
      <c r="A1940" t="s">
        <v>3376</v>
      </c>
      <c r="B1940" t="s">
        <v>3377</v>
      </c>
      <c r="C1940" t="s">
        <v>21</v>
      </c>
      <c r="D1940">
        <v>3.5219999999999998</v>
      </c>
      <c r="E1940" s="4">
        <v>1127</v>
      </c>
      <c r="F1940" t="str">
        <f>HYPERLINK("https://www.google.com/maps/search/?api=1&amp;query=26.32287771,44.80793044", "View Map")</f>
        <v>View Map</v>
      </c>
      <c r="G1940" s="2">
        <v>0.74023117423807661</v>
      </c>
    </row>
    <row r="1941" spans="1:7" x14ac:dyDescent="0.3">
      <c r="A1941" t="s">
        <v>3378</v>
      </c>
      <c r="B1941" t="s">
        <v>3379</v>
      </c>
      <c r="C1941" t="s">
        <v>255</v>
      </c>
      <c r="D1941">
        <v>3.5209999999999999</v>
      </c>
      <c r="E1941" s="4">
        <v>1127</v>
      </c>
      <c r="F1941" t="str">
        <f>HYPERLINK("https://www.google.com/maps/search/?api=1&amp;query=24.52425217,43.87994738", "View Map")</f>
        <v>View Map</v>
      </c>
      <c r="G1941" s="2">
        <v>0.82981973816223042</v>
      </c>
    </row>
    <row r="1942" spans="1:7" x14ac:dyDescent="0.3">
      <c r="A1942" t="s">
        <v>3380</v>
      </c>
      <c r="B1942" t="s">
        <v>3381</v>
      </c>
      <c r="C1942" t="s">
        <v>30</v>
      </c>
      <c r="D1942">
        <v>3.5190000000000001</v>
      </c>
      <c r="E1942" s="4">
        <v>1126</v>
      </c>
      <c r="F1942" t="str">
        <f>HYPERLINK("https://www.google.com/maps/search/?api=1&amp;query=24.16500943,47.35244317", "View Map")</f>
        <v>View Map</v>
      </c>
    </row>
    <row r="1943" spans="1:7" x14ac:dyDescent="0.3">
      <c r="A1943" t="s">
        <v>3382</v>
      </c>
      <c r="B1943" t="s">
        <v>3383</v>
      </c>
      <c r="C1943" t="s">
        <v>286</v>
      </c>
      <c r="D1943">
        <v>3.5190000000000001</v>
      </c>
      <c r="E1943" s="4">
        <v>1126</v>
      </c>
      <c r="F1943" t="str">
        <f>HYPERLINK("https://www.google.com/maps/search/?api=1&amp;query=25.22128746,45.27561947", "View Map")</f>
        <v>View Map</v>
      </c>
      <c r="G1943" s="2">
        <v>0.32595069520616737</v>
      </c>
    </row>
    <row r="1944" spans="1:7" x14ac:dyDescent="0.3">
      <c r="A1944" t="s">
        <v>1273</v>
      </c>
      <c r="B1944" t="s">
        <v>3384</v>
      </c>
      <c r="C1944" t="s">
        <v>241</v>
      </c>
      <c r="D1944">
        <v>3.5179999999999998</v>
      </c>
      <c r="E1944" s="4">
        <v>1126</v>
      </c>
      <c r="F1944" t="str">
        <f>HYPERLINK("https://www.google.com/maps/search/?api=1&amp;query=20.43189677,44.88776996", "View Map")</f>
        <v>View Map</v>
      </c>
      <c r="G1944" s="2">
        <v>0.79989258999171309</v>
      </c>
    </row>
    <row r="1945" spans="1:7" x14ac:dyDescent="0.3">
      <c r="A1945" t="s">
        <v>28</v>
      </c>
      <c r="B1945" t="s">
        <v>3385</v>
      </c>
      <c r="C1945" t="s">
        <v>30</v>
      </c>
      <c r="D1945">
        <v>3.5169999999999999</v>
      </c>
      <c r="E1945" s="4">
        <v>1125</v>
      </c>
      <c r="F1945" t="str">
        <f>HYPERLINK("https://www.google.com/maps/search/?api=1&amp;query=24.15623898,47.27918326", "View Map")</f>
        <v>View Map</v>
      </c>
      <c r="G1945" s="2">
        <v>0.58689648641064973</v>
      </c>
    </row>
    <row r="1946" spans="1:7" x14ac:dyDescent="0.3">
      <c r="A1946" t="s">
        <v>3386</v>
      </c>
      <c r="B1946" t="s">
        <v>3387</v>
      </c>
      <c r="C1946" t="s">
        <v>8</v>
      </c>
      <c r="D1946">
        <v>3.5169999999999999</v>
      </c>
      <c r="E1946" s="4">
        <v>1125</v>
      </c>
      <c r="F1946" t="str">
        <f>HYPERLINK("https://www.google.com/maps/search/?api=1&amp;query=24.67439876,46.66396239", "View Map")</f>
        <v>View Map</v>
      </c>
    </row>
    <row r="1947" spans="1:7" x14ac:dyDescent="0.3">
      <c r="A1947" t="s">
        <v>963</v>
      </c>
      <c r="B1947" t="s">
        <v>3388</v>
      </c>
      <c r="C1947" t="s">
        <v>241</v>
      </c>
      <c r="D1947">
        <v>3.5169999999999999</v>
      </c>
      <c r="E1947" s="4">
        <v>1125</v>
      </c>
      <c r="F1947" t="str">
        <f>HYPERLINK("https://www.google.com/maps/search/?api=1&amp;query=20.43984713,44.78824657", "View Map")</f>
        <v>View Map</v>
      </c>
    </row>
    <row r="1948" spans="1:7" x14ac:dyDescent="0.3">
      <c r="A1948" t="s">
        <v>3389</v>
      </c>
      <c r="B1948" t="s">
        <v>3390</v>
      </c>
      <c r="C1948" t="s">
        <v>8</v>
      </c>
      <c r="D1948">
        <v>3.516</v>
      </c>
      <c r="E1948" s="4">
        <v>1125</v>
      </c>
      <c r="F1948" t="str">
        <f>HYPERLINK("https://www.google.com/maps/search/?api=1&amp;query=24.59597271,46.76104792", "View Map")</f>
        <v>View Map</v>
      </c>
    </row>
    <row r="1949" spans="1:7" x14ac:dyDescent="0.3">
      <c r="A1949" t="s">
        <v>3391</v>
      </c>
      <c r="B1949" t="s">
        <v>3392</v>
      </c>
      <c r="C1949" t="s">
        <v>8</v>
      </c>
      <c r="D1949">
        <v>3.516</v>
      </c>
      <c r="E1949" s="4">
        <v>1125</v>
      </c>
      <c r="F1949" t="str">
        <f>HYPERLINK("https://www.google.com/maps/search/?api=1&amp;query=24.69418897,46.69232732", "View Map")</f>
        <v>View Map</v>
      </c>
    </row>
    <row r="1950" spans="1:7" x14ac:dyDescent="0.3">
      <c r="A1950" t="s">
        <v>46</v>
      </c>
      <c r="B1950" t="s">
        <v>3393</v>
      </c>
      <c r="C1950" t="s">
        <v>8</v>
      </c>
      <c r="D1950">
        <v>3.5150000000000001</v>
      </c>
      <c r="E1950" s="4">
        <v>1125</v>
      </c>
      <c r="F1950" t="str">
        <f>HYPERLINK("https://www.google.com/maps/search/?api=1&amp;query=24.68199808,46.56583415", "View Map")</f>
        <v>View Map</v>
      </c>
    </row>
    <row r="1951" spans="1:7" x14ac:dyDescent="0.3">
      <c r="A1951" t="s">
        <v>3394</v>
      </c>
      <c r="B1951" t="s">
        <v>3395</v>
      </c>
      <c r="C1951" t="s">
        <v>8</v>
      </c>
      <c r="D1951">
        <v>3.5150000000000001</v>
      </c>
      <c r="E1951" s="4">
        <v>1125</v>
      </c>
      <c r="F1951" t="str">
        <f>HYPERLINK("https://www.google.com/maps/search/?api=1&amp;query=24.7248084,46.80294878", "View Map")</f>
        <v>View Map</v>
      </c>
    </row>
    <row r="1952" spans="1:7" x14ac:dyDescent="0.3">
      <c r="A1952" t="s">
        <v>3396</v>
      </c>
      <c r="B1952" t="s">
        <v>3397</v>
      </c>
      <c r="C1952" t="s">
        <v>8</v>
      </c>
      <c r="D1952">
        <v>3.5150000000000001</v>
      </c>
      <c r="E1952" s="4">
        <v>1125</v>
      </c>
      <c r="F1952" t="str">
        <f>HYPERLINK("https://www.google.com/maps/search/?api=1&amp;query=24.78285317,46.63830256", "View Map")</f>
        <v>View Map</v>
      </c>
      <c r="G1952" s="2">
        <v>0.53943496491110654</v>
      </c>
    </row>
    <row r="1953" spans="1:7" x14ac:dyDescent="0.3">
      <c r="A1953" t="s">
        <v>3398</v>
      </c>
      <c r="B1953" t="s">
        <v>3399</v>
      </c>
      <c r="C1953" t="s">
        <v>214</v>
      </c>
      <c r="D1953">
        <v>3.5139999999999998</v>
      </c>
      <c r="E1953" s="4">
        <v>1125</v>
      </c>
      <c r="F1953" t="str">
        <f>HYPERLINK("https://www.google.com/maps/search/?api=1&amp;query=25.92300578,45.38856551", "View Map")</f>
        <v>View Map</v>
      </c>
      <c r="G1953" s="2">
        <v>0.58117459898526891</v>
      </c>
    </row>
    <row r="1954" spans="1:7" x14ac:dyDescent="0.3">
      <c r="A1954" t="s">
        <v>1349</v>
      </c>
      <c r="B1954" t="s">
        <v>3400</v>
      </c>
      <c r="C1954" t="s">
        <v>270</v>
      </c>
      <c r="D1954">
        <v>3.512</v>
      </c>
      <c r="E1954" s="4">
        <v>1124</v>
      </c>
      <c r="F1954" t="str">
        <f>HYPERLINK("https://www.google.com/maps/search/?api=1&amp;query=24.00146067,47.101394", "View Map")</f>
        <v>View Map</v>
      </c>
      <c r="G1954" s="2">
        <v>0.72848347310618944</v>
      </c>
    </row>
    <row r="1955" spans="1:7" x14ac:dyDescent="0.3">
      <c r="A1955" t="s">
        <v>3401</v>
      </c>
      <c r="B1955" t="s">
        <v>3402</v>
      </c>
      <c r="C1955" t="s">
        <v>291</v>
      </c>
      <c r="D1955">
        <v>3.5110000000000001</v>
      </c>
      <c r="E1955" s="4">
        <v>1123</v>
      </c>
      <c r="F1955" t="str">
        <f>HYPERLINK("https://www.google.com/maps/search/?api=1&amp;query=24.07860563,45.28627419", "View Map")</f>
        <v>View Map</v>
      </c>
    </row>
    <row r="1956" spans="1:7" x14ac:dyDescent="0.3">
      <c r="A1956" t="s">
        <v>3403</v>
      </c>
      <c r="B1956" t="s">
        <v>3404</v>
      </c>
      <c r="C1956" t="s">
        <v>291</v>
      </c>
      <c r="D1956">
        <v>3.5089999999999999</v>
      </c>
      <c r="E1956" s="4">
        <v>1123</v>
      </c>
      <c r="F1956" t="str">
        <f>HYPERLINK("https://www.google.com/maps/search/?api=1&amp;query=24.28023226,45.18065942", "View Map")</f>
        <v>View Map</v>
      </c>
      <c r="G1956" s="2">
        <v>0.88939505162759436</v>
      </c>
    </row>
    <row r="1957" spans="1:7" x14ac:dyDescent="0.3">
      <c r="A1957" t="s">
        <v>3405</v>
      </c>
      <c r="B1957" t="s">
        <v>3406</v>
      </c>
      <c r="C1957" t="s">
        <v>241</v>
      </c>
      <c r="D1957">
        <v>3.508</v>
      </c>
      <c r="E1957" s="4">
        <v>1123</v>
      </c>
      <c r="F1957" t="str">
        <f>HYPERLINK("https://www.google.com/maps/search/?api=1&amp;query=20.46355505,44.83804197", "View Map")</f>
        <v>View Map</v>
      </c>
      <c r="G1957" s="2">
        <v>0.75948623360411194</v>
      </c>
    </row>
    <row r="1958" spans="1:7" x14ac:dyDescent="0.3">
      <c r="A1958" t="s">
        <v>22</v>
      </c>
      <c r="B1958" t="s">
        <v>3407</v>
      </c>
      <c r="C1958" t="s">
        <v>8</v>
      </c>
      <c r="D1958">
        <v>3.5049999999999999</v>
      </c>
      <c r="E1958" s="4">
        <v>1122</v>
      </c>
      <c r="F1958" t="str">
        <f>HYPERLINK("https://www.google.com/maps/search/?api=1&amp;query=24.80795647,46.86424322", "View Map")</f>
        <v>View Map</v>
      </c>
    </row>
    <row r="1959" spans="1:7" x14ac:dyDescent="0.3">
      <c r="A1959" t="s">
        <v>3408</v>
      </c>
      <c r="B1959" t="s">
        <v>3409</v>
      </c>
      <c r="C1959" t="s">
        <v>214</v>
      </c>
      <c r="D1959">
        <v>3.5030000000000001</v>
      </c>
      <c r="E1959" s="4">
        <v>1121</v>
      </c>
      <c r="F1959" t="str">
        <f>HYPERLINK("https://www.google.com/maps/search/?api=1&amp;query=25.71420621,45.85951628", "View Map")</f>
        <v>View Map</v>
      </c>
      <c r="G1959" s="2">
        <v>0.6712447743558162</v>
      </c>
    </row>
    <row r="1960" spans="1:7" x14ac:dyDescent="0.3">
      <c r="A1960" t="s">
        <v>3410</v>
      </c>
      <c r="B1960" t="s">
        <v>3411</v>
      </c>
      <c r="C1960" t="s">
        <v>8</v>
      </c>
      <c r="D1960">
        <v>3.5019999999999998</v>
      </c>
      <c r="E1960" s="4">
        <v>1121</v>
      </c>
      <c r="F1960" t="str">
        <f>HYPERLINK("https://www.google.com/maps/search/?api=1&amp;query=24.5738435,46.78920839", "View Map")</f>
        <v>View Map</v>
      </c>
    </row>
    <row r="1961" spans="1:7" x14ac:dyDescent="0.3">
      <c r="A1961" t="s">
        <v>3412</v>
      </c>
      <c r="B1961" t="s">
        <v>3413</v>
      </c>
      <c r="C1961" t="s">
        <v>8</v>
      </c>
      <c r="D1961">
        <v>3.5019999999999998</v>
      </c>
      <c r="E1961" s="4">
        <v>1121</v>
      </c>
      <c r="F1961" t="str">
        <f>HYPERLINK("https://www.google.com/maps/search/?api=1&amp;query=24.66255947,46.62024682", "View Map")</f>
        <v>View Map</v>
      </c>
    </row>
    <row r="1962" spans="1:7" x14ac:dyDescent="0.3">
      <c r="A1962" t="s">
        <v>2781</v>
      </c>
      <c r="B1962" t="s">
        <v>3414</v>
      </c>
      <c r="C1962" t="s">
        <v>8</v>
      </c>
      <c r="D1962">
        <v>3.5009999999999999</v>
      </c>
      <c r="E1962" s="4">
        <v>1120</v>
      </c>
      <c r="F1962" t="str">
        <f>HYPERLINK("https://www.google.com/maps/search/?api=1&amp;query=24.69945577,46.78283113", "View Map")</f>
        <v>View Map</v>
      </c>
      <c r="G1962" s="2">
        <v>0.44469306606814218</v>
      </c>
    </row>
    <row r="1963" spans="1:7" x14ac:dyDescent="0.3">
      <c r="A1963" t="s">
        <v>3415</v>
      </c>
      <c r="B1963" t="s">
        <v>3416</v>
      </c>
      <c r="C1963" t="s">
        <v>738</v>
      </c>
      <c r="D1963">
        <v>3.5009999999999999</v>
      </c>
      <c r="E1963" s="4">
        <v>1120</v>
      </c>
      <c r="F1963" t="str">
        <f>HYPERLINK("https://www.google.com/maps/search/?api=1&amp;query=25.10960103,46.09413001", "View Map")</f>
        <v>View Map</v>
      </c>
      <c r="G1963" s="2">
        <v>0.50185025343776191</v>
      </c>
    </row>
    <row r="1964" spans="1:7" x14ac:dyDescent="0.3">
      <c r="A1964" t="s">
        <v>1594</v>
      </c>
      <c r="B1964" t="s">
        <v>3417</v>
      </c>
      <c r="C1964" t="s">
        <v>296</v>
      </c>
      <c r="D1964">
        <v>3.5</v>
      </c>
      <c r="E1964" s="4">
        <v>1120</v>
      </c>
      <c r="F1964" t="str">
        <f>HYPERLINK("https://www.google.com/maps/search/?api=1&amp;query=24.46488858,46.22744825", "View Map")</f>
        <v>View Map</v>
      </c>
      <c r="G1964" s="2">
        <v>0.6017288709545785</v>
      </c>
    </row>
    <row r="1965" spans="1:7" x14ac:dyDescent="0.3">
      <c r="A1965" t="s">
        <v>3418</v>
      </c>
      <c r="B1965" t="s">
        <v>3419</v>
      </c>
      <c r="C1965" t="s">
        <v>30</v>
      </c>
      <c r="D1965">
        <v>3.4980000000000002</v>
      </c>
      <c r="E1965" s="4">
        <v>1119</v>
      </c>
      <c r="F1965" t="str">
        <f>HYPERLINK("https://www.google.com/maps/search/?api=1&amp;query=24.1539678,47.30686577", "View Map")</f>
        <v>View Map</v>
      </c>
      <c r="G1965" s="2">
        <v>0.42889208077733759</v>
      </c>
    </row>
    <row r="1966" spans="1:7" x14ac:dyDescent="0.3">
      <c r="A1966" t="s">
        <v>3420</v>
      </c>
      <c r="B1966" t="s">
        <v>3421</v>
      </c>
      <c r="C1966" t="s">
        <v>21</v>
      </c>
      <c r="D1966">
        <v>3.4940000000000002</v>
      </c>
      <c r="E1966" s="4">
        <v>1118</v>
      </c>
      <c r="F1966" t="str">
        <f>HYPERLINK("https://www.google.com/maps/search/?api=1&amp;query=26.29904227,44.80084273", "View Map")</f>
        <v>View Map</v>
      </c>
      <c r="G1966" s="2">
        <v>0.52633484613082804</v>
      </c>
    </row>
    <row r="1967" spans="1:7" x14ac:dyDescent="0.3">
      <c r="A1967" t="s">
        <v>775</v>
      </c>
      <c r="B1967" t="s">
        <v>3422</v>
      </c>
      <c r="C1967" t="s">
        <v>8</v>
      </c>
      <c r="D1967">
        <v>3.4929999999999999</v>
      </c>
      <c r="E1967" s="4">
        <v>1118</v>
      </c>
      <c r="F1967" t="str">
        <f>HYPERLINK("https://www.google.com/maps/search/?api=1&amp;query=24.5919537,46.7471375", "View Map")</f>
        <v>View Map</v>
      </c>
      <c r="G1967" s="2">
        <v>0.87493545385086124</v>
      </c>
    </row>
    <row r="1968" spans="1:7" x14ac:dyDescent="0.3">
      <c r="A1968" t="s">
        <v>3423</v>
      </c>
      <c r="B1968" t="s">
        <v>3424</v>
      </c>
      <c r="C1968" t="s">
        <v>21</v>
      </c>
      <c r="D1968">
        <v>3.4929999999999999</v>
      </c>
      <c r="E1968" s="4">
        <v>1118</v>
      </c>
      <c r="F1968" t="str">
        <f>HYPERLINK("https://www.google.com/maps/search/?api=1&amp;query=26.29852686,44.82937323", "View Map")</f>
        <v>View Map</v>
      </c>
      <c r="G1968" s="2">
        <v>0.64360474772682452</v>
      </c>
    </row>
    <row r="1969" spans="1:7" x14ac:dyDescent="0.3">
      <c r="A1969" t="s">
        <v>146</v>
      </c>
      <c r="B1969" t="s">
        <v>3425</v>
      </c>
      <c r="C1969" t="s">
        <v>8</v>
      </c>
      <c r="D1969">
        <v>3.4910000000000001</v>
      </c>
      <c r="E1969" s="4">
        <v>1117</v>
      </c>
      <c r="F1969" t="str">
        <f>HYPERLINK("https://www.google.com/maps/search/?api=1&amp;query=24.68195315,46.57841689", "View Map")</f>
        <v>View Map</v>
      </c>
      <c r="G1969" s="2">
        <v>0.71517976051269416</v>
      </c>
    </row>
    <row r="1970" spans="1:7" x14ac:dyDescent="0.3">
      <c r="A1970" t="s">
        <v>3426</v>
      </c>
      <c r="B1970" t="s">
        <v>3427</v>
      </c>
      <c r="C1970" t="s">
        <v>8</v>
      </c>
      <c r="D1970">
        <v>3.4910000000000001</v>
      </c>
      <c r="E1970" s="4">
        <v>1117</v>
      </c>
      <c r="F1970" t="str">
        <f>HYPERLINK("https://www.google.com/maps/search/?api=1&amp;query=24.66047004,46.6948098", "View Map")</f>
        <v>View Map</v>
      </c>
    </row>
    <row r="1971" spans="1:7" x14ac:dyDescent="0.3">
      <c r="A1971" t="s">
        <v>3428</v>
      </c>
      <c r="B1971" t="s">
        <v>3429</v>
      </c>
      <c r="C1971" t="s">
        <v>296</v>
      </c>
      <c r="D1971">
        <v>3.4889999999999999</v>
      </c>
      <c r="E1971" s="4">
        <v>1116</v>
      </c>
      <c r="F1971" t="str">
        <f>HYPERLINK("https://www.google.com/maps/search/?api=1&amp;query=24.47994898,46.29202814", "View Map")</f>
        <v>View Map</v>
      </c>
      <c r="G1971" s="2">
        <v>0.39170569430896263</v>
      </c>
    </row>
    <row r="1972" spans="1:7" x14ac:dyDescent="0.3">
      <c r="A1972" t="s">
        <v>210</v>
      </c>
      <c r="B1972" t="s">
        <v>3430</v>
      </c>
      <c r="C1972" t="s">
        <v>8</v>
      </c>
      <c r="D1972">
        <v>3.488</v>
      </c>
      <c r="E1972" s="4">
        <v>1116</v>
      </c>
      <c r="F1972" t="str">
        <f>HYPERLINK("https://www.google.com/maps/search/?api=1&amp;query=24.67811386,46.70644698", "View Map")</f>
        <v>View Map</v>
      </c>
    </row>
    <row r="1973" spans="1:7" x14ac:dyDescent="0.3">
      <c r="A1973" t="s">
        <v>3431</v>
      </c>
      <c r="B1973" t="s">
        <v>3432</v>
      </c>
      <c r="C1973" t="s">
        <v>255</v>
      </c>
      <c r="D1973">
        <v>3.488</v>
      </c>
      <c r="E1973" s="4">
        <v>1116</v>
      </c>
      <c r="F1973" t="str">
        <f>HYPERLINK("https://www.google.com/maps/search/?api=1&amp;query=24.46176493,44.51351203", "View Map")</f>
        <v>View Map</v>
      </c>
      <c r="G1973" s="2">
        <v>0.61348994882438856</v>
      </c>
    </row>
    <row r="1974" spans="1:7" x14ac:dyDescent="0.3">
      <c r="A1974" t="s">
        <v>3433</v>
      </c>
      <c r="B1974" t="s">
        <v>3434</v>
      </c>
      <c r="C1974" t="s">
        <v>8</v>
      </c>
      <c r="D1974">
        <v>3.484</v>
      </c>
      <c r="E1974" s="4">
        <v>1115</v>
      </c>
      <c r="F1974" t="str">
        <f>HYPERLINK("https://www.google.com/maps/search/?api=1&amp;query=24.72898476,46.81507056", "View Map")</f>
        <v>View Map</v>
      </c>
    </row>
    <row r="1975" spans="1:7" x14ac:dyDescent="0.3">
      <c r="A1975" t="s">
        <v>46</v>
      </c>
      <c r="B1975" t="s">
        <v>3435</v>
      </c>
      <c r="C1975" t="s">
        <v>8</v>
      </c>
      <c r="D1975">
        <v>3.4830000000000001</v>
      </c>
      <c r="E1975" s="4">
        <v>1114</v>
      </c>
      <c r="F1975" t="str">
        <f>HYPERLINK("https://www.google.com/maps/search/?api=1&amp;query=24.6867,46.585", "View Map")</f>
        <v>View Map</v>
      </c>
    </row>
    <row r="1976" spans="1:7" x14ac:dyDescent="0.3">
      <c r="A1976" t="s">
        <v>627</v>
      </c>
      <c r="B1976" t="s">
        <v>3436</v>
      </c>
      <c r="C1976" t="s">
        <v>8</v>
      </c>
      <c r="D1976">
        <v>3.4809999999999999</v>
      </c>
      <c r="E1976" s="4">
        <v>1114</v>
      </c>
      <c r="F1976" t="str">
        <f>HYPERLINK("https://www.google.com/maps/search/?api=1&amp;query=24.8269,46.6361", "View Map")</f>
        <v>View Map</v>
      </c>
    </row>
    <row r="1977" spans="1:7" x14ac:dyDescent="0.3">
      <c r="A1977" t="s">
        <v>3437</v>
      </c>
      <c r="B1977" t="s">
        <v>3438</v>
      </c>
      <c r="C1977" t="s">
        <v>8</v>
      </c>
      <c r="D1977">
        <v>3.476</v>
      </c>
      <c r="E1977" s="4">
        <v>1112</v>
      </c>
      <c r="F1977" t="str">
        <f>HYPERLINK("https://www.google.com/maps/search/?api=1&amp;query=24.56483434,46.76171283", "View Map")</f>
        <v>View Map</v>
      </c>
    </row>
    <row r="1978" spans="1:7" x14ac:dyDescent="0.3">
      <c r="A1978" t="s">
        <v>881</v>
      </c>
      <c r="B1978" t="s">
        <v>3439</v>
      </c>
      <c r="C1978" t="s">
        <v>883</v>
      </c>
      <c r="D1978">
        <v>3.4750000000000001</v>
      </c>
      <c r="E1978" s="4">
        <v>1112</v>
      </c>
      <c r="F1978" t="str">
        <f>HYPERLINK("https://www.google.com/maps/search/?api=1&amp;query=25.56459221,47.1757458", "View Map")</f>
        <v>View Map</v>
      </c>
      <c r="G1978" s="2">
        <v>0.45624473370693558</v>
      </c>
    </row>
    <row r="1979" spans="1:7" x14ac:dyDescent="0.3">
      <c r="A1979" t="s">
        <v>146</v>
      </c>
      <c r="B1979" t="s">
        <v>3440</v>
      </c>
      <c r="C1979" t="s">
        <v>8</v>
      </c>
      <c r="D1979">
        <v>3.4710000000000001</v>
      </c>
      <c r="E1979" s="4">
        <v>1111</v>
      </c>
      <c r="F1979" t="str">
        <f>HYPERLINK("https://www.google.com/maps/search/?api=1&amp;query=24.5736,46.5356", "View Map")</f>
        <v>View Map</v>
      </c>
    </row>
    <row r="1980" spans="1:7" x14ac:dyDescent="0.3">
      <c r="A1980" t="s">
        <v>3441</v>
      </c>
      <c r="B1980" t="s">
        <v>3442</v>
      </c>
      <c r="C1980" t="s">
        <v>8</v>
      </c>
      <c r="D1980">
        <v>3.4660000000000002</v>
      </c>
      <c r="E1980" s="4">
        <v>1109</v>
      </c>
      <c r="F1980" t="str">
        <f>HYPERLINK("https://www.google.com/maps/search/?api=1&amp;query=24.62136966,46.73679417", "View Map")</f>
        <v>View Map</v>
      </c>
    </row>
    <row r="1981" spans="1:7" x14ac:dyDescent="0.3">
      <c r="A1981" t="s">
        <v>3443</v>
      </c>
      <c r="B1981" t="s">
        <v>3444</v>
      </c>
      <c r="C1981" t="s">
        <v>8</v>
      </c>
      <c r="D1981">
        <v>3.4649999999999999</v>
      </c>
      <c r="E1981" s="4">
        <v>1109</v>
      </c>
      <c r="F1981" t="str">
        <f>HYPERLINK("https://www.google.com/maps/search/?api=1&amp;query=24.57467219,46.7800645", "View Map")</f>
        <v>View Map</v>
      </c>
    </row>
    <row r="1982" spans="1:7" x14ac:dyDescent="0.3">
      <c r="A1982" t="s">
        <v>3445</v>
      </c>
      <c r="B1982" t="s">
        <v>3446</v>
      </c>
      <c r="C1982" t="s">
        <v>8</v>
      </c>
      <c r="D1982">
        <v>3.4649999999999999</v>
      </c>
      <c r="E1982" s="4">
        <v>1109</v>
      </c>
      <c r="F1982" t="str">
        <f>HYPERLINK("https://www.google.com/maps/search/?api=1&amp;query=24.64226278,46.54672361", "View Map")</f>
        <v>View Map</v>
      </c>
    </row>
    <row r="1983" spans="1:7" x14ac:dyDescent="0.3">
      <c r="A1983" t="s">
        <v>3447</v>
      </c>
      <c r="B1983" t="s">
        <v>3448</v>
      </c>
      <c r="C1983" t="s">
        <v>30</v>
      </c>
      <c r="D1983">
        <v>3.4649999999999999</v>
      </c>
      <c r="E1983" s="4">
        <v>1109</v>
      </c>
      <c r="F1983" t="str">
        <f>HYPERLINK("https://www.google.com/maps/search/?api=1&amp;query=24.13698984,47.2831484", "View Map")</f>
        <v>View Map</v>
      </c>
      <c r="G1983" s="2">
        <v>0.47106699066023289</v>
      </c>
    </row>
    <row r="1984" spans="1:7" x14ac:dyDescent="0.3">
      <c r="A1984" t="s">
        <v>3449</v>
      </c>
      <c r="B1984" t="s">
        <v>3450</v>
      </c>
      <c r="C1984" t="s">
        <v>291</v>
      </c>
      <c r="D1984">
        <v>3.464</v>
      </c>
      <c r="E1984" s="4">
        <v>1108</v>
      </c>
      <c r="F1984" t="str">
        <f>HYPERLINK("https://www.google.com/maps/search/?api=1&amp;query=23.76431816,44.76264936", "View Map")</f>
        <v>View Map</v>
      </c>
    </row>
    <row r="1985" spans="1:7" x14ac:dyDescent="0.3">
      <c r="A1985" t="s">
        <v>3451</v>
      </c>
      <c r="B1985" t="s">
        <v>3452</v>
      </c>
      <c r="C1985" t="s">
        <v>442</v>
      </c>
      <c r="D1985">
        <v>3.464</v>
      </c>
      <c r="E1985" s="4">
        <v>1109</v>
      </c>
      <c r="F1985" t="str">
        <f>HYPERLINK("https://www.google.com/maps/search/?api=1&amp;query=23.63270452,46.50823466", "View Map")</f>
        <v>View Map</v>
      </c>
      <c r="G1985" s="2">
        <v>0.43553363417512919</v>
      </c>
    </row>
    <row r="1986" spans="1:7" x14ac:dyDescent="0.3">
      <c r="A1986" t="s">
        <v>3453</v>
      </c>
      <c r="B1986" t="s">
        <v>3454</v>
      </c>
      <c r="C1986" t="s">
        <v>8</v>
      </c>
      <c r="D1986">
        <v>3.4630000000000001</v>
      </c>
      <c r="E1986" s="4">
        <v>1108</v>
      </c>
      <c r="F1986" t="str">
        <f>HYPERLINK("https://www.google.com/maps/search/?api=1&amp;query=24.8150759,46.79136976", "View Map")</f>
        <v>View Map</v>
      </c>
      <c r="G1986" s="2">
        <v>0.40918658610973357</v>
      </c>
    </row>
    <row r="1987" spans="1:7" x14ac:dyDescent="0.3">
      <c r="A1987" t="s">
        <v>3455</v>
      </c>
      <c r="B1987" t="s">
        <v>3456</v>
      </c>
      <c r="C1987" t="s">
        <v>8</v>
      </c>
      <c r="D1987">
        <v>3.4620000000000002</v>
      </c>
      <c r="E1987" s="4">
        <v>1108</v>
      </c>
      <c r="F1987" t="str">
        <f>HYPERLINK("https://www.google.com/maps/search/?api=1&amp;query=24.57816014,46.64125817", "View Map")</f>
        <v>View Map</v>
      </c>
    </row>
    <row r="1988" spans="1:7" x14ac:dyDescent="0.3">
      <c r="A1988" t="s">
        <v>3457</v>
      </c>
      <c r="B1988" t="s">
        <v>3458</v>
      </c>
      <c r="C1988" t="s">
        <v>8</v>
      </c>
      <c r="D1988">
        <v>3.4620000000000002</v>
      </c>
      <c r="E1988" s="4">
        <v>1108</v>
      </c>
      <c r="F1988" t="str">
        <f>HYPERLINK("https://www.google.com/maps/search/?api=1&amp;query=24.77867468,46.75787019", "View Map")</f>
        <v>View Map</v>
      </c>
    </row>
    <row r="1989" spans="1:7" x14ac:dyDescent="0.3">
      <c r="A1989" t="s">
        <v>46</v>
      </c>
      <c r="B1989" t="s">
        <v>3459</v>
      </c>
      <c r="C1989" t="s">
        <v>8</v>
      </c>
      <c r="D1989">
        <v>3.4620000000000002</v>
      </c>
      <c r="E1989" s="4">
        <v>1108</v>
      </c>
      <c r="F1989" t="str">
        <f>HYPERLINK("https://www.google.com/maps/search/?api=1&amp;query=24.6494479,46.76635901", "View Map")</f>
        <v>View Map</v>
      </c>
    </row>
    <row r="1990" spans="1:7" x14ac:dyDescent="0.3">
      <c r="A1990" t="s">
        <v>3460</v>
      </c>
      <c r="B1990" t="s">
        <v>3461</v>
      </c>
      <c r="C1990" t="s">
        <v>8</v>
      </c>
      <c r="D1990">
        <v>3.4620000000000002</v>
      </c>
      <c r="E1990" s="4">
        <v>1108</v>
      </c>
      <c r="F1990" t="str">
        <f>HYPERLINK("https://www.google.com/maps/search/?api=1&amp;query=24.69591433,46.74797927", "View Map")</f>
        <v>View Map</v>
      </c>
      <c r="G1990" s="2">
        <v>0.49745152143834498</v>
      </c>
    </row>
    <row r="1991" spans="1:7" x14ac:dyDescent="0.3">
      <c r="A1991" t="s">
        <v>2964</v>
      </c>
      <c r="B1991" t="s">
        <v>3462</v>
      </c>
      <c r="C1991" t="s">
        <v>8</v>
      </c>
      <c r="D1991">
        <v>3.46</v>
      </c>
      <c r="E1991" s="4">
        <v>1107</v>
      </c>
      <c r="F1991" t="str">
        <f>HYPERLINK("https://www.google.com/maps/search/?api=1&amp;query=24.74754931,46.82205751", "View Map")</f>
        <v>View Map</v>
      </c>
    </row>
    <row r="1992" spans="1:7" x14ac:dyDescent="0.3">
      <c r="A1992" t="s">
        <v>3463</v>
      </c>
      <c r="B1992" t="s">
        <v>3464</v>
      </c>
      <c r="C1992" t="s">
        <v>738</v>
      </c>
      <c r="D1992">
        <v>3.46</v>
      </c>
      <c r="E1992" s="4">
        <v>1107</v>
      </c>
      <c r="F1992" t="str">
        <f>HYPERLINK("https://www.google.com/maps/search/?api=1&amp;query=25.10823824,46.08976949", "View Map")</f>
        <v>View Map</v>
      </c>
      <c r="G1992" s="2">
        <v>0.70425386235877441</v>
      </c>
    </row>
    <row r="1993" spans="1:7" x14ac:dyDescent="0.3">
      <c r="A1993" t="s">
        <v>28</v>
      </c>
      <c r="B1993" t="s">
        <v>3465</v>
      </c>
      <c r="C1993" t="s">
        <v>30</v>
      </c>
      <c r="D1993">
        <v>3.4590000000000001</v>
      </c>
      <c r="E1993" s="4">
        <v>1107</v>
      </c>
      <c r="F1993" t="str">
        <f>HYPERLINK("https://www.google.com/maps/search/?api=1&amp;query=24.14955868,47.373937", "View Map")</f>
        <v>View Map</v>
      </c>
      <c r="G1993" s="2">
        <v>0.59880254229654395</v>
      </c>
    </row>
    <row r="1994" spans="1:7" x14ac:dyDescent="0.3">
      <c r="A1994" t="s">
        <v>3466</v>
      </c>
      <c r="B1994" t="s">
        <v>3467</v>
      </c>
      <c r="C1994" t="s">
        <v>291</v>
      </c>
      <c r="D1994">
        <v>3.4580000000000002</v>
      </c>
      <c r="E1994" s="4">
        <v>1107</v>
      </c>
      <c r="F1994" t="str">
        <f>HYPERLINK("https://www.google.com/maps/search/?api=1&amp;query=24.36076564,45.86575957", "View Map")</f>
        <v>View Map</v>
      </c>
      <c r="G1994" s="2">
        <v>0.66269002217667872</v>
      </c>
    </row>
    <row r="1995" spans="1:7" x14ac:dyDescent="0.3">
      <c r="A1995" t="s">
        <v>479</v>
      </c>
      <c r="B1995" t="s">
        <v>3468</v>
      </c>
      <c r="C1995" t="s">
        <v>738</v>
      </c>
      <c r="D1995">
        <v>3.4580000000000002</v>
      </c>
      <c r="E1995" s="4">
        <v>1107</v>
      </c>
      <c r="F1995" t="str">
        <f>HYPERLINK("https://www.google.com/maps/search/?api=1&amp;query=25.12644658,46.08275716", "View Map")</f>
        <v>View Map</v>
      </c>
    </row>
    <row r="1996" spans="1:7" x14ac:dyDescent="0.3">
      <c r="A1996" t="s">
        <v>3331</v>
      </c>
      <c r="B1996" t="s">
        <v>3469</v>
      </c>
      <c r="C1996" t="s">
        <v>8</v>
      </c>
      <c r="D1996">
        <v>3.4550000000000001</v>
      </c>
      <c r="E1996" s="4">
        <v>1106</v>
      </c>
      <c r="F1996" t="str">
        <f>HYPERLINK("https://www.google.com/maps/search/?api=1&amp;query=24.68787843,46.57693484", "View Map")</f>
        <v>View Map</v>
      </c>
    </row>
    <row r="1997" spans="1:7" x14ac:dyDescent="0.3">
      <c r="A1997" t="s">
        <v>3470</v>
      </c>
      <c r="B1997" t="s">
        <v>3471</v>
      </c>
      <c r="C1997" t="s">
        <v>291</v>
      </c>
      <c r="D1997">
        <v>3.4540000000000002</v>
      </c>
      <c r="E1997" s="4">
        <v>1105</v>
      </c>
      <c r="F1997" t="str">
        <f>HYPERLINK("https://www.google.com/maps/search/?api=1&amp;query=23.52366,44.43464333", "View Map")</f>
        <v>View Map</v>
      </c>
      <c r="G1997" s="2">
        <v>0.2477912539576054</v>
      </c>
    </row>
    <row r="1998" spans="1:7" x14ac:dyDescent="0.3">
      <c r="A1998" t="s">
        <v>3472</v>
      </c>
      <c r="B1998" t="s">
        <v>3473</v>
      </c>
      <c r="C1998" t="s">
        <v>21</v>
      </c>
      <c r="D1998">
        <v>3.4540000000000002</v>
      </c>
      <c r="E1998" s="4">
        <v>1105</v>
      </c>
      <c r="F1998" t="str">
        <f>HYPERLINK("https://www.google.com/maps/search/?api=1&amp;query=26.29073093,44.83169088", "View Map")</f>
        <v>View Map</v>
      </c>
      <c r="G1998" s="2">
        <v>0.66591684131610096</v>
      </c>
    </row>
    <row r="1999" spans="1:7" x14ac:dyDescent="0.3">
      <c r="A1999" t="s">
        <v>28</v>
      </c>
      <c r="B1999" t="s">
        <v>3474</v>
      </c>
      <c r="C1999" t="s">
        <v>30</v>
      </c>
      <c r="D1999">
        <v>3.4529999999999998</v>
      </c>
      <c r="E1999" s="4">
        <v>1105</v>
      </c>
      <c r="F1999" t="str">
        <f>HYPERLINK("https://www.google.com/maps/search/?api=1&amp;query=24.0945035,47.27503035", "View Map")</f>
        <v>View Map</v>
      </c>
      <c r="G1999" s="2">
        <v>0.62383875285948509</v>
      </c>
    </row>
    <row r="2000" spans="1:7" x14ac:dyDescent="0.3">
      <c r="A2000" t="s">
        <v>46</v>
      </c>
      <c r="B2000" t="s">
        <v>3475</v>
      </c>
      <c r="C2000" t="s">
        <v>8</v>
      </c>
      <c r="D2000">
        <v>3.4529999999999998</v>
      </c>
      <c r="E2000" s="4">
        <v>1105</v>
      </c>
      <c r="F2000" t="str">
        <f>HYPERLINK("https://www.google.com/maps/search/?api=1&amp;query=24.81007111,46.77214236", "View Map")</f>
        <v>View Map</v>
      </c>
      <c r="G2000" s="2">
        <v>0.41340330923500412</v>
      </c>
    </row>
    <row r="2001" spans="1:7" x14ac:dyDescent="0.3">
      <c r="A2001" t="s">
        <v>3476</v>
      </c>
      <c r="B2001" t="s">
        <v>3477</v>
      </c>
      <c r="C2001" t="s">
        <v>291</v>
      </c>
      <c r="D2001">
        <v>3.45</v>
      </c>
      <c r="E2001" s="4">
        <v>1104</v>
      </c>
      <c r="F2001" t="str">
        <f>HYPERLINK("https://www.google.com/maps/search/?api=1&amp;query=23.84650032,44.99454705", "View Map")</f>
        <v>View Map</v>
      </c>
      <c r="G2001" s="2">
        <v>0.37156020109127769</v>
      </c>
    </row>
    <row r="2002" spans="1:7" x14ac:dyDescent="0.3">
      <c r="A2002" t="s">
        <v>3478</v>
      </c>
      <c r="B2002" t="s">
        <v>3479</v>
      </c>
      <c r="C2002" t="s">
        <v>8</v>
      </c>
      <c r="D2002">
        <v>3.45</v>
      </c>
      <c r="E2002" s="4">
        <v>1104</v>
      </c>
      <c r="F2002" t="str">
        <f>HYPERLINK("https://www.google.com/maps/search/?api=1&amp;query=24.61971784,46.68514775", "View Map")</f>
        <v>View Map</v>
      </c>
    </row>
    <row r="2003" spans="1:7" x14ac:dyDescent="0.3">
      <c r="A2003" t="s">
        <v>3480</v>
      </c>
      <c r="B2003" t="s">
        <v>3481</v>
      </c>
      <c r="C2003" t="s">
        <v>8</v>
      </c>
      <c r="D2003">
        <v>3.4460000000000002</v>
      </c>
      <c r="E2003" s="4">
        <v>1103</v>
      </c>
      <c r="F2003" t="str">
        <f>HYPERLINK("https://www.google.com/maps/search/?api=1&amp;query=24.59058566,46.68904697", "View Map")</f>
        <v>View Map</v>
      </c>
    </row>
    <row r="2004" spans="1:7" x14ac:dyDescent="0.3">
      <c r="A2004" t="s">
        <v>3482</v>
      </c>
      <c r="B2004" t="s">
        <v>3483</v>
      </c>
      <c r="C2004" t="s">
        <v>8</v>
      </c>
      <c r="D2004">
        <v>3.4449999999999998</v>
      </c>
      <c r="E2004" s="4">
        <v>1102</v>
      </c>
      <c r="F2004" t="str">
        <f>HYPERLINK("https://www.google.com/maps/search/?api=1&amp;query=24.66404451,46.78965257", "View Map")</f>
        <v>View Map</v>
      </c>
    </row>
    <row r="2005" spans="1:7" x14ac:dyDescent="0.3">
      <c r="A2005" t="s">
        <v>3484</v>
      </c>
      <c r="B2005" t="s">
        <v>3485</v>
      </c>
      <c r="C2005" t="s">
        <v>8</v>
      </c>
      <c r="D2005">
        <v>3.444</v>
      </c>
      <c r="E2005" s="4">
        <v>1102</v>
      </c>
      <c r="F2005" t="str">
        <f>HYPERLINK("https://www.google.com/maps/search/?api=1&amp;query=24.75972717,46.61051843", "View Map")</f>
        <v>View Map</v>
      </c>
    </row>
    <row r="2006" spans="1:7" x14ac:dyDescent="0.3">
      <c r="A2006" t="s">
        <v>3486</v>
      </c>
      <c r="B2006" t="s">
        <v>3487</v>
      </c>
      <c r="C2006" t="s">
        <v>8</v>
      </c>
      <c r="D2006">
        <v>3.4430000000000001</v>
      </c>
      <c r="E2006" s="4">
        <v>1102</v>
      </c>
      <c r="F2006" t="str">
        <f>HYPERLINK("https://www.google.com/maps/search/?api=1&amp;query=24.75983333,46.82809271", "View Map")</f>
        <v>View Map</v>
      </c>
    </row>
    <row r="2007" spans="1:7" x14ac:dyDescent="0.3">
      <c r="A2007" t="s">
        <v>3488</v>
      </c>
      <c r="B2007" t="s">
        <v>3489</v>
      </c>
      <c r="C2007" t="s">
        <v>30</v>
      </c>
      <c r="D2007">
        <v>3.4409999999999998</v>
      </c>
      <c r="E2007" s="4">
        <v>1101</v>
      </c>
      <c r="F2007" t="str">
        <f>HYPERLINK("https://www.google.com/maps/search/?api=1&amp;query=24.2082673,47.263619", "View Map")</f>
        <v>View Map</v>
      </c>
      <c r="G2007" s="2">
        <v>0.50185067498213731</v>
      </c>
    </row>
    <row r="2008" spans="1:7" x14ac:dyDescent="0.3">
      <c r="A2008" t="s">
        <v>3490</v>
      </c>
      <c r="B2008" t="s">
        <v>3491</v>
      </c>
      <c r="C2008" t="s">
        <v>214</v>
      </c>
      <c r="D2008">
        <v>3.4409999999999998</v>
      </c>
      <c r="E2008" s="4">
        <v>1101</v>
      </c>
      <c r="F2008" t="str">
        <f>HYPERLINK("https://www.google.com/maps/search/?api=1&amp;query=26.64095507,45.2431103", "View Map")</f>
        <v>View Map</v>
      </c>
      <c r="G2008" s="2">
        <v>0.55280036436272961</v>
      </c>
    </row>
    <row r="2009" spans="1:7" x14ac:dyDescent="0.3">
      <c r="A2009" t="s">
        <v>28</v>
      </c>
      <c r="B2009" t="s">
        <v>3492</v>
      </c>
      <c r="C2009" t="s">
        <v>30</v>
      </c>
      <c r="D2009">
        <v>3.4409999999999998</v>
      </c>
      <c r="E2009" s="4">
        <v>1101</v>
      </c>
      <c r="F2009" t="str">
        <f>HYPERLINK("https://www.google.com/maps/search/?api=1&amp;query=24.09442,47.27492", "View Map")</f>
        <v>View Map</v>
      </c>
      <c r="G2009" s="2">
        <v>0.55346358312389798</v>
      </c>
    </row>
    <row r="2010" spans="1:7" x14ac:dyDescent="0.3">
      <c r="A2010" t="s">
        <v>3493</v>
      </c>
      <c r="B2010" t="s">
        <v>3494</v>
      </c>
      <c r="C2010" t="s">
        <v>8</v>
      </c>
      <c r="D2010">
        <v>3.44</v>
      </c>
      <c r="E2010" s="4">
        <v>1101</v>
      </c>
      <c r="F2010" t="str">
        <f>HYPERLINK("https://www.google.com/maps/search/?api=1&amp;query=24.63693425,46.66294383", "View Map")</f>
        <v>View Map</v>
      </c>
    </row>
    <row r="2011" spans="1:7" x14ac:dyDescent="0.3">
      <c r="A2011" t="s">
        <v>3495</v>
      </c>
      <c r="B2011" t="s">
        <v>3496</v>
      </c>
      <c r="C2011" t="s">
        <v>8</v>
      </c>
      <c r="D2011">
        <v>3.4390000000000001</v>
      </c>
      <c r="E2011" s="4">
        <v>1100</v>
      </c>
      <c r="F2011" t="str">
        <f>HYPERLINK("https://www.google.com/maps/search/?api=1&amp;query=24.80308317,46.68861468", "View Map")</f>
        <v>View Map</v>
      </c>
      <c r="G2011" s="2">
        <v>0.37608935094836232</v>
      </c>
    </row>
    <row r="2012" spans="1:7" x14ac:dyDescent="0.3">
      <c r="A2012" t="s">
        <v>881</v>
      </c>
      <c r="B2012" t="s">
        <v>3497</v>
      </c>
      <c r="C2012" t="s">
        <v>883</v>
      </c>
      <c r="D2012">
        <v>3.4380000000000002</v>
      </c>
      <c r="E2012" s="4">
        <v>1100</v>
      </c>
      <c r="F2012" t="str">
        <f>HYPERLINK("https://www.google.com/maps/search/?api=1&amp;query=25.56024081,47.15604065", "View Map")</f>
        <v>View Map</v>
      </c>
      <c r="G2012" s="2">
        <v>0.64547675300159535</v>
      </c>
    </row>
    <row r="2013" spans="1:7" x14ac:dyDescent="0.3">
      <c r="A2013" t="s">
        <v>3498</v>
      </c>
      <c r="B2013" t="s">
        <v>3499</v>
      </c>
      <c r="C2013" t="s">
        <v>255</v>
      </c>
      <c r="D2013">
        <v>3.4359999999999999</v>
      </c>
      <c r="E2013" s="4">
        <v>1099</v>
      </c>
      <c r="F2013" t="str">
        <f>HYPERLINK("https://www.google.com/maps/search/?api=1&amp;query=24.69591121,44.30393957", "View Map")</f>
        <v>View Map</v>
      </c>
    </row>
    <row r="2014" spans="1:7" x14ac:dyDescent="0.3">
      <c r="A2014" t="s">
        <v>289</v>
      </c>
      <c r="B2014" t="s">
        <v>3500</v>
      </c>
      <c r="C2014" t="s">
        <v>291</v>
      </c>
      <c r="D2014">
        <v>3.4359999999999999</v>
      </c>
      <c r="E2014" s="4">
        <v>1099</v>
      </c>
      <c r="F2014" t="str">
        <f>HYPERLINK("https://www.google.com/maps/search/?api=1&amp;query=24.07626638,45.30074534", "View Map")</f>
        <v>View Map</v>
      </c>
      <c r="G2014" s="2">
        <v>0.64206042607806768</v>
      </c>
    </row>
    <row r="2015" spans="1:7" x14ac:dyDescent="0.3">
      <c r="A2015" t="s">
        <v>73</v>
      </c>
      <c r="B2015" t="s">
        <v>3501</v>
      </c>
      <c r="C2015" t="s">
        <v>8</v>
      </c>
      <c r="D2015">
        <v>3.4319999999999999</v>
      </c>
      <c r="E2015" s="4">
        <v>1098</v>
      </c>
      <c r="F2015" t="str">
        <f>HYPERLINK("https://www.google.com/maps/search/?api=1&amp;query=24.74258135,46.60515112", "View Map")</f>
        <v>View Map</v>
      </c>
    </row>
    <row r="2016" spans="1:7" x14ac:dyDescent="0.3">
      <c r="A2016" t="s">
        <v>3502</v>
      </c>
      <c r="B2016" t="s">
        <v>3503</v>
      </c>
      <c r="C2016" t="s">
        <v>255</v>
      </c>
      <c r="D2016">
        <v>3.43</v>
      </c>
      <c r="E2016" s="4">
        <v>1098</v>
      </c>
      <c r="F2016" t="str">
        <f>HYPERLINK("https://www.google.com/maps/search/?api=1&amp;query=25.49352568,44.41472497", "View Map")</f>
        <v>View Map</v>
      </c>
      <c r="G2016" s="2">
        <v>0.53247653568960307</v>
      </c>
    </row>
    <row r="2017" spans="1:7" x14ac:dyDescent="0.3">
      <c r="A2017" t="s">
        <v>1594</v>
      </c>
      <c r="B2017" t="s">
        <v>3504</v>
      </c>
      <c r="C2017" t="s">
        <v>296</v>
      </c>
      <c r="D2017">
        <v>3.4289999999999998</v>
      </c>
      <c r="E2017" s="4">
        <v>1097</v>
      </c>
      <c r="F2017" t="str">
        <f>HYPERLINK("https://www.google.com/maps/search/?api=1&amp;query=24.47628007,46.26872917", "View Map")</f>
        <v>View Map</v>
      </c>
    </row>
    <row r="2018" spans="1:7" x14ac:dyDescent="0.3">
      <c r="A2018" t="s">
        <v>146</v>
      </c>
      <c r="B2018" t="s">
        <v>3505</v>
      </c>
      <c r="C2018" t="s">
        <v>8</v>
      </c>
      <c r="D2018">
        <v>3.4289999999999998</v>
      </c>
      <c r="E2018" s="4">
        <v>1097</v>
      </c>
      <c r="F2018" t="str">
        <f>HYPERLINK("https://www.google.com/maps/search/?api=1&amp;query=24.56556101,46.52619138", "View Map")</f>
        <v>View Map</v>
      </c>
      <c r="G2018" s="2">
        <v>0.37178694444857779</v>
      </c>
    </row>
    <row r="2019" spans="1:7" x14ac:dyDescent="0.3">
      <c r="A2019" t="s">
        <v>3506</v>
      </c>
      <c r="B2019" t="s">
        <v>3507</v>
      </c>
      <c r="C2019" t="s">
        <v>8</v>
      </c>
      <c r="D2019">
        <v>3.4279999999999999</v>
      </c>
      <c r="E2019" s="4">
        <v>1097</v>
      </c>
      <c r="F2019" t="str">
        <f>HYPERLINK("https://www.google.com/maps/search/?api=1&amp;query=24.5803236,46.84041839", "View Map")</f>
        <v>View Map</v>
      </c>
    </row>
    <row r="2020" spans="1:7" x14ac:dyDescent="0.3">
      <c r="A2020" t="s">
        <v>3508</v>
      </c>
      <c r="B2020" t="s">
        <v>3509</v>
      </c>
      <c r="C2020" t="s">
        <v>77</v>
      </c>
      <c r="D2020">
        <v>3.4249999999999998</v>
      </c>
      <c r="E2020" s="4">
        <v>1096</v>
      </c>
      <c r="F2020" t="str">
        <f>HYPERLINK("https://www.google.com/maps/search/?api=1&amp;query=21.97356996,45.94796866", "View Map")</f>
        <v>View Map</v>
      </c>
      <c r="G2020" s="2">
        <v>0.40286525613359753</v>
      </c>
    </row>
    <row r="2021" spans="1:7" x14ac:dyDescent="0.3">
      <c r="A2021" t="s">
        <v>3510</v>
      </c>
      <c r="B2021" t="s">
        <v>3511</v>
      </c>
      <c r="C2021" t="s">
        <v>8</v>
      </c>
      <c r="D2021">
        <v>3.4249999999999998</v>
      </c>
      <c r="E2021" s="4">
        <v>1096</v>
      </c>
      <c r="F2021" t="str">
        <f>HYPERLINK("https://www.google.com/maps/search/?api=1&amp;query=24.8074545,46.65999872", "View Map")</f>
        <v>View Map</v>
      </c>
    </row>
    <row r="2022" spans="1:7" x14ac:dyDescent="0.3">
      <c r="A2022" t="s">
        <v>3512</v>
      </c>
      <c r="B2022" t="s">
        <v>3513</v>
      </c>
      <c r="C2022" t="s">
        <v>8</v>
      </c>
      <c r="D2022">
        <v>3.423</v>
      </c>
      <c r="E2022" s="4">
        <v>1095</v>
      </c>
      <c r="F2022" t="str">
        <f>HYPERLINK("https://www.google.com/maps/search/?api=1&amp;query=24.68195724,46.80076332", "View Map")</f>
        <v>View Map</v>
      </c>
    </row>
    <row r="2023" spans="1:7" x14ac:dyDescent="0.3">
      <c r="A2023" t="s">
        <v>1788</v>
      </c>
      <c r="B2023" t="s">
        <v>3514</v>
      </c>
      <c r="C2023" t="s">
        <v>393</v>
      </c>
      <c r="D2023">
        <v>3.423</v>
      </c>
      <c r="E2023" s="4">
        <v>1096</v>
      </c>
      <c r="F2023" t="str">
        <f>HYPERLINK("https://www.google.com/maps/search/?api=1&amp;query=23.50983411,45.52891829", "View Map")</f>
        <v>View Map</v>
      </c>
      <c r="G2023" s="2">
        <v>0.76464904079694773</v>
      </c>
    </row>
    <row r="2024" spans="1:7" x14ac:dyDescent="0.3">
      <c r="A2024" t="s">
        <v>3515</v>
      </c>
      <c r="B2024" t="s">
        <v>3516</v>
      </c>
      <c r="C2024" t="s">
        <v>699</v>
      </c>
      <c r="D2024">
        <v>3.4220000000000002</v>
      </c>
      <c r="E2024" s="4">
        <v>1095</v>
      </c>
      <c r="F2024" t="str">
        <f>HYPERLINK("https://www.google.com/maps/search/?api=1&amp;query=25.06959309,45.46355554", "View Map")</f>
        <v>View Map</v>
      </c>
      <c r="G2024" s="2">
        <v>0.30477839428651621</v>
      </c>
    </row>
    <row r="2025" spans="1:7" x14ac:dyDescent="0.3">
      <c r="A2025" t="s">
        <v>3517</v>
      </c>
      <c r="B2025" t="s">
        <v>3518</v>
      </c>
      <c r="C2025" t="s">
        <v>8</v>
      </c>
      <c r="D2025">
        <v>3.4220000000000002</v>
      </c>
      <c r="E2025" s="4">
        <v>1095</v>
      </c>
      <c r="F2025" t="str">
        <f>HYPERLINK("https://www.google.com/maps/search/?api=1&amp;query=24.60927207,46.70991522", "View Map")</f>
        <v>View Map</v>
      </c>
    </row>
    <row r="2026" spans="1:7" x14ac:dyDescent="0.3">
      <c r="A2026" t="s">
        <v>3519</v>
      </c>
      <c r="B2026" t="s">
        <v>3520</v>
      </c>
      <c r="C2026" t="s">
        <v>8</v>
      </c>
      <c r="D2026">
        <v>3.4209999999999998</v>
      </c>
      <c r="E2026" s="4">
        <v>1095</v>
      </c>
      <c r="F2026" t="str">
        <f>HYPERLINK("https://www.google.com/maps/search/?api=1&amp;query=24.70598691,46.8031689", "View Map")</f>
        <v>View Map</v>
      </c>
    </row>
    <row r="2027" spans="1:7" x14ac:dyDescent="0.3">
      <c r="A2027" t="s">
        <v>3521</v>
      </c>
      <c r="B2027" t="s">
        <v>3522</v>
      </c>
      <c r="C2027" t="s">
        <v>8</v>
      </c>
      <c r="D2027">
        <v>3.4169999999999998</v>
      </c>
      <c r="E2027" s="4">
        <v>1094</v>
      </c>
      <c r="F2027" t="str">
        <f>HYPERLINK("https://www.google.com/maps/search/?api=1&amp;query=24.67397487,46.72966388", "View Map")</f>
        <v>View Map</v>
      </c>
    </row>
    <row r="2028" spans="1:7" x14ac:dyDescent="0.3">
      <c r="A2028" t="s">
        <v>3523</v>
      </c>
      <c r="B2028" t="s">
        <v>3524</v>
      </c>
      <c r="C2028" t="s">
        <v>21</v>
      </c>
      <c r="D2028">
        <v>3.4119999999999999</v>
      </c>
      <c r="E2028" s="4">
        <v>1092</v>
      </c>
      <c r="F2028" t="str">
        <f>HYPERLINK("https://www.google.com/maps/search/?api=1&amp;query=26.28890267,44.82152195", "View Map")</f>
        <v>View Map</v>
      </c>
      <c r="G2028" s="2">
        <v>0.58339833697064958</v>
      </c>
    </row>
    <row r="2029" spans="1:7" x14ac:dyDescent="0.3">
      <c r="A2029" t="s">
        <v>52</v>
      </c>
      <c r="B2029" t="s">
        <v>3525</v>
      </c>
      <c r="C2029" t="s">
        <v>8</v>
      </c>
      <c r="D2029">
        <v>3.4089999999999998</v>
      </c>
      <c r="E2029" s="4">
        <v>1091</v>
      </c>
      <c r="F2029" t="str">
        <f>HYPERLINK("https://www.google.com/maps/search/?api=1&amp;query=24.71360067,46.82437061", "View Map")</f>
        <v>View Map</v>
      </c>
      <c r="G2029" s="2">
        <v>0.38808544936870409</v>
      </c>
    </row>
    <row r="2030" spans="1:7" x14ac:dyDescent="0.3">
      <c r="A2030" t="s">
        <v>3526</v>
      </c>
      <c r="B2030" t="s">
        <v>3527</v>
      </c>
      <c r="C2030" t="s">
        <v>255</v>
      </c>
      <c r="D2030">
        <v>3.407</v>
      </c>
      <c r="E2030" s="4">
        <v>1090</v>
      </c>
      <c r="F2030" t="str">
        <f>HYPERLINK("https://www.google.com/maps/search/?api=1&amp;query=24.49680345,44.38447465", "View Map")</f>
        <v>View Map</v>
      </c>
      <c r="G2030" s="2">
        <v>0.67291561475802186</v>
      </c>
    </row>
    <row r="2031" spans="1:7" x14ac:dyDescent="0.3">
      <c r="A2031" t="s">
        <v>3528</v>
      </c>
      <c r="B2031" t="s">
        <v>3529</v>
      </c>
      <c r="C2031" t="s">
        <v>8</v>
      </c>
      <c r="D2031">
        <v>3.4039999999999999</v>
      </c>
      <c r="E2031" s="4">
        <v>1089</v>
      </c>
      <c r="F2031" t="str">
        <f>HYPERLINK("https://www.google.com/maps/search/?api=1&amp;query=24.61923434,46.73555924", "View Map")</f>
        <v>View Map</v>
      </c>
    </row>
    <row r="2032" spans="1:7" x14ac:dyDescent="0.3">
      <c r="A2032" t="s">
        <v>3530</v>
      </c>
      <c r="B2032" t="s">
        <v>3531</v>
      </c>
      <c r="C2032" t="s">
        <v>270</v>
      </c>
      <c r="D2032">
        <v>3.4039999999999999</v>
      </c>
      <c r="E2032" s="4">
        <v>1089</v>
      </c>
      <c r="F2032" t="str">
        <f>HYPERLINK("https://www.google.com/maps/search/?api=1&amp;query=24.11225051,46.80593327", "View Map")</f>
        <v>View Map</v>
      </c>
      <c r="G2032" s="2">
        <v>0.50361858958617922</v>
      </c>
    </row>
    <row r="2033" spans="1:7" x14ac:dyDescent="0.3">
      <c r="A2033" t="s">
        <v>3532</v>
      </c>
      <c r="B2033" t="s">
        <v>3533</v>
      </c>
      <c r="C2033" t="s">
        <v>393</v>
      </c>
      <c r="D2033">
        <v>3.403</v>
      </c>
      <c r="E2033" s="4">
        <v>1089</v>
      </c>
      <c r="F2033" t="str">
        <f>HYPERLINK("https://www.google.com/maps/search/?api=1&amp;query=23.60666817,45.13127342", "View Map")</f>
        <v>View Map</v>
      </c>
      <c r="G2033" s="2">
        <v>0.85248985506009456</v>
      </c>
    </row>
    <row r="2034" spans="1:7" x14ac:dyDescent="0.3">
      <c r="A2034" t="s">
        <v>3534</v>
      </c>
      <c r="B2034" t="s">
        <v>3535</v>
      </c>
      <c r="C2034" t="s">
        <v>8</v>
      </c>
      <c r="D2034">
        <v>3.403</v>
      </c>
      <c r="E2034" s="4">
        <v>1089</v>
      </c>
      <c r="F2034" t="str">
        <f>HYPERLINK("https://www.google.com/maps/search/?api=1&amp;query=24.59065551,46.61463001", "View Map")</f>
        <v>View Map</v>
      </c>
      <c r="G2034" s="2">
        <v>0.39930624100314971</v>
      </c>
    </row>
    <row r="2035" spans="1:7" x14ac:dyDescent="0.3">
      <c r="A2035" t="s">
        <v>3536</v>
      </c>
      <c r="B2035" t="s">
        <v>3537</v>
      </c>
      <c r="C2035" t="s">
        <v>393</v>
      </c>
      <c r="D2035">
        <v>3.4020000000000001</v>
      </c>
      <c r="E2035" s="4">
        <v>1089</v>
      </c>
      <c r="F2035" t="str">
        <f>HYPERLINK("https://www.google.com/maps/search/?api=1&amp;query=23.2414569,45.50613701", "View Map")</f>
        <v>View Map</v>
      </c>
      <c r="G2035" s="2">
        <v>0.79546136091803565</v>
      </c>
    </row>
    <row r="2036" spans="1:7" x14ac:dyDescent="0.3">
      <c r="A2036" t="s">
        <v>46</v>
      </c>
      <c r="B2036" t="s">
        <v>3538</v>
      </c>
      <c r="C2036" t="s">
        <v>55</v>
      </c>
      <c r="D2036">
        <v>3.4020000000000001</v>
      </c>
      <c r="E2036" s="4">
        <v>1089</v>
      </c>
      <c r="F2036" t="str">
        <f>HYPERLINK("https://www.google.com/maps/search/?api=1&amp;query=24.90864,46.43628", "View Map")</f>
        <v>View Map</v>
      </c>
      <c r="G2036" s="2">
        <v>0.55480966463857717</v>
      </c>
    </row>
    <row r="2037" spans="1:7" x14ac:dyDescent="0.3">
      <c r="A2037" t="s">
        <v>150</v>
      </c>
      <c r="B2037" t="s">
        <v>3539</v>
      </c>
      <c r="C2037" t="s">
        <v>8</v>
      </c>
      <c r="D2037">
        <v>3.4009999999999998</v>
      </c>
      <c r="E2037" s="4">
        <v>1088</v>
      </c>
      <c r="F2037" t="str">
        <f>HYPERLINK("https://www.google.com/maps/search/?api=1&amp;query=24.75113039,46.76851452", "View Map")</f>
        <v>View Map</v>
      </c>
      <c r="G2037" s="2">
        <v>0.90290096000484033</v>
      </c>
    </row>
    <row r="2038" spans="1:7" x14ac:dyDescent="0.3">
      <c r="A2038" t="s">
        <v>2748</v>
      </c>
      <c r="B2038" t="s">
        <v>3540</v>
      </c>
      <c r="C2038" t="s">
        <v>8</v>
      </c>
      <c r="D2038">
        <v>3.399</v>
      </c>
      <c r="E2038" s="4">
        <v>1088</v>
      </c>
      <c r="F2038" t="str">
        <f>HYPERLINK("https://www.google.com/maps/search/?api=1&amp;query=24.5675954,46.64251946", "View Map")</f>
        <v>View Map</v>
      </c>
    </row>
    <row r="2039" spans="1:7" x14ac:dyDescent="0.3">
      <c r="A2039" t="s">
        <v>3541</v>
      </c>
      <c r="B2039" t="s">
        <v>3542</v>
      </c>
      <c r="C2039" t="s">
        <v>30</v>
      </c>
      <c r="D2039">
        <v>3.3980000000000001</v>
      </c>
      <c r="E2039" s="4">
        <v>1087</v>
      </c>
      <c r="F2039" t="str">
        <f>HYPERLINK("https://www.google.com/maps/search/?api=1&amp;query=24.12779657,47.35800702", "View Map")</f>
        <v>View Map</v>
      </c>
      <c r="G2039" s="2">
        <v>0.58940487741063352</v>
      </c>
    </row>
    <row r="2040" spans="1:7" x14ac:dyDescent="0.3">
      <c r="A2040" t="s">
        <v>3543</v>
      </c>
      <c r="B2040" t="s">
        <v>3544</v>
      </c>
      <c r="C2040" t="s">
        <v>364</v>
      </c>
      <c r="D2040">
        <v>3.3980000000000001</v>
      </c>
      <c r="E2040" s="4">
        <v>1087</v>
      </c>
      <c r="F2040" t="str">
        <f>HYPERLINK("https://www.google.com/maps/search/?api=1&amp;query=25.41745454,46.09906737", "View Map")</f>
        <v>View Map</v>
      </c>
      <c r="G2040" s="2">
        <v>0.74240344826528526</v>
      </c>
    </row>
    <row r="2041" spans="1:7" x14ac:dyDescent="0.3">
      <c r="A2041" t="s">
        <v>3545</v>
      </c>
      <c r="B2041" t="s">
        <v>3546</v>
      </c>
      <c r="C2041" t="s">
        <v>291</v>
      </c>
      <c r="D2041">
        <v>3.3980000000000001</v>
      </c>
      <c r="E2041" s="4">
        <v>1087</v>
      </c>
      <c r="F2041" t="str">
        <f>HYPERLINK("https://www.google.com/maps/search/?api=1&amp;query=23.71634989,44.67237115", "View Map")</f>
        <v>View Map</v>
      </c>
      <c r="G2041" s="2">
        <v>0.75226907985707991</v>
      </c>
    </row>
    <row r="2042" spans="1:7" x14ac:dyDescent="0.3">
      <c r="A2042" t="s">
        <v>3547</v>
      </c>
      <c r="B2042" t="s">
        <v>3548</v>
      </c>
      <c r="C2042" t="s">
        <v>30</v>
      </c>
      <c r="D2042">
        <v>3.395</v>
      </c>
      <c r="E2042" s="4">
        <v>1086</v>
      </c>
      <c r="F2042" t="str">
        <f>HYPERLINK("https://www.google.com/maps/search/?api=1&amp;query=24.20460489,47.26899991", "View Map")</f>
        <v>View Map</v>
      </c>
      <c r="G2042" s="2">
        <v>0.42714156499233458</v>
      </c>
    </row>
    <row r="2043" spans="1:7" x14ac:dyDescent="0.3">
      <c r="A2043" t="s">
        <v>3549</v>
      </c>
      <c r="B2043" t="s">
        <v>3550</v>
      </c>
      <c r="C2043" t="s">
        <v>393</v>
      </c>
      <c r="D2043">
        <v>3.3929999999999998</v>
      </c>
      <c r="E2043" s="4">
        <v>1086</v>
      </c>
      <c r="F2043" t="str">
        <f>HYPERLINK("https://www.google.com/maps/search/?api=1&amp;query=22.82058666,45.17199068", "View Map")</f>
        <v>View Map</v>
      </c>
      <c r="G2043" s="2">
        <v>0.85784169574003255</v>
      </c>
    </row>
    <row r="2044" spans="1:7" x14ac:dyDescent="0.3">
      <c r="A2044" t="s">
        <v>3551</v>
      </c>
      <c r="B2044" t="s">
        <v>3552</v>
      </c>
      <c r="C2044" t="s">
        <v>21</v>
      </c>
      <c r="D2044">
        <v>3.3919999999999999</v>
      </c>
      <c r="E2044" s="4">
        <v>1086</v>
      </c>
      <c r="F2044" t="str">
        <f>HYPERLINK("https://www.google.com/maps/search/?api=1&amp;query=26.30604042,44.80007916", "View Map")</f>
        <v>View Map</v>
      </c>
      <c r="G2044" s="2">
        <v>0.56776013484518695</v>
      </c>
    </row>
    <row r="2045" spans="1:7" x14ac:dyDescent="0.3">
      <c r="A2045" t="s">
        <v>46</v>
      </c>
      <c r="B2045" t="s">
        <v>3553</v>
      </c>
      <c r="C2045" t="s">
        <v>8</v>
      </c>
      <c r="D2045">
        <v>3.39</v>
      </c>
      <c r="E2045" s="4">
        <v>1085</v>
      </c>
      <c r="F2045" t="str">
        <f>HYPERLINK("https://www.google.com/maps/search/?api=1&amp;query=24.81491919,46.5935683", "View Map")</f>
        <v>View Map</v>
      </c>
      <c r="G2045" s="2">
        <v>0.57138075064422489</v>
      </c>
    </row>
    <row r="2046" spans="1:7" x14ac:dyDescent="0.3">
      <c r="A2046" t="s">
        <v>3554</v>
      </c>
      <c r="B2046" t="s">
        <v>3555</v>
      </c>
      <c r="C2046" t="s">
        <v>8</v>
      </c>
      <c r="D2046">
        <v>3.39</v>
      </c>
      <c r="E2046" s="4">
        <v>1085</v>
      </c>
      <c r="F2046" t="str">
        <f>HYPERLINK("https://www.google.com/maps/search/?api=1&amp;query=24.57489369,46.76836296", "View Map")</f>
        <v>View Map</v>
      </c>
    </row>
    <row r="2047" spans="1:7" x14ac:dyDescent="0.3">
      <c r="A2047" t="s">
        <v>3556</v>
      </c>
      <c r="B2047" t="s">
        <v>3557</v>
      </c>
      <c r="C2047" t="s">
        <v>255</v>
      </c>
      <c r="D2047">
        <v>3.3879999999999999</v>
      </c>
      <c r="E2047" s="4">
        <v>1084</v>
      </c>
      <c r="F2047" t="str">
        <f>HYPERLINK("https://www.google.com/maps/search/?api=1&amp;query=24.92728503,44.71200101", "View Map")</f>
        <v>View Map</v>
      </c>
      <c r="G2047" s="2">
        <v>0.73144464052201907</v>
      </c>
    </row>
    <row r="2048" spans="1:7" x14ac:dyDescent="0.3">
      <c r="A2048" t="s">
        <v>3558</v>
      </c>
      <c r="B2048" t="s">
        <v>3559</v>
      </c>
      <c r="C2048" t="s">
        <v>30</v>
      </c>
      <c r="D2048">
        <v>3.3839999999999999</v>
      </c>
      <c r="E2048" s="4">
        <v>1083</v>
      </c>
      <c r="F2048" t="str">
        <f>HYPERLINK("https://www.google.com/maps/search/?api=1&amp;query=24.13637389,47.28939391", "View Map")</f>
        <v>View Map</v>
      </c>
      <c r="G2048" s="2">
        <v>0.69288761584729774</v>
      </c>
    </row>
    <row r="2049" spans="1:7" x14ac:dyDescent="0.3">
      <c r="A2049" t="s">
        <v>3560</v>
      </c>
      <c r="B2049" t="s">
        <v>3561</v>
      </c>
      <c r="C2049" t="s">
        <v>77</v>
      </c>
      <c r="D2049">
        <v>3.3839999999999999</v>
      </c>
      <c r="E2049" s="4">
        <v>1083</v>
      </c>
      <c r="F2049" t="str">
        <f>HYPERLINK("https://www.google.com/maps/search/?api=1&amp;query=22.02198044,46.55615188", "View Map")</f>
        <v>View Map</v>
      </c>
      <c r="G2049" s="2">
        <v>0.58052946596369848</v>
      </c>
    </row>
    <row r="2050" spans="1:7" x14ac:dyDescent="0.3">
      <c r="A2050" t="s">
        <v>3562</v>
      </c>
      <c r="B2050" t="s">
        <v>3563</v>
      </c>
      <c r="C2050" t="s">
        <v>8</v>
      </c>
      <c r="D2050">
        <v>3.383</v>
      </c>
      <c r="E2050" s="4">
        <v>1083</v>
      </c>
      <c r="F2050" t="str">
        <f>HYPERLINK("https://www.google.com/maps/search/?api=1&amp;query=24.74005821,46.84410149", "View Map")</f>
        <v>View Map</v>
      </c>
    </row>
    <row r="2051" spans="1:7" x14ac:dyDescent="0.3">
      <c r="A2051" t="s">
        <v>73</v>
      </c>
      <c r="B2051" t="s">
        <v>3564</v>
      </c>
      <c r="C2051" t="s">
        <v>55</v>
      </c>
      <c r="D2051">
        <v>3.383</v>
      </c>
      <c r="E2051" s="4">
        <v>1083</v>
      </c>
      <c r="F2051" t="str">
        <f>HYPERLINK("https://www.google.com/maps/search/?api=1&amp;query=24.89494171,46.44201942", "View Map")</f>
        <v>View Map</v>
      </c>
      <c r="G2051" s="2">
        <v>0.47285582740444432</v>
      </c>
    </row>
    <row r="2052" spans="1:7" x14ac:dyDescent="0.3">
      <c r="A2052" t="s">
        <v>3565</v>
      </c>
      <c r="B2052" t="s">
        <v>3566</v>
      </c>
      <c r="C2052" t="s">
        <v>8</v>
      </c>
      <c r="D2052">
        <v>3.3809999999999998</v>
      </c>
      <c r="E2052" s="4">
        <v>1082</v>
      </c>
      <c r="F2052" t="str">
        <f>HYPERLINK("https://www.google.com/maps/search/?api=1&amp;query=24.52691321,46.68525378", "View Map")</f>
        <v>View Map</v>
      </c>
    </row>
    <row r="2053" spans="1:7" x14ac:dyDescent="0.3">
      <c r="A2053" t="s">
        <v>3567</v>
      </c>
      <c r="B2053" t="s">
        <v>3568</v>
      </c>
      <c r="C2053" t="s">
        <v>8</v>
      </c>
      <c r="D2053">
        <v>3.38</v>
      </c>
      <c r="E2053" s="4">
        <v>1081</v>
      </c>
      <c r="F2053" t="str">
        <f>HYPERLINK("https://www.google.com/maps/search/?api=1&amp;query=24.5399917,46.64682424", "View Map")</f>
        <v>View Map</v>
      </c>
      <c r="G2053" s="2">
        <v>0.38991742771520499</v>
      </c>
    </row>
    <row r="2054" spans="1:7" x14ac:dyDescent="0.3">
      <c r="A2054" t="s">
        <v>3569</v>
      </c>
      <c r="B2054" t="s">
        <v>3570</v>
      </c>
      <c r="C2054" t="s">
        <v>8</v>
      </c>
      <c r="D2054">
        <v>3.38</v>
      </c>
      <c r="E2054" s="4">
        <v>1082</v>
      </c>
      <c r="F2054" t="str">
        <f>HYPERLINK("https://www.google.com/maps/search/?api=1&amp;query=24.63417627,46.71832189", "View Map")</f>
        <v>View Map</v>
      </c>
    </row>
    <row r="2055" spans="1:7" x14ac:dyDescent="0.3">
      <c r="A2055" t="s">
        <v>3571</v>
      </c>
      <c r="B2055" t="s">
        <v>3572</v>
      </c>
      <c r="C2055" t="s">
        <v>8</v>
      </c>
      <c r="D2055">
        <v>3.379</v>
      </c>
      <c r="E2055" s="4">
        <v>1081</v>
      </c>
      <c r="F2055" t="str">
        <f>HYPERLINK("https://www.google.com/maps/search/?api=1&amp;query=24.67637851,46.71156544", "View Map")</f>
        <v>View Map</v>
      </c>
    </row>
    <row r="2056" spans="1:7" x14ac:dyDescent="0.3">
      <c r="A2056" t="s">
        <v>3573</v>
      </c>
      <c r="B2056" t="s">
        <v>3574</v>
      </c>
      <c r="C2056" t="s">
        <v>8</v>
      </c>
      <c r="D2056">
        <v>3.379</v>
      </c>
      <c r="E2056" s="4">
        <v>1081</v>
      </c>
      <c r="F2056" t="str">
        <f>HYPERLINK("https://www.google.com/maps/search/?api=1&amp;query=24.68892005,46.69555586", "View Map")</f>
        <v>View Map</v>
      </c>
    </row>
    <row r="2057" spans="1:7" x14ac:dyDescent="0.3">
      <c r="A2057" t="s">
        <v>627</v>
      </c>
      <c r="B2057" t="s">
        <v>3575</v>
      </c>
      <c r="C2057" t="s">
        <v>8</v>
      </c>
      <c r="D2057">
        <v>3.3780000000000001</v>
      </c>
      <c r="E2057" s="4">
        <v>1081</v>
      </c>
      <c r="F2057" t="str">
        <f>HYPERLINK("https://www.google.com/maps/search/?api=1&amp;query=24.8239064,46.65772709", "View Map")</f>
        <v>View Map</v>
      </c>
    </row>
    <row r="2058" spans="1:7" x14ac:dyDescent="0.3">
      <c r="A2058" t="s">
        <v>3576</v>
      </c>
      <c r="B2058" t="s">
        <v>3577</v>
      </c>
      <c r="C2058" t="s">
        <v>442</v>
      </c>
      <c r="D2058">
        <v>3.3769999999999998</v>
      </c>
      <c r="E2058" s="4">
        <v>1081</v>
      </c>
      <c r="F2058" t="str">
        <f>HYPERLINK("https://www.google.com/maps/search/?api=1&amp;query=23.61165107,46.56493632", "View Map")</f>
        <v>View Map</v>
      </c>
      <c r="G2058" s="2">
        <v>0.65412855735711706</v>
      </c>
    </row>
    <row r="2059" spans="1:7" x14ac:dyDescent="0.3">
      <c r="A2059" t="s">
        <v>3578</v>
      </c>
      <c r="B2059" t="s">
        <v>3579</v>
      </c>
      <c r="C2059" t="s">
        <v>8</v>
      </c>
      <c r="D2059">
        <v>3.3769999999999998</v>
      </c>
      <c r="E2059" s="4">
        <v>1081</v>
      </c>
      <c r="F2059" t="str">
        <f>HYPERLINK("https://www.google.com/maps/search/?api=1&amp;query=24.60373375,46.72476116", "View Map")</f>
        <v>View Map</v>
      </c>
    </row>
    <row r="2060" spans="1:7" x14ac:dyDescent="0.3">
      <c r="A2060" t="s">
        <v>3580</v>
      </c>
      <c r="B2060" t="s">
        <v>3581</v>
      </c>
      <c r="C2060" t="s">
        <v>8</v>
      </c>
      <c r="D2060">
        <v>3.3769999999999998</v>
      </c>
      <c r="E2060" s="4">
        <v>1081</v>
      </c>
      <c r="F2060" t="str">
        <f>HYPERLINK("https://www.google.com/maps/search/?api=1&amp;query=24.59204651,46.59561194", "View Map")</f>
        <v>View Map</v>
      </c>
    </row>
    <row r="2061" spans="1:7" x14ac:dyDescent="0.3">
      <c r="A2061" t="s">
        <v>3582</v>
      </c>
      <c r="B2061" t="s">
        <v>3583</v>
      </c>
      <c r="C2061" t="s">
        <v>8</v>
      </c>
      <c r="D2061">
        <v>3.3759999999999999</v>
      </c>
      <c r="E2061" s="4">
        <v>1080</v>
      </c>
      <c r="F2061" t="str">
        <f>HYPERLINK("https://www.google.com/maps/search/?api=1&amp;query=24.72740175,46.82874819", "View Map")</f>
        <v>View Map</v>
      </c>
    </row>
    <row r="2062" spans="1:7" x14ac:dyDescent="0.3">
      <c r="A2062" t="s">
        <v>3584</v>
      </c>
      <c r="B2062" t="s">
        <v>3585</v>
      </c>
      <c r="C2062" t="s">
        <v>8</v>
      </c>
      <c r="D2062">
        <v>3.3730000000000002</v>
      </c>
      <c r="E2062" s="4">
        <v>1079</v>
      </c>
      <c r="F2062" t="str">
        <f>HYPERLINK("https://www.google.com/maps/search/?api=1&amp;query=24.78472701,46.71993151", "View Map")</f>
        <v>View Map</v>
      </c>
    </row>
    <row r="2063" spans="1:7" x14ac:dyDescent="0.3">
      <c r="A2063" t="s">
        <v>3586</v>
      </c>
      <c r="B2063" t="s">
        <v>3587</v>
      </c>
      <c r="C2063" t="s">
        <v>8</v>
      </c>
      <c r="D2063">
        <v>3.3719999999999999</v>
      </c>
      <c r="E2063" s="4">
        <v>1079</v>
      </c>
      <c r="F2063" t="str">
        <f>HYPERLINK("https://www.google.com/maps/search/?api=1&amp;query=24.7996065,46.63834561", "View Map")</f>
        <v>View Map</v>
      </c>
    </row>
    <row r="2064" spans="1:7" x14ac:dyDescent="0.3">
      <c r="A2064" t="s">
        <v>28</v>
      </c>
      <c r="B2064" t="s">
        <v>3588</v>
      </c>
      <c r="C2064" t="s">
        <v>30</v>
      </c>
      <c r="D2064">
        <v>3.3679999999999999</v>
      </c>
      <c r="E2064" s="4">
        <v>1078</v>
      </c>
      <c r="F2064" t="str">
        <f>HYPERLINK("https://www.google.com/maps/search/?api=1&amp;query=24.16624328,47.25730586", "View Map")</f>
        <v>View Map</v>
      </c>
      <c r="G2064" s="2">
        <v>0.44235776365062651</v>
      </c>
    </row>
    <row r="2065" spans="1:7" x14ac:dyDescent="0.3">
      <c r="A2065" t="s">
        <v>3589</v>
      </c>
      <c r="B2065" t="s">
        <v>3590</v>
      </c>
      <c r="C2065" t="s">
        <v>393</v>
      </c>
      <c r="D2065">
        <v>3.367</v>
      </c>
      <c r="E2065" s="4">
        <v>1078</v>
      </c>
      <c r="F2065" t="str">
        <f>HYPERLINK("https://www.google.com/maps/search/?api=1&amp;query=22.84031669,44.95784718", "View Map")</f>
        <v>View Map</v>
      </c>
    </row>
    <row r="2066" spans="1:7" x14ac:dyDescent="0.3">
      <c r="A2066" t="s">
        <v>3591</v>
      </c>
      <c r="B2066" t="s">
        <v>3592</v>
      </c>
      <c r="C2066" t="s">
        <v>30</v>
      </c>
      <c r="D2066">
        <v>3.363</v>
      </c>
      <c r="E2066" s="4">
        <v>1076</v>
      </c>
      <c r="F2066" t="str">
        <f>HYPERLINK("https://www.google.com/maps/search/?api=1&amp;query=24.1951985,47.26233441", "View Map")</f>
        <v>View Map</v>
      </c>
      <c r="G2066" s="2">
        <v>0.60135499517563296</v>
      </c>
    </row>
    <row r="2067" spans="1:7" x14ac:dyDescent="0.3">
      <c r="A2067" t="s">
        <v>3593</v>
      </c>
      <c r="B2067" t="s">
        <v>3594</v>
      </c>
      <c r="C2067" t="s">
        <v>8</v>
      </c>
      <c r="D2067">
        <v>3.363</v>
      </c>
      <c r="E2067" s="4">
        <v>1076</v>
      </c>
      <c r="F2067" t="str">
        <f>HYPERLINK("https://www.google.com/maps/search/?api=1&amp;query=24.75759672,46.78977717", "View Map")</f>
        <v>View Map</v>
      </c>
    </row>
    <row r="2068" spans="1:7" x14ac:dyDescent="0.3">
      <c r="A2068" t="s">
        <v>3595</v>
      </c>
      <c r="B2068" t="s">
        <v>3596</v>
      </c>
      <c r="C2068" t="s">
        <v>241</v>
      </c>
      <c r="D2068">
        <v>3.3610000000000002</v>
      </c>
      <c r="E2068" s="4">
        <v>1075</v>
      </c>
      <c r="F2068" t="str">
        <f>HYPERLINK("https://www.google.com/maps/search/?api=1&amp;query=20.46875995,44.76747325", "View Map")</f>
        <v>View Map</v>
      </c>
    </row>
    <row r="2069" spans="1:7" x14ac:dyDescent="0.3">
      <c r="A2069" t="s">
        <v>3597</v>
      </c>
      <c r="B2069" t="s">
        <v>3598</v>
      </c>
      <c r="C2069" t="s">
        <v>8</v>
      </c>
      <c r="D2069">
        <v>3.36</v>
      </c>
      <c r="E2069" s="4">
        <v>1075</v>
      </c>
      <c r="F2069" t="str">
        <f>HYPERLINK("https://www.google.com/maps/search/?api=1&amp;query=24.78560178,46.736722", "View Map")</f>
        <v>View Map</v>
      </c>
    </row>
    <row r="2070" spans="1:7" x14ac:dyDescent="0.3">
      <c r="A2070" t="s">
        <v>510</v>
      </c>
      <c r="B2070" t="s">
        <v>3599</v>
      </c>
      <c r="C2070" t="s">
        <v>393</v>
      </c>
      <c r="D2070">
        <v>3.359</v>
      </c>
      <c r="E2070" s="4">
        <v>1075</v>
      </c>
      <c r="F2070" t="str">
        <f>HYPERLINK("https://www.google.com/maps/search/?api=1&amp;query=22.57396852,45.02457714", "View Map")</f>
        <v>View Map</v>
      </c>
      <c r="G2070" s="2">
        <v>0.83488184174275504</v>
      </c>
    </row>
    <row r="2071" spans="1:7" x14ac:dyDescent="0.3">
      <c r="A2071" t="s">
        <v>3600</v>
      </c>
      <c r="B2071" t="s">
        <v>3601</v>
      </c>
      <c r="C2071" t="s">
        <v>255</v>
      </c>
      <c r="D2071">
        <v>3.3580000000000001</v>
      </c>
      <c r="E2071" s="4">
        <v>1075</v>
      </c>
      <c r="F2071" t="str">
        <f>HYPERLINK("https://www.google.com/maps/search/?api=1&amp;query=24.53208793,44.41648194", "View Map")</f>
        <v>View Map</v>
      </c>
      <c r="G2071" s="2">
        <v>0.82589343124273351</v>
      </c>
    </row>
    <row r="2072" spans="1:7" x14ac:dyDescent="0.3">
      <c r="A2072" t="s">
        <v>3602</v>
      </c>
      <c r="B2072" t="s">
        <v>3603</v>
      </c>
      <c r="C2072" t="s">
        <v>8</v>
      </c>
      <c r="D2072">
        <v>3.3559999999999999</v>
      </c>
      <c r="E2072" s="4">
        <v>1074</v>
      </c>
      <c r="F2072" t="str">
        <f>HYPERLINK("https://www.google.com/maps/search/?api=1&amp;query=24.68720105,46.75389824", "View Map")</f>
        <v>View Map</v>
      </c>
      <c r="G2072" s="2">
        <v>0.1782465773746561</v>
      </c>
    </row>
    <row r="2073" spans="1:7" x14ac:dyDescent="0.3">
      <c r="A2073" t="s">
        <v>46</v>
      </c>
      <c r="B2073" t="s">
        <v>3604</v>
      </c>
      <c r="C2073" t="s">
        <v>8</v>
      </c>
      <c r="D2073">
        <v>3.3540000000000001</v>
      </c>
      <c r="E2073" s="4">
        <v>1073</v>
      </c>
      <c r="F2073" t="str">
        <f>HYPERLINK("https://www.google.com/maps/search/?api=1&amp;query=24.92334319,46.82037301", "View Map")</f>
        <v>View Map</v>
      </c>
      <c r="G2073" s="2">
        <v>0.34869159883040418</v>
      </c>
    </row>
    <row r="2074" spans="1:7" x14ac:dyDescent="0.3">
      <c r="A2074" t="s">
        <v>3605</v>
      </c>
      <c r="B2074" t="s">
        <v>3606</v>
      </c>
      <c r="C2074" t="s">
        <v>8</v>
      </c>
      <c r="D2074">
        <v>3.351</v>
      </c>
      <c r="E2074" s="4">
        <v>1072</v>
      </c>
      <c r="F2074" t="str">
        <f>HYPERLINK("https://www.google.com/maps/search/?api=1&amp;query=24.58383602,46.69042245", "View Map")</f>
        <v>View Map</v>
      </c>
      <c r="G2074" s="2">
        <v>0.36092110951828338</v>
      </c>
    </row>
    <row r="2075" spans="1:7" x14ac:dyDescent="0.3">
      <c r="A2075" t="s">
        <v>3607</v>
      </c>
      <c r="B2075" t="s">
        <v>3608</v>
      </c>
      <c r="C2075" t="s">
        <v>8</v>
      </c>
      <c r="D2075">
        <v>3.3450000000000002</v>
      </c>
      <c r="E2075" s="4">
        <v>1070</v>
      </c>
      <c r="F2075" t="str">
        <f>HYPERLINK("https://www.google.com/maps/search/?api=1&amp;query=24.65714737,46.70770269", "View Map")</f>
        <v>View Map</v>
      </c>
    </row>
    <row r="2076" spans="1:7" x14ac:dyDescent="0.3">
      <c r="A2076" t="s">
        <v>3609</v>
      </c>
      <c r="B2076" t="s">
        <v>3610</v>
      </c>
      <c r="C2076" t="s">
        <v>21</v>
      </c>
      <c r="D2076">
        <v>3.3450000000000002</v>
      </c>
      <c r="E2076" s="4">
        <v>1071</v>
      </c>
      <c r="F2076" t="str">
        <f>HYPERLINK("https://www.google.com/maps/search/?api=1&amp;query=26.2940491,44.81174828", "View Map")</f>
        <v>View Map</v>
      </c>
    </row>
    <row r="2077" spans="1:7" x14ac:dyDescent="0.3">
      <c r="A2077" t="s">
        <v>3611</v>
      </c>
      <c r="B2077" t="s">
        <v>3612</v>
      </c>
      <c r="C2077" t="s">
        <v>8</v>
      </c>
      <c r="D2077">
        <v>3.3439999999999999</v>
      </c>
      <c r="E2077" s="4">
        <v>1070</v>
      </c>
      <c r="F2077" t="str">
        <f>HYPERLINK("https://www.google.com/maps/search/?api=1&amp;query=24.73015142,46.79506593", "View Map")</f>
        <v>View Map</v>
      </c>
    </row>
    <row r="2078" spans="1:7" x14ac:dyDescent="0.3">
      <c r="A2078" t="s">
        <v>1391</v>
      </c>
      <c r="B2078" t="s">
        <v>3613</v>
      </c>
      <c r="C2078" t="s">
        <v>8</v>
      </c>
      <c r="D2078">
        <v>3.343</v>
      </c>
      <c r="E2078" s="4">
        <v>1070</v>
      </c>
      <c r="F2078" t="str">
        <f>HYPERLINK("https://www.google.com/maps/search/?api=1&amp;query=24.7297,46.8486", "View Map")</f>
        <v>View Map</v>
      </c>
    </row>
    <row r="2079" spans="1:7" x14ac:dyDescent="0.3">
      <c r="A2079" t="s">
        <v>3614</v>
      </c>
      <c r="B2079" t="s">
        <v>3615</v>
      </c>
      <c r="C2079" t="s">
        <v>8</v>
      </c>
      <c r="D2079">
        <v>3.34</v>
      </c>
      <c r="E2079" s="4">
        <v>1069</v>
      </c>
      <c r="F2079" t="str">
        <f>HYPERLINK("https://www.google.com/maps/search/?api=1&amp;query=24.59451786,46.76613478", "View Map")</f>
        <v>View Map</v>
      </c>
    </row>
    <row r="2080" spans="1:7" x14ac:dyDescent="0.3">
      <c r="A2080" t="s">
        <v>3616</v>
      </c>
      <c r="B2080" t="s">
        <v>3617</v>
      </c>
      <c r="C2080" t="s">
        <v>8</v>
      </c>
      <c r="D2080">
        <v>3.34</v>
      </c>
      <c r="E2080" s="4">
        <v>1069</v>
      </c>
      <c r="F2080" t="str">
        <f>HYPERLINK("https://www.google.com/maps/search/?api=1&amp;query=24.55190546,46.65689037", "View Map")</f>
        <v>View Map</v>
      </c>
      <c r="G2080" s="2">
        <v>0.33211018675996362</v>
      </c>
    </row>
    <row r="2081" spans="1:7" x14ac:dyDescent="0.3">
      <c r="A2081" t="s">
        <v>717</v>
      </c>
      <c r="B2081" t="s">
        <v>3618</v>
      </c>
      <c r="C2081" t="s">
        <v>255</v>
      </c>
      <c r="D2081">
        <v>3.335</v>
      </c>
      <c r="E2081" s="4">
        <v>1067</v>
      </c>
      <c r="F2081" t="str">
        <f>HYPERLINK("https://www.google.com/maps/search/?api=1&amp;query=24.53293944,44.40189975", "View Map")</f>
        <v>View Map</v>
      </c>
      <c r="G2081" s="2">
        <v>0.64831516662984767</v>
      </c>
    </row>
    <row r="2082" spans="1:7" x14ac:dyDescent="0.3">
      <c r="A2082" t="s">
        <v>2848</v>
      </c>
      <c r="B2082" t="s">
        <v>3619</v>
      </c>
      <c r="C2082" t="s">
        <v>214</v>
      </c>
      <c r="D2082">
        <v>3.3340000000000001</v>
      </c>
      <c r="E2082" s="4">
        <v>1067</v>
      </c>
      <c r="F2082" t="str">
        <f>HYPERLINK("https://www.google.com/maps/search/?api=1&amp;query=26.50981073,45.35790158", "View Map")</f>
        <v>View Map</v>
      </c>
      <c r="G2082" s="2">
        <v>0.63280478485346614</v>
      </c>
    </row>
    <row r="2083" spans="1:7" x14ac:dyDescent="0.3">
      <c r="A2083" t="s">
        <v>3620</v>
      </c>
      <c r="B2083" t="s">
        <v>3621</v>
      </c>
      <c r="C2083" t="s">
        <v>21</v>
      </c>
      <c r="D2083">
        <v>3.3319999999999999</v>
      </c>
      <c r="E2083" s="4">
        <v>1066</v>
      </c>
      <c r="F2083" t="str">
        <f>HYPERLINK("https://www.google.com/maps/search/?api=1&amp;query=26.38812117,44.72207058", "View Map")</f>
        <v>View Map</v>
      </c>
      <c r="G2083" s="2">
        <v>0.62004313852547166</v>
      </c>
    </row>
    <row r="2084" spans="1:7" x14ac:dyDescent="0.3">
      <c r="A2084" t="s">
        <v>3622</v>
      </c>
      <c r="B2084" t="s">
        <v>3623</v>
      </c>
      <c r="C2084" t="s">
        <v>8</v>
      </c>
      <c r="D2084">
        <v>3.3319999999999999</v>
      </c>
      <c r="E2084" s="4">
        <v>1066</v>
      </c>
      <c r="F2084" t="str">
        <f>HYPERLINK("https://www.google.com/maps/search/?api=1&amp;query=24.56090148,46.69284659", "View Map")</f>
        <v>View Map</v>
      </c>
    </row>
    <row r="2085" spans="1:7" x14ac:dyDescent="0.3">
      <c r="A2085" t="s">
        <v>3624</v>
      </c>
      <c r="B2085" t="s">
        <v>3625</v>
      </c>
      <c r="C2085" t="s">
        <v>8</v>
      </c>
      <c r="D2085">
        <v>3.331</v>
      </c>
      <c r="E2085" s="4">
        <v>1066</v>
      </c>
      <c r="F2085" t="str">
        <f>HYPERLINK("https://www.google.com/maps/search/?api=1&amp;query=24.76411792,46.7708659", "View Map")</f>
        <v>View Map</v>
      </c>
    </row>
    <row r="2086" spans="1:7" x14ac:dyDescent="0.3">
      <c r="A2086" t="s">
        <v>627</v>
      </c>
      <c r="B2086" t="s">
        <v>3626</v>
      </c>
      <c r="C2086" t="s">
        <v>8</v>
      </c>
      <c r="D2086">
        <v>3.33</v>
      </c>
      <c r="E2086" s="4">
        <v>1065</v>
      </c>
      <c r="F2086" t="str">
        <f>HYPERLINK("https://www.google.com/maps/search/?api=1&amp;query=24.77366523,46.59357873", "View Map")</f>
        <v>View Map</v>
      </c>
    </row>
    <row r="2087" spans="1:7" x14ac:dyDescent="0.3">
      <c r="A2087" t="s">
        <v>1397</v>
      </c>
      <c r="B2087" t="s">
        <v>3627</v>
      </c>
      <c r="C2087" t="s">
        <v>8</v>
      </c>
      <c r="D2087">
        <v>3.3279999999999998</v>
      </c>
      <c r="E2087" s="4">
        <v>1065</v>
      </c>
      <c r="F2087" t="str">
        <f>HYPERLINK("https://www.google.com/maps/search/?api=1&amp;query=24.77162154,46.66114227", "View Map")</f>
        <v>View Map</v>
      </c>
    </row>
    <row r="2088" spans="1:7" x14ac:dyDescent="0.3">
      <c r="A2088" t="s">
        <v>3628</v>
      </c>
      <c r="B2088" t="s">
        <v>3629</v>
      </c>
      <c r="C2088" t="s">
        <v>646</v>
      </c>
      <c r="D2088">
        <v>3.3279999999999998</v>
      </c>
      <c r="E2088" s="4">
        <v>1065</v>
      </c>
      <c r="F2088" t="str">
        <f>HYPERLINK("https://www.google.com/maps/search/?api=1&amp;query=20.46393752,45.57258403", "View Map")</f>
        <v>View Map</v>
      </c>
      <c r="G2088" s="2">
        <v>0.35698369528362323</v>
      </c>
    </row>
    <row r="2089" spans="1:7" x14ac:dyDescent="0.3">
      <c r="A2089" t="s">
        <v>46</v>
      </c>
      <c r="B2089" t="s">
        <v>3630</v>
      </c>
      <c r="C2089" t="s">
        <v>8</v>
      </c>
      <c r="D2089">
        <v>3.3279999999999998</v>
      </c>
      <c r="E2089" s="4">
        <v>1065</v>
      </c>
      <c r="F2089" t="str">
        <f>HYPERLINK("https://www.google.com/maps/search/?api=1&amp;query=24.85604,46.6519", "View Map")</f>
        <v>View Map</v>
      </c>
      <c r="G2089" s="2">
        <v>8.7275590491312366E-2</v>
      </c>
    </row>
    <row r="2090" spans="1:7" x14ac:dyDescent="0.3">
      <c r="A2090" t="s">
        <v>3631</v>
      </c>
      <c r="B2090" t="s">
        <v>3632</v>
      </c>
      <c r="C2090" t="s">
        <v>21</v>
      </c>
      <c r="D2090">
        <v>3.327</v>
      </c>
      <c r="E2090" s="4">
        <v>1065</v>
      </c>
      <c r="F2090" t="str">
        <f>HYPERLINK("https://www.google.com/maps/search/?api=1&amp;query=26.30819051,44.80069002", "View Map")</f>
        <v>View Map</v>
      </c>
      <c r="G2090" s="2">
        <v>0.64049588102757082</v>
      </c>
    </row>
    <row r="2091" spans="1:7" x14ac:dyDescent="0.3">
      <c r="A2091" t="s">
        <v>3633</v>
      </c>
      <c r="B2091" t="s">
        <v>3634</v>
      </c>
      <c r="C2091" t="s">
        <v>8</v>
      </c>
      <c r="D2091">
        <v>3.327</v>
      </c>
      <c r="E2091" s="4">
        <v>1065</v>
      </c>
      <c r="F2091" t="str">
        <f>HYPERLINK("https://www.google.com/maps/search/?api=1&amp;query=24.72207968,46.80221719", "View Map")</f>
        <v>View Map</v>
      </c>
    </row>
    <row r="2092" spans="1:7" x14ac:dyDescent="0.3">
      <c r="A2092" t="s">
        <v>3635</v>
      </c>
      <c r="B2092" t="s">
        <v>3636</v>
      </c>
      <c r="C2092" t="s">
        <v>646</v>
      </c>
      <c r="D2092">
        <v>3.3260000000000001</v>
      </c>
      <c r="E2092" s="4">
        <v>1064</v>
      </c>
      <c r="F2092" t="str">
        <f>HYPERLINK("https://www.google.com/maps/search/?api=1&amp;query=20.45229655,45.57151859", "View Map")</f>
        <v>View Map</v>
      </c>
      <c r="G2092" s="2">
        <v>0.60134312291459235</v>
      </c>
    </row>
    <row r="2093" spans="1:7" x14ac:dyDescent="0.3">
      <c r="A2093" t="s">
        <v>3637</v>
      </c>
      <c r="B2093" t="s">
        <v>3638</v>
      </c>
      <c r="C2093" t="s">
        <v>8</v>
      </c>
      <c r="D2093">
        <v>3.3239999999999998</v>
      </c>
      <c r="E2093" s="4">
        <v>1064</v>
      </c>
      <c r="F2093" t="str">
        <f>HYPERLINK("https://www.google.com/maps/search/?api=1&amp;query=24.78322693,46.76769617", "View Map")</f>
        <v>View Map</v>
      </c>
    </row>
    <row r="2094" spans="1:7" x14ac:dyDescent="0.3">
      <c r="A2094" t="s">
        <v>3639</v>
      </c>
      <c r="B2094" t="s">
        <v>3640</v>
      </c>
      <c r="C2094" t="s">
        <v>8</v>
      </c>
      <c r="D2094">
        <v>3.3210000000000002</v>
      </c>
      <c r="E2094" s="4">
        <v>1063</v>
      </c>
      <c r="F2094" t="str">
        <f>HYPERLINK("https://www.google.com/maps/search/?api=1&amp;query=24.66026452,46.79987258", "View Map")</f>
        <v>View Map</v>
      </c>
      <c r="G2094" s="2">
        <v>0.29680095624199659</v>
      </c>
    </row>
    <row r="2095" spans="1:7" x14ac:dyDescent="0.3">
      <c r="A2095" t="s">
        <v>3641</v>
      </c>
      <c r="B2095" t="s">
        <v>3642</v>
      </c>
      <c r="C2095" t="s">
        <v>21</v>
      </c>
      <c r="D2095">
        <v>3.3210000000000002</v>
      </c>
      <c r="E2095" s="4">
        <v>1063</v>
      </c>
      <c r="F2095" t="str">
        <f>HYPERLINK("https://www.google.com/maps/search/?api=1&amp;query=26.29900201,44.79862389", "View Map")</f>
        <v>View Map</v>
      </c>
      <c r="G2095" s="2">
        <v>0.67140099082230487</v>
      </c>
    </row>
    <row r="2096" spans="1:7" x14ac:dyDescent="0.3">
      <c r="A2096" t="s">
        <v>3643</v>
      </c>
      <c r="B2096" t="s">
        <v>3644</v>
      </c>
      <c r="C2096" t="s">
        <v>291</v>
      </c>
      <c r="D2096">
        <v>3.32</v>
      </c>
      <c r="E2096" s="4">
        <v>1062</v>
      </c>
      <c r="F2096" t="str">
        <f>HYPERLINK("https://www.google.com/maps/search/?api=1&amp;query=24.05432298,45.2659814", "View Map")</f>
        <v>View Map</v>
      </c>
    </row>
    <row r="2097" spans="1:7" x14ac:dyDescent="0.3">
      <c r="A2097" t="s">
        <v>3645</v>
      </c>
      <c r="B2097" t="s">
        <v>3646</v>
      </c>
      <c r="C2097" t="s">
        <v>699</v>
      </c>
      <c r="D2097">
        <v>3.32</v>
      </c>
      <c r="E2097" s="4">
        <v>1062</v>
      </c>
      <c r="F2097" t="str">
        <f>HYPERLINK("https://www.google.com/maps/search/?api=1&amp;query=24.45302377,45.37580045", "View Map")</f>
        <v>View Map</v>
      </c>
      <c r="G2097" s="2">
        <v>0.40379220570623681</v>
      </c>
    </row>
    <row r="2098" spans="1:7" x14ac:dyDescent="0.3">
      <c r="A2098" t="s">
        <v>46</v>
      </c>
      <c r="B2098" t="s">
        <v>3647</v>
      </c>
      <c r="C2098" t="s">
        <v>8</v>
      </c>
      <c r="D2098">
        <v>3.3159999999999998</v>
      </c>
      <c r="E2098" s="4">
        <v>1061</v>
      </c>
      <c r="F2098" t="str">
        <f>HYPERLINK("https://www.google.com/maps/search/?api=1&amp;query=24.82519516,46.57665367", "View Map")</f>
        <v>View Map</v>
      </c>
    </row>
    <row r="2099" spans="1:7" x14ac:dyDescent="0.3">
      <c r="A2099" t="s">
        <v>146</v>
      </c>
      <c r="B2099" t="s">
        <v>3648</v>
      </c>
      <c r="C2099" t="s">
        <v>8</v>
      </c>
      <c r="D2099">
        <v>3.3140000000000001</v>
      </c>
      <c r="E2099" s="4">
        <v>1061</v>
      </c>
      <c r="F2099" t="str">
        <f>HYPERLINK("https://www.google.com/maps/search/?api=1&amp;query=24.52501901,46.64200133", "View Map")</f>
        <v>View Map</v>
      </c>
    </row>
    <row r="2100" spans="1:7" x14ac:dyDescent="0.3">
      <c r="A2100" t="s">
        <v>3649</v>
      </c>
      <c r="B2100" t="s">
        <v>3650</v>
      </c>
      <c r="C2100" t="s">
        <v>8</v>
      </c>
      <c r="D2100">
        <v>3.3109999999999999</v>
      </c>
      <c r="E2100" s="4">
        <v>1060</v>
      </c>
      <c r="F2100" t="str">
        <f>HYPERLINK("https://www.google.com/maps/search/?api=1&amp;query=24.57241211,46.64518043", "View Map")</f>
        <v>View Map</v>
      </c>
    </row>
    <row r="2101" spans="1:7" x14ac:dyDescent="0.3">
      <c r="A2101" t="s">
        <v>3651</v>
      </c>
      <c r="B2101" t="s">
        <v>3652</v>
      </c>
      <c r="C2101" t="s">
        <v>77</v>
      </c>
      <c r="D2101">
        <v>3.3079999999999998</v>
      </c>
      <c r="E2101" s="4">
        <v>1058</v>
      </c>
      <c r="F2101" t="str">
        <f>HYPERLINK("https://www.google.com/maps/search/?api=1&amp;query=22.33265848,46.63413355", "View Map")</f>
        <v>View Map</v>
      </c>
    </row>
    <row r="2102" spans="1:7" x14ac:dyDescent="0.3">
      <c r="A2102" t="s">
        <v>3653</v>
      </c>
      <c r="B2102" t="s">
        <v>3654</v>
      </c>
      <c r="C2102" t="s">
        <v>8</v>
      </c>
      <c r="D2102">
        <v>3.3079999999999998</v>
      </c>
      <c r="E2102" s="4">
        <v>1059</v>
      </c>
      <c r="F2102" t="str">
        <f>HYPERLINK("https://www.google.com/maps/search/?api=1&amp;query=24.62540948,46.70816725", "View Map")</f>
        <v>View Map</v>
      </c>
    </row>
    <row r="2103" spans="1:7" x14ac:dyDescent="0.3">
      <c r="A2103" t="s">
        <v>46</v>
      </c>
      <c r="B2103" t="s">
        <v>3655</v>
      </c>
      <c r="C2103" t="s">
        <v>8</v>
      </c>
      <c r="D2103">
        <v>3.3079999999999998</v>
      </c>
      <c r="E2103" s="4">
        <v>1059</v>
      </c>
      <c r="F2103" t="str">
        <f>HYPERLINK("https://www.google.com/maps/search/?api=1&amp;query=24.700257,46.8340865", "View Map")</f>
        <v>View Map</v>
      </c>
    </row>
    <row r="2104" spans="1:7" x14ac:dyDescent="0.3">
      <c r="A2104" t="s">
        <v>3656</v>
      </c>
      <c r="B2104" t="s">
        <v>3657</v>
      </c>
      <c r="C2104" t="s">
        <v>8</v>
      </c>
      <c r="D2104">
        <v>3.3069999999999999</v>
      </c>
      <c r="E2104" s="4">
        <v>1058</v>
      </c>
      <c r="F2104" t="str">
        <f>HYPERLINK("https://www.google.com/maps/search/?api=1&amp;query=24.71511969,46.84495574", "View Map")</f>
        <v>View Map</v>
      </c>
    </row>
    <row r="2105" spans="1:7" x14ac:dyDescent="0.3">
      <c r="A2105" t="s">
        <v>3658</v>
      </c>
      <c r="B2105" t="s">
        <v>3659</v>
      </c>
      <c r="C2105" t="s">
        <v>393</v>
      </c>
      <c r="D2105">
        <v>3.306</v>
      </c>
      <c r="E2105" s="4">
        <v>1058</v>
      </c>
      <c r="F2105" t="str">
        <f>HYPERLINK("https://www.google.com/maps/search/?api=1&amp;query=23.55098985,45.50455748", "View Map")</f>
        <v>View Map</v>
      </c>
      <c r="G2105" s="2">
        <v>0.42893182976811228</v>
      </c>
    </row>
    <row r="2106" spans="1:7" x14ac:dyDescent="0.3">
      <c r="A2106" t="s">
        <v>3660</v>
      </c>
      <c r="B2106" t="s">
        <v>3661</v>
      </c>
      <c r="C2106" t="s">
        <v>8</v>
      </c>
      <c r="D2106">
        <v>3.3039999999999998</v>
      </c>
      <c r="E2106" s="4">
        <v>1057</v>
      </c>
      <c r="F2106" t="str">
        <f>HYPERLINK("https://www.google.com/maps/search/?api=1&amp;query=24.59739254,46.70651971", "View Map")</f>
        <v>View Map</v>
      </c>
      <c r="G2106" s="2">
        <v>0.41662471006289109</v>
      </c>
    </row>
    <row r="2107" spans="1:7" x14ac:dyDescent="0.3">
      <c r="A2107" t="s">
        <v>3662</v>
      </c>
      <c r="B2107" t="s">
        <v>3663</v>
      </c>
      <c r="C2107" t="s">
        <v>8</v>
      </c>
      <c r="D2107">
        <v>3.3029999999999999</v>
      </c>
      <c r="E2107" s="4">
        <v>1057</v>
      </c>
      <c r="F2107" t="str">
        <f>HYPERLINK("https://www.google.com/maps/search/?api=1&amp;query=24.6494479,46.76635901", "View Map")</f>
        <v>View Map</v>
      </c>
    </row>
    <row r="2108" spans="1:7" x14ac:dyDescent="0.3">
      <c r="A2108" t="s">
        <v>3664</v>
      </c>
      <c r="B2108" t="s">
        <v>3665</v>
      </c>
      <c r="C2108" t="s">
        <v>8</v>
      </c>
      <c r="D2108">
        <v>3.302</v>
      </c>
      <c r="E2108" s="4">
        <v>1057</v>
      </c>
      <c r="F2108" t="str">
        <f>HYPERLINK("https://www.google.com/maps/search/?api=1&amp;query=24.58380007,46.6673584", "View Map")</f>
        <v>View Map</v>
      </c>
      <c r="G2108" s="2">
        <v>0.35503163745336719</v>
      </c>
    </row>
    <row r="2109" spans="1:7" x14ac:dyDescent="0.3">
      <c r="A2109" t="s">
        <v>3666</v>
      </c>
      <c r="B2109" t="s">
        <v>3667</v>
      </c>
      <c r="C2109" t="s">
        <v>8</v>
      </c>
      <c r="D2109">
        <v>3.302</v>
      </c>
      <c r="E2109" s="4">
        <v>1057</v>
      </c>
      <c r="F2109" t="str">
        <f>HYPERLINK("https://www.google.com/maps/search/?api=1&amp;query=24.5807133,46.63335888", "View Map")</f>
        <v>View Map</v>
      </c>
    </row>
    <row r="2110" spans="1:7" x14ac:dyDescent="0.3">
      <c r="A2110" t="s">
        <v>3668</v>
      </c>
      <c r="B2110" t="s">
        <v>3669</v>
      </c>
      <c r="C2110" t="s">
        <v>30</v>
      </c>
      <c r="D2110">
        <v>3.2959999999999998</v>
      </c>
      <c r="E2110" s="4">
        <v>1055</v>
      </c>
      <c r="F2110" t="str">
        <f>HYPERLINK("https://www.google.com/maps/search/?api=1&amp;query=24.19323192,47.2867596", "View Map")</f>
        <v>View Map</v>
      </c>
      <c r="G2110" s="2">
        <v>0.68234271332984131</v>
      </c>
    </row>
    <row r="2111" spans="1:7" x14ac:dyDescent="0.3">
      <c r="A2111" t="s">
        <v>3670</v>
      </c>
      <c r="B2111" t="s">
        <v>3671</v>
      </c>
      <c r="C2111" t="s">
        <v>8</v>
      </c>
      <c r="D2111">
        <v>3.2949999999999999</v>
      </c>
      <c r="E2111" s="4">
        <v>1054</v>
      </c>
      <c r="F2111" t="str">
        <f>HYPERLINK("https://www.google.com/maps/search/?api=1&amp;query=24.68988938,46.8142836", "View Map")</f>
        <v>View Map</v>
      </c>
      <c r="G2111" s="2">
        <v>0.42115060526601428</v>
      </c>
    </row>
    <row r="2112" spans="1:7" x14ac:dyDescent="0.3">
      <c r="A2112" t="s">
        <v>3672</v>
      </c>
      <c r="B2112" t="s">
        <v>3673</v>
      </c>
      <c r="C2112" t="s">
        <v>296</v>
      </c>
      <c r="D2112">
        <v>3.2949999999999999</v>
      </c>
      <c r="E2112" s="4">
        <v>1054</v>
      </c>
      <c r="F2112" t="str">
        <f>HYPERLINK("https://www.google.com/maps/search/?api=1&amp;query=24.45880199,46.29016549", "View Map")</f>
        <v>View Map</v>
      </c>
      <c r="G2112" s="2">
        <v>0.42521380468246212</v>
      </c>
    </row>
    <row r="2113" spans="1:7" x14ac:dyDescent="0.3">
      <c r="A2113" t="s">
        <v>1594</v>
      </c>
      <c r="B2113" t="s">
        <v>3674</v>
      </c>
      <c r="C2113" t="s">
        <v>296</v>
      </c>
      <c r="D2113">
        <v>3.2949999999999999</v>
      </c>
      <c r="E2113" s="4">
        <v>1054</v>
      </c>
      <c r="F2113" t="str">
        <f>HYPERLINK("https://www.google.com/maps/search/?api=1&amp;query=24.49285763,46.24607931", "View Map")</f>
        <v>View Map</v>
      </c>
      <c r="G2113" s="2">
        <v>0.4811445145756057</v>
      </c>
    </row>
    <row r="2114" spans="1:7" x14ac:dyDescent="0.3">
      <c r="A2114" t="s">
        <v>3675</v>
      </c>
      <c r="B2114" t="s">
        <v>3676</v>
      </c>
      <c r="C2114" t="s">
        <v>30</v>
      </c>
      <c r="D2114">
        <v>3.294</v>
      </c>
      <c r="E2114" s="4">
        <v>1054</v>
      </c>
      <c r="F2114" t="str">
        <f>HYPERLINK("https://www.google.com/maps/search/?api=1&amp;query=24.14954887,47.32866748", "View Map")</f>
        <v>View Map</v>
      </c>
    </row>
    <row r="2115" spans="1:7" x14ac:dyDescent="0.3">
      <c r="A2115" t="s">
        <v>3677</v>
      </c>
      <c r="B2115" t="s">
        <v>3678</v>
      </c>
      <c r="C2115" t="s">
        <v>8</v>
      </c>
      <c r="D2115">
        <v>3.2930000000000001</v>
      </c>
      <c r="E2115" s="4">
        <v>1054</v>
      </c>
      <c r="F2115" t="str">
        <f>HYPERLINK("https://www.google.com/maps/search/?api=1&amp;query=24.82032996,46.76044133", "View Map")</f>
        <v>View Map</v>
      </c>
      <c r="G2115" s="2">
        <v>0.38627165111277151</v>
      </c>
    </row>
    <row r="2116" spans="1:7" x14ac:dyDescent="0.3">
      <c r="A2116" t="s">
        <v>3679</v>
      </c>
      <c r="B2116" t="s">
        <v>3680</v>
      </c>
      <c r="C2116" t="s">
        <v>8</v>
      </c>
      <c r="D2116">
        <v>3.2919999999999998</v>
      </c>
      <c r="E2116" s="4">
        <v>1053</v>
      </c>
      <c r="F2116" t="str">
        <f>HYPERLINK("https://www.google.com/maps/search/?api=1&amp;query=24.76598521,46.74771817", "View Map")</f>
        <v>View Map</v>
      </c>
    </row>
    <row r="2117" spans="1:7" x14ac:dyDescent="0.3">
      <c r="A2117" t="s">
        <v>3681</v>
      </c>
      <c r="B2117" t="s">
        <v>3682</v>
      </c>
      <c r="C2117" t="s">
        <v>8</v>
      </c>
      <c r="D2117">
        <v>3.29</v>
      </c>
      <c r="E2117" s="4">
        <v>1053</v>
      </c>
      <c r="F2117" t="str">
        <f>HYPERLINK("https://www.google.com/maps/search/?api=1&amp;query=24.610464,46.71866615", "View Map")</f>
        <v>View Map</v>
      </c>
    </row>
    <row r="2118" spans="1:7" x14ac:dyDescent="0.3">
      <c r="A2118" t="s">
        <v>3683</v>
      </c>
      <c r="B2118" t="s">
        <v>3684</v>
      </c>
      <c r="C2118" t="s">
        <v>214</v>
      </c>
      <c r="D2118">
        <v>3.2890000000000001</v>
      </c>
      <c r="E2118" s="4">
        <v>1052</v>
      </c>
      <c r="F2118" t="str">
        <f>HYPERLINK("https://www.google.com/maps/search/?api=1&amp;query=25.69664192,45.88027634", "View Map")</f>
        <v>View Map</v>
      </c>
      <c r="G2118" s="2">
        <v>0.67600174681908309</v>
      </c>
    </row>
    <row r="2119" spans="1:7" x14ac:dyDescent="0.3">
      <c r="A2119" t="s">
        <v>3685</v>
      </c>
      <c r="B2119" t="s">
        <v>3686</v>
      </c>
      <c r="C2119" t="s">
        <v>8</v>
      </c>
      <c r="D2119">
        <v>3.2890000000000001</v>
      </c>
      <c r="E2119" s="4">
        <v>1052</v>
      </c>
      <c r="F2119" t="str">
        <f>HYPERLINK("https://www.google.com/maps/search/?api=1&amp;query=24.58493332,46.69495538", "View Map")</f>
        <v>View Map</v>
      </c>
    </row>
    <row r="2120" spans="1:7" x14ac:dyDescent="0.3">
      <c r="A2120" t="s">
        <v>3687</v>
      </c>
      <c r="B2120" t="s">
        <v>3688</v>
      </c>
      <c r="C2120" t="s">
        <v>30</v>
      </c>
      <c r="D2120">
        <v>3.2879999999999998</v>
      </c>
      <c r="E2120" s="4">
        <v>1052</v>
      </c>
      <c r="F2120" t="str">
        <f>HYPERLINK("https://www.google.com/maps/search/?api=1&amp;query=24.15432739,47.31032128", "View Map")</f>
        <v>View Map</v>
      </c>
      <c r="G2120" s="2">
        <v>0.45884440153689349</v>
      </c>
    </row>
    <row r="2121" spans="1:7" x14ac:dyDescent="0.3">
      <c r="A2121" t="s">
        <v>3689</v>
      </c>
      <c r="B2121" t="s">
        <v>3690</v>
      </c>
      <c r="C2121" t="s">
        <v>8</v>
      </c>
      <c r="D2121">
        <v>3.286</v>
      </c>
      <c r="E2121" s="4">
        <v>1052</v>
      </c>
      <c r="F2121" t="str">
        <f>HYPERLINK("https://www.google.com/maps/search/?api=1&amp;query=24.60272153,46.73288271", "View Map")</f>
        <v>View Map</v>
      </c>
    </row>
    <row r="2122" spans="1:7" x14ac:dyDescent="0.3">
      <c r="A2122" t="s">
        <v>3691</v>
      </c>
      <c r="B2122" t="s">
        <v>3692</v>
      </c>
      <c r="C2122" t="s">
        <v>255</v>
      </c>
      <c r="D2122">
        <v>3.2850000000000001</v>
      </c>
      <c r="E2122" s="4">
        <v>1051</v>
      </c>
      <c r="F2122" t="str">
        <f>HYPERLINK("https://www.google.com/maps/search/?api=1&amp;query=25.37826036,44.4947739", "View Map")</f>
        <v>View Map</v>
      </c>
    </row>
    <row r="2123" spans="1:7" x14ac:dyDescent="0.3">
      <c r="A2123" t="s">
        <v>3693</v>
      </c>
      <c r="B2123" t="s">
        <v>3694</v>
      </c>
      <c r="C2123" t="s">
        <v>393</v>
      </c>
      <c r="D2123">
        <v>3.282</v>
      </c>
      <c r="E2123" s="4">
        <v>1050</v>
      </c>
      <c r="F2123" t="str">
        <f>HYPERLINK("https://www.google.com/maps/search/?api=1&amp;query=23.26260241,45.22045478", "View Map")</f>
        <v>View Map</v>
      </c>
      <c r="G2123" s="2">
        <v>0.83256796152343315</v>
      </c>
    </row>
    <row r="2124" spans="1:7" x14ac:dyDescent="0.3">
      <c r="A2124" t="s">
        <v>3695</v>
      </c>
      <c r="B2124" t="s">
        <v>3696</v>
      </c>
      <c r="C2124" t="s">
        <v>21</v>
      </c>
      <c r="D2124">
        <v>3.2810000000000001</v>
      </c>
      <c r="E2124" s="4">
        <v>1050</v>
      </c>
      <c r="F2124" t="str">
        <f>HYPERLINK("https://www.google.com/maps/search/?api=1&amp;query=26.30088647,44.81922226", "View Map")</f>
        <v>View Map</v>
      </c>
      <c r="G2124" s="2">
        <v>0.48239283695981239</v>
      </c>
    </row>
    <row r="2125" spans="1:7" x14ac:dyDescent="0.3">
      <c r="A2125" t="s">
        <v>3697</v>
      </c>
      <c r="B2125" t="s">
        <v>3698</v>
      </c>
      <c r="C2125" t="s">
        <v>30</v>
      </c>
      <c r="D2125">
        <v>3.2810000000000001</v>
      </c>
      <c r="E2125" s="4">
        <v>1050</v>
      </c>
      <c r="F2125" t="str">
        <f>HYPERLINK("https://www.google.com/maps/search/?api=1&amp;query=24.14956047,47.31914954", "View Map")</f>
        <v>View Map</v>
      </c>
    </row>
    <row r="2126" spans="1:7" x14ac:dyDescent="0.3">
      <c r="A2126" t="s">
        <v>3699</v>
      </c>
      <c r="B2126" t="s">
        <v>3700</v>
      </c>
      <c r="C2126" t="s">
        <v>8</v>
      </c>
      <c r="D2126">
        <v>3.28</v>
      </c>
      <c r="E2126" s="4">
        <v>1049</v>
      </c>
      <c r="F2126" t="str">
        <f>HYPERLINK("https://www.google.com/maps/search/?api=1&amp;query=24.69763043,46.67411699", "View Map")</f>
        <v>View Map</v>
      </c>
    </row>
    <row r="2127" spans="1:7" x14ac:dyDescent="0.3">
      <c r="A2127" t="s">
        <v>3701</v>
      </c>
      <c r="B2127" t="s">
        <v>3702</v>
      </c>
      <c r="C2127" t="s">
        <v>364</v>
      </c>
      <c r="D2127">
        <v>3.28</v>
      </c>
      <c r="E2127" s="4">
        <v>1050</v>
      </c>
      <c r="F2127" t="str">
        <f>HYPERLINK("https://www.google.com/maps/search/?api=1&amp;query=25.28076581,45.85645909", "View Map")</f>
        <v>View Map</v>
      </c>
      <c r="G2127" s="2">
        <v>0.71568742020677656</v>
      </c>
    </row>
    <row r="2128" spans="1:7" x14ac:dyDescent="0.3">
      <c r="A2128" t="s">
        <v>3703</v>
      </c>
      <c r="B2128" t="s">
        <v>3704</v>
      </c>
      <c r="C2128" t="s">
        <v>8</v>
      </c>
      <c r="D2128">
        <v>3.28</v>
      </c>
      <c r="E2128" s="4">
        <v>1050</v>
      </c>
      <c r="F2128" t="str">
        <f>HYPERLINK("https://www.google.com/maps/search/?api=1&amp;query=24.7629499,46.69123064", "View Map")</f>
        <v>View Map</v>
      </c>
    </row>
    <row r="2129" spans="1:7" x14ac:dyDescent="0.3">
      <c r="A2129" t="s">
        <v>3705</v>
      </c>
      <c r="B2129" t="s">
        <v>3706</v>
      </c>
      <c r="C2129" t="s">
        <v>8</v>
      </c>
      <c r="D2129">
        <v>3.2789999999999999</v>
      </c>
      <c r="E2129" s="4">
        <v>1049</v>
      </c>
      <c r="F2129" t="str">
        <f>HYPERLINK("https://www.google.com/maps/search/?api=1&amp;query=24.55224661,46.66793087", "View Map")</f>
        <v>View Map</v>
      </c>
    </row>
    <row r="2130" spans="1:7" x14ac:dyDescent="0.3">
      <c r="A2130" t="s">
        <v>3707</v>
      </c>
      <c r="B2130" t="s">
        <v>3708</v>
      </c>
      <c r="C2130" t="s">
        <v>30</v>
      </c>
      <c r="D2130">
        <v>3.278</v>
      </c>
      <c r="E2130" s="4">
        <v>1049</v>
      </c>
      <c r="F2130" t="str">
        <f>HYPERLINK("https://www.google.com/maps/search/?api=1&amp;query=24.1477051,47.29705276", "View Map")</f>
        <v>View Map</v>
      </c>
      <c r="G2130" s="2">
        <v>0.42403108648978183</v>
      </c>
    </row>
    <row r="2131" spans="1:7" x14ac:dyDescent="0.3">
      <c r="A2131" t="s">
        <v>3709</v>
      </c>
      <c r="B2131" t="s">
        <v>3710</v>
      </c>
      <c r="C2131" t="s">
        <v>8</v>
      </c>
      <c r="D2131">
        <v>3.278</v>
      </c>
      <c r="E2131" s="4">
        <v>1049</v>
      </c>
      <c r="F2131" t="str">
        <f>HYPERLINK("https://www.google.com/maps/search/?api=1&amp;query=24.68783706,46.67492904", "View Map")</f>
        <v>View Map</v>
      </c>
    </row>
    <row r="2132" spans="1:7" x14ac:dyDescent="0.3">
      <c r="A2132" t="s">
        <v>3711</v>
      </c>
      <c r="B2132" t="s">
        <v>3712</v>
      </c>
      <c r="C2132" t="s">
        <v>214</v>
      </c>
      <c r="D2132">
        <v>3.2759999999999998</v>
      </c>
      <c r="E2132" s="4">
        <v>1048</v>
      </c>
      <c r="F2132" t="str">
        <f>HYPERLINK("https://www.google.com/maps/search/?api=1&amp;query=25.90891683,45.36534775", "View Map")</f>
        <v>View Map</v>
      </c>
      <c r="G2132" s="2">
        <v>0.42488943253457762</v>
      </c>
    </row>
    <row r="2133" spans="1:7" x14ac:dyDescent="0.3">
      <c r="A2133" t="s">
        <v>2101</v>
      </c>
      <c r="B2133" t="s">
        <v>3713</v>
      </c>
      <c r="C2133" t="s">
        <v>883</v>
      </c>
      <c r="D2133">
        <v>3.2749999999999999</v>
      </c>
      <c r="E2133" s="4">
        <v>1048</v>
      </c>
      <c r="F2133" t="str">
        <f>HYPERLINK("https://www.google.com/maps/search/?api=1&amp;query=25.53213959,47.17155889", "View Map")</f>
        <v>View Map</v>
      </c>
      <c r="G2133" s="2">
        <v>0.62730780998663593</v>
      </c>
    </row>
    <row r="2134" spans="1:7" x14ac:dyDescent="0.3">
      <c r="A2134" t="s">
        <v>3714</v>
      </c>
      <c r="B2134" t="s">
        <v>3715</v>
      </c>
      <c r="C2134" t="s">
        <v>8</v>
      </c>
      <c r="D2134">
        <v>3.274</v>
      </c>
      <c r="E2134" s="4">
        <v>1048</v>
      </c>
      <c r="F2134" t="str">
        <f>HYPERLINK("https://www.google.com/maps/search/?api=1&amp;query=24.81254218,46.77939426", "View Map")</f>
        <v>View Map</v>
      </c>
    </row>
    <row r="2135" spans="1:7" x14ac:dyDescent="0.3">
      <c r="A2135" t="s">
        <v>3716</v>
      </c>
      <c r="B2135" t="s">
        <v>3717</v>
      </c>
      <c r="C2135" t="s">
        <v>8</v>
      </c>
      <c r="D2135">
        <v>3.27</v>
      </c>
      <c r="E2135" s="4">
        <v>1046</v>
      </c>
      <c r="F2135" t="str">
        <f>HYPERLINK("https://www.google.com/maps/search/?api=1&amp;query=24.77746257,46.68158165", "View Map")</f>
        <v>View Map</v>
      </c>
    </row>
    <row r="2136" spans="1:7" x14ac:dyDescent="0.3">
      <c r="A2136" t="s">
        <v>3718</v>
      </c>
      <c r="B2136" t="s">
        <v>3719</v>
      </c>
      <c r="C2136" t="s">
        <v>214</v>
      </c>
      <c r="D2136">
        <v>3.27</v>
      </c>
      <c r="E2136" s="4">
        <v>1046</v>
      </c>
      <c r="F2136" t="str">
        <f>HYPERLINK("https://www.google.com/maps/search/?api=1&amp;query=25.92158669,45.38114229", "View Map")</f>
        <v>View Map</v>
      </c>
      <c r="G2136" s="2">
        <v>0.64205012502941794</v>
      </c>
    </row>
    <row r="2137" spans="1:7" x14ac:dyDescent="0.3">
      <c r="A2137" t="s">
        <v>3720</v>
      </c>
      <c r="B2137" t="s">
        <v>3721</v>
      </c>
      <c r="C2137" t="s">
        <v>8</v>
      </c>
      <c r="D2137">
        <v>3.2679999999999998</v>
      </c>
      <c r="E2137" s="4">
        <v>1046</v>
      </c>
      <c r="F2137" t="str">
        <f>HYPERLINK("https://www.google.com/maps/search/?api=1&amp;query=24.7672,46.675", "View Map")</f>
        <v>View Map</v>
      </c>
      <c r="G2137" s="2">
        <v>0.42225422963647702</v>
      </c>
    </row>
    <row r="2138" spans="1:7" x14ac:dyDescent="0.3">
      <c r="A2138" t="s">
        <v>46</v>
      </c>
      <c r="B2138" t="s">
        <v>3722</v>
      </c>
      <c r="C2138" t="s">
        <v>8</v>
      </c>
      <c r="D2138">
        <v>3.2669999999999999</v>
      </c>
      <c r="E2138" s="4">
        <v>1046</v>
      </c>
      <c r="F2138" t="str">
        <f>HYPERLINK("https://www.google.com/maps/search/?api=1&amp;query=24.81858521,46.89459462", "View Map")</f>
        <v>View Map</v>
      </c>
    </row>
    <row r="2139" spans="1:7" x14ac:dyDescent="0.3">
      <c r="A2139" t="s">
        <v>3723</v>
      </c>
      <c r="B2139" t="s">
        <v>3724</v>
      </c>
      <c r="C2139" t="s">
        <v>8</v>
      </c>
      <c r="D2139">
        <v>3.266</v>
      </c>
      <c r="E2139" s="4">
        <v>1045</v>
      </c>
      <c r="F2139" t="str">
        <f>HYPERLINK("https://www.google.com/maps/search/?api=1&amp;query=24.70904817,46.8313787", "View Map")</f>
        <v>View Map</v>
      </c>
    </row>
    <row r="2140" spans="1:7" x14ac:dyDescent="0.3">
      <c r="A2140" t="s">
        <v>3725</v>
      </c>
      <c r="B2140" t="s">
        <v>3726</v>
      </c>
      <c r="C2140" t="s">
        <v>291</v>
      </c>
      <c r="D2140">
        <v>3.2650000000000001</v>
      </c>
      <c r="E2140" s="4">
        <v>1045</v>
      </c>
      <c r="F2140" t="str">
        <f>HYPERLINK("https://www.google.com/maps/search/?api=1&amp;query=24.06941304,45.00365127", "View Map")</f>
        <v>View Map</v>
      </c>
      <c r="G2140" s="2">
        <v>0.60757848341425791</v>
      </c>
    </row>
    <row r="2141" spans="1:7" x14ac:dyDescent="0.3">
      <c r="A2141" t="s">
        <v>3727</v>
      </c>
      <c r="B2141" t="s">
        <v>3728</v>
      </c>
      <c r="C2141" t="s">
        <v>8</v>
      </c>
      <c r="D2141">
        <v>3.2629999999999999</v>
      </c>
      <c r="E2141" s="4">
        <v>1044</v>
      </c>
      <c r="F2141" t="str">
        <f>HYPERLINK("https://www.google.com/maps/search/?api=1&amp;query=24.66839484,46.72540828", "View Map")</f>
        <v>View Map</v>
      </c>
    </row>
    <row r="2142" spans="1:7" x14ac:dyDescent="0.3">
      <c r="A2142" t="s">
        <v>3729</v>
      </c>
      <c r="B2142" t="s">
        <v>3730</v>
      </c>
      <c r="C2142" t="s">
        <v>699</v>
      </c>
      <c r="D2142">
        <v>3.262</v>
      </c>
      <c r="E2142" s="4">
        <v>1044</v>
      </c>
      <c r="F2142" t="str">
        <f>HYPERLINK("https://www.google.com/maps/search/?api=1&amp;query=25.0710571,45.45829353", "View Map")</f>
        <v>View Map</v>
      </c>
      <c r="G2142" s="2">
        <v>0.56426303123829447</v>
      </c>
    </row>
    <row r="2143" spans="1:7" x14ac:dyDescent="0.3">
      <c r="A2143" t="s">
        <v>3731</v>
      </c>
      <c r="B2143" t="s">
        <v>3732</v>
      </c>
      <c r="C2143" t="s">
        <v>77</v>
      </c>
      <c r="D2143">
        <v>3.2610000000000001</v>
      </c>
      <c r="E2143" s="4">
        <v>1043</v>
      </c>
      <c r="F2143" t="str">
        <f>HYPERLINK("https://www.google.com/maps/search/?api=1&amp;query=22.02357558,46.5583337", "View Map")</f>
        <v>View Map</v>
      </c>
      <c r="G2143" s="2">
        <v>0.6017678168261088</v>
      </c>
    </row>
    <row r="2144" spans="1:7" x14ac:dyDescent="0.3">
      <c r="A2144" t="s">
        <v>3733</v>
      </c>
      <c r="B2144" t="s">
        <v>3734</v>
      </c>
      <c r="C2144" t="s">
        <v>255</v>
      </c>
      <c r="D2144">
        <v>3.26</v>
      </c>
      <c r="E2144" s="4">
        <v>1043</v>
      </c>
      <c r="F2144" t="str">
        <f>HYPERLINK("https://www.google.com/maps/search/?api=1&amp;query=24.665876,43.66509156", "View Map")</f>
        <v>View Map</v>
      </c>
      <c r="G2144" s="2">
        <v>0.48193432434702271</v>
      </c>
    </row>
    <row r="2145" spans="1:7" x14ac:dyDescent="0.3">
      <c r="A2145" t="s">
        <v>3735</v>
      </c>
      <c r="B2145" t="s">
        <v>3736</v>
      </c>
      <c r="C2145" t="s">
        <v>255</v>
      </c>
      <c r="D2145">
        <v>3.2589999999999999</v>
      </c>
      <c r="E2145" s="4">
        <v>1043</v>
      </c>
      <c r="F2145" t="str">
        <f>HYPERLINK("https://www.google.com/maps/search/?api=1&amp;query=25.20501397,44.59849397", "View Map")</f>
        <v>View Map</v>
      </c>
      <c r="G2145" s="2">
        <v>0.59260525029224886</v>
      </c>
    </row>
    <row r="2146" spans="1:7" x14ac:dyDescent="0.3">
      <c r="A2146" t="s">
        <v>3737</v>
      </c>
      <c r="B2146" t="s">
        <v>3738</v>
      </c>
      <c r="C2146" t="s">
        <v>8</v>
      </c>
      <c r="D2146">
        <v>3.258</v>
      </c>
      <c r="E2146" s="4">
        <v>1043</v>
      </c>
      <c r="F2146" t="str">
        <f>HYPERLINK("https://www.google.com/maps/search/?api=1&amp;query=24.57021532,46.68724537", "View Map")</f>
        <v>View Map</v>
      </c>
      <c r="G2146" s="2">
        <v>0.38599632294197628</v>
      </c>
    </row>
    <row r="2147" spans="1:7" x14ac:dyDescent="0.3">
      <c r="A2147" t="s">
        <v>2063</v>
      </c>
      <c r="B2147" t="s">
        <v>3739</v>
      </c>
      <c r="C2147" t="s">
        <v>255</v>
      </c>
      <c r="D2147">
        <v>3.2559999999999998</v>
      </c>
      <c r="E2147" s="4">
        <v>1042</v>
      </c>
      <c r="F2147" t="str">
        <f>HYPERLINK("https://www.google.com/maps/search/?api=1&amp;query=24.56569688,44.44488161", "View Map")</f>
        <v>View Map</v>
      </c>
      <c r="G2147" s="2">
        <v>0.54333489447469918</v>
      </c>
    </row>
    <row r="2148" spans="1:7" x14ac:dyDescent="0.3">
      <c r="A2148" t="s">
        <v>3740</v>
      </c>
      <c r="B2148" t="s">
        <v>3741</v>
      </c>
      <c r="C2148" t="s">
        <v>8</v>
      </c>
      <c r="D2148">
        <v>3.2549999999999999</v>
      </c>
      <c r="E2148" s="4">
        <v>1042</v>
      </c>
      <c r="F2148" t="str">
        <f>HYPERLINK("https://www.google.com/maps/search/?api=1&amp;query=24.6164,46.7219", "View Map")</f>
        <v>View Map</v>
      </c>
    </row>
    <row r="2149" spans="1:7" x14ac:dyDescent="0.3">
      <c r="A2149" t="s">
        <v>3742</v>
      </c>
      <c r="B2149" t="s">
        <v>3743</v>
      </c>
      <c r="C2149" t="s">
        <v>8</v>
      </c>
      <c r="D2149">
        <v>3.2549999999999999</v>
      </c>
      <c r="E2149" s="4">
        <v>1042</v>
      </c>
      <c r="F2149" t="str">
        <f>HYPERLINK("https://www.google.com/maps/search/?api=1&amp;query=24.59554867,46.67081579", "View Map")</f>
        <v>View Map</v>
      </c>
    </row>
    <row r="2150" spans="1:7" x14ac:dyDescent="0.3">
      <c r="A2150" t="s">
        <v>3744</v>
      </c>
      <c r="B2150" t="s">
        <v>3745</v>
      </c>
      <c r="C2150" t="s">
        <v>21</v>
      </c>
      <c r="D2150">
        <v>3.254</v>
      </c>
      <c r="E2150" s="4">
        <v>1041</v>
      </c>
      <c r="F2150" t="str">
        <f>HYPERLINK("https://www.google.com/maps/search/?api=1&amp;query=26.3004516,44.82262688", "View Map")</f>
        <v>View Map</v>
      </c>
      <c r="G2150" s="2">
        <v>0.71227425246176512</v>
      </c>
    </row>
    <row r="2151" spans="1:7" x14ac:dyDescent="0.3">
      <c r="A2151" t="s">
        <v>28</v>
      </c>
      <c r="B2151" t="s">
        <v>3746</v>
      </c>
      <c r="C2151" t="s">
        <v>30</v>
      </c>
      <c r="D2151">
        <v>3.254</v>
      </c>
      <c r="E2151" s="4">
        <v>1041</v>
      </c>
      <c r="F2151" t="str">
        <f>HYPERLINK("https://www.google.com/maps/search/?api=1&amp;query=24.0945035,47.27503035", "View Map")</f>
        <v>View Map</v>
      </c>
      <c r="G2151" s="2">
        <v>0.54715432767445893</v>
      </c>
    </row>
    <row r="2152" spans="1:7" x14ac:dyDescent="0.3">
      <c r="A2152" t="s">
        <v>150</v>
      </c>
      <c r="B2152" t="s">
        <v>3747</v>
      </c>
      <c r="C2152" t="s">
        <v>8</v>
      </c>
      <c r="D2152">
        <v>3.254</v>
      </c>
      <c r="E2152" s="4">
        <v>1041</v>
      </c>
      <c r="F2152" t="str">
        <f>HYPERLINK("https://www.google.com/maps/search/?api=1&amp;query=24.77338683,46.84195032", "View Map")</f>
        <v>View Map</v>
      </c>
    </row>
    <row r="2153" spans="1:7" x14ac:dyDescent="0.3">
      <c r="A2153" t="s">
        <v>3748</v>
      </c>
      <c r="B2153" t="s">
        <v>3749</v>
      </c>
      <c r="C2153" t="s">
        <v>16</v>
      </c>
      <c r="D2153">
        <v>3.2509999999999999</v>
      </c>
      <c r="E2153" s="4">
        <v>1040</v>
      </c>
      <c r="F2153" t="str">
        <f>HYPERLINK("https://www.google.com/maps/search/?api=1&amp;query=23.89088619,42.89513887", "View Map")</f>
        <v>View Map</v>
      </c>
      <c r="G2153" s="2">
        <v>0.72867428089060349</v>
      </c>
    </row>
    <row r="2154" spans="1:7" x14ac:dyDescent="0.3">
      <c r="A2154" t="s">
        <v>512</v>
      </c>
      <c r="B2154" t="s">
        <v>3750</v>
      </c>
      <c r="C2154" t="s">
        <v>8</v>
      </c>
      <c r="D2154">
        <v>3.2480000000000002</v>
      </c>
      <c r="E2154" s="4">
        <v>1039</v>
      </c>
      <c r="F2154" t="str">
        <f>HYPERLINK("https://www.google.com/maps/search/?api=1&amp;query=24.80712,46.74323", "View Map")</f>
        <v>View Map</v>
      </c>
    </row>
    <row r="2155" spans="1:7" x14ac:dyDescent="0.3">
      <c r="A2155" t="s">
        <v>28</v>
      </c>
      <c r="B2155" t="s">
        <v>3751</v>
      </c>
      <c r="C2155" t="s">
        <v>30</v>
      </c>
      <c r="D2155">
        <v>3.2469999999999999</v>
      </c>
      <c r="E2155" s="4">
        <v>1039</v>
      </c>
      <c r="F2155" t="str">
        <f>HYPERLINK("https://www.google.com/maps/search/?api=1&amp;query=24.172587,47.37090102", "View Map")</f>
        <v>View Map</v>
      </c>
      <c r="G2155" s="2">
        <v>0.45938421517487688</v>
      </c>
    </row>
    <row r="2156" spans="1:7" x14ac:dyDescent="0.3">
      <c r="A2156" t="s">
        <v>3752</v>
      </c>
      <c r="B2156" t="s">
        <v>3753</v>
      </c>
      <c r="C2156" t="s">
        <v>8</v>
      </c>
      <c r="D2156">
        <v>3.2450000000000001</v>
      </c>
      <c r="E2156" s="4">
        <v>1038</v>
      </c>
      <c r="F2156" t="str">
        <f>HYPERLINK("https://www.google.com/maps/search/?api=1&amp;query=24.75826619,46.67389481", "View Map")</f>
        <v>View Map</v>
      </c>
    </row>
    <row r="2157" spans="1:7" x14ac:dyDescent="0.3">
      <c r="A2157" t="s">
        <v>46</v>
      </c>
      <c r="B2157" t="s">
        <v>3754</v>
      </c>
      <c r="C2157" t="s">
        <v>8</v>
      </c>
      <c r="D2157">
        <v>3.242</v>
      </c>
      <c r="E2157" s="4">
        <v>1037</v>
      </c>
      <c r="F2157" t="str">
        <f>HYPERLINK("https://www.google.com/maps/search/?api=1&amp;query=24.79748,46.59821", "View Map")</f>
        <v>View Map</v>
      </c>
      <c r="G2157" s="2">
        <v>0.72984199324183918</v>
      </c>
    </row>
    <row r="2158" spans="1:7" x14ac:dyDescent="0.3">
      <c r="A2158" t="s">
        <v>3755</v>
      </c>
      <c r="B2158" t="s">
        <v>3756</v>
      </c>
      <c r="C2158" t="s">
        <v>8</v>
      </c>
      <c r="D2158">
        <v>3.2410000000000001</v>
      </c>
      <c r="E2158" s="4">
        <v>1037</v>
      </c>
      <c r="F2158" t="str">
        <f>HYPERLINK("https://www.google.com/maps/search/?api=1&amp;query=24.61747763,46.68053083", "View Map")</f>
        <v>View Map</v>
      </c>
    </row>
    <row r="2159" spans="1:7" x14ac:dyDescent="0.3">
      <c r="A2159" t="s">
        <v>3757</v>
      </c>
      <c r="B2159" t="s">
        <v>3758</v>
      </c>
      <c r="C2159" t="s">
        <v>21</v>
      </c>
      <c r="D2159">
        <v>3.24</v>
      </c>
      <c r="E2159" s="4">
        <v>1037</v>
      </c>
      <c r="F2159" t="str">
        <f>HYPERLINK("https://www.google.com/maps/search/?api=1&amp;query=26.30380312,44.82339541", "View Map")</f>
        <v>View Map</v>
      </c>
      <c r="G2159" s="2">
        <v>0.74845584892269823</v>
      </c>
    </row>
    <row r="2160" spans="1:7" x14ac:dyDescent="0.3">
      <c r="A2160" t="s">
        <v>3759</v>
      </c>
      <c r="B2160" t="s">
        <v>3760</v>
      </c>
      <c r="C2160" t="s">
        <v>21</v>
      </c>
      <c r="D2160">
        <v>3.24</v>
      </c>
      <c r="E2160" s="4">
        <v>1037</v>
      </c>
      <c r="F2160" t="str">
        <f>HYPERLINK("https://www.google.com/maps/search/?api=1&amp;query=26.29669067,44.79880356", "View Map")</f>
        <v>View Map</v>
      </c>
      <c r="G2160" s="2">
        <v>0.48545941487601718</v>
      </c>
    </row>
    <row r="2161" spans="1:7" x14ac:dyDescent="0.3">
      <c r="A2161" t="s">
        <v>3761</v>
      </c>
      <c r="B2161" t="s">
        <v>3762</v>
      </c>
      <c r="C2161" t="s">
        <v>8</v>
      </c>
      <c r="D2161">
        <v>3.24</v>
      </c>
      <c r="E2161" s="4">
        <v>1037</v>
      </c>
      <c r="F2161" t="str">
        <f>HYPERLINK("https://www.google.com/maps/search/?api=1&amp;query=24.70431421,46.81820488", "View Map")</f>
        <v>View Map</v>
      </c>
      <c r="G2161" s="2">
        <v>0.3536166089242358</v>
      </c>
    </row>
    <row r="2162" spans="1:7" x14ac:dyDescent="0.3">
      <c r="A2162" t="s">
        <v>3763</v>
      </c>
      <c r="B2162" t="s">
        <v>3764</v>
      </c>
      <c r="C2162" t="s">
        <v>21</v>
      </c>
      <c r="D2162">
        <v>3.24</v>
      </c>
      <c r="E2162" s="4">
        <v>1037</v>
      </c>
      <c r="F2162" t="str">
        <f>HYPERLINK("https://www.google.com/maps/search/?api=1&amp;query=26.31151623,44.81868327", "View Map")</f>
        <v>View Map</v>
      </c>
      <c r="G2162" s="2">
        <v>0.65731359927694755</v>
      </c>
    </row>
    <row r="2163" spans="1:7" x14ac:dyDescent="0.3">
      <c r="A2163" t="s">
        <v>3765</v>
      </c>
      <c r="B2163" t="s">
        <v>3766</v>
      </c>
      <c r="C2163" t="s">
        <v>214</v>
      </c>
      <c r="D2163">
        <v>3.2370000000000001</v>
      </c>
      <c r="E2163" s="4">
        <v>1036</v>
      </c>
      <c r="F2163" t="str">
        <f>HYPERLINK("https://www.google.com/maps/search/?api=1&amp;query=25.87491233,45.14135158", "View Map")</f>
        <v>View Map</v>
      </c>
      <c r="G2163" s="2">
        <v>0.76897192741006581</v>
      </c>
    </row>
    <row r="2164" spans="1:7" x14ac:dyDescent="0.3">
      <c r="A2164" t="s">
        <v>3767</v>
      </c>
      <c r="B2164" t="s">
        <v>3768</v>
      </c>
      <c r="C2164" t="s">
        <v>77</v>
      </c>
      <c r="D2164">
        <v>3.2370000000000001</v>
      </c>
      <c r="E2164" s="4">
        <v>1036</v>
      </c>
      <c r="F2164" t="str">
        <f>HYPERLINK("https://www.google.com/maps/search/?api=1&amp;query=22.30887227,46.70650745", "View Map")</f>
        <v>View Map</v>
      </c>
      <c r="G2164" s="2">
        <v>0.57357397143649269</v>
      </c>
    </row>
    <row r="2165" spans="1:7" x14ac:dyDescent="0.3">
      <c r="A2165" t="s">
        <v>3769</v>
      </c>
      <c r="B2165" t="s">
        <v>3770</v>
      </c>
      <c r="C2165" t="s">
        <v>21</v>
      </c>
      <c r="D2165">
        <v>3.2370000000000001</v>
      </c>
      <c r="E2165" s="4">
        <v>1036</v>
      </c>
      <c r="F2165" t="str">
        <f>HYPERLINK("https://www.google.com/maps/search/?api=1&amp;query=26.30174817,44.82904085", "View Map")</f>
        <v>View Map</v>
      </c>
      <c r="G2165" s="2">
        <v>0.48065369758063259</v>
      </c>
    </row>
    <row r="2166" spans="1:7" x14ac:dyDescent="0.3">
      <c r="A2166" t="s">
        <v>3771</v>
      </c>
      <c r="B2166" t="s">
        <v>3772</v>
      </c>
      <c r="C2166" t="s">
        <v>738</v>
      </c>
      <c r="D2166">
        <v>3.2360000000000002</v>
      </c>
      <c r="E2166" s="4">
        <v>1036</v>
      </c>
      <c r="F2166" t="str">
        <f>HYPERLINK("https://www.google.com/maps/search/?api=1&amp;query=25.10456961,46.08982338", "View Map")</f>
        <v>View Map</v>
      </c>
      <c r="G2166" s="2">
        <v>0.70117312083116534</v>
      </c>
    </row>
    <row r="2167" spans="1:7" x14ac:dyDescent="0.3">
      <c r="A2167" t="s">
        <v>3773</v>
      </c>
      <c r="B2167" t="s">
        <v>3774</v>
      </c>
      <c r="C2167" t="s">
        <v>21</v>
      </c>
      <c r="D2167">
        <v>3.2349999999999999</v>
      </c>
      <c r="E2167" s="4">
        <v>1035</v>
      </c>
      <c r="F2167" t="str">
        <f>HYPERLINK("https://www.google.com/maps/search/?api=1&amp;query=26.29242224,44.82905882", "View Map")</f>
        <v>View Map</v>
      </c>
      <c r="G2167" s="2">
        <v>0.61605117164228007</v>
      </c>
    </row>
    <row r="2168" spans="1:7" x14ac:dyDescent="0.3">
      <c r="A2168" t="s">
        <v>146</v>
      </c>
      <c r="B2168" t="s">
        <v>3775</v>
      </c>
      <c r="C2168" t="s">
        <v>8</v>
      </c>
      <c r="D2168">
        <v>3.2349999999999999</v>
      </c>
      <c r="E2168" s="4">
        <v>1035</v>
      </c>
      <c r="F2168" t="str">
        <f>HYPERLINK("https://www.google.com/maps/search/?api=1&amp;query=24.54924496,46.49689065", "View Map")</f>
        <v>View Map</v>
      </c>
      <c r="G2168" s="2">
        <v>0.36649863389804821</v>
      </c>
    </row>
    <row r="2169" spans="1:7" x14ac:dyDescent="0.3">
      <c r="A2169" t="s">
        <v>661</v>
      </c>
      <c r="B2169" t="s">
        <v>3776</v>
      </c>
      <c r="C2169" t="s">
        <v>214</v>
      </c>
      <c r="D2169">
        <v>3.2349999999999999</v>
      </c>
      <c r="E2169" s="4">
        <v>1035</v>
      </c>
      <c r="F2169" t="str">
        <f>HYPERLINK("https://www.google.com/maps/search/?api=1&amp;query=25.70068353,45.46803088", "View Map")</f>
        <v>View Map</v>
      </c>
    </row>
    <row r="2170" spans="1:7" x14ac:dyDescent="0.3">
      <c r="A2170" t="s">
        <v>963</v>
      </c>
      <c r="B2170" t="s">
        <v>3777</v>
      </c>
      <c r="C2170" t="s">
        <v>241</v>
      </c>
      <c r="D2170">
        <v>3.234</v>
      </c>
      <c r="E2170" s="4">
        <v>1035</v>
      </c>
      <c r="F2170" t="str">
        <f>HYPERLINK("https://www.google.com/maps/search/?api=1&amp;query=20.48474575,44.77605821", "View Map")</f>
        <v>View Map</v>
      </c>
      <c r="G2170" s="2">
        <v>0.67243255842209892</v>
      </c>
    </row>
    <row r="2171" spans="1:7" x14ac:dyDescent="0.3">
      <c r="A2171" t="s">
        <v>146</v>
      </c>
      <c r="B2171" t="s">
        <v>3778</v>
      </c>
      <c r="C2171" t="s">
        <v>8</v>
      </c>
      <c r="D2171">
        <v>3.234</v>
      </c>
      <c r="E2171" s="4">
        <v>1035</v>
      </c>
      <c r="F2171" t="str">
        <f>HYPERLINK("https://www.google.com/maps/search/?api=1&amp;query=24.55621171,46.51615519", "View Map")</f>
        <v>View Map</v>
      </c>
      <c r="G2171" s="2">
        <v>0.5406537918629114</v>
      </c>
    </row>
    <row r="2172" spans="1:7" x14ac:dyDescent="0.3">
      <c r="A2172" t="s">
        <v>3779</v>
      </c>
      <c r="B2172" t="s">
        <v>3780</v>
      </c>
      <c r="C2172" t="s">
        <v>8</v>
      </c>
      <c r="D2172">
        <v>3.234</v>
      </c>
      <c r="E2172" s="4">
        <v>1035</v>
      </c>
      <c r="F2172" t="str">
        <f>HYPERLINK("https://www.google.com/maps/search/?api=1&amp;query=24.61892393,46.65474334", "View Map")</f>
        <v>View Map</v>
      </c>
      <c r="G2172" s="2">
        <v>0.74636446716094729</v>
      </c>
    </row>
    <row r="2173" spans="1:7" x14ac:dyDescent="0.3">
      <c r="A2173" t="s">
        <v>3781</v>
      </c>
      <c r="B2173" t="s">
        <v>3782</v>
      </c>
      <c r="C2173" t="s">
        <v>270</v>
      </c>
      <c r="D2173">
        <v>3.2330000000000001</v>
      </c>
      <c r="E2173" s="4">
        <v>1034</v>
      </c>
      <c r="F2173" t="str">
        <f>HYPERLINK("https://www.google.com/maps/search/?api=1&amp;query=24.18040743,47.13783689", "View Map")</f>
        <v>View Map</v>
      </c>
      <c r="G2173" s="2">
        <v>0.66676481023387391</v>
      </c>
    </row>
    <row r="2174" spans="1:7" x14ac:dyDescent="0.3">
      <c r="A2174" t="s">
        <v>3783</v>
      </c>
      <c r="B2174" t="s">
        <v>3784</v>
      </c>
      <c r="C2174" t="s">
        <v>8</v>
      </c>
      <c r="D2174">
        <v>3.2330000000000001</v>
      </c>
      <c r="E2174" s="4">
        <v>1035</v>
      </c>
      <c r="F2174" t="str">
        <f>HYPERLINK("https://www.google.com/maps/search/?api=1&amp;query=24.70086,46.66201", "View Map")</f>
        <v>View Map</v>
      </c>
    </row>
    <row r="2175" spans="1:7" x14ac:dyDescent="0.3">
      <c r="A2175" t="s">
        <v>362</v>
      </c>
      <c r="B2175" t="s">
        <v>3785</v>
      </c>
      <c r="C2175" t="s">
        <v>738</v>
      </c>
      <c r="D2175">
        <v>3.2320000000000002</v>
      </c>
      <c r="E2175" s="4">
        <v>1034</v>
      </c>
      <c r="F2175" t="str">
        <f>HYPERLINK("https://www.google.com/maps/search/?api=1&amp;query=25.00487819,45.83415925", "View Map")</f>
        <v>View Map</v>
      </c>
      <c r="G2175" s="2">
        <v>0.74013053641198434</v>
      </c>
    </row>
    <row r="2176" spans="1:7" x14ac:dyDescent="0.3">
      <c r="A2176" t="s">
        <v>3786</v>
      </c>
      <c r="B2176" t="s">
        <v>3787</v>
      </c>
      <c r="C2176" t="s">
        <v>8</v>
      </c>
      <c r="D2176">
        <v>3.2309999999999999</v>
      </c>
      <c r="E2176" s="4">
        <v>1034</v>
      </c>
      <c r="F2176" t="str">
        <f>HYPERLINK("https://www.google.com/maps/search/?api=1&amp;query=24.69292043,46.76261806", "View Map")</f>
        <v>View Map</v>
      </c>
      <c r="G2176" s="2">
        <v>0.51577419166501182</v>
      </c>
    </row>
    <row r="2177" spans="1:7" x14ac:dyDescent="0.3">
      <c r="A2177" t="s">
        <v>46</v>
      </c>
      <c r="B2177" t="s">
        <v>3788</v>
      </c>
      <c r="C2177" t="s">
        <v>8</v>
      </c>
      <c r="D2177">
        <v>3.23</v>
      </c>
      <c r="E2177" s="4">
        <v>1034</v>
      </c>
      <c r="F2177" t="str">
        <f>HYPERLINK("https://www.google.com/maps/search/?api=1&amp;query=24.66616094,46.5153889", "View Map")</f>
        <v>View Map</v>
      </c>
      <c r="G2177" s="2">
        <v>0.41858118231026409</v>
      </c>
    </row>
    <row r="2178" spans="1:7" x14ac:dyDescent="0.3">
      <c r="A2178" t="s">
        <v>740</v>
      </c>
      <c r="B2178" t="s">
        <v>3789</v>
      </c>
      <c r="C2178" t="s">
        <v>8</v>
      </c>
      <c r="D2178">
        <v>3.2280000000000002</v>
      </c>
      <c r="E2178" s="4">
        <v>1033</v>
      </c>
      <c r="F2178" t="str">
        <f>HYPERLINK("https://www.google.com/maps/search/?api=1&amp;query=24.70944673,46.80414976", "View Map")</f>
        <v>View Map</v>
      </c>
    </row>
    <row r="2179" spans="1:7" x14ac:dyDescent="0.3">
      <c r="A2179" t="s">
        <v>644</v>
      </c>
      <c r="B2179" t="s">
        <v>3790</v>
      </c>
      <c r="C2179" t="s">
        <v>646</v>
      </c>
      <c r="D2179">
        <v>3.2269999999999999</v>
      </c>
      <c r="E2179" s="4">
        <v>1033</v>
      </c>
      <c r="F2179" t="str">
        <f>HYPERLINK("https://www.google.com/maps/search/?api=1&amp;query=20.44863091,45.59821595", "View Map")</f>
        <v>View Map</v>
      </c>
      <c r="G2179" s="2">
        <v>0.56397790678798387</v>
      </c>
    </row>
    <row r="2180" spans="1:7" x14ac:dyDescent="0.3">
      <c r="A2180" t="s">
        <v>3791</v>
      </c>
      <c r="B2180" t="s">
        <v>3792</v>
      </c>
      <c r="C2180" t="s">
        <v>55</v>
      </c>
      <c r="D2180">
        <v>3.2269999999999999</v>
      </c>
      <c r="E2180" s="4">
        <v>1033</v>
      </c>
      <c r="F2180" t="str">
        <f>HYPERLINK("https://www.google.com/maps/search/?api=1&amp;query=24.90711903,46.44101417", "View Map")</f>
        <v>View Map</v>
      </c>
      <c r="G2180" s="2">
        <v>0.63977750938961331</v>
      </c>
    </row>
    <row r="2181" spans="1:7" x14ac:dyDescent="0.3">
      <c r="A2181" t="s">
        <v>3793</v>
      </c>
      <c r="B2181" t="s">
        <v>3794</v>
      </c>
      <c r="C2181" t="s">
        <v>8</v>
      </c>
      <c r="D2181">
        <v>3.2269999999999999</v>
      </c>
      <c r="E2181" s="4">
        <v>1033</v>
      </c>
      <c r="F2181" t="str">
        <f>HYPERLINK("https://www.google.com/maps/search/?api=1&amp;query=24.65718734,46.68619752", "View Map")</f>
        <v>View Map</v>
      </c>
    </row>
    <row r="2182" spans="1:7" x14ac:dyDescent="0.3">
      <c r="A2182" t="s">
        <v>3795</v>
      </c>
      <c r="B2182" t="s">
        <v>3796</v>
      </c>
      <c r="C2182" t="s">
        <v>8</v>
      </c>
      <c r="D2182">
        <v>3.226</v>
      </c>
      <c r="E2182" s="4">
        <v>1032</v>
      </c>
      <c r="F2182" t="str">
        <f>HYPERLINK("https://www.google.com/maps/search/?api=1&amp;query=24.61448719,46.71491019", "View Map")</f>
        <v>View Map</v>
      </c>
    </row>
    <row r="2183" spans="1:7" x14ac:dyDescent="0.3">
      <c r="A2183" t="s">
        <v>1273</v>
      </c>
      <c r="B2183" t="s">
        <v>3797</v>
      </c>
      <c r="C2183" t="s">
        <v>241</v>
      </c>
      <c r="D2183">
        <v>3.2250000000000001</v>
      </c>
      <c r="E2183" s="4">
        <v>1032</v>
      </c>
      <c r="F2183" t="str">
        <f>HYPERLINK("https://www.google.com/maps/search/?api=1&amp;query=20.44729749,44.78795038", "View Map")</f>
        <v>View Map</v>
      </c>
      <c r="G2183" s="2">
        <v>0.51836263703517993</v>
      </c>
    </row>
    <row r="2184" spans="1:7" x14ac:dyDescent="0.3">
      <c r="A2184" t="s">
        <v>860</v>
      </c>
      <c r="B2184" t="s">
        <v>3798</v>
      </c>
      <c r="C2184" t="s">
        <v>8</v>
      </c>
      <c r="D2184">
        <v>3.2250000000000001</v>
      </c>
      <c r="E2184" s="4">
        <v>1032</v>
      </c>
      <c r="F2184" t="str">
        <f>HYPERLINK("https://www.google.com/maps/search/?api=1&amp;query=24.78583374,46.8171458", "View Map")</f>
        <v>View Map</v>
      </c>
    </row>
    <row r="2185" spans="1:7" x14ac:dyDescent="0.3">
      <c r="A2185" t="s">
        <v>2602</v>
      </c>
      <c r="B2185" t="s">
        <v>3799</v>
      </c>
      <c r="C2185" t="s">
        <v>8</v>
      </c>
      <c r="D2185">
        <v>3.2250000000000001</v>
      </c>
      <c r="E2185" s="4">
        <v>1032</v>
      </c>
      <c r="F2185" t="str">
        <f>HYPERLINK("https://www.google.com/maps/search/?api=1&amp;query=24.58115827,46.57092668", "View Map")</f>
        <v>View Map</v>
      </c>
    </row>
    <row r="2186" spans="1:7" x14ac:dyDescent="0.3">
      <c r="A2186" t="s">
        <v>46</v>
      </c>
      <c r="B2186" t="s">
        <v>3800</v>
      </c>
      <c r="C2186" t="s">
        <v>8</v>
      </c>
      <c r="D2186">
        <v>3.2240000000000002</v>
      </c>
      <c r="E2186" s="4">
        <v>1032</v>
      </c>
      <c r="F2186" t="str">
        <f>HYPERLINK("https://www.google.com/maps/search/?api=1&amp;query=24.69615548,46.64198336", "View Map")</f>
        <v>View Map</v>
      </c>
    </row>
    <row r="2187" spans="1:7" x14ac:dyDescent="0.3">
      <c r="A2187" t="s">
        <v>46</v>
      </c>
      <c r="B2187" t="s">
        <v>3801</v>
      </c>
      <c r="C2187" t="s">
        <v>8</v>
      </c>
      <c r="D2187">
        <v>3.2240000000000002</v>
      </c>
      <c r="E2187" s="4">
        <v>1032</v>
      </c>
      <c r="F2187" t="str">
        <f>HYPERLINK("https://www.google.com/maps/search/?api=1&amp;query=24.82437239,46.59852622", "View Map")</f>
        <v>View Map</v>
      </c>
    </row>
    <row r="2188" spans="1:7" x14ac:dyDescent="0.3">
      <c r="A2188" t="s">
        <v>3802</v>
      </c>
      <c r="B2188" t="s">
        <v>3803</v>
      </c>
      <c r="C2188" t="s">
        <v>8</v>
      </c>
      <c r="D2188">
        <v>3.222</v>
      </c>
      <c r="E2188" s="4">
        <v>1031</v>
      </c>
      <c r="F2188" t="str">
        <f>HYPERLINK("https://www.google.com/maps/search/?api=1&amp;query=24.72719777,46.80751668", "View Map")</f>
        <v>View Map</v>
      </c>
      <c r="G2188" s="2">
        <v>0.35602228002216901</v>
      </c>
    </row>
    <row r="2189" spans="1:7" x14ac:dyDescent="0.3">
      <c r="A2189" t="s">
        <v>3804</v>
      </c>
      <c r="B2189" t="s">
        <v>3805</v>
      </c>
      <c r="C2189" t="s">
        <v>8</v>
      </c>
      <c r="D2189">
        <v>3.2210000000000001</v>
      </c>
      <c r="E2189" s="4">
        <v>1031</v>
      </c>
      <c r="F2189" t="str">
        <f>HYPERLINK("https://www.google.com/maps/search/?api=1&amp;query=24.81886849,46.62444331", "View Map")</f>
        <v>View Map</v>
      </c>
    </row>
    <row r="2190" spans="1:7" x14ac:dyDescent="0.3">
      <c r="A2190" t="s">
        <v>3806</v>
      </c>
      <c r="B2190" t="s">
        <v>3807</v>
      </c>
      <c r="C2190" t="s">
        <v>8</v>
      </c>
      <c r="D2190">
        <v>3.2210000000000001</v>
      </c>
      <c r="E2190" s="4">
        <v>1031</v>
      </c>
      <c r="F2190" t="str">
        <f>HYPERLINK("https://www.google.com/maps/search/?api=1&amp;query=24.7594251,46.77266034", "View Map")</f>
        <v>View Map</v>
      </c>
    </row>
    <row r="2191" spans="1:7" x14ac:dyDescent="0.3">
      <c r="A2191" t="s">
        <v>3808</v>
      </c>
      <c r="B2191" t="s">
        <v>3809</v>
      </c>
      <c r="C2191" t="s">
        <v>21</v>
      </c>
      <c r="D2191">
        <v>3.22</v>
      </c>
      <c r="E2191" s="4">
        <v>1030</v>
      </c>
      <c r="F2191" t="str">
        <f>HYPERLINK("https://www.google.com/maps/search/?api=1&amp;query=26.30122471,44.83176274", "View Map")</f>
        <v>View Map</v>
      </c>
      <c r="G2191" s="2">
        <v>0.50392695842983593</v>
      </c>
    </row>
    <row r="2192" spans="1:7" x14ac:dyDescent="0.3">
      <c r="A2192" t="s">
        <v>3810</v>
      </c>
      <c r="B2192" t="s">
        <v>3811</v>
      </c>
      <c r="C2192" t="s">
        <v>270</v>
      </c>
      <c r="D2192">
        <v>3.218</v>
      </c>
      <c r="E2192" s="4">
        <v>1030</v>
      </c>
      <c r="F2192" t="str">
        <f>HYPERLINK("https://www.google.com/maps/search/?api=1&amp;query=23.99789822,47.11837938", "View Map")</f>
        <v>View Map</v>
      </c>
      <c r="G2192" s="2">
        <v>0.64355563229004931</v>
      </c>
    </row>
    <row r="2193" spans="1:7" x14ac:dyDescent="0.3">
      <c r="A2193" t="s">
        <v>3812</v>
      </c>
      <c r="B2193" t="s">
        <v>3813</v>
      </c>
      <c r="C2193" t="s">
        <v>21</v>
      </c>
      <c r="D2193">
        <v>3.2170000000000001</v>
      </c>
      <c r="E2193" s="4">
        <v>1029</v>
      </c>
      <c r="F2193" t="str">
        <f>HYPERLINK("https://www.google.com/maps/search/?api=1&amp;query=26.31422183,44.82127042", "View Map")</f>
        <v>View Map</v>
      </c>
      <c r="G2193" s="2">
        <v>0.59207247058681145</v>
      </c>
    </row>
    <row r="2194" spans="1:7" x14ac:dyDescent="0.3">
      <c r="A2194" t="s">
        <v>3814</v>
      </c>
      <c r="B2194" t="s">
        <v>3815</v>
      </c>
      <c r="C2194" t="s">
        <v>8</v>
      </c>
      <c r="D2194">
        <v>3.2149999999999999</v>
      </c>
      <c r="E2194" s="4">
        <v>1029</v>
      </c>
      <c r="F2194" t="str">
        <f>HYPERLINK("https://www.google.com/maps/search/?api=1&amp;query=24.57053949,46.76688472", "View Map")</f>
        <v>View Map</v>
      </c>
    </row>
    <row r="2195" spans="1:7" x14ac:dyDescent="0.3">
      <c r="A2195" t="s">
        <v>1202</v>
      </c>
      <c r="B2195" t="s">
        <v>3816</v>
      </c>
      <c r="C2195" t="s">
        <v>8</v>
      </c>
      <c r="D2195">
        <v>3.2149999999999999</v>
      </c>
      <c r="E2195" s="4">
        <v>1029</v>
      </c>
      <c r="F2195" t="str">
        <f>HYPERLINK("https://www.google.com/maps/search/?api=1&amp;query=24.68529033,46.76381504", "View Map")</f>
        <v>View Map</v>
      </c>
    </row>
    <row r="2196" spans="1:7" x14ac:dyDescent="0.3">
      <c r="A2196" t="s">
        <v>3817</v>
      </c>
      <c r="B2196" t="s">
        <v>3818</v>
      </c>
      <c r="C2196" t="s">
        <v>8</v>
      </c>
      <c r="D2196">
        <v>3.214</v>
      </c>
      <c r="E2196" s="4">
        <v>1029</v>
      </c>
      <c r="F2196" t="str">
        <f>HYPERLINK("https://www.google.com/maps/search/?api=1&amp;query=24.78423236,46.77885377", "View Map")</f>
        <v>View Map</v>
      </c>
      <c r="G2196" s="2">
        <v>0.58670053302411185</v>
      </c>
    </row>
    <row r="2197" spans="1:7" x14ac:dyDescent="0.3">
      <c r="A2197" t="s">
        <v>3819</v>
      </c>
      <c r="B2197" t="s">
        <v>3820</v>
      </c>
      <c r="C2197" t="s">
        <v>8</v>
      </c>
      <c r="D2197">
        <v>3.214</v>
      </c>
      <c r="E2197" s="4">
        <v>1028</v>
      </c>
      <c r="F2197" t="str">
        <f>HYPERLINK("https://www.google.com/maps/search/?api=1&amp;query=24.56253719,46.80417442", "View Map")</f>
        <v>View Map</v>
      </c>
    </row>
    <row r="2198" spans="1:7" x14ac:dyDescent="0.3">
      <c r="A2198" t="s">
        <v>3821</v>
      </c>
      <c r="B2198" t="s">
        <v>3822</v>
      </c>
      <c r="C2198" t="s">
        <v>8</v>
      </c>
      <c r="D2198">
        <v>3.2130000000000001</v>
      </c>
      <c r="E2198" s="4">
        <v>1028</v>
      </c>
      <c r="F2198" t="str">
        <f>HYPERLINK("https://www.google.com/maps/search/?api=1&amp;query=24.56147312,46.68505211", "View Map")</f>
        <v>View Map</v>
      </c>
      <c r="G2198" s="2">
        <v>0.4523978839841799</v>
      </c>
    </row>
    <row r="2199" spans="1:7" x14ac:dyDescent="0.3">
      <c r="A2199" t="s">
        <v>1262</v>
      </c>
      <c r="B2199" t="s">
        <v>3823</v>
      </c>
      <c r="C2199" t="s">
        <v>8</v>
      </c>
      <c r="D2199">
        <v>3.2130000000000001</v>
      </c>
      <c r="E2199" s="4">
        <v>1028</v>
      </c>
      <c r="F2199" t="str">
        <f>HYPERLINK("https://www.google.com/maps/search/?api=1&amp;query=24.75714954,46.8044179", "View Map")</f>
        <v>View Map</v>
      </c>
    </row>
    <row r="2200" spans="1:7" x14ac:dyDescent="0.3">
      <c r="A2200" t="s">
        <v>3824</v>
      </c>
      <c r="B2200" t="s">
        <v>3825</v>
      </c>
      <c r="C2200" t="s">
        <v>8</v>
      </c>
      <c r="D2200">
        <v>3.2120000000000002</v>
      </c>
      <c r="E2200" s="4">
        <v>1028</v>
      </c>
      <c r="F2200" t="str">
        <f>HYPERLINK("https://www.google.com/maps/search/?api=1&amp;query=24.56615774,46.69931426", "View Map")</f>
        <v>View Map</v>
      </c>
    </row>
    <row r="2201" spans="1:7" x14ac:dyDescent="0.3">
      <c r="A2201" t="s">
        <v>717</v>
      </c>
      <c r="B2201" t="s">
        <v>3826</v>
      </c>
      <c r="C2201" t="s">
        <v>255</v>
      </c>
      <c r="D2201">
        <v>3.2109999999999999</v>
      </c>
      <c r="E2201" s="4">
        <v>1027</v>
      </c>
      <c r="F2201" t="str">
        <f>HYPERLINK("https://www.google.com/maps/search/?api=1&amp;query=24.5408922,44.41220806", "View Map")</f>
        <v>View Map</v>
      </c>
      <c r="G2201" s="2">
        <v>0.35005987126003463</v>
      </c>
    </row>
    <row r="2202" spans="1:7" x14ac:dyDescent="0.3">
      <c r="A2202" t="s">
        <v>3827</v>
      </c>
      <c r="B2202" t="s">
        <v>3828</v>
      </c>
      <c r="C2202" t="s">
        <v>296</v>
      </c>
      <c r="D2202">
        <v>3.21</v>
      </c>
      <c r="E2202" s="4">
        <v>1027</v>
      </c>
      <c r="F2202" t="str">
        <f>HYPERLINK("https://www.google.com/maps/search/?api=1&amp;query=24.46633171,46.29407999", "View Map")</f>
        <v>View Map</v>
      </c>
      <c r="G2202" s="2">
        <v>1.5406378196425261</v>
      </c>
    </row>
    <row r="2203" spans="1:7" x14ac:dyDescent="0.3">
      <c r="A2203" t="s">
        <v>3829</v>
      </c>
      <c r="B2203" t="s">
        <v>3830</v>
      </c>
      <c r="C2203" t="s">
        <v>30</v>
      </c>
      <c r="D2203">
        <v>3.21</v>
      </c>
      <c r="E2203" s="4">
        <v>1027</v>
      </c>
      <c r="F2203" t="str">
        <f>HYPERLINK("https://www.google.com/maps/search/?api=1&amp;query=24.17075583,47.22260385", "View Map")</f>
        <v>View Map</v>
      </c>
      <c r="G2203" s="2">
        <v>0.3858084218718445</v>
      </c>
    </row>
    <row r="2204" spans="1:7" x14ac:dyDescent="0.3">
      <c r="A2204" t="s">
        <v>3831</v>
      </c>
      <c r="B2204" t="s">
        <v>3832</v>
      </c>
      <c r="C2204" t="s">
        <v>8</v>
      </c>
      <c r="D2204">
        <v>3.21</v>
      </c>
      <c r="E2204" s="4">
        <v>1027</v>
      </c>
      <c r="F2204" t="str">
        <f>HYPERLINK("https://www.google.com/maps/search/?api=1&amp;query=24.67528726,46.58276208", "View Map")</f>
        <v>View Map</v>
      </c>
    </row>
    <row r="2205" spans="1:7" x14ac:dyDescent="0.3">
      <c r="A2205" t="s">
        <v>380</v>
      </c>
      <c r="B2205" t="s">
        <v>3833</v>
      </c>
      <c r="C2205" t="s">
        <v>214</v>
      </c>
      <c r="D2205">
        <v>3.21</v>
      </c>
      <c r="E2205" s="4">
        <v>1027</v>
      </c>
      <c r="F2205" t="str">
        <f>HYPERLINK("https://www.google.com/maps/search/?api=1&amp;query=25.69664192,45.88027634", "View Map")</f>
        <v>View Map</v>
      </c>
      <c r="G2205" s="2">
        <v>0.67480770347170926</v>
      </c>
    </row>
    <row r="2206" spans="1:7" x14ac:dyDescent="0.3">
      <c r="A2206" t="s">
        <v>1143</v>
      </c>
      <c r="B2206" t="s">
        <v>3834</v>
      </c>
      <c r="C2206" t="s">
        <v>296</v>
      </c>
      <c r="D2206">
        <v>3.2080000000000002</v>
      </c>
      <c r="E2206" s="4">
        <v>1027</v>
      </c>
      <c r="F2206" t="str">
        <f>HYPERLINK("https://www.google.com/maps/search/?api=1&amp;query=24.46629556,46.30265167", "View Map")</f>
        <v>View Map</v>
      </c>
      <c r="G2206" s="2">
        <v>0.39748645135000699</v>
      </c>
    </row>
    <row r="2207" spans="1:7" x14ac:dyDescent="0.3">
      <c r="A2207" t="s">
        <v>3835</v>
      </c>
      <c r="B2207" t="s">
        <v>3836</v>
      </c>
      <c r="C2207" t="s">
        <v>8</v>
      </c>
      <c r="D2207">
        <v>3.2080000000000002</v>
      </c>
      <c r="E2207" s="4">
        <v>1026</v>
      </c>
      <c r="F2207" t="str">
        <f>HYPERLINK("https://www.google.com/maps/search/?api=1&amp;query=24.80012464,46.79699528", "View Map")</f>
        <v>View Map</v>
      </c>
      <c r="G2207" s="2">
        <v>0.34675135122576262</v>
      </c>
    </row>
    <row r="2208" spans="1:7" x14ac:dyDescent="0.3">
      <c r="A2208" t="s">
        <v>46</v>
      </c>
      <c r="B2208" t="s">
        <v>3837</v>
      </c>
      <c r="C2208" t="s">
        <v>8</v>
      </c>
      <c r="D2208">
        <v>3.2080000000000002</v>
      </c>
      <c r="E2208" s="4">
        <v>1027</v>
      </c>
      <c r="F2208" t="str">
        <f>HYPERLINK("https://www.google.com/maps/search/?api=1&amp;query=24.85203405,46.82693237", "View Map")</f>
        <v>View Map</v>
      </c>
    </row>
    <row r="2209" spans="1:7" x14ac:dyDescent="0.3">
      <c r="A2209" t="s">
        <v>3838</v>
      </c>
      <c r="B2209" t="s">
        <v>3839</v>
      </c>
      <c r="C2209" t="s">
        <v>55</v>
      </c>
      <c r="D2209">
        <v>3.2069999999999999</v>
      </c>
      <c r="E2209" s="4">
        <v>1026</v>
      </c>
      <c r="F2209" t="str">
        <f>HYPERLINK("https://www.google.com/maps/search/?api=1&amp;query=24.74012063,46.59488177", "View Map")</f>
        <v>View Map</v>
      </c>
    </row>
    <row r="2210" spans="1:7" x14ac:dyDescent="0.3">
      <c r="A2210" t="s">
        <v>3840</v>
      </c>
      <c r="B2210" t="s">
        <v>3841</v>
      </c>
      <c r="C2210" t="s">
        <v>8</v>
      </c>
      <c r="D2210">
        <v>3.2050000000000001</v>
      </c>
      <c r="E2210" s="4">
        <v>1026</v>
      </c>
      <c r="F2210" t="str">
        <f>HYPERLINK("https://www.google.com/maps/search/?api=1&amp;query=24.59807471,46.66745211", "View Map")</f>
        <v>View Map</v>
      </c>
      <c r="G2210" s="2">
        <v>0.404117401969598</v>
      </c>
    </row>
    <row r="2211" spans="1:7" x14ac:dyDescent="0.3">
      <c r="A2211" t="s">
        <v>1778</v>
      </c>
      <c r="B2211" t="s">
        <v>3842</v>
      </c>
      <c r="C2211" t="s">
        <v>8</v>
      </c>
      <c r="D2211">
        <v>3.2040000000000002</v>
      </c>
      <c r="E2211" s="4">
        <v>1025</v>
      </c>
      <c r="F2211" t="str">
        <f>HYPERLINK("https://www.google.com/maps/search/?api=1&amp;query=24.67557452,46.73825129", "View Map")</f>
        <v>View Map</v>
      </c>
    </row>
    <row r="2212" spans="1:7" x14ac:dyDescent="0.3">
      <c r="A2212" t="s">
        <v>146</v>
      </c>
      <c r="B2212" t="s">
        <v>3843</v>
      </c>
      <c r="C2212" t="s">
        <v>8</v>
      </c>
      <c r="D2212">
        <v>3.202</v>
      </c>
      <c r="E2212" s="4">
        <v>1025</v>
      </c>
      <c r="F2212" t="str">
        <f>HYPERLINK("https://www.google.com/maps/search/?api=1&amp;query=24.55537117,46.56147134", "View Map")</f>
        <v>View Map</v>
      </c>
    </row>
    <row r="2213" spans="1:7" x14ac:dyDescent="0.3">
      <c r="A2213" t="s">
        <v>3844</v>
      </c>
      <c r="B2213" t="s">
        <v>3845</v>
      </c>
      <c r="C2213" t="s">
        <v>291</v>
      </c>
      <c r="D2213">
        <v>3.202</v>
      </c>
      <c r="E2213" s="4">
        <v>1025</v>
      </c>
      <c r="F2213" t="str">
        <f>HYPERLINK("https://www.google.com/maps/search/?api=1&amp;query=24.24255934,45.81325304", "View Map")</f>
        <v>View Map</v>
      </c>
      <c r="G2213" s="2">
        <v>0.82766620114214529</v>
      </c>
    </row>
    <row r="2214" spans="1:7" x14ac:dyDescent="0.3">
      <c r="A2214" t="s">
        <v>46</v>
      </c>
      <c r="B2214" t="s">
        <v>3846</v>
      </c>
      <c r="C2214" t="s">
        <v>8</v>
      </c>
      <c r="D2214">
        <v>3.2</v>
      </c>
      <c r="E2214" s="4">
        <v>1024</v>
      </c>
      <c r="F2214" t="str">
        <f>HYPERLINK("https://www.google.com/maps/search/?api=1&amp;query=24.64417295,46.79255834", "View Map")</f>
        <v>View Map</v>
      </c>
    </row>
    <row r="2215" spans="1:7" x14ac:dyDescent="0.3">
      <c r="A2215" t="s">
        <v>3847</v>
      </c>
      <c r="B2215" t="s">
        <v>3848</v>
      </c>
      <c r="C2215" t="s">
        <v>8</v>
      </c>
      <c r="D2215">
        <v>3.198</v>
      </c>
      <c r="E2215" s="4">
        <v>1023</v>
      </c>
      <c r="F2215" t="str">
        <f>HYPERLINK("https://www.google.com/maps/search/?api=1&amp;query=24.74173517,46.65476912", "View Map")</f>
        <v>View Map</v>
      </c>
    </row>
    <row r="2216" spans="1:7" x14ac:dyDescent="0.3">
      <c r="A2216" t="s">
        <v>3849</v>
      </c>
      <c r="B2216" t="s">
        <v>3850</v>
      </c>
      <c r="C2216" t="s">
        <v>8</v>
      </c>
      <c r="D2216">
        <v>3.198</v>
      </c>
      <c r="E2216" s="4">
        <v>1024</v>
      </c>
      <c r="F2216" t="str">
        <f>HYPERLINK("https://www.google.com/maps/search/?api=1&amp;query=24.79353745,46.73622187", "View Map")</f>
        <v>View Map</v>
      </c>
    </row>
    <row r="2217" spans="1:7" x14ac:dyDescent="0.3">
      <c r="A2217" t="s">
        <v>3851</v>
      </c>
      <c r="B2217" t="s">
        <v>3852</v>
      </c>
      <c r="C2217" t="s">
        <v>55</v>
      </c>
      <c r="D2217">
        <v>3.198</v>
      </c>
      <c r="E2217" s="4">
        <v>1023</v>
      </c>
      <c r="F2217" t="str">
        <f>HYPERLINK("https://www.google.com/maps/search/?api=1&amp;query=24.7462698,46.58998719", "View Map")</f>
        <v>View Map</v>
      </c>
    </row>
    <row r="2218" spans="1:7" x14ac:dyDescent="0.3">
      <c r="A2218" t="s">
        <v>46</v>
      </c>
      <c r="B2218" t="s">
        <v>3853</v>
      </c>
      <c r="C2218" t="s">
        <v>8</v>
      </c>
      <c r="D2218">
        <v>3.198</v>
      </c>
      <c r="E2218" s="4">
        <v>1023</v>
      </c>
      <c r="F2218" t="str">
        <f>HYPERLINK("https://www.google.com/maps/search/?api=1&amp;query=24.60699733,46.52597876", "View Map")</f>
        <v>View Map</v>
      </c>
    </row>
    <row r="2219" spans="1:7" x14ac:dyDescent="0.3">
      <c r="A2219" t="s">
        <v>3854</v>
      </c>
      <c r="B2219" t="s">
        <v>3855</v>
      </c>
      <c r="C2219" t="s">
        <v>8</v>
      </c>
      <c r="D2219">
        <v>3.1970000000000001</v>
      </c>
      <c r="E2219" s="4">
        <v>1023</v>
      </c>
      <c r="F2219" t="str">
        <f>HYPERLINK("https://www.google.com/maps/search/?api=1&amp;query=24.61602621,46.73136835", "View Map")</f>
        <v>View Map</v>
      </c>
    </row>
    <row r="2220" spans="1:7" x14ac:dyDescent="0.3">
      <c r="A2220" t="s">
        <v>2737</v>
      </c>
      <c r="B2220" t="s">
        <v>3856</v>
      </c>
      <c r="C2220" t="s">
        <v>8</v>
      </c>
      <c r="D2220">
        <v>3.1960000000000002</v>
      </c>
      <c r="E2220" s="4">
        <v>1023</v>
      </c>
      <c r="F2220" t="str">
        <f>HYPERLINK("https://www.google.com/maps/search/?api=1&amp;query=24.68521732,46.82861433", "View Map")</f>
        <v>View Map</v>
      </c>
    </row>
    <row r="2221" spans="1:7" x14ac:dyDescent="0.3">
      <c r="A2221" t="s">
        <v>3857</v>
      </c>
      <c r="B2221" t="s">
        <v>3858</v>
      </c>
      <c r="C2221" t="s">
        <v>738</v>
      </c>
      <c r="D2221">
        <v>3.1960000000000002</v>
      </c>
      <c r="E2221" s="4">
        <v>1023</v>
      </c>
      <c r="F2221" t="str">
        <f>HYPERLINK("https://www.google.com/maps/search/?api=1&amp;query=25.14251227,46.26969448", "View Map")</f>
        <v>View Map</v>
      </c>
      <c r="G2221" s="2">
        <v>0.58093456886388095</v>
      </c>
    </row>
    <row r="2222" spans="1:7" x14ac:dyDescent="0.3">
      <c r="A2222" t="s">
        <v>3859</v>
      </c>
      <c r="B2222" t="s">
        <v>3860</v>
      </c>
      <c r="C2222" t="s">
        <v>8</v>
      </c>
      <c r="D2222">
        <v>3.194</v>
      </c>
      <c r="E2222" s="4">
        <v>1022</v>
      </c>
      <c r="F2222" t="str">
        <f>HYPERLINK("https://www.google.com/maps/search/?api=1&amp;query=24.59258883,46.53948231", "View Map")</f>
        <v>View Map</v>
      </c>
    </row>
    <row r="2223" spans="1:7" x14ac:dyDescent="0.3">
      <c r="A2223" t="s">
        <v>3861</v>
      </c>
      <c r="B2223" t="s">
        <v>3862</v>
      </c>
      <c r="C2223" t="s">
        <v>30</v>
      </c>
      <c r="D2223">
        <v>3.1930000000000001</v>
      </c>
      <c r="E2223" s="4">
        <v>1022</v>
      </c>
      <c r="F2223" t="str">
        <f>HYPERLINK("https://www.google.com/maps/search/?api=1&amp;query=24.13270181,47.35760442", "View Map")</f>
        <v>View Map</v>
      </c>
      <c r="G2223" s="2">
        <v>0.45559204533197423</v>
      </c>
    </row>
    <row r="2224" spans="1:7" x14ac:dyDescent="0.3">
      <c r="A2224" t="s">
        <v>3863</v>
      </c>
      <c r="B2224" t="s">
        <v>3864</v>
      </c>
      <c r="C2224" t="s">
        <v>738</v>
      </c>
      <c r="D2224">
        <v>3.1920000000000002</v>
      </c>
      <c r="E2224" s="4">
        <v>1021</v>
      </c>
      <c r="F2224" t="str">
        <f>HYPERLINK("https://www.google.com/maps/search/?api=1&amp;query=25.13990005,46.11862634", "View Map")</f>
        <v>View Map</v>
      </c>
      <c r="G2224" s="2">
        <v>0.41139811890840011</v>
      </c>
    </row>
    <row r="2225" spans="1:7" x14ac:dyDescent="0.3">
      <c r="A2225" t="s">
        <v>3865</v>
      </c>
      <c r="B2225" t="s">
        <v>3866</v>
      </c>
      <c r="C2225" t="s">
        <v>8</v>
      </c>
      <c r="D2225">
        <v>3.1920000000000002</v>
      </c>
      <c r="E2225" s="4">
        <v>1021</v>
      </c>
      <c r="F2225" t="str">
        <f>HYPERLINK("https://www.google.com/maps/search/?api=1&amp;query=24.54079401,46.64107926", "View Map")</f>
        <v>View Map</v>
      </c>
    </row>
    <row r="2226" spans="1:7" x14ac:dyDescent="0.3">
      <c r="A2226" t="s">
        <v>881</v>
      </c>
      <c r="B2226" t="s">
        <v>3867</v>
      </c>
      <c r="C2226" t="s">
        <v>883</v>
      </c>
      <c r="D2226">
        <v>3.19</v>
      </c>
      <c r="E2226" s="4">
        <v>1021</v>
      </c>
      <c r="F2226" t="str">
        <f>HYPERLINK("https://www.google.com/maps/search/?api=1&amp;query=25.54384495,47.16351973", "View Map")</f>
        <v>View Map</v>
      </c>
      <c r="G2226" s="2">
        <v>0.45031590277810912</v>
      </c>
    </row>
    <row r="2227" spans="1:7" x14ac:dyDescent="0.3">
      <c r="A2227" t="s">
        <v>3868</v>
      </c>
      <c r="B2227" t="s">
        <v>3869</v>
      </c>
      <c r="C2227" t="s">
        <v>291</v>
      </c>
      <c r="D2227">
        <v>3.1880000000000002</v>
      </c>
      <c r="E2227" s="4">
        <v>1020</v>
      </c>
      <c r="F2227" t="str">
        <f>HYPERLINK("https://www.google.com/maps/search/?api=1&amp;query=24.3174192,45.83763332", "View Map")</f>
        <v>View Map</v>
      </c>
      <c r="G2227" s="2">
        <v>0.73270672703165685</v>
      </c>
    </row>
    <row r="2228" spans="1:7" x14ac:dyDescent="0.3">
      <c r="A2228" t="s">
        <v>3870</v>
      </c>
      <c r="B2228" t="s">
        <v>3871</v>
      </c>
      <c r="C2228" t="s">
        <v>255</v>
      </c>
      <c r="D2228">
        <v>3.1880000000000002</v>
      </c>
      <c r="E2228" s="4">
        <v>1020</v>
      </c>
      <c r="F2228" t="str">
        <f>HYPERLINK("https://www.google.com/maps/search/?api=1&amp;query=25.1701483,44.22521572", "View Map")</f>
        <v>View Map</v>
      </c>
      <c r="G2228" s="2">
        <v>0.55804396303458548</v>
      </c>
    </row>
    <row r="2229" spans="1:7" x14ac:dyDescent="0.3">
      <c r="A2229" t="s">
        <v>46</v>
      </c>
      <c r="B2229" t="s">
        <v>3872</v>
      </c>
      <c r="C2229" t="s">
        <v>55</v>
      </c>
      <c r="D2229">
        <v>3.1869999999999998</v>
      </c>
      <c r="E2229" s="4">
        <v>1020</v>
      </c>
      <c r="F2229" t="str">
        <f>HYPERLINK("https://www.google.com/maps/search/?api=1&amp;query=24.90233057,46.30434206", "View Map")</f>
        <v>View Map</v>
      </c>
      <c r="G2229" s="2">
        <v>0.65745350272626923</v>
      </c>
    </row>
    <row r="2230" spans="1:7" x14ac:dyDescent="0.3">
      <c r="A2230" t="s">
        <v>3873</v>
      </c>
      <c r="B2230" t="s">
        <v>3874</v>
      </c>
      <c r="C2230" t="s">
        <v>8</v>
      </c>
      <c r="D2230">
        <v>3.1850000000000001</v>
      </c>
      <c r="E2230" s="4">
        <v>1019</v>
      </c>
      <c r="F2230" t="str">
        <f>HYPERLINK("https://www.google.com/maps/search/?api=1&amp;query=24.52714416,46.69686009", "View Map")</f>
        <v>View Map</v>
      </c>
    </row>
    <row r="2231" spans="1:7" x14ac:dyDescent="0.3">
      <c r="A2231" t="s">
        <v>3875</v>
      </c>
      <c r="B2231" t="s">
        <v>3876</v>
      </c>
      <c r="C2231" t="s">
        <v>55</v>
      </c>
      <c r="D2231">
        <v>3.1850000000000001</v>
      </c>
      <c r="E2231" s="4">
        <v>1019</v>
      </c>
      <c r="F2231" t="str">
        <f>HYPERLINK("https://www.google.com/maps/search/?api=1&amp;query=24.7510672,46.57207136", "View Map")</f>
        <v>View Map</v>
      </c>
      <c r="G2231" s="2">
        <v>0.31654715552142348</v>
      </c>
    </row>
    <row r="2232" spans="1:7" x14ac:dyDescent="0.3">
      <c r="A2232" t="s">
        <v>3877</v>
      </c>
      <c r="B2232" t="s">
        <v>3878</v>
      </c>
      <c r="C2232" t="s">
        <v>214</v>
      </c>
      <c r="D2232">
        <v>3.1850000000000001</v>
      </c>
      <c r="E2232" s="4">
        <v>1019</v>
      </c>
      <c r="F2232" t="str">
        <f>HYPERLINK("https://www.google.com/maps/search/?api=1&amp;query=25.90815276,45.36064766", "View Map")</f>
        <v>View Map</v>
      </c>
      <c r="G2232" s="2">
        <v>0.60289346342386163</v>
      </c>
    </row>
    <row r="2233" spans="1:7" x14ac:dyDescent="0.3">
      <c r="A2233" t="s">
        <v>3879</v>
      </c>
      <c r="B2233" t="s">
        <v>3880</v>
      </c>
      <c r="C2233" t="s">
        <v>8</v>
      </c>
      <c r="D2233">
        <v>3.1850000000000001</v>
      </c>
      <c r="E2233" s="4">
        <v>1019</v>
      </c>
      <c r="F2233" t="str">
        <f>HYPERLINK("https://www.google.com/maps/search/?api=1&amp;query=24.73792654,46.67138761", "View Map")</f>
        <v>View Map</v>
      </c>
    </row>
    <row r="2234" spans="1:7" x14ac:dyDescent="0.3">
      <c r="A2234" t="s">
        <v>3881</v>
      </c>
      <c r="B2234" t="s">
        <v>3882</v>
      </c>
      <c r="C2234" t="s">
        <v>8</v>
      </c>
      <c r="D2234">
        <v>3.1840000000000002</v>
      </c>
      <c r="E2234" s="4">
        <v>1019</v>
      </c>
      <c r="F2234" t="str">
        <f>HYPERLINK("https://www.google.com/maps/search/?api=1&amp;query=24.7249854,46.65135602", "View Map")</f>
        <v>View Map</v>
      </c>
      <c r="G2234" s="2">
        <v>0.37755034037458191</v>
      </c>
    </row>
    <row r="2235" spans="1:7" x14ac:dyDescent="0.3">
      <c r="A2235" t="s">
        <v>3883</v>
      </c>
      <c r="B2235" t="s">
        <v>3884</v>
      </c>
      <c r="C2235" t="s">
        <v>393</v>
      </c>
      <c r="D2235">
        <v>3.1819999999999999</v>
      </c>
      <c r="E2235" s="4">
        <v>1018</v>
      </c>
      <c r="F2235" t="str">
        <f>HYPERLINK("https://www.google.com/maps/search/?api=1&amp;query=23.0840646,45.02244813", "View Map")</f>
        <v>View Map</v>
      </c>
      <c r="G2235" s="2">
        <v>0.80573610535811424</v>
      </c>
    </row>
    <row r="2236" spans="1:7" x14ac:dyDescent="0.3">
      <c r="A2236" t="s">
        <v>3885</v>
      </c>
      <c r="B2236" t="s">
        <v>3886</v>
      </c>
      <c r="C2236" t="s">
        <v>8</v>
      </c>
      <c r="D2236">
        <v>3.181</v>
      </c>
      <c r="E2236" s="4">
        <v>1018</v>
      </c>
      <c r="F2236" t="str">
        <f>HYPERLINK("https://www.google.com/maps/search/?api=1&amp;query=24.60315557,46.76012041", "View Map")</f>
        <v>View Map</v>
      </c>
    </row>
    <row r="2237" spans="1:7" x14ac:dyDescent="0.3">
      <c r="A2237" t="s">
        <v>3887</v>
      </c>
      <c r="B2237" t="s">
        <v>3888</v>
      </c>
      <c r="C2237" t="s">
        <v>8</v>
      </c>
      <c r="D2237">
        <v>3.181</v>
      </c>
      <c r="E2237" s="4">
        <v>1018</v>
      </c>
      <c r="F2237" t="str">
        <f>HYPERLINK("https://www.google.com/maps/search/?api=1&amp;query=24.62625505,46.79530678", "View Map")</f>
        <v>View Map</v>
      </c>
    </row>
    <row r="2238" spans="1:7" x14ac:dyDescent="0.3">
      <c r="A2238" t="s">
        <v>3059</v>
      </c>
      <c r="B2238" t="s">
        <v>3889</v>
      </c>
      <c r="C2238" t="s">
        <v>291</v>
      </c>
      <c r="D2238">
        <v>3.181</v>
      </c>
      <c r="E2238" s="4">
        <v>1018</v>
      </c>
      <c r="F2238" t="str">
        <f>HYPERLINK("https://www.google.com/maps/search/?api=1&amp;query=24.07827295,45.28418758", "View Map")</f>
        <v>View Map</v>
      </c>
      <c r="G2238" s="2">
        <v>0.36654946060578159</v>
      </c>
    </row>
    <row r="2239" spans="1:7" x14ac:dyDescent="0.3">
      <c r="A2239" t="s">
        <v>889</v>
      </c>
      <c r="B2239" t="s">
        <v>3890</v>
      </c>
      <c r="C2239" t="s">
        <v>8</v>
      </c>
      <c r="D2239">
        <v>3.18</v>
      </c>
      <c r="E2239" s="4">
        <v>1018</v>
      </c>
      <c r="F2239" t="str">
        <f>HYPERLINK("https://www.google.com/maps/search/?api=1&amp;query=24.79069356,46.62581457", "View Map")</f>
        <v>View Map</v>
      </c>
      <c r="G2239" s="2">
        <v>0.37765250007544571</v>
      </c>
    </row>
    <row r="2240" spans="1:7" x14ac:dyDescent="0.3">
      <c r="A2240" t="s">
        <v>3891</v>
      </c>
      <c r="B2240" t="s">
        <v>3892</v>
      </c>
      <c r="C2240" t="s">
        <v>8</v>
      </c>
      <c r="D2240">
        <v>3.18</v>
      </c>
      <c r="E2240" s="4">
        <v>1017</v>
      </c>
      <c r="F2240" t="str">
        <f>HYPERLINK("https://www.google.com/maps/search/?api=1&amp;query=24.76462421,46.74507395", "View Map")</f>
        <v>View Map</v>
      </c>
    </row>
    <row r="2241" spans="1:7" x14ac:dyDescent="0.3">
      <c r="A2241" t="s">
        <v>3893</v>
      </c>
      <c r="B2241" t="s">
        <v>3894</v>
      </c>
      <c r="C2241" t="s">
        <v>8</v>
      </c>
      <c r="D2241">
        <v>3.1789999999999998</v>
      </c>
      <c r="E2241" s="4">
        <v>1017</v>
      </c>
      <c r="F2241" t="str">
        <f>HYPERLINK("https://www.google.com/maps/search/?api=1&amp;query=24.60263241,46.66814416", "View Map")</f>
        <v>View Map</v>
      </c>
    </row>
    <row r="2242" spans="1:7" x14ac:dyDescent="0.3">
      <c r="A2242" t="s">
        <v>3895</v>
      </c>
      <c r="B2242" t="s">
        <v>3896</v>
      </c>
      <c r="C2242" t="s">
        <v>291</v>
      </c>
      <c r="D2242">
        <v>3.1779999999999999</v>
      </c>
      <c r="E2242" s="4">
        <v>1017</v>
      </c>
      <c r="F2242" t="str">
        <f>HYPERLINK("https://www.google.com/maps/search/?api=1&amp;query=24.0101955,45.19749412", "View Map")</f>
        <v>View Map</v>
      </c>
    </row>
    <row r="2243" spans="1:7" x14ac:dyDescent="0.3">
      <c r="A2243" t="s">
        <v>146</v>
      </c>
      <c r="B2243" t="s">
        <v>3897</v>
      </c>
      <c r="C2243" t="s">
        <v>8</v>
      </c>
      <c r="D2243">
        <v>3.177</v>
      </c>
      <c r="E2243" s="4">
        <v>1017</v>
      </c>
      <c r="F2243" t="str">
        <f>HYPERLINK("https://www.google.com/maps/search/?api=1&amp;query=24.52771284,46.6906314", "View Map")</f>
        <v>View Map</v>
      </c>
      <c r="G2243" s="2">
        <v>0.28518044493271077</v>
      </c>
    </row>
    <row r="2244" spans="1:7" x14ac:dyDescent="0.3">
      <c r="A2244" t="s">
        <v>3898</v>
      </c>
      <c r="B2244" t="s">
        <v>3899</v>
      </c>
      <c r="C2244" t="s">
        <v>21</v>
      </c>
      <c r="D2244">
        <v>3.177</v>
      </c>
      <c r="E2244" s="4">
        <v>1017</v>
      </c>
      <c r="F2244" t="str">
        <f>HYPERLINK("https://www.google.com/maps/search/?api=1&amp;query=26.31173364,44.80579245", "View Map")</f>
        <v>View Map</v>
      </c>
      <c r="G2244" s="2">
        <v>0.46126585102734252</v>
      </c>
    </row>
    <row r="2245" spans="1:7" x14ac:dyDescent="0.3">
      <c r="A2245" t="s">
        <v>3900</v>
      </c>
      <c r="B2245" t="s">
        <v>3901</v>
      </c>
      <c r="C2245" t="s">
        <v>77</v>
      </c>
      <c r="D2245">
        <v>3.1749999999999998</v>
      </c>
      <c r="E2245" s="4">
        <v>1016</v>
      </c>
      <c r="F2245" t="str">
        <f>HYPERLINK("https://www.google.com/maps/search/?api=1&amp;query=22.20504793,46.68610139", "View Map")</f>
        <v>View Map</v>
      </c>
      <c r="G2245" s="2">
        <v>0.55115949440907219</v>
      </c>
    </row>
    <row r="2246" spans="1:7" x14ac:dyDescent="0.3">
      <c r="A2246" t="s">
        <v>3902</v>
      </c>
      <c r="B2246" t="s">
        <v>3903</v>
      </c>
      <c r="C2246" t="s">
        <v>214</v>
      </c>
      <c r="D2246">
        <v>3.1739999999999999</v>
      </c>
      <c r="E2246" s="4">
        <v>1016</v>
      </c>
      <c r="F2246" t="str">
        <f>HYPERLINK("https://www.google.com/maps/search/?api=1&amp;query=25.70170109,45.45054606", "View Map")</f>
        <v>View Map</v>
      </c>
      <c r="G2246" s="2">
        <v>0.75180105074864212</v>
      </c>
    </row>
    <row r="2247" spans="1:7" x14ac:dyDescent="0.3">
      <c r="A2247" t="s">
        <v>3904</v>
      </c>
      <c r="B2247" t="s">
        <v>3905</v>
      </c>
      <c r="C2247" t="s">
        <v>8</v>
      </c>
      <c r="D2247">
        <v>3.1709999999999998</v>
      </c>
      <c r="E2247" s="4">
        <v>1015</v>
      </c>
      <c r="F2247" t="str">
        <f>HYPERLINK("https://www.google.com/maps/search/?api=1&amp;query=24.69826097,46.80339704", "View Map")</f>
        <v>View Map</v>
      </c>
    </row>
    <row r="2248" spans="1:7" x14ac:dyDescent="0.3">
      <c r="A2248" t="s">
        <v>3906</v>
      </c>
      <c r="B2248" t="s">
        <v>3907</v>
      </c>
      <c r="C2248" t="s">
        <v>8</v>
      </c>
      <c r="D2248">
        <v>3.1709999999999998</v>
      </c>
      <c r="E2248" s="4">
        <v>1015</v>
      </c>
      <c r="F2248" t="str">
        <f>HYPERLINK("https://www.google.com/maps/search/?api=1&amp;query=24.59978954,46.74152664", "View Map")</f>
        <v>View Map</v>
      </c>
    </row>
    <row r="2249" spans="1:7" x14ac:dyDescent="0.3">
      <c r="A2249" t="s">
        <v>3908</v>
      </c>
      <c r="B2249" t="s">
        <v>3909</v>
      </c>
      <c r="C2249" t="s">
        <v>137</v>
      </c>
      <c r="D2249">
        <v>3.1709999999999998</v>
      </c>
      <c r="E2249" s="4">
        <v>1015</v>
      </c>
      <c r="F2249" t="str">
        <f>HYPERLINK("https://www.google.com/maps/search/?api=1&amp;query=23.48422851,46.85184988", "View Map")</f>
        <v>View Map</v>
      </c>
      <c r="G2249" s="2">
        <v>0.77245607821813511</v>
      </c>
    </row>
    <row r="2250" spans="1:7" x14ac:dyDescent="0.3">
      <c r="A2250" t="s">
        <v>3910</v>
      </c>
      <c r="B2250" t="s">
        <v>3911</v>
      </c>
      <c r="C2250" t="s">
        <v>8</v>
      </c>
      <c r="D2250">
        <v>3.169</v>
      </c>
      <c r="E2250" s="4">
        <v>1014</v>
      </c>
      <c r="F2250" t="str">
        <f>HYPERLINK("https://www.google.com/maps/search/?api=1&amp;query=24.4879257,46.6221174", "View Map")</f>
        <v>View Map</v>
      </c>
    </row>
    <row r="2251" spans="1:7" x14ac:dyDescent="0.3">
      <c r="A2251" t="s">
        <v>3912</v>
      </c>
      <c r="B2251" t="s">
        <v>3913</v>
      </c>
      <c r="C2251" t="s">
        <v>30</v>
      </c>
      <c r="D2251">
        <v>3.1680000000000001</v>
      </c>
      <c r="E2251" s="4">
        <v>1014</v>
      </c>
      <c r="F2251" t="str">
        <f>HYPERLINK("https://www.google.com/maps/search/?api=1&amp;query=24.15395984,47.30523611", "View Map")</f>
        <v>View Map</v>
      </c>
    </row>
    <row r="2252" spans="1:7" x14ac:dyDescent="0.3">
      <c r="A2252" t="s">
        <v>3914</v>
      </c>
      <c r="B2252" t="s">
        <v>3915</v>
      </c>
      <c r="C2252" t="s">
        <v>883</v>
      </c>
      <c r="D2252">
        <v>3.1669999999999998</v>
      </c>
      <c r="E2252" s="4">
        <v>1013</v>
      </c>
      <c r="F2252" t="str">
        <f>HYPERLINK("https://www.google.com/maps/search/?api=1&amp;query=25.40415528,47.21579319", "View Map")</f>
        <v>View Map</v>
      </c>
      <c r="G2252" s="2">
        <v>0.62658500371269288</v>
      </c>
    </row>
    <row r="2253" spans="1:7" x14ac:dyDescent="0.3">
      <c r="A2253" t="s">
        <v>3916</v>
      </c>
      <c r="B2253" t="s">
        <v>3917</v>
      </c>
      <c r="C2253" t="s">
        <v>241</v>
      </c>
      <c r="D2253">
        <v>3.1659999999999999</v>
      </c>
      <c r="E2253" s="4">
        <v>1013</v>
      </c>
      <c r="F2253" t="str">
        <f>HYPERLINK("https://www.google.com/maps/search/?api=1&amp;query=20.38919501,45.07709974", "View Map")</f>
        <v>View Map</v>
      </c>
      <c r="G2253" s="2">
        <v>0.49591563898752311</v>
      </c>
    </row>
    <row r="2254" spans="1:7" x14ac:dyDescent="0.3">
      <c r="A2254" t="s">
        <v>3918</v>
      </c>
      <c r="B2254" t="s">
        <v>3919</v>
      </c>
      <c r="C2254" t="s">
        <v>241</v>
      </c>
      <c r="D2254">
        <v>3.1659999999999999</v>
      </c>
      <c r="E2254" s="4">
        <v>1013</v>
      </c>
      <c r="F2254" t="str">
        <f>HYPERLINK("https://www.google.com/maps/search/?api=1&amp;query=20.46526271,44.78159819", "View Map")</f>
        <v>View Map</v>
      </c>
      <c r="G2254" s="2">
        <v>0.34404307453376998</v>
      </c>
    </row>
    <row r="2255" spans="1:7" x14ac:dyDescent="0.3">
      <c r="A2255" t="s">
        <v>3920</v>
      </c>
      <c r="B2255" t="s">
        <v>3921</v>
      </c>
      <c r="C2255" t="s">
        <v>255</v>
      </c>
      <c r="D2255">
        <v>3.165</v>
      </c>
      <c r="E2255" s="4">
        <v>1013</v>
      </c>
      <c r="F2255" t="str">
        <f>HYPERLINK("https://www.google.com/maps/search/?api=1&amp;query=24.2644923,44.18490083", "View Map")</f>
        <v>View Map</v>
      </c>
      <c r="G2255" s="2">
        <v>0.52725087036657792</v>
      </c>
    </row>
    <row r="2256" spans="1:7" x14ac:dyDescent="0.3">
      <c r="A2256" t="s">
        <v>150</v>
      </c>
      <c r="B2256" t="s">
        <v>3922</v>
      </c>
      <c r="C2256" t="s">
        <v>8</v>
      </c>
      <c r="D2256">
        <v>3.1640000000000001</v>
      </c>
      <c r="E2256" s="4">
        <v>1013</v>
      </c>
      <c r="F2256" t="str">
        <f>HYPERLINK("https://www.google.com/maps/search/?api=1&amp;query=24.82300202,46.72642484", "View Map")</f>
        <v>View Map</v>
      </c>
    </row>
    <row r="2257" spans="1:7" x14ac:dyDescent="0.3">
      <c r="A2257" t="s">
        <v>3923</v>
      </c>
      <c r="B2257" t="s">
        <v>3924</v>
      </c>
      <c r="C2257" t="s">
        <v>883</v>
      </c>
      <c r="D2257">
        <v>3.1629999999999998</v>
      </c>
      <c r="E2257" s="4">
        <v>1012</v>
      </c>
      <c r="F2257" t="str">
        <f>HYPERLINK("https://www.google.com/maps/search/?api=1&amp;query=25.55212705,47.17628852", "View Map")</f>
        <v>View Map</v>
      </c>
      <c r="G2257" s="2">
        <v>0.37645377817978121</v>
      </c>
    </row>
    <row r="2258" spans="1:7" x14ac:dyDescent="0.3">
      <c r="A2258" t="s">
        <v>46</v>
      </c>
      <c r="B2258" t="s">
        <v>3925</v>
      </c>
      <c r="C2258" t="s">
        <v>8</v>
      </c>
      <c r="D2258">
        <v>3.1619999999999999</v>
      </c>
      <c r="E2258" s="4">
        <v>1012</v>
      </c>
      <c r="F2258" t="str">
        <f>HYPERLINK("https://www.google.com/maps/search/?api=1&amp;query=24.80177215,46.82756238", "View Map")</f>
        <v>View Map</v>
      </c>
    </row>
    <row r="2259" spans="1:7" x14ac:dyDescent="0.3">
      <c r="A2259" t="s">
        <v>2713</v>
      </c>
      <c r="B2259" t="s">
        <v>3926</v>
      </c>
      <c r="C2259" t="s">
        <v>8</v>
      </c>
      <c r="D2259">
        <v>3.16</v>
      </c>
      <c r="E2259" s="4">
        <v>1011</v>
      </c>
      <c r="F2259" t="str">
        <f>HYPERLINK("https://www.google.com/maps/search/?api=1&amp;query=24.614585,46.74055496", "View Map")</f>
        <v>View Map</v>
      </c>
    </row>
    <row r="2260" spans="1:7" x14ac:dyDescent="0.3">
      <c r="A2260" t="s">
        <v>3927</v>
      </c>
      <c r="B2260" t="s">
        <v>3928</v>
      </c>
      <c r="C2260" t="s">
        <v>466</v>
      </c>
      <c r="D2260">
        <v>3.1589999999999998</v>
      </c>
      <c r="E2260" s="4">
        <v>1011</v>
      </c>
      <c r="F2260" t="str">
        <f>HYPERLINK("https://www.google.com/maps/search/?api=1&amp;query=24.60548017,46.14302458", "View Map")</f>
        <v>View Map</v>
      </c>
      <c r="G2260" s="2">
        <v>0.52667183651438387</v>
      </c>
    </row>
    <row r="2261" spans="1:7" x14ac:dyDescent="0.3">
      <c r="A2261" t="s">
        <v>3929</v>
      </c>
      <c r="B2261" t="s">
        <v>3930</v>
      </c>
      <c r="C2261" t="s">
        <v>8</v>
      </c>
      <c r="D2261">
        <v>3.1579999999999999</v>
      </c>
      <c r="E2261" s="4">
        <v>1011</v>
      </c>
      <c r="F2261" t="str">
        <f>HYPERLINK("https://www.google.com/maps/search/?api=1&amp;query=24.59485371,46.65533906", "View Map")</f>
        <v>View Map</v>
      </c>
    </row>
    <row r="2262" spans="1:7" x14ac:dyDescent="0.3">
      <c r="A2262" t="s">
        <v>3931</v>
      </c>
      <c r="B2262" t="s">
        <v>3932</v>
      </c>
      <c r="C2262" t="s">
        <v>137</v>
      </c>
      <c r="D2262">
        <v>3.1560000000000001</v>
      </c>
      <c r="E2262" s="4">
        <v>1010</v>
      </c>
      <c r="F2262" t="str">
        <f>HYPERLINK("https://www.google.com/maps/search/?api=1&amp;query=23.21699585,46.9041293", "View Map")</f>
        <v>View Map</v>
      </c>
      <c r="G2262" s="2">
        <v>0.54597343558547107</v>
      </c>
    </row>
    <row r="2263" spans="1:7" x14ac:dyDescent="0.3">
      <c r="A2263" t="s">
        <v>3933</v>
      </c>
      <c r="B2263" t="s">
        <v>3934</v>
      </c>
      <c r="C2263" t="s">
        <v>8</v>
      </c>
      <c r="D2263">
        <v>3.1549999999999998</v>
      </c>
      <c r="E2263" s="4">
        <v>1010</v>
      </c>
      <c r="F2263" t="str">
        <f>HYPERLINK("https://www.google.com/maps/search/?api=1&amp;query=24.79834279,46.79397272", "View Map")</f>
        <v>View Map</v>
      </c>
    </row>
    <row r="2264" spans="1:7" x14ac:dyDescent="0.3">
      <c r="A2264" t="s">
        <v>3935</v>
      </c>
      <c r="B2264" t="s">
        <v>3936</v>
      </c>
      <c r="C2264" t="s">
        <v>255</v>
      </c>
      <c r="D2264">
        <v>3.153</v>
      </c>
      <c r="E2264" s="4">
        <v>1009</v>
      </c>
      <c r="F2264" t="str">
        <f>HYPERLINK("https://www.google.com/maps/search/?api=1&amp;query=24.39852132,44.89825764", "View Map")</f>
        <v>View Map</v>
      </c>
      <c r="G2264" s="2">
        <v>0.49338407420852998</v>
      </c>
    </row>
    <row r="2265" spans="1:7" x14ac:dyDescent="0.3">
      <c r="A2265" t="s">
        <v>1539</v>
      </c>
      <c r="B2265" t="s">
        <v>3937</v>
      </c>
      <c r="C2265" t="s">
        <v>214</v>
      </c>
      <c r="D2265">
        <v>3.1520000000000001</v>
      </c>
      <c r="E2265" s="4">
        <v>1009</v>
      </c>
      <c r="F2265" t="str">
        <f>HYPERLINK("https://www.google.com/maps/search/?api=1&amp;query=26.50090009,45.3465513", "View Map")</f>
        <v>View Map</v>
      </c>
      <c r="G2265" s="2">
        <v>0.86448295349563675</v>
      </c>
    </row>
    <row r="2266" spans="1:7" x14ac:dyDescent="0.3">
      <c r="A2266" t="s">
        <v>3938</v>
      </c>
      <c r="B2266" t="s">
        <v>3939</v>
      </c>
      <c r="C2266" t="s">
        <v>8</v>
      </c>
      <c r="D2266">
        <v>3.1509999999999998</v>
      </c>
      <c r="E2266" s="4">
        <v>1008</v>
      </c>
      <c r="F2266" t="str">
        <f>HYPERLINK("https://www.google.com/maps/search/?api=1&amp;query=24.74877729,46.6816209", "View Map")</f>
        <v>View Map</v>
      </c>
    </row>
    <row r="2267" spans="1:7" x14ac:dyDescent="0.3">
      <c r="A2267" t="s">
        <v>2174</v>
      </c>
      <c r="B2267" t="s">
        <v>3940</v>
      </c>
      <c r="C2267" t="s">
        <v>8</v>
      </c>
      <c r="D2267">
        <v>3.15</v>
      </c>
      <c r="E2267" s="4">
        <v>1008</v>
      </c>
      <c r="F2267" t="str">
        <f>HYPERLINK("https://www.google.com/maps/search/?api=1&amp;query=24.76648616,46.78203754", "View Map")</f>
        <v>View Map</v>
      </c>
    </row>
    <row r="2268" spans="1:7" x14ac:dyDescent="0.3">
      <c r="A2268" t="s">
        <v>3941</v>
      </c>
      <c r="B2268" t="s">
        <v>3942</v>
      </c>
      <c r="C2268" t="s">
        <v>8</v>
      </c>
      <c r="D2268">
        <v>3.1459999999999999</v>
      </c>
      <c r="E2268" s="4">
        <v>1007</v>
      </c>
      <c r="F2268" t="str">
        <f>HYPERLINK("https://www.google.com/maps/search/?api=1&amp;query=24.78389585,46.81399146", "View Map")</f>
        <v>View Map</v>
      </c>
      <c r="G2268" s="2">
        <v>0.33248049692456949</v>
      </c>
    </row>
    <row r="2269" spans="1:7" x14ac:dyDescent="0.3">
      <c r="A2269" t="s">
        <v>3943</v>
      </c>
      <c r="B2269" t="s">
        <v>3944</v>
      </c>
      <c r="C2269" t="s">
        <v>8</v>
      </c>
      <c r="D2269">
        <v>3.1440000000000001</v>
      </c>
      <c r="E2269" s="4">
        <v>1006</v>
      </c>
      <c r="F2269" t="str">
        <f>HYPERLINK("https://www.google.com/maps/search/?api=1&amp;query=24.68702498,46.78192438", "View Map")</f>
        <v>View Map</v>
      </c>
    </row>
    <row r="2270" spans="1:7" x14ac:dyDescent="0.3">
      <c r="A2270" t="s">
        <v>3148</v>
      </c>
      <c r="B2270" t="s">
        <v>3945</v>
      </c>
      <c r="C2270" t="s">
        <v>8</v>
      </c>
      <c r="D2270">
        <v>3.1440000000000001</v>
      </c>
      <c r="E2270" s="4">
        <v>1006</v>
      </c>
      <c r="F2270" t="str">
        <f>HYPERLINK("https://www.google.com/maps/search/?api=1&amp;query=24.61720633,46.76049055", "View Map")</f>
        <v>View Map</v>
      </c>
    </row>
    <row r="2271" spans="1:7" x14ac:dyDescent="0.3">
      <c r="A2271" t="s">
        <v>3946</v>
      </c>
      <c r="B2271" t="s">
        <v>3947</v>
      </c>
      <c r="C2271" t="s">
        <v>55</v>
      </c>
      <c r="D2271">
        <v>3.1419999999999999</v>
      </c>
      <c r="E2271" s="4">
        <v>1006</v>
      </c>
      <c r="F2271" t="str">
        <f>HYPERLINK("https://www.google.com/maps/search/?api=1&amp;query=25.0125383,46.46613682", "View Map")</f>
        <v>View Map</v>
      </c>
    </row>
    <row r="2272" spans="1:7" x14ac:dyDescent="0.3">
      <c r="A2272" t="s">
        <v>3948</v>
      </c>
      <c r="B2272" t="s">
        <v>3949</v>
      </c>
      <c r="C2272" t="s">
        <v>8</v>
      </c>
      <c r="D2272">
        <v>3.141</v>
      </c>
      <c r="E2272" s="4">
        <v>1005</v>
      </c>
      <c r="F2272" t="str">
        <f>HYPERLINK("https://www.google.com/maps/search/?api=1&amp;query=24.705011,46.75055208", "View Map")</f>
        <v>View Map</v>
      </c>
      <c r="G2272" s="2">
        <v>0.4586591885207843</v>
      </c>
    </row>
    <row r="2273" spans="1:7" x14ac:dyDescent="0.3">
      <c r="A2273" t="s">
        <v>3950</v>
      </c>
      <c r="B2273" t="s">
        <v>3951</v>
      </c>
      <c r="C2273" t="s">
        <v>214</v>
      </c>
      <c r="D2273">
        <v>3.14</v>
      </c>
      <c r="E2273" s="4">
        <v>1005</v>
      </c>
      <c r="F2273" t="str">
        <f>HYPERLINK("https://www.google.com/maps/search/?api=1&amp;query=25.693875,45.88890338", "View Map")</f>
        <v>View Map</v>
      </c>
      <c r="G2273" s="2">
        <v>0.57691838265831641</v>
      </c>
    </row>
    <row r="2274" spans="1:7" x14ac:dyDescent="0.3">
      <c r="A2274" t="s">
        <v>411</v>
      </c>
      <c r="B2274" t="s">
        <v>3952</v>
      </c>
      <c r="C2274" t="s">
        <v>77</v>
      </c>
      <c r="D2274">
        <v>3.14</v>
      </c>
      <c r="E2274" s="4">
        <v>1005</v>
      </c>
      <c r="F2274" t="str">
        <f>HYPERLINK("https://www.google.com/maps/search/?api=1&amp;query=22.22975525,46.77830154", "View Map")</f>
        <v>View Map</v>
      </c>
      <c r="G2274" s="2">
        <v>0.44088326247702769</v>
      </c>
    </row>
    <row r="2275" spans="1:7" x14ac:dyDescent="0.3">
      <c r="A2275" t="s">
        <v>3953</v>
      </c>
      <c r="B2275" t="s">
        <v>3954</v>
      </c>
      <c r="C2275" t="s">
        <v>8</v>
      </c>
      <c r="D2275">
        <v>3.1389999999999998</v>
      </c>
      <c r="E2275" s="4">
        <v>1004</v>
      </c>
      <c r="F2275" t="str">
        <f>HYPERLINK("https://www.google.com/maps/search/?api=1&amp;query=24.59917376,46.58680565", "View Map")</f>
        <v>View Map</v>
      </c>
    </row>
    <row r="2276" spans="1:7" x14ac:dyDescent="0.3">
      <c r="A2276" t="s">
        <v>3955</v>
      </c>
      <c r="B2276" t="s">
        <v>3956</v>
      </c>
      <c r="C2276" t="s">
        <v>214</v>
      </c>
      <c r="D2276">
        <v>3.137</v>
      </c>
      <c r="E2276" s="4">
        <v>1004</v>
      </c>
      <c r="F2276" t="str">
        <f>HYPERLINK("https://www.google.com/maps/search/?api=1&amp;query=25.57531292,45.66060232", "View Map")</f>
        <v>View Map</v>
      </c>
      <c r="G2276" s="2">
        <v>0.69474640005493915</v>
      </c>
    </row>
    <row r="2277" spans="1:7" x14ac:dyDescent="0.3">
      <c r="A2277" t="s">
        <v>3957</v>
      </c>
      <c r="B2277" t="s">
        <v>3958</v>
      </c>
      <c r="C2277" t="s">
        <v>8</v>
      </c>
      <c r="D2277">
        <v>3.137</v>
      </c>
      <c r="E2277" s="4">
        <v>1004</v>
      </c>
      <c r="F2277" t="str">
        <f>HYPERLINK("https://www.google.com/maps/search/?api=1&amp;query=24.64895845,46.66863506", "View Map")</f>
        <v>View Map</v>
      </c>
    </row>
    <row r="2278" spans="1:7" x14ac:dyDescent="0.3">
      <c r="A2278" t="s">
        <v>3959</v>
      </c>
      <c r="B2278" t="s">
        <v>3960</v>
      </c>
      <c r="C2278" t="s">
        <v>8</v>
      </c>
      <c r="D2278">
        <v>3.1360000000000001</v>
      </c>
      <c r="E2278" s="4">
        <v>1004</v>
      </c>
      <c r="F2278" t="str">
        <f>HYPERLINK("https://www.google.com/maps/search/?api=1&amp;query=24.5842836,46.67268871", "View Map")</f>
        <v>View Map</v>
      </c>
    </row>
    <row r="2279" spans="1:7" x14ac:dyDescent="0.3">
      <c r="A2279" t="s">
        <v>46</v>
      </c>
      <c r="B2279" t="s">
        <v>3961</v>
      </c>
      <c r="C2279" t="s">
        <v>8</v>
      </c>
      <c r="D2279">
        <v>3.1349999999999998</v>
      </c>
      <c r="E2279" s="4">
        <v>1003</v>
      </c>
      <c r="F2279" t="str">
        <f>HYPERLINK("https://www.google.com/maps/search/?api=1&amp;query=24.83559,46.67634", "View Map")</f>
        <v>View Map</v>
      </c>
    </row>
    <row r="2280" spans="1:7" x14ac:dyDescent="0.3">
      <c r="A2280" t="s">
        <v>3962</v>
      </c>
      <c r="B2280" t="s">
        <v>3963</v>
      </c>
      <c r="C2280" t="s">
        <v>8</v>
      </c>
      <c r="D2280">
        <v>3.1339999999999999</v>
      </c>
      <c r="E2280" s="4">
        <v>1003</v>
      </c>
      <c r="F2280" t="str">
        <f>HYPERLINK("https://www.google.com/maps/search/?api=1&amp;query=24.76100008,46.77698716", "View Map")</f>
        <v>View Map</v>
      </c>
    </row>
    <row r="2281" spans="1:7" x14ac:dyDescent="0.3">
      <c r="A2281" t="s">
        <v>380</v>
      </c>
      <c r="B2281" t="s">
        <v>3964</v>
      </c>
      <c r="C2281" t="s">
        <v>214</v>
      </c>
      <c r="D2281">
        <v>3.1339999999999999</v>
      </c>
      <c r="E2281" s="4">
        <v>1003</v>
      </c>
      <c r="F2281" t="str">
        <f>HYPERLINK("https://www.google.com/maps/search/?api=1&amp;query=25.72968147,45.87214448", "View Map")</f>
        <v>View Map</v>
      </c>
      <c r="G2281" s="2">
        <v>0.60669484421777831</v>
      </c>
    </row>
    <row r="2282" spans="1:7" x14ac:dyDescent="0.3">
      <c r="A2282" t="s">
        <v>3965</v>
      </c>
      <c r="B2282" t="s">
        <v>3966</v>
      </c>
      <c r="C2282" t="s">
        <v>255</v>
      </c>
      <c r="D2282">
        <v>3.1339999999999999</v>
      </c>
      <c r="E2282" s="4">
        <v>1003</v>
      </c>
      <c r="F2282" t="str">
        <f>HYPERLINK("https://www.google.com/maps/search/?api=1&amp;query=24.53636425,44.27916263", "View Map")</f>
        <v>View Map</v>
      </c>
      <c r="G2282" s="2">
        <v>0.43150837922086838</v>
      </c>
    </row>
    <row r="2283" spans="1:7" x14ac:dyDescent="0.3">
      <c r="A2283" t="s">
        <v>3967</v>
      </c>
      <c r="B2283" t="s">
        <v>3968</v>
      </c>
      <c r="C2283" t="s">
        <v>291</v>
      </c>
      <c r="D2283">
        <v>3.133</v>
      </c>
      <c r="E2283" s="4">
        <v>1003</v>
      </c>
      <c r="F2283" t="str">
        <f>HYPERLINK("https://www.google.com/maps/search/?api=1&amp;query=23.99576447,45.45705306", "View Map")</f>
        <v>View Map</v>
      </c>
      <c r="G2283" s="2">
        <v>0.72443087435627984</v>
      </c>
    </row>
    <row r="2284" spans="1:7" x14ac:dyDescent="0.3">
      <c r="A2284" t="s">
        <v>3969</v>
      </c>
      <c r="B2284" t="s">
        <v>3970</v>
      </c>
      <c r="C2284" t="s">
        <v>8</v>
      </c>
      <c r="D2284">
        <v>3.133</v>
      </c>
      <c r="E2284" s="4">
        <v>1003</v>
      </c>
      <c r="F2284" t="str">
        <f>HYPERLINK("https://www.google.com/maps/search/?api=1&amp;query=24.60033597,46.59390248", "View Map")</f>
        <v>View Map</v>
      </c>
    </row>
    <row r="2285" spans="1:7" x14ac:dyDescent="0.3">
      <c r="A2285" t="s">
        <v>3971</v>
      </c>
      <c r="B2285" t="s">
        <v>3972</v>
      </c>
      <c r="C2285" t="s">
        <v>296</v>
      </c>
      <c r="D2285">
        <v>3.1320000000000001</v>
      </c>
      <c r="E2285" s="4">
        <v>1002</v>
      </c>
      <c r="F2285" t="str">
        <f>HYPERLINK("https://www.google.com/maps/search/?api=1&amp;query=24.4536616,46.26692921", "View Map")</f>
        <v>View Map</v>
      </c>
      <c r="G2285" s="2">
        <v>0.49919134890315531</v>
      </c>
    </row>
    <row r="2286" spans="1:7" x14ac:dyDescent="0.3">
      <c r="A2286" t="s">
        <v>3973</v>
      </c>
      <c r="B2286" t="s">
        <v>3974</v>
      </c>
      <c r="C2286" t="s">
        <v>8</v>
      </c>
      <c r="D2286">
        <v>3.1309999999999998</v>
      </c>
      <c r="E2286" s="4">
        <v>1002</v>
      </c>
      <c r="F2286" t="str">
        <f>HYPERLINK("https://www.google.com/maps/search/?api=1&amp;query=24.7006255,46.82128013", "View Map")</f>
        <v>View Map</v>
      </c>
    </row>
    <row r="2287" spans="1:7" x14ac:dyDescent="0.3">
      <c r="A2287" t="s">
        <v>3152</v>
      </c>
      <c r="B2287" t="s">
        <v>3975</v>
      </c>
      <c r="C2287" t="s">
        <v>8</v>
      </c>
      <c r="D2287">
        <v>3.1309999999999998</v>
      </c>
      <c r="E2287" s="4">
        <v>1002</v>
      </c>
      <c r="F2287" t="str">
        <f>HYPERLINK("https://www.google.com/maps/search/?api=1&amp;query=24.76559333,46.68465678", "View Map")</f>
        <v>View Map</v>
      </c>
      <c r="G2287" s="2">
        <v>0.36349633467755132</v>
      </c>
    </row>
    <row r="2288" spans="1:7" x14ac:dyDescent="0.3">
      <c r="A2288" t="s">
        <v>881</v>
      </c>
      <c r="B2288" t="s">
        <v>3976</v>
      </c>
      <c r="C2288" t="s">
        <v>883</v>
      </c>
      <c r="D2288">
        <v>3.1309999999999998</v>
      </c>
      <c r="E2288" s="4">
        <v>1002</v>
      </c>
      <c r="F2288" t="str">
        <f>HYPERLINK("https://www.google.com/maps/search/?api=1&amp;query=25.54272302,47.18462426", "View Map")</f>
        <v>View Map</v>
      </c>
    </row>
    <row r="2289" spans="1:7" x14ac:dyDescent="0.3">
      <c r="A2289" t="s">
        <v>3977</v>
      </c>
      <c r="B2289" t="s">
        <v>3978</v>
      </c>
      <c r="C2289" t="s">
        <v>77</v>
      </c>
      <c r="D2289">
        <v>3.13</v>
      </c>
      <c r="E2289" s="4">
        <v>1002</v>
      </c>
      <c r="F2289" t="str">
        <f>HYPERLINK("https://www.google.com/maps/search/?api=1&amp;query=22.23468175,46.77786399", "View Map")</f>
        <v>View Map</v>
      </c>
      <c r="G2289" s="2">
        <v>0.52460729574967757</v>
      </c>
    </row>
    <row r="2290" spans="1:7" x14ac:dyDescent="0.3">
      <c r="A2290" t="s">
        <v>3979</v>
      </c>
      <c r="B2290" t="s">
        <v>3980</v>
      </c>
      <c r="C2290" t="s">
        <v>8</v>
      </c>
      <c r="D2290">
        <v>3.13</v>
      </c>
      <c r="E2290" s="4">
        <v>1002</v>
      </c>
      <c r="F2290" t="str">
        <f>HYPERLINK("https://www.google.com/maps/search/?api=1&amp;query=24.56774478,46.65163705", "View Map")</f>
        <v>View Map</v>
      </c>
    </row>
    <row r="2291" spans="1:7" x14ac:dyDescent="0.3">
      <c r="A2291" t="s">
        <v>3981</v>
      </c>
      <c r="B2291" t="s">
        <v>3982</v>
      </c>
      <c r="C2291" t="s">
        <v>8</v>
      </c>
      <c r="D2291">
        <v>3.129</v>
      </c>
      <c r="E2291" s="4">
        <v>1001</v>
      </c>
      <c r="F2291" t="str">
        <f>HYPERLINK("https://www.google.com/maps/search/?api=1&amp;query=24.75652679,46.82470708", "View Map")</f>
        <v>View Map</v>
      </c>
    </row>
    <row r="2292" spans="1:7" x14ac:dyDescent="0.3">
      <c r="A2292" t="s">
        <v>678</v>
      </c>
      <c r="B2292" t="s">
        <v>3983</v>
      </c>
      <c r="C2292" t="s">
        <v>21</v>
      </c>
      <c r="D2292">
        <v>3.129</v>
      </c>
      <c r="E2292" s="4">
        <v>1001</v>
      </c>
      <c r="F2292" t="str">
        <f>HYPERLINK("https://www.google.com/maps/search/?api=1&amp;query=26.28937348,44.87992489", "View Map")</f>
        <v>View Map</v>
      </c>
      <c r="G2292" s="2">
        <v>0.42479906592809819</v>
      </c>
    </row>
    <row r="2293" spans="1:7" x14ac:dyDescent="0.3">
      <c r="A2293" t="s">
        <v>3984</v>
      </c>
      <c r="B2293" t="s">
        <v>3985</v>
      </c>
      <c r="C2293" t="s">
        <v>286</v>
      </c>
      <c r="D2293">
        <v>3.129</v>
      </c>
      <c r="E2293" s="4">
        <v>1001</v>
      </c>
      <c r="F2293" t="str">
        <f>HYPERLINK("https://www.google.com/maps/search/?api=1&amp;query=25.29043174,45.52422908", "View Map")</f>
        <v>View Map</v>
      </c>
      <c r="G2293" s="2">
        <v>0.60361836608754704</v>
      </c>
    </row>
    <row r="2294" spans="1:7" x14ac:dyDescent="0.3">
      <c r="A2294" t="s">
        <v>3986</v>
      </c>
      <c r="B2294" t="s">
        <v>3987</v>
      </c>
      <c r="C2294" t="s">
        <v>8</v>
      </c>
      <c r="D2294">
        <v>3.129</v>
      </c>
      <c r="E2294" s="4">
        <v>1001</v>
      </c>
      <c r="F2294" t="str">
        <f>HYPERLINK("https://www.google.com/maps/search/?api=1&amp;query=24.81607109,46.6096124", "View Map")</f>
        <v>View Map</v>
      </c>
    </row>
    <row r="2295" spans="1:7" x14ac:dyDescent="0.3">
      <c r="A2295" t="s">
        <v>3988</v>
      </c>
      <c r="B2295" t="s">
        <v>3989</v>
      </c>
      <c r="C2295" t="s">
        <v>8</v>
      </c>
      <c r="D2295">
        <v>3.129</v>
      </c>
      <c r="E2295" s="4">
        <v>1001</v>
      </c>
      <c r="F2295" t="str">
        <f>HYPERLINK("https://www.google.com/maps/search/?api=1&amp;query=24.78050639,46.63293172", "View Map")</f>
        <v>View Map</v>
      </c>
    </row>
    <row r="2296" spans="1:7" x14ac:dyDescent="0.3">
      <c r="A2296" t="s">
        <v>3990</v>
      </c>
      <c r="B2296" t="s">
        <v>3991</v>
      </c>
      <c r="C2296" t="s">
        <v>8</v>
      </c>
      <c r="D2296">
        <v>3.1259999999999999</v>
      </c>
      <c r="E2296" s="4">
        <v>1000</v>
      </c>
      <c r="F2296" t="str">
        <f>HYPERLINK("https://www.google.com/maps/search/?api=1&amp;query=24.54333926,46.66521239", "View Map")</f>
        <v>View Map</v>
      </c>
    </row>
    <row r="2297" spans="1:7" x14ac:dyDescent="0.3">
      <c r="A2297" t="s">
        <v>3992</v>
      </c>
      <c r="B2297" t="s">
        <v>3993</v>
      </c>
      <c r="C2297" t="s">
        <v>21</v>
      </c>
      <c r="D2297">
        <v>3.1259999999999999</v>
      </c>
      <c r="E2297" s="4">
        <v>1000</v>
      </c>
      <c r="F2297" t="str">
        <f>HYPERLINK("https://www.google.com/maps/search/?api=1&amp;query=26.31386753,44.87653478", "View Map")</f>
        <v>View Map</v>
      </c>
      <c r="G2297" s="2">
        <v>0.56614540337131158</v>
      </c>
    </row>
    <row r="2298" spans="1:7" x14ac:dyDescent="0.3">
      <c r="A2298" t="s">
        <v>1729</v>
      </c>
      <c r="B2298" t="s">
        <v>3994</v>
      </c>
      <c r="C2298" t="s">
        <v>55</v>
      </c>
      <c r="D2298">
        <v>3.1259999999999999</v>
      </c>
      <c r="E2298" s="4">
        <v>1000</v>
      </c>
      <c r="F2298" t="str">
        <f>HYPERLINK("https://www.google.com/maps/search/?api=1&amp;query=24.74859357,46.58082407", "View Map")</f>
        <v>View Map</v>
      </c>
    </row>
    <row r="2299" spans="1:7" x14ac:dyDescent="0.3">
      <c r="A2299" t="s">
        <v>3995</v>
      </c>
      <c r="B2299" t="s">
        <v>3996</v>
      </c>
      <c r="C2299" t="s">
        <v>8</v>
      </c>
      <c r="D2299">
        <v>3.1219999999999999</v>
      </c>
      <c r="E2299">
        <v>999</v>
      </c>
      <c r="F2299" t="str">
        <f>HYPERLINK("https://www.google.com/maps/search/?api=1&amp;query=24.57131116,46.66407969", "View Map")</f>
        <v>View Map</v>
      </c>
      <c r="G2299" s="2">
        <v>0.342406697896596</v>
      </c>
    </row>
    <row r="2300" spans="1:7" x14ac:dyDescent="0.3">
      <c r="A2300" t="s">
        <v>3997</v>
      </c>
      <c r="B2300" t="s">
        <v>3998</v>
      </c>
      <c r="C2300" t="s">
        <v>8</v>
      </c>
      <c r="D2300">
        <v>3.1219999999999999</v>
      </c>
      <c r="E2300">
        <v>999</v>
      </c>
      <c r="F2300" t="str">
        <f>HYPERLINK("https://www.google.com/maps/search/?api=1&amp;query=24.6054429,46.68789631", "View Map")</f>
        <v>View Map</v>
      </c>
      <c r="G2300" s="2">
        <v>0.41833880393439721</v>
      </c>
    </row>
    <row r="2301" spans="1:7" x14ac:dyDescent="0.3">
      <c r="A2301" t="s">
        <v>3999</v>
      </c>
      <c r="B2301" t="s">
        <v>4000</v>
      </c>
      <c r="C2301" t="s">
        <v>8</v>
      </c>
      <c r="D2301">
        <v>3.1179999999999999</v>
      </c>
      <c r="E2301">
        <v>998</v>
      </c>
      <c r="F2301" t="str">
        <f>HYPERLINK("https://www.google.com/maps/search/?api=1&amp;query=24.83618198,46.64054127", "View Map")</f>
        <v>View Map</v>
      </c>
    </row>
    <row r="2302" spans="1:7" x14ac:dyDescent="0.3">
      <c r="A2302" t="s">
        <v>4001</v>
      </c>
      <c r="B2302" t="s">
        <v>4002</v>
      </c>
      <c r="C2302" t="s">
        <v>8</v>
      </c>
      <c r="D2302">
        <v>3.117</v>
      </c>
      <c r="E2302">
        <v>997</v>
      </c>
      <c r="F2302" t="str">
        <f>HYPERLINK("https://www.google.com/maps/search/?api=1&amp;query=24.7772,46.7611", "View Map")</f>
        <v>View Map</v>
      </c>
    </row>
    <row r="2303" spans="1:7" x14ac:dyDescent="0.3">
      <c r="A2303" t="s">
        <v>4003</v>
      </c>
      <c r="B2303" t="s">
        <v>4004</v>
      </c>
      <c r="C2303" t="s">
        <v>137</v>
      </c>
      <c r="D2303">
        <v>3.1160000000000001</v>
      </c>
      <c r="E2303">
        <v>997</v>
      </c>
      <c r="F2303" t="str">
        <f>HYPERLINK("https://www.google.com/maps/search/?api=1&amp;query=23.47530964,46.87300362", "View Map")</f>
        <v>View Map</v>
      </c>
      <c r="G2303" s="2">
        <v>0.63662272521159013</v>
      </c>
    </row>
    <row r="2304" spans="1:7" x14ac:dyDescent="0.3">
      <c r="A2304" t="s">
        <v>4005</v>
      </c>
      <c r="B2304" t="s">
        <v>4006</v>
      </c>
      <c r="C2304" t="s">
        <v>8</v>
      </c>
      <c r="D2304">
        <v>3.1160000000000001</v>
      </c>
      <c r="E2304">
        <v>997</v>
      </c>
      <c r="F2304" t="str">
        <f>HYPERLINK("https://www.google.com/maps/search/?api=1&amp;query=24.71348579,46.80245419", "View Map")</f>
        <v>View Map</v>
      </c>
    </row>
    <row r="2305" spans="1:7" x14ac:dyDescent="0.3">
      <c r="A2305" t="s">
        <v>2982</v>
      </c>
      <c r="B2305" t="s">
        <v>4007</v>
      </c>
      <c r="C2305" t="s">
        <v>8</v>
      </c>
      <c r="D2305">
        <v>3.1160000000000001</v>
      </c>
      <c r="E2305">
        <v>997</v>
      </c>
      <c r="F2305" t="str">
        <f>HYPERLINK("https://www.google.com/maps/search/?api=1&amp;query=24.72127542,46.81569896", "View Map")</f>
        <v>View Map</v>
      </c>
    </row>
    <row r="2306" spans="1:7" x14ac:dyDescent="0.3">
      <c r="A2306" t="s">
        <v>4008</v>
      </c>
      <c r="B2306" t="s">
        <v>4009</v>
      </c>
      <c r="C2306" t="s">
        <v>8</v>
      </c>
      <c r="D2306">
        <v>3.1150000000000002</v>
      </c>
      <c r="E2306">
        <v>997</v>
      </c>
      <c r="F2306" t="str">
        <f>HYPERLINK("https://www.google.com/maps/search/?api=1&amp;query=24.63808177,46.68976008", "View Map")</f>
        <v>View Map</v>
      </c>
      <c r="G2306" s="2">
        <v>0.73541424178308956</v>
      </c>
    </row>
    <row r="2307" spans="1:7" x14ac:dyDescent="0.3">
      <c r="A2307" t="s">
        <v>4010</v>
      </c>
      <c r="B2307" t="s">
        <v>4011</v>
      </c>
      <c r="C2307" t="s">
        <v>241</v>
      </c>
      <c r="D2307">
        <v>3.1150000000000002</v>
      </c>
      <c r="E2307">
        <v>997</v>
      </c>
      <c r="F2307" t="str">
        <f>HYPERLINK("https://www.google.com/maps/search/?api=1&amp;query=20.41554377,44.8387717", "View Map")</f>
        <v>View Map</v>
      </c>
      <c r="G2307" s="2">
        <v>0.79343677118341494</v>
      </c>
    </row>
    <row r="2308" spans="1:7" x14ac:dyDescent="0.3">
      <c r="A2308" t="s">
        <v>4012</v>
      </c>
      <c r="B2308" t="s">
        <v>4013</v>
      </c>
      <c r="C2308" t="s">
        <v>8</v>
      </c>
      <c r="D2308">
        <v>3.1120000000000001</v>
      </c>
      <c r="E2308">
        <v>996</v>
      </c>
      <c r="F2308" t="str">
        <f>HYPERLINK("https://www.google.com/maps/search/?api=1&amp;query=24.60466498,46.63437106", "View Map")</f>
        <v>View Map</v>
      </c>
    </row>
    <row r="2309" spans="1:7" x14ac:dyDescent="0.3">
      <c r="A2309" t="s">
        <v>4014</v>
      </c>
      <c r="B2309" t="s">
        <v>4015</v>
      </c>
      <c r="C2309" t="s">
        <v>8</v>
      </c>
      <c r="D2309">
        <v>3.1120000000000001</v>
      </c>
      <c r="E2309">
        <v>996</v>
      </c>
      <c r="F2309" t="str">
        <f>HYPERLINK("https://www.google.com/maps/search/?api=1&amp;query=24.58980793,46.61252699", "View Map")</f>
        <v>View Map</v>
      </c>
    </row>
    <row r="2310" spans="1:7" x14ac:dyDescent="0.3">
      <c r="A2310" t="s">
        <v>4016</v>
      </c>
      <c r="B2310" t="s">
        <v>4017</v>
      </c>
      <c r="C2310" t="s">
        <v>8</v>
      </c>
      <c r="D2310">
        <v>3.1110000000000002</v>
      </c>
      <c r="E2310">
        <v>995</v>
      </c>
      <c r="F2310" t="str">
        <f>HYPERLINK("https://www.google.com/maps/search/?api=1&amp;query=24.60505422,46.72086313", "View Map")</f>
        <v>View Map</v>
      </c>
    </row>
    <row r="2311" spans="1:7" x14ac:dyDescent="0.3">
      <c r="A2311" t="s">
        <v>146</v>
      </c>
      <c r="B2311" t="s">
        <v>4018</v>
      </c>
      <c r="C2311" t="s">
        <v>8</v>
      </c>
      <c r="D2311">
        <v>3.1110000000000002</v>
      </c>
      <c r="E2311">
        <v>995</v>
      </c>
      <c r="F2311" t="str">
        <f>HYPERLINK("https://www.google.com/maps/search/?api=1&amp;query=24.55827063,46.55290224", "View Map")</f>
        <v>View Map</v>
      </c>
    </row>
    <row r="2312" spans="1:7" x14ac:dyDescent="0.3">
      <c r="A2312" t="s">
        <v>352</v>
      </c>
      <c r="B2312" t="s">
        <v>4019</v>
      </c>
      <c r="C2312" t="s">
        <v>8</v>
      </c>
      <c r="D2312">
        <v>3.109</v>
      </c>
      <c r="E2312">
        <v>995</v>
      </c>
      <c r="F2312" t="str">
        <f>HYPERLINK("https://www.google.com/maps/search/?api=1&amp;query=24.75252973,46.78885689", "View Map")</f>
        <v>View Map</v>
      </c>
    </row>
    <row r="2313" spans="1:7" x14ac:dyDescent="0.3">
      <c r="A2313" t="s">
        <v>4020</v>
      </c>
      <c r="B2313" t="s">
        <v>4021</v>
      </c>
      <c r="C2313" t="s">
        <v>296</v>
      </c>
      <c r="D2313">
        <v>3.1070000000000002</v>
      </c>
      <c r="E2313">
        <v>994</v>
      </c>
      <c r="F2313" t="str">
        <f>HYPERLINK("https://www.google.com/maps/search/?api=1&amp;query=24.42853834,46.1992681", "View Map")</f>
        <v>View Map</v>
      </c>
      <c r="G2313" s="2">
        <v>0.84836164710217787</v>
      </c>
    </row>
    <row r="2314" spans="1:7" x14ac:dyDescent="0.3">
      <c r="A2314" t="s">
        <v>4022</v>
      </c>
      <c r="B2314" t="s">
        <v>4023</v>
      </c>
      <c r="C2314" t="s">
        <v>255</v>
      </c>
      <c r="D2314">
        <v>3.1059999999999999</v>
      </c>
      <c r="E2314">
        <v>994</v>
      </c>
      <c r="F2314" t="str">
        <f>HYPERLINK("https://www.google.com/maps/search/?api=1&amp;query=24.50900937,44.39214396", "View Map")</f>
        <v>View Map</v>
      </c>
      <c r="G2314" s="2">
        <v>0.51866953603930166</v>
      </c>
    </row>
    <row r="2315" spans="1:7" x14ac:dyDescent="0.3">
      <c r="A2315" t="s">
        <v>4024</v>
      </c>
      <c r="B2315" t="s">
        <v>4025</v>
      </c>
      <c r="C2315" t="s">
        <v>8</v>
      </c>
      <c r="D2315">
        <v>3.1059999999999999</v>
      </c>
      <c r="E2315">
        <v>994</v>
      </c>
      <c r="F2315" t="str">
        <f>HYPERLINK("https://www.google.com/maps/search/?api=1&amp;query=24.59958837,46.72868665", "View Map")</f>
        <v>View Map</v>
      </c>
    </row>
    <row r="2316" spans="1:7" x14ac:dyDescent="0.3">
      <c r="A2316" t="s">
        <v>4026</v>
      </c>
      <c r="B2316" t="s">
        <v>4027</v>
      </c>
      <c r="C2316" t="s">
        <v>8</v>
      </c>
      <c r="D2316">
        <v>3.1040000000000001</v>
      </c>
      <c r="E2316">
        <v>993</v>
      </c>
      <c r="F2316" t="str">
        <f>HYPERLINK("https://www.google.com/maps/search/?api=1&amp;query=24.58228554,46.78926149", "View Map")</f>
        <v>View Map</v>
      </c>
    </row>
    <row r="2317" spans="1:7" x14ac:dyDescent="0.3">
      <c r="A2317" t="s">
        <v>28</v>
      </c>
      <c r="B2317" t="s">
        <v>4028</v>
      </c>
      <c r="C2317" t="s">
        <v>30</v>
      </c>
      <c r="D2317">
        <v>3.1040000000000001</v>
      </c>
      <c r="E2317">
        <v>993</v>
      </c>
      <c r="F2317" t="str">
        <f>HYPERLINK("https://www.google.com/maps/search/?api=1&amp;query=24.10883158,47.27006067", "View Map")</f>
        <v>View Map</v>
      </c>
    </row>
    <row r="2318" spans="1:7" x14ac:dyDescent="0.3">
      <c r="A2318" t="s">
        <v>4029</v>
      </c>
      <c r="B2318" t="s">
        <v>4030</v>
      </c>
      <c r="C2318" t="s">
        <v>255</v>
      </c>
      <c r="D2318">
        <v>3.1040000000000001</v>
      </c>
      <c r="E2318">
        <v>993</v>
      </c>
      <c r="F2318" t="str">
        <f>HYPERLINK("https://www.google.com/maps/search/?api=1&amp;query=24.6604698,43.76585388", "View Map")</f>
        <v>View Map</v>
      </c>
      <c r="G2318" s="2">
        <v>0.7379970282317978</v>
      </c>
    </row>
    <row r="2319" spans="1:7" x14ac:dyDescent="0.3">
      <c r="A2319" t="s">
        <v>4031</v>
      </c>
      <c r="B2319" t="s">
        <v>4032</v>
      </c>
      <c r="C2319" t="s">
        <v>8</v>
      </c>
      <c r="D2319">
        <v>3.0990000000000002</v>
      </c>
      <c r="E2319">
        <v>992</v>
      </c>
      <c r="F2319" t="str">
        <f>HYPERLINK("https://www.google.com/maps/search/?api=1&amp;query=24.55279457,46.67561901", "View Map")</f>
        <v>View Map</v>
      </c>
      <c r="G2319" s="2">
        <v>0.4648008916432706</v>
      </c>
    </row>
    <row r="2320" spans="1:7" x14ac:dyDescent="0.3">
      <c r="A2320" t="s">
        <v>4033</v>
      </c>
      <c r="B2320" t="s">
        <v>4034</v>
      </c>
      <c r="C2320" t="s">
        <v>270</v>
      </c>
      <c r="D2320">
        <v>3.097</v>
      </c>
      <c r="E2320">
        <v>991</v>
      </c>
      <c r="F2320" t="str">
        <f>HYPERLINK("https://www.google.com/maps/search/?api=1&amp;query=24.09510307,47.1771339", "View Map")</f>
        <v>View Map</v>
      </c>
      <c r="G2320" s="2">
        <v>0.45537552842304219</v>
      </c>
    </row>
    <row r="2321" spans="1:7" x14ac:dyDescent="0.3">
      <c r="A2321" t="s">
        <v>4035</v>
      </c>
      <c r="B2321" t="s">
        <v>4036</v>
      </c>
      <c r="C2321" t="s">
        <v>21</v>
      </c>
      <c r="D2321">
        <v>3.0960000000000001</v>
      </c>
      <c r="E2321">
        <v>991</v>
      </c>
      <c r="F2321" t="str">
        <f>HYPERLINK("https://www.google.com/maps/search/?api=1&amp;query=26.2776909,44.82753168", "View Map")</f>
        <v>View Map</v>
      </c>
      <c r="G2321" s="2">
        <v>0.66582042125702712</v>
      </c>
    </row>
    <row r="2322" spans="1:7" x14ac:dyDescent="0.3">
      <c r="A2322" t="s">
        <v>4037</v>
      </c>
      <c r="B2322" t="s">
        <v>4038</v>
      </c>
      <c r="C2322" t="s">
        <v>8</v>
      </c>
      <c r="D2322">
        <v>3.0939999999999999</v>
      </c>
      <c r="E2322">
        <v>990</v>
      </c>
      <c r="F2322" t="str">
        <f>HYPERLINK("https://www.google.com/maps/search/?api=1&amp;query=24.57997846,46.83406915", "View Map")</f>
        <v>View Map</v>
      </c>
    </row>
    <row r="2323" spans="1:7" x14ac:dyDescent="0.3">
      <c r="A2323" t="s">
        <v>4039</v>
      </c>
      <c r="B2323" t="s">
        <v>4040</v>
      </c>
      <c r="C2323" t="s">
        <v>466</v>
      </c>
      <c r="D2323">
        <v>3.0920000000000001</v>
      </c>
      <c r="E2323">
        <v>989</v>
      </c>
      <c r="F2323" t="str">
        <f>HYPERLINK("https://www.google.com/maps/search/?api=1&amp;query=24.51813153,46.1340055", "View Map")</f>
        <v>View Map</v>
      </c>
      <c r="G2323" s="2">
        <v>0.81354810091474306</v>
      </c>
    </row>
    <row r="2324" spans="1:7" x14ac:dyDescent="0.3">
      <c r="A2324" t="s">
        <v>4041</v>
      </c>
      <c r="B2324" t="s">
        <v>4042</v>
      </c>
      <c r="C2324" t="s">
        <v>255</v>
      </c>
      <c r="D2324">
        <v>3.0910000000000002</v>
      </c>
      <c r="E2324">
        <v>989</v>
      </c>
      <c r="F2324" t="str">
        <f>HYPERLINK("https://www.google.com/maps/search/?api=1&amp;query=25.18503494,44.50841073", "View Map")</f>
        <v>View Map</v>
      </c>
      <c r="G2324" s="2">
        <v>0.55899848692877352</v>
      </c>
    </row>
    <row r="2325" spans="1:7" x14ac:dyDescent="0.3">
      <c r="A2325" t="s">
        <v>4043</v>
      </c>
      <c r="B2325" t="s">
        <v>4044</v>
      </c>
      <c r="C2325" t="s">
        <v>255</v>
      </c>
      <c r="D2325">
        <v>3.09</v>
      </c>
      <c r="E2325">
        <v>989</v>
      </c>
      <c r="F2325" t="str">
        <f>HYPERLINK("https://www.google.com/maps/search/?api=1&amp;query=25.07184317,44.70193392", "View Map")</f>
        <v>View Map</v>
      </c>
      <c r="G2325" s="2">
        <v>0.59683337858966834</v>
      </c>
    </row>
    <row r="2326" spans="1:7" x14ac:dyDescent="0.3">
      <c r="A2326" t="s">
        <v>4045</v>
      </c>
      <c r="B2326" t="s">
        <v>4046</v>
      </c>
      <c r="C2326" t="s">
        <v>214</v>
      </c>
      <c r="D2326">
        <v>3.0880000000000001</v>
      </c>
      <c r="E2326">
        <v>988</v>
      </c>
      <c r="F2326" t="str">
        <f>HYPERLINK("https://www.google.com/maps/search/?api=1&amp;query=25.69840994,45.88300229", "View Map")</f>
        <v>View Map</v>
      </c>
      <c r="G2326" s="2">
        <v>0.53850407560018709</v>
      </c>
    </row>
    <row r="2327" spans="1:7" x14ac:dyDescent="0.3">
      <c r="A2327" t="s">
        <v>150</v>
      </c>
      <c r="B2327" t="s">
        <v>4047</v>
      </c>
      <c r="C2327" t="s">
        <v>8</v>
      </c>
      <c r="D2327">
        <v>3.0870000000000002</v>
      </c>
      <c r="E2327">
        <v>988</v>
      </c>
      <c r="F2327" t="str">
        <f>HYPERLINK("https://www.google.com/maps/search/?api=1&amp;query=24.7968615,46.79649711", "View Map")</f>
        <v>View Map</v>
      </c>
      <c r="G2327" s="2">
        <v>0.34979352027495347</v>
      </c>
    </row>
    <row r="2328" spans="1:7" x14ac:dyDescent="0.3">
      <c r="A2328" t="s">
        <v>1594</v>
      </c>
      <c r="B2328" t="s">
        <v>4048</v>
      </c>
      <c r="C2328" t="s">
        <v>820</v>
      </c>
      <c r="D2328">
        <v>3.0859999999999999</v>
      </c>
      <c r="E2328">
        <v>988</v>
      </c>
      <c r="F2328" t="str">
        <f>HYPERLINK("https://www.google.com/maps/search/?api=1&amp;query=0.0,0.0", "View Map")</f>
        <v>View Map</v>
      </c>
      <c r="G2328" s="2">
        <v>0.52255647227173596</v>
      </c>
    </row>
    <row r="2329" spans="1:7" x14ac:dyDescent="0.3">
      <c r="A2329" t="s">
        <v>46</v>
      </c>
      <c r="B2329" t="s">
        <v>4049</v>
      </c>
      <c r="C2329" t="s">
        <v>8</v>
      </c>
      <c r="D2329">
        <v>3.0859999999999999</v>
      </c>
      <c r="E2329">
        <v>988</v>
      </c>
      <c r="F2329" t="str">
        <f>HYPERLINK("https://www.google.com/maps/search/?api=1&amp;query=24.83734147,46.83282021", "View Map")</f>
        <v>View Map</v>
      </c>
    </row>
    <row r="2330" spans="1:7" x14ac:dyDescent="0.3">
      <c r="A2330" t="s">
        <v>4050</v>
      </c>
      <c r="B2330" t="s">
        <v>4051</v>
      </c>
      <c r="C2330" t="s">
        <v>8</v>
      </c>
      <c r="D2330">
        <v>3.085</v>
      </c>
      <c r="E2330">
        <v>987</v>
      </c>
      <c r="F2330" t="str">
        <f>HYPERLINK("https://www.google.com/maps/search/?api=1&amp;query=24.78738884,46.62578337", "View Map")</f>
        <v>View Map</v>
      </c>
      <c r="G2330" s="2">
        <v>0.30550426128788433</v>
      </c>
    </row>
    <row r="2331" spans="1:7" x14ac:dyDescent="0.3">
      <c r="A2331" t="s">
        <v>4052</v>
      </c>
      <c r="B2331" t="s">
        <v>4053</v>
      </c>
      <c r="C2331" t="s">
        <v>8</v>
      </c>
      <c r="D2331">
        <v>3.0840000000000001</v>
      </c>
      <c r="E2331">
        <v>987</v>
      </c>
      <c r="F2331" t="str">
        <f>HYPERLINK("https://www.google.com/maps/search/?api=1&amp;query=24.6547944,46.67522804", "View Map")</f>
        <v>View Map</v>
      </c>
    </row>
    <row r="2332" spans="1:7" x14ac:dyDescent="0.3">
      <c r="A2332" t="s">
        <v>46</v>
      </c>
      <c r="B2332" t="s">
        <v>4054</v>
      </c>
      <c r="C2332" t="s">
        <v>8</v>
      </c>
      <c r="D2332">
        <v>3.0830000000000002</v>
      </c>
      <c r="E2332">
        <v>987</v>
      </c>
      <c r="F2332" t="str">
        <f>HYPERLINK("https://www.google.com/maps/search/?api=1&amp;query=24.644647,46.5516618", "View Map")</f>
        <v>View Map</v>
      </c>
      <c r="G2332" s="2">
        <v>0.83628673046712432</v>
      </c>
    </row>
    <row r="2333" spans="1:7" x14ac:dyDescent="0.3">
      <c r="A2333" t="s">
        <v>46</v>
      </c>
      <c r="B2333" t="s">
        <v>4055</v>
      </c>
      <c r="C2333" t="s">
        <v>55</v>
      </c>
      <c r="D2333">
        <v>3.081</v>
      </c>
      <c r="E2333">
        <v>986</v>
      </c>
      <c r="F2333" t="str">
        <f>HYPERLINK("https://www.google.com/maps/search/?api=1&amp;query=24.90337,46.43857", "View Map")</f>
        <v>View Map</v>
      </c>
    </row>
    <row r="2334" spans="1:7" x14ac:dyDescent="0.3">
      <c r="A2334" t="s">
        <v>4056</v>
      </c>
      <c r="B2334" t="s">
        <v>4057</v>
      </c>
      <c r="C2334" t="s">
        <v>291</v>
      </c>
      <c r="D2334">
        <v>3.081</v>
      </c>
      <c r="E2334">
        <v>986</v>
      </c>
      <c r="F2334" t="str">
        <f>HYPERLINK("https://www.google.com/maps/search/?api=1&amp;query=24.31393185,45.83603432", "View Map")</f>
        <v>View Map</v>
      </c>
      <c r="G2334" s="2">
        <v>0.82668311054931243</v>
      </c>
    </row>
    <row r="2335" spans="1:7" x14ac:dyDescent="0.3">
      <c r="A2335" t="s">
        <v>4058</v>
      </c>
      <c r="B2335" t="s">
        <v>4059</v>
      </c>
      <c r="C2335" t="s">
        <v>8</v>
      </c>
      <c r="D2335">
        <v>3.081</v>
      </c>
      <c r="E2335">
        <v>986</v>
      </c>
      <c r="F2335" t="str">
        <f>HYPERLINK("https://www.google.com/maps/search/?api=1&amp;query=24.70343706,46.84071593", "View Map")</f>
        <v>View Map</v>
      </c>
    </row>
    <row r="2336" spans="1:7" x14ac:dyDescent="0.3">
      <c r="A2336" t="s">
        <v>46</v>
      </c>
      <c r="B2336" t="s">
        <v>4060</v>
      </c>
      <c r="C2336" t="s">
        <v>55</v>
      </c>
      <c r="D2336">
        <v>3.08</v>
      </c>
      <c r="E2336">
        <v>986</v>
      </c>
      <c r="F2336" t="str">
        <f>HYPERLINK("https://www.google.com/maps/search/?api=1&amp;query=24.73986,46.51493", "View Map")</f>
        <v>View Map</v>
      </c>
      <c r="G2336" s="2">
        <v>0.5500865683074565</v>
      </c>
    </row>
    <row r="2337" spans="1:7" x14ac:dyDescent="0.3">
      <c r="A2337" t="s">
        <v>4061</v>
      </c>
      <c r="B2337" t="s">
        <v>4062</v>
      </c>
      <c r="C2337" t="s">
        <v>30</v>
      </c>
      <c r="D2337">
        <v>3.08</v>
      </c>
      <c r="E2337">
        <v>985</v>
      </c>
      <c r="F2337" t="str">
        <f>HYPERLINK("https://www.google.com/maps/search/?api=1&amp;query=24.13352099,47.28804134", "View Map")</f>
        <v>View Map</v>
      </c>
      <c r="G2337" s="2">
        <v>0.68576993337248726</v>
      </c>
    </row>
    <row r="2338" spans="1:7" x14ac:dyDescent="0.3">
      <c r="A2338" t="s">
        <v>4063</v>
      </c>
      <c r="B2338" t="s">
        <v>4064</v>
      </c>
      <c r="C2338" t="s">
        <v>8</v>
      </c>
      <c r="D2338">
        <v>3.08</v>
      </c>
      <c r="E2338">
        <v>986</v>
      </c>
      <c r="F2338" t="str">
        <f>HYPERLINK("https://www.google.com/maps/search/?api=1&amp;query=24.67942274,46.59531705", "View Map")</f>
        <v>View Map</v>
      </c>
    </row>
    <row r="2339" spans="1:7" x14ac:dyDescent="0.3">
      <c r="A2339" t="s">
        <v>4065</v>
      </c>
      <c r="B2339" t="s">
        <v>4066</v>
      </c>
      <c r="C2339" t="s">
        <v>8</v>
      </c>
      <c r="D2339">
        <v>3.0779999999999998</v>
      </c>
      <c r="E2339">
        <v>985</v>
      </c>
      <c r="F2339" t="str">
        <f>HYPERLINK("https://www.google.com/maps/search/?api=1&amp;query=24.54658521,46.70994599", "View Map")</f>
        <v>View Map</v>
      </c>
    </row>
    <row r="2340" spans="1:7" x14ac:dyDescent="0.3">
      <c r="A2340" t="s">
        <v>4067</v>
      </c>
      <c r="B2340" t="s">
        <v>4068</v>
      </c>
      <c r="C2340" t="s">
        <v>8</v>
      </c>
      <c r="D2340">
        <v>3.0779999999999998</v>
      </c>
      <c r="E2340">
        <v>985</v>
      </c>
      <c r="F2340" t="str">
        <f>HYPERLINK("https://www.google.com/maps/search/?api=1&amp;query=24.56680568,46.84948975", "View Map")</f>
        <v>View Map</v>
      </c>
      <c r="G2340" s="2">
        <v>0.45241929070384479</v>
      </c>
    </row>
    <row r="2341" spans="1:7" x14ac:dyDescent="0.3">
      <c r="A2341" t="s">
        <v>4069</v>
      </c>
      <c r="B2341" t="s">
        <v>4070</v>
      </c>
      <c r="C2341" t="s">
        <v>8</v>
      </c>
      <c r="D2341">
        <v>3.077</v>
      </c>
      <c r="E2341">
        <v>985</v>
      </c>
      <c r="F2341" t="str">
        <f>HYPERLINK("https://www.google.com/maps/search/?api=1&amp;query=24.62827066,46.70069355", "View Map")</f>
        <v>View Map</v>
      </c>
    </row>
    <row r="2342" spans="1:7" x14ac:dyDescent="0.3">
      <c r="A2342" t="s">
        <v>4071</v>
      </c>
      <c r="B2342" t="s">
        <v>4072</v>
      </c>
      <c r="C2342" t="s">
        <v>241</v>
      </c>
      <c r="D2342">
        <v>3.0760000000000001</v>
      </c>
      <c r="E2342">
        <v>984</v>
      </c>
      <c r="F2342" t="str">
        <f>HYPERLINK("https://www.google.com/maps/search/?api=1&amp;query=20.4457031,44.84813005", "View Map")</f>
        <v>View Map</v>
      </c>
      <c r="G2342" s="2">
        <v>0.59203047830436806</v>
      </c>
    </row>
    <row r="2343" spans="1:7" x14ac:dyDescent="0.3">
      <c r="A2343" t="s">
        <v>2122</v>
      </c>
      <c r="B2343" t="s">
        <v>4073</v>
      </c>
      <c r="C2343" t="s">
        <v>8</v>
      </c>
      <c r="D2343">
        <v>3.073</v>
      </c>
      <c r="E2343">
        <v>983</v>
      </c>
      <c r="F2343" t="str">
        <f>HYPERLINK("https://www.google.com/maps/search/?api=1&amp;query=24.82515323,46.78374478", "View Map")</f>
        <v>View Map</v>
      </c>
      <c r="G2343" s="2">
        <v>0.84158600900180569</v>
      </c>
    </row>
    <row r="2344" spans="1:7" x14ac:dyDescent="0.3">
      <c r="A2344" t="s">
        <v>4074</v>
      </c>
      <c r="B2344" t="s">
        <v>4075</v>
      </c>
      <c r="C2344" t="s">
        <v>8</v>
      </c>
      <c r="D2344">
        <v>3.0720000000000001</v>
      </c>
      <c r="E2344">
        <v>983</v>
      </c>
      <c r="F2344" t="str">
        <f>HYPERLINK("https://www.google.com/maps/search/?api=1&amp;query=24.60513594,46.74396006", "View Map")</f>
        <v>View Map</v>
      </c>
    </row>
    <row r="2345" spans="1:7" x14ac:dyDescent="0.3">
      <c r="A2345" t="s">
        <v>4076</v>
      </c>
      <c r="B2345" t="s">
        <v>4077</v>
      </c>
      <c r="C2345" t="s">
        <v>8</v>
      </c>
      <c r="D2345">
        <v>3.0720000000000001</v>
      </c>
      <c r="E2345">
        <v>983</v>
      </c>
      <c r="F2345" t="str">
        <f>HYPERLINK("https://www.google.com/maps/search/?api=1&amp;query=24.7795176,46.6364944", "View Map")</f>
        <v>View Map</v>
      </c>
      <c r="G2345" s="2">
        <v>0.63141684358824413</v>
      </c>
    </row>
    <row r="2346" spans="1:7" x14ac:dyDescent="0.3">
      <c r="A2346" t="s">
        <v>4078</v>
      </c>
      <c r="B2346" t="s">
        <v>4079</v>
      </c>
      <c r="C2346" t="s">
        <v>214</v>
      </c>
      <c r="D2346">
        <v>3.0710000000000002</v>
      </c>
      <c r="E2346">
        <v>983</v>
      </c>
      <c r="F2346" t="str">
        <f>HYPERLINK("https://www.google.com/maps/search/?api=1&amp;query=25.59624403,45.61288103", "View Map")</f>
        <v>View Map</v>
      </c>
    </row>
    <row r="2347" spans="1:7" x14ac:dyDescent="0.3">
      <c r="A2347" t="s">
        <v>4080</v>
      </c>
      <c r="B2347" t="s">
        <v>4081</v>
      </c>
      <c r="C2347" t="s">
        <v>137</v>
      </c>
      <c r="D2347">
        <v>3.07</v>
      </c>
      <c r="E2347">
        <v>983</v>
      </c>
      <c r="F2347" t="str">
        <f>HYPERLINK("https://www.google.com/maps/search/?api=1&amp;query=23.50392948,46.88761608", "View Map")</f>
        <v>View Map</v>
      </c>
      <c r="G2347" s="2">
        <v>0.71672551736690115</v>
      </c>
    </row>
    <row r="2348" spans="1:7" x14ac:dyDescent="0.3">
      <c r="A2348" t="s">
        <v>4082</v>
      </c>
      <c r="B2348" t="s">
        <v>4083</v>
      </c>
      <c r="C2348" t="s">
        <v>8</v>
      </c>
      <c r="D2348">
        <v>3.069</v>
      </c>
      <c r="E2348">
        <v>982</v>
      </c>
      <c r="F2348" t="str">
        <f>HYPERLINK("https://www.google.com/maps/search/?api=1&amp;query=24.65510558,46.68118063", "View Map")</f>
        <v>View Map</v>
      </c>
    </row>
    <row r="2349" spans="1:7" x14ac:dyDescent="0.3">
      <c r="A2349" t="s">
        <v>4084</v>
      </c>
      <c r="B2349" t="s">
        <v>4085</v>
      </c>
      <c r="C2349" t="s">
        <v>8</v>
      </c>
      <c r="D2349">
        <v>3.0680000000000001</v>
      </c>
      <c r="E2349">
        <v>982</v>
      </c>
      <c r="F2349" t="str">
        <f>HYPERLINK("https://www.google.com/maps/search/?api=1&amp;query=24.57384886,46.71337917", "View Map")</f>
        <v>View Map</v>
      </c>
    </row>
    <row r="2350" spans="1:7" x14ac:dyDescent="0.3">
      <c r="A2350" t="s">
        <v>4086</v>
      </c>
      <c r="B2350" t="s">
        <v>4087</v>
      </c>
      <c r="C2350" t="s">
        <v>77</v>
      </c>
      <c r="D2350">
        <v>3.0670000000000002</v>
      </c>
      <c r="E2350">
        <v>982</v>
      </c>
      <c r="F2350" t="str">
        <f>HYPERLINK("https://www.google.com/maps/search/?api=1&amp;query=22.27284345,46.71608131", "View Map")</f>
        <v>View Map</v>
      </c>
      <c r="G2350" s="2">
        <v>0.72945897848040997</v>
      </c>
    </row>
    <row r="2351" spans="1:7" x14ac:dyDescent="0.3">
      <c r="A2351" t="s">
        <v>3222</v>
      </c>
      <c r="B2351" t="s">
        <v>4088</v>
      </c>
      <c r="C2351" t="s">
        <v>8</v>
      </c>
      <c r="D2351">
        <v>3.0649999999999999</v>
      </c>
      <c r="E2351">
        <v>981</v>
      </c>
      <c r="F2351" t="str">
        <f>HYPERLINK("https://www.google.com/maps/search/?api=1&amp;query=24.6850867,46.83170879", "View Map")</f>
        <v>View Map</v>
      </c>
    </row>
    <row r="2352" spans="1:7" x14ac:dyDescent="0.3">
      <c r="A2352" t="s">
        <v>4089</v>
      </c>
      <c r="B2352" t="s">
        <v>4090</v>
      </c>
      <c r="C2352" t="s">
        <v>738</v>
      </c>
      <c r="D2352">
        <v>3.0649999999999999</v>
      </c>
      <c r="E2352">
        <v>981</v>
      </c>
      <c r="F2352" t="str">
        <f>HYPERLINK("https://www.google.com/maps/search/?api=1&amp;query=25.12851443,46.15759525", "View Map")</f>
        <v>View Map</v>
      </c>
      <c r="G2352" s="2">
        <v>0.53442132369670592</v>
      </c>
    </row>
    <row r="2353" spans="1:7" x14ac:dyDescent="0.3">
      <c r="A2353" t="s">
        <v>4091</v>
      </c>
      <c r="B2353" t="s">
        <v>4092</v>
      </c>
      <c r="C2353" t="s">
        <v>30</v>
      </c>
      <c r="D2353">
        <v>3.0640000000000001</v>
      </c>
      <c r="E2353">
        <v>981</v>
      </c>
      <c r="F2353" t="str">
        <f>HYPERLINK("https://www.google.com/maps/search/?api=1&amp;query=24.19609984,47.27357233", "View Map")</f>
        <v>View Map</v>
      </c>
      <c r="G2353" s="2">
        <v>0.62469283439887346</v>
      </c>
    </row>
    <row r="2354" spans="1:7" x14ac:dyDescent="0.3">
      <c r="A2354" t="s">
        <v>4093</v>
      </c>
      <c r="B2354" t="s">
        <v>4094</v>
      </c>
      <c r="C2354" t="s">
        <v>21</v>
      </c>
      <c r="D2354">
        <v>3.0619999999999998</v>
      </c>
      <c r="E2354">
        <v>980</v>
      </c>
      <c r="F2354" t="str">
        <f>HYPERLINK("https://www.google.com/maps/search/?api=1&amp;query=26.30915683,44.88158331", "View Map")</f>
        <v>View Map</v>
      </c>
      <c r="G2354" s="2">
        <v>0.66569412855172549</v>
      </c>
    </row>
    <row r="2355" spans="1:7" x14ac:dyDescent="0.3">
      <c r="A2355" t="s">
        <v>4095</v>
      </c>
      <c r="B2355" t="s">
        <v>4096</v>
      </c>
      <c r="C2355" t="s">
        <v>8</v>
      </c>
      <c r="D2355">
        <v>3.0619999999999998</v>
      </c>
      <c r="E2355">
        <v>980</v>
      </c>
      <c r="F2355" t="str">
        <f>HYPERLINK("https://www.google.com/maps/search/?api=1&amp;query=24.80307341,46.66421015", "View Map")</f>
        <v>View Map</v>
      </c>
    </row>
    <row r="2356" spans="1:7" x14ac:dyDescent="0.3">
      <c r="A2356" t="s">
        <v>4097</v>
      </c>
      <c r="B2356" t="s">
        <v>4098</v>
      </c>
      <c r="C2356" t="s">
        <v>21</v>
      </c>
      <c r="D2356">
        <v>3.06</v>
      </c>
      <c r="E2356">
        <v>979</v>
      </c>
      <c r="F2356" t="str">
        <f>HYPERLINK("https://www.google.com/maps/search/?api=1&amp;query=26.29954963,44.81721004", "View Map")</f>
        <v>View Map</v>
      </c>
    </row>
    <row r="2357" spans="1:7" x14ac:dyDescent="0.3">
      <c r="A2357" t="s">
        <v>4099</v>
      </c>
      <c r="B2357" t="s">
        <v>4100</v>
      </c>
      <c r="C2357" t="s">
        <v>255</v>
      </c>
      <c r="D2357">
        <v>3.06</v>
      </c>
      <c r="E2357">
        <v>979</v>
      </c>
      <c r="F2357" t="str">
        <f>HYPERLINK("https://www.google.com/maps/search/?api=1&amp;query=24.4270094,43.70240778", "View Map")</f>
        <v>View Map</v>
      </c>
      <c r="G2357" s="2">
        <v>0.68520991379310348</v>
      </c>
    </row>
    <row r="2358" spans="1:7" x14ac:dyDescent="0.3">
      <c r="A2358" t="s">
        <v>4101</v>
      </c>
      <c r="B2358" t="s">
        <v>4102</v>
      </c>
      <c r="C2358" t="s">
        <v>8</v>
      </c>
      <c r="D2358">
        <v>3.06</v>
      </c>
      <c r="E2358">
        <v>979</v>
      </c>
      <c r="F2358" t="str">
        <f>HYPERLINK("https://www.google.com/maps/search/?api=1&amp;query=24.57384886,46.71337917", "View Map")</f>
        <v>View Map</v>
      </c>
    </row>
    <row r="2359" spans="1:7" x14ac:dyDescent="0.3">
      <c r="A2359" t="s">
        <v>4103</v>
      </c>
      <c r="B2359" t="s">
        <v>4104</v>
      </c>
      <c r="C2359" t="s">
        <v>8</v>
      </c>
      <c r="D2359">
        <v>3.06</v>
      </c>
      <c r="E2359">
        <v>979</v>
      </c>
      <c r="F2359" t="str">
        <f>HYPERLINK("https://www.google.com/maps/search/?api=1&amp;query=24.70915855,46.8009796", "View Map")</f>
        <v>View Map</v>
      </c>
    </row>
    <row r="2360" spans="1:7" x14ac:dyDescent="0.3">
      <c r="A2360" t="s">
        <v>4105</v>
      </c>
      <c r="B2360" t="s">
        <v>4106</v>
      </c>
      <c r="C2360" t="s">
        <v>8</v>
      </c>
      <c r="D2360">
        <v>3.0579999999999998</v>
      </c>
      <c r="E2360">
        <v>978</v>
      </c>
      <c r="F2360" t="str">
        <f>HYPERLINK("https://www.google.com/maps/search/?api=1&amp;query=24.59797902,46.72360611", "View Map")</f>
        <v>View Map</v>
      </c>
    </row>
    <row r="2361" spans="1:7" x14ac:dyDescent="0.3">
      <c r="A2361" t="s">
        <v>4107</v>
      </c>
      <c r="B2361" t="s">
        <v>4108</v>
      </c>
      <c r="C2361" t="s">
        <v>255</v>
      </c>
      <c r="D2361">
        <v>3.0579999999999998</v>
      </c>
      <c r="E2361">
        <v>978</v>
      </c>
      <c r="F2361" t="str">
        <f>HYPERLINK("https://www.google.com/maps/search/?api=1&amp;query=24.55782288,43.23552471", "View Map")</f>
        <v>View Map</v>
      </c>
      <c r="G2361" s="2">
        <v>0.44901687978285892</v>
      </c>
    </row>
    <row r="2362" spans="1:7" x14ac:dyDescent="0.3">
      <c r="A2362" t="s">
        <v>4109</v>
      </c>
      <c r="B2362" t="s">
        <v>4110</v>
      </c>
      <c r="C2362" t="s">
        <v>646</v>
      </c>
      <c r="D2362">
        <v>3.0569999999999999</v>
      </c>
      <c r="E2362">
        <v>978</v>
      </c>
      <c r="F2362" t="str">
        <f>HYPERLINK("https://www.google.com/maps/search/?api=1&amp;query=20.4618748,45.59190344", "View Map")</f>
        <v>View Map</v>
      </c>
      <c r="G2362" s="2">
        <v>0.46109556839657428</v>
      </c>
    </row>
    <row r="2363" spans="1:7" x14ac:dyDescent="0.3">
      <c r="A2363" t="s">
        <v>4111</v>
      </c>
      <c r="B2363" t="s">
        <v>4112</v>
      </c>
      <c r="C2363" t="s">
        <v>8</v>
      </c>
      <c r="D2363">
        <v>3.056</v>
      </c>
      <c r="E2363">
        <v>978</v>
      </c>
      <c r="F2363" t="str">
        <f>HYPERLINK("https://www.google.com/maps/search/?api=1&amp;query=24.57125773,46.83668385", "View Map")</f>
        <v>View Map</v>
      </c>
    </row>
    <row r="2364" spans="1:7" x14ac:dyDescent="0.3">
      <c r="A2364" t="s">
        <v>46</v>
      </c>
      <c r="B2364" t="s">
        <v>4113</v>
      </c>
      <c r="C2364" t="s">
        <v>8</v>
      </c>
      <c r="D2364">
        <v>3.056</v>
      </c>
      <c r="E2364">
        <v>978</v>
      </c>
      <c r="F2364" t="str">
        <f>HYPERLINK("https://www.google.com/maps/search/?api=1&amp;query=24.83705,46.65104", "View Map")</f>
        <v>View Map</v>
      </c>
    </row>
    <row r="2365" spans="1:7" x14ac:dyDescent="0.3">
      <c r="A2365" t="s">
        <v>4114</v>
      </c>
      <c r="B2365" t="s">
        <v>4115</v>
      </c>
      <c r="C2365" t="s">
        <v>30</v>
      </c>
      <c r="D2365">
        <v>3.056</v>
      </c>
      <c r="E2365">
        <v>978</v>
      </c>
      <c r="F2365" t="str">
        <f>HYPERLINK("https://www.google.com/maps/search/?api=1&amp;query=24.11298,47.30281", "View Map")</f>
        <v>View Map</v>
      </c>
      <c r="G2365" s="2">
        <v>0.54844147307205071</v>
      </c>
    </row>
    <row r="2366" spans="1:7" x14ac:dyDescent="0.3">
      <c r="A2366" t="s">
        <v>46</v>
      </c>
      <c r="B2366" t="s">
        <v>4116</v>
      </c>
      <c r="C2366" t="s">
        <v>8</v>
      </c>
      <c r="D2366">
        <v>3.0550000000000002</v>
      </c>
      <c r="E2366">
        <v>978</v>
      </c>
      <c r="F2366" t="str">
        <f>HYPERLINK("https://www.google.com/maps/search/?api=1&amp;query=24.69309525,46.67827768", "View Map")</f>
        <v>View Map</v>
      </c>
      <c r="G2366" s="2">
        <v>0.3581775419521338</v>
      </c>
    </row>
    <row r="2367" spans="1:7" x14ac:dyDescent="0.3">
      <c r="A2367" t="s">
        <v>4117</v>
      </c>
      <c r="B2367" t="s">
        <v>4118</v>
      </c>
      <c r="C2367" t="s">
        <v>8</v>
      </c>
      <c r="D2367">
        <v>3.0510000000000002</v>
      </c>
      <c r="E2367">
        <v>976</v>
      </c>
      <c r="F2367" t="str">
        <f>HYPERLINK("https://www.google.com/maps/search/?api=1&amp;query=24.72629227,46.81509409", "View Map")</f>
        <v>View Map</v>
      </c>
    </row>
    <row r="2368" spans="1:7" x14ac:dyDescent="0.3">
      <c r="A2368" t="s">
        <v>4119</v>
      </c>
      <c r="B2368" t="s">
        <v>4120</v>
      </c>
      <c r="C2368" t="s">
        <v>8</v>
      </c>
      <c r="D2368">
        <v>3.0510000000000002</v>
      </c>
      <c r="E2368">
        <v>976</v>
      </c>
      <c r="F2368" t="str">
        <f>HYPERLINK("https://www.google.com/maps/search/?api=1&amp;query=24.66092715,46.79239513", "View Map")</f>
        <v>View Map</v>
      </c>
    </row>
    <row r="2369" spans="1:7" x14ac:dyDescent="0.3">
      <c r="A2369" t="s">
        <v>4121</v>
      </c>
      <c r="B2369" t="s">
        <v>4122</v>
      </c>
      <c r="C2369" t="s">
        <v>8</v>
      </c>
      <c r="D2369">
        <v>3.05</v>
      </c>
      <c r="E2369">
        <v>976</v>
      </c>
      <c r="F2369" t="str">
        <f>HYPERLINK("https://www.google.com/maps/search/?api=1&amp;query=24.56885442,46.61709099", "View Map")</f>
        <v>View Map</v>
      </c>
      <c r="G2369" s="2">
        <v>0.1091368287238246</v>
      </c>
    </row>
    <row r="2370" spans="1:7" x14ac:dyDescent="0.3">
      <c r="A2370" t="s">
        <v>4123</v>
      </c>
      <c r="B2370" t="s">
        <v>4124</v>
      </c>
      <c r="C2370" t="s">
        <v>1112</v>
      </c>
      <c r="D2370">
        <v>3.05</v>
      </c>
      <c r="E2370">
        <v>976</v>
      </c>
      <c r="F2370" t="str">
        <f>HYPERLINK("https://www.google.com/maps/search/?api=1&amp;query=26.03175122,44.95006188", "View Map")</f>
        <v>View Map</v>
      </c>
      <c r="G2370" s="2">
        <v>0.44665147604704358</v>
      </c>
    </row>
    <row r="2371" spans="1:7" x14ac:dyDescent="0.3">
      <c r="A2371" t="s">
        <v>4125</v>
      </c>
      <c r="B2371" t="s">
        <v>4126</v>
      </c>
      <c r="C2371" t="s">
        <v>883</v>
      </c>
      <c r="D2371">
        <v>3.048</v>
      </c>
      <c r="E2371">
        <v>975</v>
      </c>
      <c r="F2371" t="str">
        <f>HYPERLINK("https://www.google.com/maps/search/?api=1&amp;query=25.57037053,47.15370119", "View Map")</f>
        <v>View Map</v>
      </c>
    </row>
    <row r="2372" spans="1:7" x14ac:dyDescent="0.3">
      <c r="A2372" t="s">
        <v>4127</v>
      </c>
      <c r="B2372" t="s">
        <v>4128</v>
      </c>
      <c r="C2372" t="s">
        <v>8</v>
      </c>
      <c r="D2372">
        <v>3.0459999999999998</v>
      </c>
      <c r="E2372">
        <v>975</v>
      </c>
      <c r="F2372" t="str">
        <f>HYPERLINK("https://www.google.com/maps/search/?api=1&amp;query=24.77998574,46.70175442", "View Map")</f>
        <v>View Map</v>
      </c>
    </row>
    <row r="2373" spans="1:7" x14ac:dyDescent="0.3">
      <c r="A2373" t="s">
        <v>4129</v>
      </c>
      <c r="B2373" t="s">
        <v>4130</v>
      </c>
      <c r="C2373" t="s">
        <v>214</v>
      </c>
      <c r="D2373">
        <v>3.0459999999999998</v>
      </c>
      <c r="E2373">
        <v>975</v>
      </c>
      <c r="F2373" t="str">
        <f>HYPERLINK("https://www.google.com/maps/search/?api=1&amp;query=26.49391375,45.34523976", "View Map")</f>
        <v>View Map</v>
      </c>
      <c r="G2373" s="2">
        <v>0.60312036010692349</v>
      </c>
    </row>
    <row r="2374" spans="1:7" x14ac:dyDescent="0.3">
      <c r="A2374" t="s">
        <v>4131</v>
      </c>
      <c r="B2374" t="s">
        <v>4132</v>
      </c>
      <c r="C2374" t="s">
        <v>738</v>
      </c>
      <c r="D2374">
        <v>3.0449999999999999</v>
      </c>
      <c r="E2374">
        <v>974</v>
      </c>
      <c r="F2374" t="str">
        <f>HYPERLINK("https://www.google.com/maps/search/?api=1&amp;query=25.11293994,46.10214085", "View Map")</f>
        <v>View Map</v>
      </c>
    </row>
    <row r="2375" spans="1:7" x14ac:dyDescent="0.3">
      <c r="A2375" t="s">
        <v>122</v>
      </c>
      <c r="B2375" t="s">
        <v>4133</v>
      </c>
      <c r="C2375" t="s">
        <v>137</v>
      </c>
      <c r="D2375">
        <v>3.0449999999999999</v>
      </c>
      <c r="E2375">
        <v>974</v>
      </c>
      <c r="F2375" t="str">
        <f>HYPERLINK("https://www.google.com/maps/search/?api=1&amp;query=22.99664573,46.0981717", "View Map")</f>
        <v>View Map</v>
      </c>
      <c r="G2375" s="2">
        <v>0.65654509298961838</v>
      </c>
    </row>
    <row r="2376" spans="1:7" x14ac:dyDescent="0.3">
      <c r="A2376" t="s">
        <v>2545</v>
      </c>
      <c r="B2376" t="s">
        <v>4134</v>
      </c>
      <c r="C2376" t="s">
        <v>8</v>
      </c>
      <c r="D2376">
        <v>3.044</v>
      </c>
      <c r="E2376">
        <v>974</v>
      </c>
      <c r="F2376" t="str">
        <f>HYPERLINK("https://www.google.com/maps/search/?api=1&amp;query=24.54777887,46.69217869", "View Map")</f>
        <v>View Map</v>
      </c>
      <c r="G2376" s="2">
        <v>0.36094660522118138</v>
      </c>
    </row>
    <row r="2377" spans="1:7" x14ac:dyDescent="0.3">
      <c r="A2377" t="s">
        <v>4135</v>
      </c>
      <c r="B2377" t="s">
        <v>4136</v>
      </c>
      <c r="C2377" t="s">
        <v>77</v>
      </c>
      <c r="D2377">
        <v>3.044</v>
      </c>
      <c r="E2377">
        <v>974</v>
      </c>
      <c r="F2377" t="str">
        <f>HYPERLINK("https://www.google.com/maps/search/?api=1&amp;query=21.98018917,45.9596398", "View Map")</f>
        <v>View Map</v>
      </c>
      <c r="G2377" s="2">
        <v>0.60521586250552584</v>
      </c>
    </row>
    <row r="2378" spans="1:7" x14ac:dyDescent="0.3">
      <c r="A2378" t="s">
        <v>4137</v>
      </c>
      <c r="B2378" t="s">
        <v>4138</v>
      </c>
      <c r="C2378" t="s">
        <v>16</v>
      </c>
      <c r="D2378">
        <v>3.036</v>
      </c>
      <c r="E2378">
        <v>972</v>
      </c>
      <c r="F2378" t="str">
        <f>HYPERLINK("https://www.google.com/maps/search/?api=1&amp;query=23.88965716,42.90253802", "View Map")</f>
        <v>View Map</v>
      </c>
      <c r="G2378" s="2">
        <v>0.59985033505117502</v>
      </c>
    </row>
    <row r="2379" spans="1:7" x14ac:dyDescent="0.3">
      <c r="A2379" t="s">
        <v>4139</v>
      </c>
      <c r="B2379" t="s">
        <v>4140</v>
      </c>
      <c r="C2379" t="s">
        <v>214</v>
      </c>
      <c r="D2379">
        <v>3.036</v>
      </c>
      <c r="E2379">
        <v>971</v>
      </c>
      <c r="F2379" t="str">
        <f>HYPERLINK("https://www.google.com/maps/search/?api=1&amp;query=26.86940434,45.2427869", "View Map")</f>
        <v>View Map</v>
      </c>
      <c r="G2379" s="2">
        <v>0.66006913613196938</v>
      </c>
    </row>
    <row r="2380" spans="1:7" x14ac:dyDescent="0.3">
      <c r="A2380" t="s">
        <v>46</v>
      </c>
      <c r="B2380" t="s">
        <v>4141</v>
      </c>
      <c r="C2380" t="s">
        <v>8</v>
      </c>
      <c r="D2380">
        <v>3.0350000000000001</v>
      </c>
      <c r="E2380">
        <v>971</v>
      </c>
      <c r="F2380" t="str">
        <f>HYPERLINK("https://www.google.com/maps/search/?api=1&amp;query=24.86500371,46.62250016", "View Map")</f>
        <v>View Map</v>
      </c>
    </row>
    <row r="2381" spans="1:7" x14ac:dyDescent="0.3">
      <c r="A2381" t="s">
        <v>4142</v>
      </c>
      <c r="B2381" t="s">
        <v>4143</v>
      </c>
      <c r="C2381" t="s">
        <v>55</v>
      </c>
      <c r="D2381">
        <v>3.0350000000000001</v>
      </c>
      <c r="E2381">
        <v>971</v>
      </c>
      <c r="F2381" t="str">
        <f>HYPERLINK("https://www.google.com/maps/search/?api=1&amp;query=24.74611713,46.52684451", "View Map")</f>
        <v>View Map</v>
      </c>
    </row>
    <row r="2382" spans="1:7" x14ac:dyDescent="0.3">
      <c r="A2382" t="s">
        <v>4144</v>
      </c>
      <c r="B2382" t="s">
        <v>4145</v>
      </c>
      <c r="C2382" t="s">
        <v>241</v>
      </c>
      <c r="D2382">
        <v>3.0339999999999998</v>
      </c>
      <c r="E2382">
        <v>971</v>
      </c>
      <c r="F2382" t="str">
        <f>HYPERLINK("https://www.google.com/maps/search/?api=1&amp;query=20.42278123,45.1332104", "View Map")</f>
        <v>View Map</v>
      </c>
      <c r="G2382" s="2">
        <v>0.82880230263557375</v>
      </c>
    </row>
    <row r="2383" spans="1:7" x14ac:dyDescent="0.3">
      <c r="A2383" t="s">
        <v>46</v>
      </c>
      <c r="B2383" t="s">
        <v>4146</v>
      </c>
      <c r="C2383" t="s">
        <v>8</v>
      </c>
      <c r="D2383">
        <v>3.0310000000000001</v>
      </c>
      <c r="E2383">
        <v>970</v>
      </c>
      <c r="F2383" t="str">
        <f>HYPERLINK("https://www.google.com/maps/search/?api=1&amp;query=24.67529007,46.79620197", "View Map")</f>
        <v>View Map</v>
      </c>
      <c r="G2383" s="2">
        <v>0.75376524989697691</v>
      </c>
    </row>
    <row r="2384" spans="1:7" x14ac:dyDescent="0.3">
      <c r="A2384" t="s">
        <v>46</v>
      </c>
      <c r="B2384" t="s">
        <v>4147</v>
      </c>
      <c r="C2384" t="s">
        <v>8</v>
      </c>
      <c r="D2384">
        <v>3.0310000000000001</v>
      </c>
      <c r="E2384">
        <v>970</v>
      </c>
      <c r="F2384" t="str">
        <f>HYPERLINK("https://www.google.com/maps/search/?api=1&amp;query=24.90174301,46.64012698", "View Map")</f>
        <v>View Map</v>
      </c>
    </row>
    <row r="2385" spans="1:7" x14ac:dyDescent="0.3">
      <c r="A2385" t="s">
        <v>4148</v>
      </c>
      <c r="B2385" t="s">
        <v>4149</v>
      </c>
      <c r="C2385" t="s">
        <v>8</v>
      </c>
      <c r="D2385">
        <v>3.0310000000000001</v>
      </c>
      <c r="E2385">
        <v>970</v>
      </c>
      <c r="F2385" t="str">
        <f>HYPERLINK("https://www.google.com/maps/search/?api=1&amp;query=24.5623057,46.76237964", "View Map")</f>
        <v>View Map</v>
      </c>
    </row>
    <row r="2386" spans="1:7" x14ac:dyDescent="0.3">
      <c r="A2386" t="s">
        <v>4150</v>
      </c>
      <c r="B2386" t="s">
        <v>4151</v>
      </c>
      <c r="C2386" t="s">
        <v>8</v>
      </c>
      <c r="D2386">
        <v>3.0310000000000001</v>
      </c>
      <c r="E2386">
        <v>970</v>
      </c>
      <c r="F2386" t="str">
        <f>HYPERLINK("https://www.google.com/maps/search/?api=1&amp;query=24.57717269,46.70086496", "View Map")</f>
        <v>View Map</v>
      </c>
    </row>
    <row r="2387" spans="1:7" x14ac:dyDescent="0.3">
      <c r="A2387" t="s">
        <v>1639</v>
      </c>
      <c r="B2387" t="s">
        <v>4152</v>
      </c>
      <c r="C2387" t="s">
        <v>8</v>
      </c>
      <c r="D2387">
        <v>3.03</v>
      </c>
      <c r="E2387">
        <v>970</v>
      </c>
      <c r="F2387" t="str">
        <f>HYPERLINK("https://www.google.com/maps/search/?api=1&amp;query=24.69104557,46.84474473", "View Map")</f>
        <v>View Map</v>
      </c>
    </row>
    <row r="2388" spans="1:7" x14ac:dyDescent="0.3">
      <c r="A2388" t="s">
        <v>4153</v>
      </c>
      <c r="B2388" t="s">
        <v>4154</v>
      </c>
      <c r="C2388" t="s">
        <v>255</v>
      </c>
      <c r="D2388">
        <v>3.0289999999999999</v>
      </c>
      <c r="E2388">
        <v>969</v>
      </c>
      <c r="F2388" t="str">
        <f>HYPERLINK("https://www.google.com/maps/search/?api=1&amp;query=25.07936054,44.61354989", "View Map")</f>
        <v>View Map</v>
      </c>
      <c r="G2388" s="2">
        <v>0.75142364166881903</v>
      </c>
    </row>
    <row r="2389" spans="1:7" x14ac:dyDescent="0.3">
      <c r="A2389" t="s">
        <v>4155</v>
      </c>
      <c r="B2389" t="s">
        <v>4156</v>
      </c>
      <c r="C2389" t="s">
        <v>8</v>
      </c>
      <c r="D2389">
        <v>3.0289999999999999</v>
      </c>
      <c r="E2389">
        <v>969</v>
      </c>
      <c r="F2389" t="str">
        <f>HYPERLINK("https://www.google.com/maps/search/?api=1&amp;query=24.60136043,46.65120151", "View Map")</f>
        <v>View Map</v>
      </c>
    </row>
    <row r="2390" spans="1:7" x14ac:dyDescent="0.3">
      <c r="A2390" t="s">
        <v>4157</v>
      </c>
      <c r="B2390" t="s">
        <v>4158</v>
      </c>
      <c r="C2390" t="s">
        <v>8</v>
      </c>
      <c r="D2390">
        <v>3.0289999999999999</v>
      </c>
      <c r="E2390">
        <v>969</v>
      </c>
      <c r="F2390" t="str">
        <f>HYPERLINK("https://www.google.com/maps/search/?api=1&amp;query=24.82716125,46.62098908", "View Map")</f>
        <v>View Map</v>
      </c>
    </row>
    <row r="2391" spans="1:7" x14ac:dyDescent="0.3">
      <c r="A2391" t="s">
        <v>4159</v>
      </c>
      <c r="B2391" t="s">
        <v>4160</v>
      </c>
      <c r="C2391" t="s">
        <v>8</v>
      </c>
      <c r="D2391">
        <v>3.028</v>
      </c>
      <c r="E2391">
        <v>969</v>
      </c>
      <c r="F2391" t="str">
        <f>HYPERLINK("https://www.google.com/maps/search/?api=1&amp;query=24.59101026,46.77835503", "View Map")</f>
        <v>View Map</v>
      </c>
    </row>
    <row r="2392" spans="1:7" x14ac:dyDescent="0.3">
      <c r="A2392" t="s">
        <v>4161</v>
      </c>
      <c r="B2392" t="s">
        <v>4162</v>
      </c>
      <c r="C2392" t="s">
        <v>255</v>
      </c>
      <c r="D2392">
        <v>3.0270000000000001</v>
      </c>
      <c r="E2392">
        <v>969</v>
      </c>
      <c r="F2392" t="str">
        <f>HYPERLINK("https://www.google.com/maps/search/?api=1&amp;query=25.17470718,44.60185859", "View Map")</f>
        <v>View Map</v>
      </c>
      <c r="G2392" s="2">
        <v>0.50716013098460333</v>
      </c>
    </row>
    <row r="2393" spans="1:7" x14ac:dyDescent="0.3">
      <c r="A2393" t="s">
        <v>4163</v>
      </c>
      <c r="B2393" t="s">
        <v>4164</v>
      </c>
      <c r="C2393" t="s">
        <v>8</v>
      </c>
      <c r="D2393">
        <v>3.0230000000000001</v>
      </c>
      <c r="E2393">
        <v>967</v>
      </c>
      <c r="F2393" t="str">
        <f>HYPERLINK("https://www.google.com/maps/search/?api=1&amp;query=24.74237798,46.77347398", "View Map")</f>
        <v>View Map</v>
      </c>
    </row>
    <row r="2394" spans="1:7" x14ac:dyDescent="0.3">
      <c r="A2394" t="s">
        <v>4165</v>
      </c>
      <c r="B2394" t="s">
        <v>4166</v>
      </c>
      <c r="C2394" t="s">
        <v>8</v>
      </c>
      <c r="D2394">
        <v>3.0230000000000001</v>
      </c>
      <c r="E2394">
        <v>967</v>
      </c>
      <c r="F2394" t="str">
        <f>HYPERLINK("https://www.google.com/maps/search/?api=1&amp;query=24.69888548,46.81699186", "View Map")</f>
        <v>View Map</v>
      </c>
    </row>
    <row r="2395" spans="1:7" x14ac:dyDescent="0.3">
      <c r="A2395" t="s">
        <v>4167</v>
      </c>
      <c r="B2395" t="s">
        <v>4168</v>
      </c>
      <c r="C2395" t="s">
        <v>8</v>
      </c>
      <c r="D2395">
        <v>3.0219999999999998</v>
      </c>
      <c r="E2395">
        <v>967</v>
      </c>
      <c r="F2395" t="str">
        <f>HYPERLINK("https://www.google.com/maps/search/?api=1&amp;query=24.58316662,46.55490265", "View Map")</f>
        <v>View Map</v>
      </c>
      <c r="G2395" s="2">
        <v>0.37724521001060979</v>
      </c>
    </row>
    <row r="2396" spans="1:7" x14ac:dyDescent="0.3">
      <c r="A2396" t="s">
        <v>4169</v>
      </c>
      <c r="B2396" t="s">
        <v>4170</v>
      </c>
      <c r="C2396" t="s">
        <v>8</v>
      </c>
      <c r="D2396">
        <v>3.02</v>
      </c>
      <c r="E2396">
        <v>966</v>
      </c>
      <c r="F2396" t="str">
        <f>HYPERLINK("https://www.google.com/maps/search/?api=1&amp;query=24.77233472,46.76407745", "View Map")</f>
        <v>View Map</v>
      </c>
    </row>
    <row r="2397" spans="1:7" x14ac:dyDescent="0.3">
      <c r="A2397" t="s">
        <v>4171</v>
      </c>
      <c r="B2397" t="s">
        <v>4172</v>
      </c>
      <c r="C2397" t="s">
        <v>137</v>
      </c>
      <c r="D2397">
        <v>3.0190000000000001</v>
      </c>
      <c r="E2397">
        <v>966</v>
      </c>
      <c r="F2397" t="str">
        <f>HYPERLINK("https://www.google.com/maps/search/?api=1&amp;query=23.49176337,46.86072997", "View Map")</f>
        <v>View Map</v>
      </c>
      <c r="G2397" s="2">
        <v>0.61629592789838961</v>
      </c>
    </row>
    <row r="2398" spans="1:7" x14ac:dyDescent="0.3">
      <c r="A2398" t="s">
        <v>1349</v>
      </c>
      <c r="B2398" t="s">
        <v>4173</v>
      </c>
      <c r="C2398" t="s">
        <v>270</v>
      </c>
      <c r="D2398">
        <v>3.0190000000000001</v>
      </c>
      <c r="E2398">
        <v>966</v>
      </c>
      <c r="F2398" t="str">
        <f>HYPERLINK("https://www.google.com/maps/search/?api=1&amp;query=23.96111,47.17606", "View Map")</f>
        <v>View Map</v>
      </c>
      <c r="G2398" s="2">
        <v>0.43267320485491201</v>
      </c>
    </row>
    <row r="2399" spans="1:7" x14ac:dyDescent="0.3">
      <c r="A2399" t="s">
        <v>4174</v>
      </c>
      <c r="B2399" t="s">
        <v>4175</v>
      </c>
      <c r="C2399" t="s">
        <v>8</v>
      </c>
      <c r="D2399">
        <v>3.0190000000000001</v>
      </c>
      <c r="E2399">
        <v>966</v>
      </c>
      <c r="F2399" t="str">
        <f>HYPERLINK("https://www.google.com/maps/search/?api=1&amp;query=24.69361629,46.77754291", "View Map")</f>
        <v>View Map</v>
      </c>
    </row>
    <row r="2400" spans="1:7" x14ac:dyDescent="0.3">
      <c r="A2400" t="s">
        <v>4176</v>
      </c>
      <c r="B2400" t="s">
        <v>4177</v>
      </c>
      <c r="C2400" t="s">
        <v>8</v>
      </c>
      <c r="D2400">
        <v>3.016</v>
      </c>
      <c r="E2400">
        <v>965</v>
      </c>
      <c r="F2400" t="str">
        <f>HYPERLINK("https://www.google.com/maps/search/?api=1&amp;query=24.59767698,46.58657051", "View Map")</f>
        <v>View Map</v>
      </c>
    </row>
    <row r="2401" spans="1:7" x14ac:dyDescent="0.3">
      <c r="A2401" t="s">
        <v>4178</v>
      </c>
      <c r="B2401" t="s">
        <v>4179</v>
      </c>
      <c r="C2401" t="s">
        <v>8</v>
      </c>
      <c r="D2401">
        <v>3.0150000000000001</v>
      </c>
      <c r="E2401">
        <v>965</v>
      </c>
      <c r="F2401" t="str">
        <f>HYPERLINK("https://www.google.com/maps/search/?api=1&amp;query=24.7702475,46.70547109", "View Map")</f>
        <v>View Map</v>
      </c>
    </row>
    <row r="2402" spans="1:7" x14ac:dyDescent="0.3">
      <c r="A2402" t="s">
        <v>4180</v>
      </c>
      <c r="B2402" t="s">
        <v>4181</v>
      </c>
      <c r="C2402" t="s">
        <v>8</v>
      </c>
      <c r="D2402">
        <v>3.0139999999999998</v>
      </c>
      <c r="E2402">
        <v>964</v>
      </c>
      <c r="F2402" t="str">
        <f>HYPERLINK("https://www.google.com/maps/search/?api=1&amp;query=24.62079175,46.68137504", "View Map")</f>
        <v>View Map</v>
      </c>
      <c r="G2402" s="2">
        <v>0.39767295863641439</v>
      </c>
    </row>
    <row r="2403" spans="1:7" x14ac:dyDescent="0.3">
      <c r="A2403" t="s">
        <v>362</v>
      </c>
      <c r="B2403" t="s">
        <v>4182</v>
      </c>
      <c r="C2403" t="s">
        <v>364</v>
      </c>
      <c r="D2403">
        <v>3.0110000000000001</v>
      </c>
      <c r="E2403">
        <v>963</v>
      </c>
      <c r="F2403" t="str">
        <f>HYPERLINK("https://www.google.com/maps/search/?api=1&amp;query=25.29338235,45.79031611", "View Map")</f>
        <v>View Map</v>
      </c>
      <c r="G2403" s="2">
        <v>0.65118537564417123</v>
      </c>
    </row>
    <row r="2404" spans="1:7" x14ac:dyDescent="0.3">
      <c r="A2404" t="s">
        <v>464</v>
      </c>
      <c r="B2404" t="s">
        <v>4183</v>
      </c>
      <c r="C2404" t="s">
        <v>466</v>
      </c>
      <c r="D2404">
        <v>3.0110000000000001</v>
      </c>
      <c r="E2404">
        <v>964</v>
      </c>
      <c r="F2404" t="str">
        <f>HYPERLINK("https://www.google.com/maps/search/?api=1&amp;query=24.61471721,46.10193564", "View Map")</f>
        <v>View Map</v>
      </c>
      <c r="G2404" s="2">
        <v>0.62881764600682966</v>
      </c>
    </row>
    <row r="2405" spans="1:7" x14ac:dyDescent="0.3">
      <c r="A2405" t="s">
        <v>46</v>
      </c>
      <c r="B2405" t="s">
        <v>4184</v>
      </c>
      <c r="C2405" t="s">
        <v>8</v>
      </c>
      <c r="D2405">
        <v>3.01</v>
      </c>
      <c r="E2405">
        <v>963</v>
      </c>
      <c r="F2405" t="str">
        <f>HYPERLINK("https://www.google.com/maps/search/?api=1&amp;query=24.93034518,46.78340554", "View Map")</f>
        <v>View Map</v>
      </c>
    </row>
    <row r="2406" spans="1:7" x14ac:dyDescent="0.3">
      <c r="A2406" t="s">
        <v>3685</v>
      </c>
      <c r="B2406" t="s">
        <v>4185</v>
      </c>
      <c r="C2406" t="s">
        <v>8</v>
      </c>
      <c r="D2406">
        <v>3.0089999999999999</v>
      </c>
      <c r="E2406">
        <v>963</v>
      </c>
      <c r="F2406" t="str">
        <f>HYPERLINK("https://www.google.com/maps/search/?api=1&amp;query=24.58654999,46.68974177", "View Map")</f>
        <v>View Map</v>
      </c>
      <c r="G2406" s="2">
        <v>0.59912404253718987</v>
      </c>
    </row>
    <row r="2407" spans="1:7" x14ac:dyDescent="0.3">
      <c r="A2407" t="s">
        <v>4186</v>
      </c>
      <c r="B2407" t="s">
        <v>4187</v>
      </c>
      <c r="C2407" t="s">
        <v>21</v>
      </c>
      <c r="D2407">
        <v>3.0089999999999999</v>
      </c>
      <c r="E2407">
        <v>963</v>
      </c>
      <c r="F2407" t="str">
        <f>HYPERLINK("https://www.google.com/maps/search/?api=1&amp;query=26.30360038,44.81267354", "View Map")</f>
        <v>View Map</v>
      </c>
      <c r="G2407" s="2">
        <v>0.53465615787672094</v>
      </c>
    </row>
    <row r="2408" spans="1:7" x14ac:dyDescent="0.3">
      <c r="A2408" t="s">
        <v>3164</v>
      </c>
      <c r="B2408" t="s">
        <v>4188</v>
      </c>
      <c r="C2408" t="s">
        <v>255</v>
      </c>
      <c r="D2408">
        <v>3.008</v>
      </c>
      <c r="E2408">
        <v>963</v>
      </c>
      <c r="F2408" t="str">
        <f>HYPERLINK("https://www.google.com/maps/search/?api=1&amp;query=25.09854744,43.80529854", "View Map")</f>
        <v>View Map</v>
      </c>
      <c r="G2408" s="2">
        <v>0.65723903480930834</v>
      </c>
    </row>
    <row r="2409" spans="1:7" x14ac:dyDescent="0.3">
      <c r="A2409" t="s">
        <v>4189</v>
      </c>
      <c r="B2409" t="s">
        <v>4190</v>
      </c>
      <c r="C2409" t="s">
        <v>291</v>
      </c>
      <c r="D2409">
        <v>3.0059999999999998</v>
      </c>
      <c r="E2409">
        <v>962</v>
      </c>
      <c r="F2409" t="str">
        <f>HYPERLINK("https://www.google.com/maps/search/?api=1&amp;query=24.08545776,45.29278503", "View Map")</f>
        <v>View Map</v>
      </c>
      <c r="G2409" s="2">
        <v>0.60385115727948846</v>
      </c>
    </row>
    <row r="2410" spans="1:7" x14ac:dyDescent="0.3">
      <c r="A2410" t="s">
        <v>4191</v>
      </c>
      <c r="B2410" t="s">
        <v>4192</v>
      </c>
      <c r="C2410" t="s">
        <v>8</v>
      </c>
      <c r="D2410">
        <v>3.0059999999999998</v>
      </c>
      <c r="E2410">
        <v>962</v>
      </c>
      <c r="F2410" t="str">
        <f>HYPERLINK("https://www.google.com/maps/search/?api=1&amp;query=24.63504009,46.71130222", "View Map")</f>
        <v>View Map</v>
      </c>
      <c r="G2410" s="2">
        <v>0.53127433592079465</v>
      </c>
    </row>
    <row r="2411" spans="1:7" x14ac:dyDescent="0.3">
      <c r="A2411" t="s">
        <v>46</v>
      </c>
      <c r="B2411" t="s">
        <v>4193</v>
      </c>
      <c r="C2411" t="s">
        <v>8</v>
      </c>
      <c r="D2411">
        <v>3.0049999999999999</v>
      </c>
      <c r="E2411">
        <v>961</v>
      </c>
      <c r="F2411" t="str">
        <f>HYPERLINK("https://www.google.com/maps/search/?api=1&amp;query=24.78160745,46.68907762", "View Map")</f>
        <v>View Map</v>
      </c>
    </row>
    <row r="2412" spans="1:7" x14ac:dyDescent="0.3">
      <c r="A2412" t="s">
        <v>46</v>
      </c>
      <c r="B2412" t="s">
        <v>4194</v>
      </c>
      <c r="C2412" t="s">
        <v>8</v>
      </c>
      <c r="D2412">
        <v>3.004</v>
      </c>
      <c r="E2412">
        <v>961</v>
      </c>
      <c r="F2412" t="str">
        <f>HYPERLINK("https://www.google.com/maps/search/?api=1&amp;query=24.58815505,46.78042521", "View Map")</f>
        <v>View Map</v>
      </c>
    </row>
    <row r="2413" spans="1:7" x14ac:dyDescent="0.3">
      <c r="A2413" t="s">
        <v>4195</v>
      </c>
      <c r="B2413" t="s">
        <v>4196</v>
      </c>
      <c r="C2413" t="s">
        <v>291</v>
      </c>
      <c r="D2413">
        <v>3.004</v>
      </c>
      <c r="E2413">
        <v>961</v>
      </c>
      <c r="F2413" t="str">
        <f>HYPERLINK("https://www.google.com/maps/search/?api=1&amp;query=23.88058381,44.40641819", "View Map")</f>
        <v>View Map</v>
      </c>
      <c r="G2413" s="2">
        <v>0.61427647810769825</v>
      </c>
    </row>
    <row r="2414" spans="1:7" x14ac:dyDescent="0.3">
      <c r="A2414" t="s">
        <v>73</v>
      </c>
      <c r="B2414" t="s">
        <v>4197</v>
      </c>
      <c r="C2414" t="s">
        <v>8</v>
      </c>
      <c r="D2414">
        <v>3.0030000000000001</v>
      </c>
      <c r="E2414">
        <v>961</v>
      </c>
      <c r="F2414" t="str">
        <f>HYPERLINK("https://www.google.com/maps/search/?api=1&amp;query=24.68259062,46.66727132", "View Map")</f>
        <v>View Map</v>
      </c>
    </row>
    <row r="2415" spans="1:7" x14ac:dyDescent="0.3">
      <c r="A2415" t="s">
        <v>4198</v>
      </c>
      <c r="B2415" t="s">
        <v>4199</v>
      </c>
      <c r="C2415" t="s">
        <v>241</v>
      </c>
      <c r="D2415">
        <v>3.0019999999999998</v>
      </c>
      <c r="E2415">
        <v>961</v>
      </c>
      <c r="F2415" t="str">
        <f>HYPERLINK("https://www.google.com/maps/search/?api=1&amp;query=20.45249567,44.85268451", "View Map")</f>
        <v>View Map</v>
      </c>
    </row>
    <row r="2416" spans="1:7" x14ac:dyDescent="0.3">
      <c r="A2416" t="s">
        <v>2326</v>
      </c>
      <c r="B2416" t="s">
        <v>4200</v>
      </c>
      <c r="C2416" t="s">
        <v>8</v>
      </c>
      <c r="D2416">
        <v>3.0019999999999998</v>
      </c>
      <c r="E2416">
        <v>961</v>
      </c>
      <c r="F2416" t="str">
        <f>HYPERLINK("https://www.google.com/maps/search/?api=1&amp;query=24.6457,46.66099", "View Map")</f>
        <v>View Map</v>
      </c>
    </row>
    <row r="2417" spans="1:7" x14ac:dyDescent="0.3">
      <c r="A2417" t="s">
        <v>3735</v>
      </c>
      <c r="B2417" t="s">
        <v>4201</v>
      </c>
      <c r="C2417" t="s">
        <v>255</v>
      </c>
      <c r="D2417">
        <v>2.9980000000000002</v>
      </c>
      <c r="E2417">
        <v>959</v>
      </c>
      <c r="F2417" t="str">
        <f>HYPERLINK("https://www.google.com/maps/search/?api=1&amp;query=25.20932453,44.59794706", "View Map")</f>
        <v>View Map</v>
      </c>
      <c r="G2417" s="2">
        <v>0.47657240725566069</v>
      </c>
    </row>
    <row r="2418" spans="1:7" x14ac:dyDescent="0.3">
      <c r="A2418" t="s">
        <v>4202</v>
      </c>
      <c r="B2418" t="s">
        <v>4203</v>
      </c>
      <c r="C2418" t="s">
        <v>8</v>
      </c>
      <c r="D2418">
        <v>2.996</v>
      </c>
      <c r="E2418">
        <v>959</v>
      </c>
      <c r="F2418" t="str">
        <f>HYPERLINK("https://www.google.com/maps/search/?api=1&amp;query=24.73570389,46.6666034", "View Map")</f>
        <v>View Map</v>
      </c>
    </row>
    <row r="2419" spans="1:7" x14ac:dyDescent="0.3">
      <c r="A2419" t="s">
        <v>4204</v>
      </c>
      <c r="B2419" t="s">
        <v>4205</v>
      </c>
      <c r="C2419" t="s">
        <v>241</v>
      </c>
      <c r="D2419">
        <v>2.9950000000000001</v>
      </c>
      <c r="E2419">
        <v>958</v>
      </c>
      <c r="F2419" t="str">
        <f>HYPERLINK("https://www.google.com/maps/search/?api=1&amp;query=20.46881368,44.77928984", "View Map")</f>
        <v>View Map</v>
      </c>
    </row>
    <row r="2420" spans="1:7" x14ac:dyDescent="0.3">
      <c r="A2420" t="s">
        <v>4206</v>
      </c>
      <c r="B2420" t="s">
        <v>4207</v>
      </c>
      <c r="C2420" t="s">
        <v>255</v>
      </c>
      <c r="D2420">
        <v>2.9929999999999999</v>
      </c>
      <c r="E2420">
        <v>958</v>
      </c>
      <c r="F2420" t="str">
        <f>HYPERLINK("https://www.google.com/maps/search/?api=1&amp;query=24.80243336,43.54085558", "View Map")</f>
        <v>View Map</v>
      </c>
      <c r="G2420" s="2">
        <v>0.5008466856892011</v>
      </c>
    </row>
    <row r="2421" spans="1:7" x14ac:dyDescent="0.3">
      <c r="A2421" t="s">
        <v>4208</v>
      </c>
      <c r="B2421" t="s">
        <v>4209</v>
      </c>
      <c r="C2421" t="s">
        <v>8</v>
      </c>
      <c r="D2421">
        <v>2.992</v>
      </c>
      <c r="E2421">
        <v>957</v>
      </c>
      <c r="F2421" t="str">
        <f>HYPERLINK("https://www.google.com/maps/search/?api=1&amp;query=24.62794486,46.75450609", "View Map")</f>
        <v>View Map</v>
      </c>
      <c r="G2421" s="2">
        <v>0.47577907005724218</v>
      </c>
    </row>
    <row r="2422" spans="1:7" x14ac:dyDescent="0.3">
      <c r="A2422" t="s">
        <v>4210</v>
      </c>
      <c r="B2422" t="s">
        <v>4211</v>
      </c>
      <c r="C2422" t="s">
        <v>30</v>
      </c>
      <c r="D2422">
        <v>2.9910000000000001</v>
      </c>
      <c r="E2422">
        <v>957</v>
      </c>
      <c r="F2422" t="str">
        <f>HYPERLINK("https://www.google.com/maps/search/?api=1&amp;query=24.10045,47.29874", "View Map")</f>
        <v>View Map</v>
      </c>
      <c r="G2422" s="2">
        <v>0.52322788562808697</v>
      </c>
    </row>
    <row r="2423" spans="1:7" x14ac:dyDescent="0.3">
      <c r="A2423" t="s">
        <v>4212</v>
      </c>
      <c r="B2423" t="s">
        <v>4213</v>
      </c>
      <c r="C2423" t="s">
        <v>8</v>
      </c>
      <c r="D2423">
        <v>2.9910000000000001</v>
      </c>
      <c r="E2423">
        <v>957</v>
      </c>
      <c r="F2423" t="str">
        <f>HYPERLINK("https://www.google.com/maps/search/?api=1&amp;query=24.55741485,46.69213812", "View Map")</f>
        <v>View Map</v>
      </c>
    </row>
    <row r="2424" spans="1:7" x14ac:dyDescent="0.3">
      <c r="A2424" t="s">
        <v>4214</v>
      </c>
      <c r="B2424" t="s">
        <v>4215</v>
      </c>
      <c r="C2424" t="s">
        <v>1112</v>
      </c>
      <c r="D2424">
        <v>2.9910000000000001</v>
      </c>
      <c r="E2424">
        <v>957</v>
      </c>
      <c r="F2424" t="str">
        <f>HYPERLINK("https://www.google.com/maps/search/?api=1&amp;query=26.02570527,44.95580212", "View Map")</f>
        <v>View Map</v>
      </c>
      <c r="G2424" s="2">
        <v>0.60162111063565704</v>
      </c>
    </row>
    <row r="2425" spans="1:7" x14ac:dyDescent="0.3">
      <c r="A2425" t="s">
        <v>4216</v>
      </c>
      <c r="B2425" t="s">
        <v>4217</v>
      </c>
      <c r="C2425" t="s">
        <v>8</v>
      </c>
      <c r="D2425">
        <v>2.99</v>
      </c>
      <c r="E2425">
        <v>957</v>
      </c>
      <c r="F2425" t="str">
        <f>HYPERLINK("https://www.google.com/maps/search/?api=1&amp;query=24.73711757,46.84425704", "View Map")</f>
        <v>View Map</v>
      </c>
    </row>
    <row r="2426" spans="1:7" x14ac:dyDescent="0.3">
      <c r="A2426" t="s">
        <v>4218</v>
      </c>
      <c r="B2426" t="s">
        <v>4219</v>
      </c>
      <c r="C2426" t="s">
        <v>30</v>
      </c>
      <c r="D2426">
        <v>2.99</v>
      </c>
      <c r="E2426">
        <v>957</v>
      </c>
      <c r="F2426" t="str">
        <f>HYPERLINK("https://www.google.com/maps/search/?api=1&amp;query=24.2074,47.25553", "View Map")</f>
        <v>View Map</v>
      </c>
      <c r="G2426" s="2">
        <v>0.44385074222744902</v>
      </c>
    </row>
    <row r="2427" spans="1:7" x14ac:dyDescent="0.3">
      <c r="A2427" t="s">
        <v>4220</v>
      </c>
      <c r="B2427" t="s">
        <v>4221</v>
      </c>
      <c r="C2427" t="s">
        <v>214</v>
      </c>
      <c r="D2427">
        <v>2.99</v>
      </c>
      <c r="E2427">
        <v>957</v>
      </c>
      <c r="F2427" t="str">
        <f>HYPERLINK("https://www.google.com/maps/search/?api=1&amp;query=25.72948213,45.86614814", "View Map")</f>
        <v>View Map</v>
      </c>
      <c r="G2427" s="2">
        <v>0.81093808087634789</v>
      </c>
    </row>
    <row r="2428" spans="1:7" x14ac:dyDescent="0.3">
      <c r="A2428" t="s">
        <v>4222</v>
      </c>
      <c r="B2428" t="s">
        <v>4223</v>
      </c>
      <c r="C2428" t="s">
        <v>8</v>
      </c>
      <c r="D2428">
        <v>2.99</v>
      </c>
      <c r="E2428">
        <v>957</v>
      </c>
      <c r="F2428" t="str">
        <f>HYPERLINK("https://www.google.com/maps/search/?api=1&amp;query=24.57216899,46.66021177", "View Map")</f>
        <v>View Map</v>
      </c>
    </row>
    <row r="2429" spans="1:7" x14ac:dyDescent="0.3">
      <c r="A2429" t="s">
        <v>881</v>
      </c>
      <c r="B2429" t="s">
        <v>4224</v>
      </c>
      <c r="C2429" t="s">
        <v>883</v>
      </c>
      <c r="D2429">
        <v>2.9889999999999999</v>
      </c>
      <c r="E2429">
        <v>956</v>
      </c>
      <c r="F2429" t="str">
        <f>HYPERLINK("https://www.google.com/maps/search/?api=1&amp;query=25.54985068,47.16127394", "View Map")</f>
        <v>View Map</v>
      </c>
      <c r="G2429" s="2">
        <v>0.83115000566515429</v>
      </c>
    </row>
    <row r="2430" spans="1:7" x14ac:dyDescent="0.3">
      <c r="A2430" t="s">
        <v>4225</v>
      </c>
      <c r="B2430" t="s">
        <v>4226</v>
      </c>
      <c r="C2430" t="s">
        <v>77</v>
      </c>
      <c r="D2430">
        <v>2.9889999999999999</v>
      </c>
      <c r="E2430">
        <v>956</v>
      </c>
      <c r="F2430" t="str">
        <f>HYPERLINK("https://www.google.com/maps/search/?api=1&amp;query=22.29153773,46.77608533", "View Map")</f>
        <v>View Map</v>
      </c>
      <c r="G2430" s="2">
        <v>0.65026157024141329</v>
      </c>
    </row>
    <row r="2431" spans="1:7" x14ac:dyDescent="0.3">
      <c r="A2431" t="s">
        <v>4227</v>
      </c>
      <c r="B2431" t="s">
        <v>4228</v>
      </c>
      <c r="C2431" t="s">
        <v>255</v>
      </c>
      <c r="D2431">
        <v>2.9889999999999999</v>
      </c>
      <c r="E2431">
        <v>957</v>
      </c>
      <c r="F2431" t="str">
        <f>HYPERLINK("https://www.google.com/maps/search/?api=1&amp;query=25.01220989,43.83563369", "View Map")</f>
        <v>View Map</v>
      </c>
      <c r="G2431" s="2">
        <v>0.58131427906472344</v>
      </c>
    </row>
    <row r="2432" spans="1:7" x14ac:dyDescent="0.3">
      <c r="A2432" t="s">
        <v>4229</v>
      </c>
      <c r="B2432" t="s">
        <v>4230</v>
      </c>
      <c r="C2432" t="s">
        <v>255</v>
      </c>
      <c r="D2432">
        <v>2.988</v>
      </c>
      <c r="E2432">
        <v>956</v>
      </c>
      <c r="F2432" t="str">
        <f>HYPERLINK("https://www.google.com/maps/search/?api=1&amp;query=25.20237146,44.61029181", "View Map")</f>
        <v>View Map</v>
      </c>
      <c r="G2432" s="2">
        <v>0.62335503248870527</v>
      </c>
    </row>
    <row r="2433" spans="1:7" x14ac:dyDescent="0.3">
      <c r="A2433" t="s">
        <v>1273</v>
      </c>
      <c r="B2433" t="s">
        <v>4231</v>
      </c>
      <c r="C2433" t="s">
        <v>241</v>
      </c>
      <c r="D2433">
        <v>2.9849999999999999</v>
      </c>
      <c r="E2433">
        <v>955</v>
      </c>
      <c r="F2433" t="str">
        <f>HYPERLINK("https://www.google.com/maps/search/?api=1&amp;query=20.45801339,44.86060672", "View Map")</f>
        <v>View Map</v>
      </c>
      <c r="G2433" s="2">
        <v>0.63183637846784713</v>
      </c>
    </row>
    <row r="2434" spans="1:7" x14ac:dyDescent="0.3">
      <c r="A2434" t="s">
        <v>4232</v>
      </c>
      <c r="B2434" t="s">
        <v>4233</v>
      </c>
      <c r="C2434" t="s">
        <v>241</v>
      </c>
      <c r="D2434">
        <v>2.9849999999999999</v>
      </c>
      <c r="E2434">
        <v>955</v>
      </c>
      <c r="F2434" t="str">
        <f>HYPERLINK("https://www.google.com/maps/search/?api=1&amp;query=20.45618222,44.82905881", "View Map")</f>
        <v>View Map</v>
      </c>
      <c r="G2434" s="2">
        <v>0.50559487799163361</v>
      </c>
    </row>
    <row r="2435" spans="1:7" x14ac:dyDescent="0.3">
      <c r="A2435" t="s">
        <v>4234</v>
      </c>
      <c r="B2435" t="s">
        <v>4235</v>
      </c>
      <c r="C2435" t="s">
        <v>8</v>
      </c>
      <c r="D2435">
        <v>2.984</v>
      </c>
      <c r="E2435">
        <v>955</v>
      </c>
      <c r="F2435" t="str">
        <f>HYPERLINK("https://www.google.com/maps/search/?api=1&amp;query=24.81695611,46.78756522", "View Map")</f>
        <v>View Map</v>
      </c>
      <c r="G2435" s="2">
        <v>0.36331316096732869</v>
      </c>
    </row>
    <row r="2436" spans="1:7" x14ac:dyDescent="0.3">
      <c r="A2436" t="s">
        <v>4236</v>
      </c>
      <c r="B2436" t="s">
        <v>4237</v>
      </c>
      <c r="C2436" t="s">
        <v>8</v>
      </c>
      <c r="D2436">
        <v>2.984</v>
      </c>
      <c r="E2436">
        <v>955</v>
      </c>
      <c r="F2436" t="str">
        <f>HYPERLINK("https://www.google.com/maps/search/?api=1&amp;query=24.78442,46.6849", "View Map")</f>
        <v>View Map</v>
      </c>
    </row>
    <row r="2437" spans="1:7" x14ac:dyDescent="0.3">
      <c r="A2437" t="s">
        <v>4238</v>
      </c>
      <c r="B2437" t="s">
        <v>4239</v>
      </c>
      <c r="C2437" t="s">
        <v>291</v>
      </c>
      <c r="D2437">
        <v>2.9830000000000001</v>
      </c>
      <c r="E2437">
        <v>955</v>
      </c>
      <c r="F2437" t="str">
        <f>HYPERLINK("https://www.google.com/maps/search/?api=1&amp;query=24.33869322,45.78556696", "View Map")</f>
        <v>View Map</v>
      </c>
      <c r="G2437" s="2">
        <v>0.88258482644749137</v>
      </c>
    </row>
    <row r="2438" spans="1:7" x14ac:dyDescent="0.3">
      <c r="A2438" t="s">
        <v>2781</v>
      </c>
      <c r="B2438" t="s">
        <v>4240</v>
      </c>
      <c r="C2438" t="s">
        <v>8</v>
      </c>
      <c r="D2438">
        <v>2.9820000000000002</v>
      </c>
      <c r="E2438">
        <v>954</v>
      </c>
      <c r="F2438" t="str">
        <f>HYPERLINK("https://www.google.com/maps/search/?api=1&amp;query=24.70415088,46.78257565", "View Map")</f>
        <v>View Map</v>
      </c>
    </row>
    <row r="2439" spans="1:7" x14ac:dyDescent="0.3">
      <c r="A2439" t="s">
        <v>73</v>
      </c>
      <c r="B2439" t="s">
        <v>4241</v>
      </c>
      <c r="C2439" t="s">
        <v>8</v>
      </c>
      <c r="D2439">
        <v>2.9780000000000002</v>
      </c>
      <c r="E2439">
        <v>953</v>
      </c>
      <c r="F2439" t="str">
        <f>HYPERLINK("https://www.google.com/maps/search/?api=1&amp;query=24.8443878,46.66892788", "View Map")</f>
        <v>View Map</v>
      </c>
    </row>
    <row r="2440" spans="1:7" x14ac:dyDescent="0.3">
      <c r="A2440" t="s">
        <v>4242</v>
      </c>
      <c r="B2440" t="s">
        <v>4243</v>
      </c>
      <c r="C2440" t="s">
        <v>8</v>
      </c>
      <c r="D2440">
        <v>2.9780000000000002</v>
      </c>
      <c r="E2440">
        <v>953</v>
      </c>
      <c r="F2440" t="str">
        <f>HYPERLINK("https://www.google.com/maps/search/?api=1&amp;query=24.60056404,46.75534812", "View Map")</f>
        <v>View Map</v>
      </c>
    </row>
    <row r="2441" spans="1:7" x14ac:dyDescent="0.3">
      <c r="A2441" t="s">
        <v>4244</v>
      </c>
      <c r="B2441" t="s">
        <v>4245</v>
      </c>
      <c r="C2441" t="s">
        <v>364</v>
      </c>
      <c r="D2441">
        <v>2.9780000000000002</v>
      </c>
      <c r="E2441">
        <v>953</v>
      </c>
      <c r="F2441" t="str">
        <f>HYPERLINK("https://www.google.com/maps/search/?api=1&amp;query=25.27649333,45.86269631", "View Map")</f>
        <v>View Map</v>
      </c>
      <c r="G2441" s="2">
        <v>0.55759610791641645</v>
      </c>
    </row>
    <row r="2442" spans="1:7" x14ac:dyDescent="0.3">
      <c r="A2442" t="s">
        <v>4246</v>
      </c>
      <c r="B2442" t="s">
        <v>4247</v>
      </c>
      <c r="C2442" t="s">
        <v>255</v>
      </c>
      <c r="D2442">
        <v>2.976</v>
      </c>
      <c r="E2442">
        <v>952</v>
      </c>
      <c r="F2442" t="str">
        <f>HYPERLINK("https://www.google.com/maps/search/?api=1&amp;query=24.29126221,43.68498399", "View Map")</f>
        <v>View Map</v>
      </c>
      <c r="G2442" s="2">
        <v>0.48740130453344971</v>
      </c>
    </row>
    <row r="2443" spans="1:7" x14ac:dyDescent="0.3">
      <c r="A2443" t="s">
        <v>4248</v>
      </c>
      <c r="B2443" t="s">
        <v>4249</v>
      </c>
      <c r="C2443" t="s">
        <v>8</v>
      </c>
      <c r="D2443">
        <v>2.9750000000000001</v>
      </c>
      <c r="E2443">
        <v>952</v>
      </c>
      <c r="F2443" t="str">
        <f>HYPERLINK("https://www.google.com/maps/search/?api=1&amp;query=24.79818718,46.6509949", "View Map")</f>
        <v>View Map</v>
      </c>
    </row>
    <row r="2444" spans="1:7" x14ac:dyDescent="0.3">
      <c r="A2444" t="s">
        <v>881</v>
      </c>
      <c r="B2444" t="s">
        <v>4250</v>
      </c>
      <c r="C2444" t="s">
        <v>883</v>
      </c>
      <c r="D2444">
        <v>2.9710000000000001</v>
      </c>
      <c r="E2444">
        <v>951</v>
      </c>
      <c r="F2444" t="str">
        <f>HYPERLINK("https://www.google.com/maps/search/?api=1&amp;query=25.55042611,47.16719384", "View Map")</f>
        <v>View Map</v>
      </c>
      <c r="G2444" s="2">
        <v>0.41491664801646277</v>
      </c>
    </row>
    <row r="2445" spans="1:7" x14ac:dyDescent="0.3">
      <c r="A2445" t="s">
        <v>479</v>
      </c>
      <c r="B2445" t="s">
        <v>4251</v>
      </c>
      <c r="C2445" t="s">
        <v>738</v>
      </c>
      <c r="D2445">
        <v>2.9710000000000001</v>
      </c>
      <c r="E2445">
        <v>951</v>
      </c>
      <c r="F2445" t="str">
        <f>HYPERLINK("https://www.google.com/maps/search/?api=1&amp;query=25.08864854,46.26075928", "View Map")</f>
        <v>View Map</v>
      </c>
      <c r="G2445" s="2">
        <v>0.31763401659021212</v>
      </c>
    </row>
    <row r="2446" spans="1:7" x14ac:dyDescent="0.3">
      <c r="A2446" t="s">
        <v>242</v>
      </c>
      <c r="B2446" t="s">
        <v>4252</v>
      </c>
      <c r="C2446" t="s">
        <v>8</v>
      </c>
      <c r="D2446">
        <v>2.97</v>
      </c>
      <c r="E2446">
        <v>950</v>
      </c>
      <c r="F2446" t="str">
        <f>HYPERLINK("https://www.google.com/maps/search/?api=1&amp;query=24.77706843,46.78446967", "View Map")</f>
        <v>View Map</v>
      </c>
    </row>
    <row r="2447" spans="1:7" x14ac:dyDescent="0.3">
      <c r="A2447" t="s">
        <v>4253</v>
      </c>
      <c r="B2447" t="s">
        <v>4254</v>
      </c>
      <c r="C2447" t="s">
        <v>364</v>
      </c>
      <c r="D2447">
        <v>2.97</v>
      </c>
      <c r="E2447">
        <v>950</v>
      </c>
      <c r="F2447" t="str">
        <f>HYPERLINK("https://www.google.com/maps/search/?api=1&amp;query=25.28071726,45.86699026", "View Map")</f>
        <v>View Map</v>
      </c>
      <c r="G2447" s="2">
        <v>0.55089466080795491</v>
      </c>
    </row>
    <row r="2448" spans="1:7" x14ac:dyDescent="0.3">
      <c r="A2448" t="s">
        <v>881</v>
      </c>
      <c r="B2448" t="s">
        <v>4255</v>
      </c>
      <c r="C2448" t="s">
        <v>883</v>
      </c>
      <c r="D2448">
        <v>2.97</v>
      </c>
      <c r="E2448">
        <v>950</v>
      </c>
      <c r="F2448" t="str">
        <f>HYPERLINK("https://www.google.com/maps/search/?api=1&amp;query=25.5420375,47.16221717", "View Map")</f>
        <v>View Map</v>
      </c>
      <c r="G2448" s="2">
        <v>0.46372094769262268</v>
      </c>
    </row>
    <row r="2449" spans="1:7" x14ac:dyDescent="0.3">
      <c r="A2449" t="s">
        <v>4256</v>
      </c>
      <c r="B2449" t="s">
        <v>4257</v>
      </c>
      <c r="C2449" t="s">
        <v>8</v>
      </c>
      <c r="D2449">
        <v>2.97</v>
      </c>
      <c r="E2449">
        <v>950</v>
      </c>
      <c r="F2449" t="str">
        <f>HYPERLINK("https://www.google.com/maps/search/?api=1&amp;query=24.76246741,46.7965763", "View Map")</f>
        <v>View Map</v>
      </c>
    </row>
    <row r="2450" spans="1:7" x14ac:dyDescent="0.3">
      <c r="A2450" t="s">
        <v>4258</v>
      </c>
      <c r="B2450" t="s">
        <v>4259</v>
      </c>
      <c r="C2450" t="s">
        <v>646</v>
      </c>
      <c r="D2450">
        <v>2.97</v>
      </c>
      <c r="E2450">
        <v>950</v>
      </c>
      <c r="F2450" t="str">
        <f>HYPERLINK("https://www.google.com/maps/search/?api=1&amp;query=20.40799975,45.4315882", "View Map")</f>
        <v>View Map</v>
      </c>
    </row>
    <row r="2451" spans="1:7" x14ac:dyDescent="0.3">
      <c r="A2451" t="s">
        <v>4260</v>
      </c>
      <c r="B2451" t="s">
        <v>4261</v>
      </c>
      <c r="C2451" t="s">
        <v>8</v>
      </c>
      <c r="D2451">
        <v>2.9670000000000001</v>
      </c>
      <c r="E2451">
        <v>949</v>
      </c>
      <c r="F2451" t="str">
        <f>HYPERLINK("https://www.google.com/maps/search/?api=1&amp;query=24.81900438,46.72945426", "View Map")</f>
        <v>View Map</v>
      </c>
      <c r="G2451" s="2">
        <v>0.3839777345447295</v>
      </c>
    </row>
    <row r="2452" spans="1:7" x14ac:dyDescent="0.3">
      <c r="A2452" t="s">
        <v>46</v>
      </c>
      <c r="B2452" t="s">
        <v>4262</v>
      </c>
      <c r="C2452" t="s">
        <v>8</v>
      </c>
      <c r="D2452">
        <v>2.9660000000000002</v>
      </c>
      <c r="E2452">
        <v>949</v>
      </c>
      <c r="F2452" t="str">
        <f>HYPERLINK("https://www.google.com/maps/search/?api=1&amp;query=24.64570349,46.77105869", "View Map")</f>
        <v>View Map</v>
      </c>
    </row>
    <row r="2453" spans="1:7" x14ac:dyDescent="0.3">
      <c r="A2453" t="s">
        <v>4263</v>
      </c>
      <c r="B2453" t="s">
        <v>4264</v>
      </c>
      <c r="C2453" t="s">
        <v>137</v>
      </c>
      <c r="D2453">
        <v>2.9649999999999999</v>
      </c>
      <c r="E2453">
        <v>949</v>
      </c>
      <c r="F2453" t="str">
        <f>HYPERLINK("https://www.google.com/maps/search/?api=1&amp;query=23.45085706,46.80683466", "View Map")</f>
        <v>View Map</v>
      </c>
      <c r="G2453" s="2">
        <v>0.51938881793143521</v>
      </c>
    </row>
    <row r="2454" spans="1:7" x14ac:dyDescent="0.3">
      <c r="A2454" t="s">
        <v>46</v>
      </c>
      <c r="B2454" t="s">
        <v>4265</v>
      </c>
      <c r="C2454" t="s">
        <v>8</v>
      </c>
      <c r="D2454">
        <v>2.964</v>
      </c>
      <c r="E2454">
        <v>948</v>
      </c>
      <c r="F2454" t="str">
        <f>HYPERLINK("https://www.google.com/maps/search/?api=1&amp;query=24.84803121,46.88933281", "View Map")</f>
        <v>View Map</v>
      </c>
    </row>
    <row r="2455" spans="1:7" x14ac:dyDescent="0.3">
      <c r="A2455" t="s">
        <v>4266</v>
      </c>
      <c r="B2455" t="s">
        <v>4267</v>
      </c>
      <c r="C2455" t="s">
        <v>8</v>
      </c>
      <c r="D2455">
        <v>2.964</v>
      </c>
      <c r="E2455">
        <v>948</v>
      </c>
      <c r="F2455" t="str">
        <f>HYPERLINK("https://www.google.com/maps/search/?api=1&amp;query=24.63094506,46.6990335", "View Map")</f>
        <v>View Map</v>
      </c>
      <c r="G2455" s="2">
        <v>0.80334397803253532</v>
      </c>
    </row>
    <row r="2456" spans="1:7" x14ac:dyDescent="0.3">
      <c r="A2456" t="s">
        <v>4268</v>
      </c>
      <c r="B2456" t="s">
        <v>4269</v>
      </c>
      <c r="C2456" t="s">
        <v>8</v>
      </c>
      <c r="D2456">
        <v>2.964</v>
      </c>
      <c r="E2456">
        <v>948</v>
      </c>
      <c r="F2456" t="str">
        <f>HYPERLINK("https://www.google.com/maps/search/?api=1&amp;query=24.74996795,46.83261496", "View Map")</f>
        <v>View Map</v>
      </c>
    </row>
    <row r="2457" spans="1:7" x14ac:dyDescent="0.3">
      <c r="A2457" t="s">
        <v>1486</v>
      </c>
      <c r="B2457" t="s">
        <v>4270</v>
      </c>
      <c r="C2457" t="s">
        <v>8</v>
      </c>
      <c r="D2457">
        <v>2.964</v>
      </c>
      <c r="E2457">
        <v>948</v>
      </c>
      <c r="F2457" t="str">
        <f>HYPERLINK("https://www.google.com/maps/search/?api=1&amp;query=24.69898014,46.78955452", "View Map")</f>
        <v>View Map</v>
      </c>
    </row>
    <row r="2458" spans="1:7" x14ac:dyDescent="0.3">
      <c r="A2458" t="s">
        <v>4271</v>
      </c>
      <c r="B2458" t="s">
        <v>4272</v>
      </c>
      <c r="C2458" t="s">
        <v>8</v>
      </c>
      <c r="D2458">
        <v>2.9630000000000001</v>
      </c>
      <c r="E2458">
        <v>948</v>
      </c>
      <c r="F2458" t="str">
        <f>HYPERLINK("https://www.google.com/maps/search/?api=1&amp;query=24.75081,46.6834", "View Map")</f>
        <v>View Map</v>
      </c>
    </row>
    <row r="2459" spans="1:7" x14ac:dyDescent="0.3">
      <c r="A2459" t="s">
        <v>4273</v>
      </c>
      <c r="B2459" t="s">
        <v>4274</v>
      </c>
      <c r="C2459" t="s">
        <v>8</v>
      </c>
      <c r="D2459">
        <v>2.9609999999999999</v>
      </c>
      <c r="E2459">
        <v>947</v>
      </c>
      <c r="F2459" t="str">
        <f>HYPERLINK("https://www.google.com/maps/search/?api=1&amp;query=24.50858488,46.94779739", "View Map")</f>
        <v>View Map</v>
      </c>
    </row>
    <row r="2460" spans="1:7" x14ac:dyDescent="0.3">
      <c r="A2460" t="s">
        <v>146</v>
      </c>
      <c r="B2460" t="s">
        <v>4275</v>
      </c>
      <c r="C2460" t="s">
        <v>8</v>
      </c>
      <c r="D2460">
        <v>2.96</v>
      </c>
      <c r="E2460">
        <v>947</v>
      </c>
      <c r="F2460" t="str">
        <f>HYPERLINK("https://www.google.com/maps/search/?api=1&amp;query=24.54381215,46.65745286", "View Map")</f>
        <v>View Map</v>
      </c>
    </row>
    <row r="2461" spans="1:7" x14ac:dyDescent="0.3">
      <c r="A2461" t="s">
        <v>4276</v>
      </c>
      <c r="B2461" t="s">
        <v>4277</v>
      </c>
      <c r="C2461" t="s">
        <v>8</v>
      </c>
      <c r="D2461">
        <v>2.96</v>
      </c>
      <c r="E2461">
        <v>947</v>
      </c>
      <c r="F2461" t="str">
        <f>HYPERLINK("https://www.google.com/maps/search/?api=1&amp;query=24.61911409,46.7281169", "View Map")</f>
        <v>View Map</v>
      </c>
    </row>
    <row r="2462" spans="1:7" x14ac:dyDescent="0.3">
      <c r="A2462" t="s">
        <v>4278</v>
      </c>
      <c r="B2462" t="s">
        <v>4279</v>
      </c>
      <c r="C2462" t="s">
        <v>8</v>
      </c>
      <c r="D2462">
        <v>2.9590000000000001</v>
      </c>
      <c r="E2462">
        <v>947</v>
      </c>
      <c r="F2462" t="str">
        <f>HYPERLINK("https://www.google.com/maps/search/?api=1&amp;query=24.55872124,46.70698581", "View Map")</f>
        <v>View Map</v>
      </c>
    </row>
    <row r="2463" spans="1:7" x14ac:dyDescent="0.3">
      <c r="A2463" t="s">
        <v>4280</v>
      </c>
      <c r="B2463" t="s">
        <v>4281</v>
      </c>
      <c r="C2463" t="s">
        <v>255</v>
      </c>
      <c r="D2463">
        <v>2.9580000000000002</v>
      </c>
      <c r="E2463">
        <v>947</v>
      </c>
      <c r="F2463" t="str">
        <f>HYPERLINK("https://www.google.com/maps/search/?api=1&amp;query=25.18412565,44.59703076", "View Map")</f>
        <v>View Map</v>
      </c>
      <c r="G2463" s="2">
        <v>0.42645454507640518</v>
      </c>
    </row>
    <row r="2464" spans="1:7" x14ac:dyDescent="0.3">
      <c r="A2464" t="s">
        <v>4282</v>
      </c>
      <c r="B2464" t="s">
        <v>4283</v>
      </c>
      <c r="C2464" t="s">
        <v>21</v>
      </c>
      <c r="D2464">
        <v>2.956</v>
      </c>
      <c r="E2464">
        <v>946</v>
      </c>
      <c r="F2464" t="str">
        <f>HYPERLINK("https://www.google.com/maps/search/?api=1&amp;query=26.29128665,44.83709874", "View Map")</f>
        <v>View Map</v>
      </c>
      <c r="G2464" s="2">
        <v>0.58224640193661859</v>
      </c>
    </row>
    <row r="2465" spans="1:7" x14ac:dyDescent="0.3">
      <c r="A2465" t="s">
        <v>4284</v>
      </c>
      <c r="B2465" t="s">
        <v>4285</v>
      </c>
      <c r="C2465" t="s">
        <v>137</v>
      </c>
      <c r="D2465">
        <v>2.956</v>
      </c>
      <c r="E2465">
        <v>946</v>
      </c>
      <c r="F2465" t="str">
        <f>HYPERLINK("https://www.google.com/maps/search/?api=1&amp;query=23.51644863,46.82849304", "View Map")</f>
        <v>View Map</v>
      </c>
      <c r="G2465" s="2">
        <v>0.78538799571652429</v>
      </c>
    </row>
    <row r="2466" spans="1:7" x14ac:dyDescent="0.3">
      <c r="A2466" t="s">
        <v>28</v>
      </c>
      <c r="B2466" t="s">
        <v>4286</v>
      </c>
      <c r="C2466" t="s">
        <v>30</v>
      </c>
      <c r="D2466">
        <v>2.956</v>
      </c>
      <c r="E2466">
        <v>946</v>
      </c>
      <c r="F2466" t="str">
        <f>HYPERLINK("https://www.google.com/maps/search/?api=1&amp;query=24.11072902,47.26231676", "View Map")</f>
        <v>View Map</v>
      </c>
      <c r="G2466" s="2">
        <v>0.42856672903202803</v>
      </c>
    </row>
    <row r="2467" spans="1:7" x14ac:dyDescent="0.3">
      <c r="A2467" t="s">
        <v>46</v>
      </c>
      <c r="B2467" t="s">
        <v>4287</v>
      </c>
      <c r="C2467" t="s">
        <v>8</v>
      </c>
      <c r="D2467">
        <v>2.9540000000000002</v>
      </c>
      <c r="E2467">
        <v>945</v>
      </c>
      <c r="F2467" t="str">
        <f>HYPERLINK("https://www.google.com/maps/search/?api=1&amp;query=24.89525512,46.61977105", "View Map")</f>
        <v>View Map</v>
      </c>
      <c r="G2467" s="2">
        <v>0.48178756039771492</v>
      </c>
    </row>
    <row r="2468" spans="1:7" x14ac:dyDescent="0.3">
      <c r="A2468" t="s">
        <v>289</v>
      </c>
      <c r="B2468" t="s">
        <v>4288</v>
      </c>
      <c r="C2468" t="s">
        <v>291</v>
      </c>
      <c r="D2468">
        <v>2.9540000000000002</v>
      </c>
      <c r="E2468">
        <v>945</v>
      </c>
      <c r="F2468" t="str">
        <f>HYPERLINK("https://www.google.com/maps/search/?api=1&amp;query=24.08784539,45.34351964", "View Map")</f>
        <v>View Map</v>
      </c>
      <c r="G2468" s="2">
        <v>0.44353611584404617</v>
      </c>
    </row>
    <row r="2469" spans="1:7" x14ac:dyDescent="0.3">
      <c r="A2469" t="s">
        <v>196</v>
      </c>
      <c r="B2469" t="s">
        <v>4289</v>
      </c>
      <c r="C2469" t="s">
        <v>8</v>
      </c>
      <c r="D2469">
        <v>2.9540000000000002</v>
      </c>
      <c r="E2469">
        <v>945</v>
      </c>
      <c r="F2469" t="str">
        <f>HYPERLINK("https://www.google.com/maps/search/?api=1&amp;query=24.75415456,46.71229993", "View Map")</f>
        <v>View Map</v>
      </c>
    </row>
    <row r="2470" spans="1:7" x14ac:dyDescent="0.3">
      <c r="A2470" t="s">
        <v>4290</v>
      </c>
      <c r="B2470" t="s">
        <v>4291</v>
      </c>
      <c r="C2470" t="s">
        <v>77</v>
      </c>
      <c r="D2470">
        <v>2.9529999999999998</v>
      </c>
      <c r="E2470">
        <v>945</v>
      </c>
      <c r="F2470" t="str">
        <f>HYPERLINK("https://www.google.com/maps/search/?api=1&amp;query=22.29222761,46.70179465", "View Map")</f>
        <v>View Map</v>
      </c>
      <c r="G2470" s="2">
        <v>0.51662463830942562</v>
      </c>
    </row>
    <row r="2471" spans="1:7" x14ac:dyDescent="0.3">
      <c r="A2471" t="s">
        <v>4292</v>
      </c>
      <c r="B2471" t="s">
        <v>4293</v>
      </c>
      <c r="C2471" t="s">
        <v>8</v>
      </c>
      <c r="D2471">
        <v>2.95</v>
      </c>
      <c r="E2471">
        <v>944</v>
      </c>
      <c r="F2471" t="str">
        <f>HYPERLINK("https://www.google.com/maps/search/?api=1&amp;query=24.68219483,46.79184304", "View Map")</f>
        <v>View Map</v>
      </c>
    </row>
    <row r="2472" spans="1:7" x14ac:dyDescent="0.3">
      <c r="A2472" t="s">
        <v>4294</v>
      </c>
      <c r="B2472" t="s">
        <v>4295</v>
      </c>
      <c r="C2472" t="s">
        <v>8</v>
      </c>
      <c r="D2472">
        <v>2.95</v>
      </c>
      <c r="E2472">
        <v>944</v>
      </c>
      <c r="F2472" t="str">
        <f>HYPERLINK("https://www.google.com/maps/search/?api=1&amp;query=24.73894872,46.78983778", "View Map")</f>
        <v>View Map</v>
      </c>
      <c r="G2472" s="2">
        <v>0.22295198584626519</v>
      </c>
    </row>
    <row r="2473" spans="1:7" x14ac:dyDescent="0.3">
      <c r="A2473" t="s">
        <v>4296</v>
      </c>
      <c r="B2473" t="s">
        <v>4297</v>
      </c>
      <c r="C2473" t="s">
        <v>8</v>
      </c>
      <c r="D2473">
        <v>2.95</v>
      </c>
      <c r="E2473">
        <v>944</v>
      </c>
      <c r="F2473" t="str">
        <f>HYPERLINK("https://www.google.com/maps/search/?api=1&amp;query=24.58434024,46.63381265", "View Map")</f>
        <v>View Map</v>
      </c>
    </row>
    <row r="2474" spans="1:7" x14ac:dyDescent="0.3">
      <c r="A2474" t="s">
        <v>4298</v>
      </c>
      <c r="B2474" t="s">
        <v>4299</v>
      </c>
      <c r="C2474" t="s">
        <v>8</v>
      </c>
      <c r="D2474">
        <v>2.948</v>
      </c>
      <c r="E2474">
        <v>943</v>
      </c>
      <c r="F2474" t="str">
        <f>HYPERLINK("https://www.google.com/maps/search/?api=1&amp;query=24.57494514,46.7129081", "View Map")</f>
        <v>View Map</v>
      </c>
    </row>
    <row r="2475" spans="1:7" x14ac:dyDescent="0.3">
      <c r="A2475" t="s">
        <v>4300</v>
      </c>
      <c r="B2475" t="s">
        <v>4301</v>
      </c>
      <c r="C2475" t="s">
        <v>8</v>
      </c>
      <c r="D2475">
        <v>2.9470000000000001</v>
      </c>
      <c r="E2475">
        <v>943</v>
      </c>
      <c r="F2475" t="str">
        <f>HYPERLINK("https://www.google.com/maps/search/?api=1&amp;query=24.81930483,46.79105116", "View Map")</f>
        <v>View Map</v>
      </c>
      <c r="G2475" s="2">
        <v>0.3114255917691654</v>
      </c>
    </row>
    <row r="2476" spans="1:7" x14ac:dyDescent="0.3">
      <c r="A2476" t="s">
        <v>46</v>
      </c>
      <c r="B2476" t="s">
        <v>4302</v>
      </c>
      <c r="C2476" t="s">
        <v>8</v>
      </c>
      <c r="D2476">
        <v>2.9460000000000002</v>
      </c>
      <c r="E2476">
        <v>943</v>
      </c>
      <c r="F2476" t="str">
        <f>HYPERLINK("https://www.google.com/maps/search/?api=1&amp;query=24.8259204,46.58849274", "View Map")</f>
        <v>View Map</v>
      </c>
    </row>
    <row r="2477" spans="1:7" x14ac:dyDescent="0.3">
      <c r="A2477" t="s">
        <v>4303</v>
      </c>
      <c r="B2477" t="s">
        <v>4304</v>
      </c>
      <c r="C2477" t="s">
        <v>1112</v>
      </c>
      <c r="D2477">
        <v>2.9449999999999998</v>
      </c>
      <c r="E2477">
        <v>942</v>
      </c>
      <c r="F2477" t="str">
        <f>HYPERLINK("https://www.google.com/maps/search/?api=1&amp;query=25.92754625,44.88750321", "View Map")</f>
        <v>View Map</v>
      </c>
      <c r="G2477" s="2">
        <v>0.75658730431947319</v>
      </c>
    </row>
    <row r="2478" spans="1:7" x14ac:dyDescent="0.3">
      <c r="A2478" t="s">
        <v>4305</v>
      </c>
      <c r="B2478" t="s">
        <v>4306</v>
      </c>
      <c r="C2478" t="s">
        <v>8</v>
      </c>
      <c r="D2478">
        <v>2.944</v>
      </c>
      <c r="E2478">
        <v>942</v>
      </c>
      <c r="F2478" t="str">
        <f>HYPERLINK("https://www.google.com/maps/search/?api=1&amp;query=24.57121308,46.70367526", "View Map")</f>
        <v>View Map</v>
      </c>
    </row>
    <row r="2479" spans="1:7" x14ac:dyDescent="0.3">
      <c r="A2479" t="s">
        <v>146</v>
      </c>
      <c r="B2479" t="s">
        <v>4307</v>
      </c>
      <c r="C2479" t="s">
        <v>8</v>
      </c>
      <c r="D2479">
        <v>2.9420000000000002</v>
      </c>
      <c r="E2479">
        <v>941</v>
      </c>
      <c r="F2479" t="str">
        <f>HYPERLINK("https://www.google.com/maps/search/?api=1&amp;query=24.48157673,46.63138669", "View Map")</f>
        <v>View Map</v>
      </c>
    </row>
    <row r="2480" spans="1:7" x14ac:dyDescent="0.3">
      <c r="A2480" t="s">
        <v>765</v>
      </c>
      <c r="B2480" t="s">
        <v>4308</v>
      </c>
      <c r="C2480" t="s">
        <v>8</v>
      </c>
      <c r="D2480">
        <v>2.9420000000000002</v>
      </c>
      <c r="E2480">
        <v>941</v>
      </c>
      <c r="F2480" t="str">
        <f>HYPERLINK("https://www.google.com/maps/search/?api=1&amp;query=24.75823602,46.72582692", "View Map")</f>
        <v>View Map</v>
      </c>
    </row>
    <row r="2481" spans="1:7" x14ac:dyDescent="0.3">
      <c r="A2481" t="s">
        <v>4309</v>
      </c>
      <c r="B2481" t="s">
        <v>4310</v>
      </c>
      <c r="C2481" t="s">
        <v>30</v>
      </c>
      <c r="D2481">
        <v>2.9390000000000001</v>
      </c>
      <c r="E2481">
        <v>941</v>
      </c>
      <c r="F2481" t="str">
        <f>HYPERLINK("https://www.google.com/maps/search/?api=1&amp;query=24.13966574,47.29476011", "View Map")</f>
        <v>View Map</v>
      </c>
      <c r="G2481" s="2">
        <v>0.4145362622773891</v>
      </c>
    </row>
    <row r="2482" spans="1:7" x14ac:dyDescent="0.3">
      <c r="A2482" t="s">
        <v>4311</v>
      </c>
      <c r="B2482" t="s">
        <v>4312</v>
      </c>
      <c r="C2482" t="s">
        <v>8</v>
      </c>
      <c r="D2482">
        <v>2.9380000000000002</v>
      </c>
      <c r="E2482">
        <v>940</v>
      </c>
      <c r="F2482" t="str">
        <f>HYPERLINK("https://www.google.com/maps/search/?api=1&amp;query=24.58093639,46.67879537", "View Map")</f>
        <v>View Map</v>
      </c>
    </row>
    <row r="2483" spans="1:7" x14ac:dyDescent="0.3">
      <c r="A2483" t="s">
        <v>4313</v>
      </c>
      <c r="B2483" t="s">
        <v>4314</v>
      </c>
      <c r="C2483" t="s">
        <v>442</v>
      </c>
      <c r="D2483">
        <v>2.9369999999999998</v>
      </c>
      <c r="E2483">
        <v>940</v>
      </c>
      <c r="F2483" t="str">
        <f>HYPERLINK("https://www.google.com/maps/search/?api=1&amp;query=23.61644148,46.64273042", "View Map")</f>
        <v>View Map</v>
      </c>
      <c r="G2483" s="2">
        <v>0.39943340131122312</v>
      </c>
    </row>
    <row r="2484" spans="1:7" x14ac:dyDescent="0.3">
      <c r="A2484" t="s">
        <v>4315</v>
      </c>
      <c r="B2484" t="s">
        <v>4316</v>
      </c>
      <c r="C2484" t="s">
        <v>8</v>
      </c>
      <c r="D2484">
        <v>2.9359999999999999</v>
      </c>
      <c r="E2484">
        <v>940</v>
      </c>
      <c r="F2484" t="str">
        <f>HYPERLINK("https://www.google.com/maps/search/?api=1&amp;query=24.81960235,46.87716607", "View Map")</f>
        <v>View Map</v>
      </c>
    </row>
    <row r="2485" spans="1:7" x14ac:dyDescent="0.3">
      <c r="A2485" t="s">
        <v>146</v>
      </c>
      <c r="B2485" t="s">
        <v>4317</v>
      </c>
      <c r="C2485" t="s">
        <v>8</v>
      </c>
      <c r="D2485">
        <v>2.9340000000000002</v>
      </c>
      <c r="E2485">
        <v>939</v>
      </c>
      <c r="F2485" t="str">
        <f>HYPERLINK("https://www.google.com/maps/search/?api=1&amp;query=24.57658051,46.53485498", "View Map")</f>
        <v>View Map</v>
      </c>
    </row>
    <row r="2486" spans="1:7" x14ac:dyDescent="0.3">
      <c r="A2486" t="s">
        <v>4318</v>
      </c>
      <c r="B2486" t="s">
        <v>4319</v>
      </c>
      <c r="C2486" t="s">
        <v>466</v>
      </c>
      <c r="D2486">
        <v>2.93</v>
      </c>
      <c r="E2486">
        <v>938</v>
      </c>
      <c r="F2486" t="str">
        <f>HYPERLINK("https://www.google.com/maps/search/?api=1&amp;query=24.67075057,45.84167794", "View Map")</f>
        <v>View Map</v>
      </c>
      <c r="G2486" s="2">
        <v>0.46666322695089713</v>
      </c>
    </row>
    <row r="2487" spans="1:7" x14ac:dyDescent="0.3">
      <c r="A2487" t="s">
        <v>4320</v>
      </c>
      <c r="B2487" t="s">
        <v>4321</v>
      </c>
      <c r="C2487" t="s">
        <v>137</v>
      </c>
      <c r="D2487">
        <v>2.93</v>
      </c>
      <c r="E2487">
        <v>938</v>
      </c>
      <c r="F2487" t="str">
        <f>HYPERLINK("https://www.google.com/maps/search/?api=1&amp;query=23.50046849,46.83218681", "View Map")</f>
        <v>View Map</v>
      </c>
    </row>
    <row r="2488" spans="1:7" x14ac:dyDescent="0.3">
      <c r="A2488" t="s">
        <v>4322</v>
      </c>
      <c r="B2488" t="s">
        <v>4323</v>
      </c>
      <c r="C2488" t="s">
        <v>393</v>
      </c>
      <c r="D2488">
        <v>2.9260000000000002</v>
      </c>
      <c r="E2488">
        <v>936</v>
      </c>
      <c r="F2488" t="str">
        <f>HYPERLINK("https://www.google.com/maps/search/?api=1&amp;query=22.74332077,44.97755932", "View Map")</f>
        <v>View Map</v>
      </c>
      <c r="G2488" s="2">
        <v>0.73801564011626231</v>
      </c>
    </row>
    <row r="2489" spans="1:7" x14ac:dyDescent="0.3">
      <c r="A2489" t="s">
        <v>4324</v>
      </c>
      <c r="B2489" t="s">
        <v>4325</v>
      </c>
      <c r="C2489" t="s">
        <v>8</v>
      </c>
      <c r="D2489">
        <v>2.9249999999999998</v>
      </c>
      <c r="E2489">
        <v>936</v>
      </c>
      <c r="F2489" t="str">
        <f>HYPERLINK("https://www.google.com/maps/search/?api=1&amp;query=24.50500192,46.62812324", "View Map")</f>
        <v>View Map</v>
      </c>
      <c r="G2489" s="2">
        <v>0.41236121902249789</v>
      </c>
    </row>
    <row r="2490" spans="1:7" x14ac:dyDescent="0.3">
      <c r="A2490" t="s">
        <v>289</v>
      </c>
      <c r="B2490" t="s">
        <v>4326</v>
      </c>
      <c r="C2490" t="s">
        <v>393</v>
      </c>
      <c r="D2490">
        <v>2.9239999999999999</v>
      </c>
      <c r="E2490">
        <v>936</v>
      </c>
      <c r="F2490" t="str">
        <f>HYPERLINK("https://www.google.com/maps/search/?api=1&amp;query=22.86406134,44.96176452", "View Map")</f>
        <v>View Map</v>
      </c>
      <c r="G2490" s="2">
        <v>1.040375350048985</v>
      </c>
    </row>
    <row r="2491" spans="1:7" x14ac:dyDescent="0.3">
      <c r="A2491" t="s">
        <v>4327</v>
      </c>
      <c r="B2491" t="s">
        <v>4328</v>
      </c>
      <c r="C2491" t="s">
        <v>30</v>
      </c>
      <c r="D2491">
        <v>2.923</v>
      </c>
      <c r="E2491">
        <v>935</v>
      </c>
      <c r="F2491" t="str">
        <f>HYPERLINK("https://www.google.com/maps/search/?api=1&amp;query=24.10293965,47.29125915", "View Map")</f>
        <v>View Map</v>
      </c>
      <c r="G2491" s="2">
        <v>0.35531204409142492</v>
      </c>
    </row>
    <row r="2492" spans="1:7" x14ac:dyDescent="0.3">
      <c r="A2492" t="s">
        <v>717</v>
      </c>
      <c r="B2492" t="s">
        <v>4329</v>
      </c>
      <c r="C2492" t="s">
        <v>255</v>
      </c>
      <c r="D2492">
        <v>2.923</v>
      </c>
      <c r="E2492">
        <v>935</v>
      </c>
      <c r="F2492" t="str">
        <f>HYPERLINK("https://www.google.com/maps/search/?api=1&amp;query=25.46021294,44.37604903", "View Map")</f>
        <v>View Map</v>
      </c>
    </row>
    <row r="2493" spans="1:7" x14ac:dyDescent="0.3">
      <c r="A2493" t="s">
        <v>717</v>
      </c>
      <c r="B2493" t="s">
        <v>4330</v>
      </c>
      <c r="C2493" t="s">
        <v>255</v>
      </c>
      <c r="D2493">
        <v>2.9220000000000002</v>
      </c>
      <c r="E2493">
        <v>935</v>
      </c>
      <c r="F2493" t="str">
        <f>HYPERLINK("https://www.google.com/maps/search/?api=1&amp;query=24.55182054,44.4140892", "View Map")</f>
        <v>View Map</v>
      </c>
      <c r="G2493" s="2">
        <v>0.72519544263208435</v>
      </c>
    </row>
    <row r="2494" spans="1:7" x14ac:dyDescent="0.3">
      <c r="A2494" t="s">
        <v>4331</v>
      </c>
      <c r="B2494" t="s">
        <v>4332</v>
      </c>
      <c r="C2494" t="s">
        <v>8</v>
      </c>
      <c r="D2494">
        <v>2.92</v>
      </c>
      <c r="E2494">
        <v>934</v>
      </c>
      <c r="F2494" t="str">
        <f>HYPERLINK("https://www.google.com/maps/search/?api=1&amp;query=24.65299869,46.67011321", "View Map")</f>
        <v>View Map</v>
      </c>
    </row>
    <row r="2495" spans="1:7" x14ac:dyDescent="0.3">
      <c r="A2495" t="s">
        <v>4333</v>
      </c>
      <c r="B2495" t="s">
        <v>4334</v>
      </c>
      <c r="C2495" t="s">
        <v>8</v>
      </c>
      <c r="D2495">
        <v>2.92</v>
      </c>
      <c r="E2495">
        <v>934</v>
      </c>
      <c r="F2495" t="str">
        <f>HYPERLINK("https://www.google.com/maps/search/?api=1&amp;query=24.76765253,46.74998904", "View Map")</f>
        <v>View Map</v>
      </c>
    </row>
    <row r="2496" spans="1:7" x14ac:dyDescent="0.3">
      <c r="A2496" t="s">
        <v>46</v>
      </c>
      <c r="B2496" t="s">
        <v>4335</v>
      </c>
      <c r="C2496" t="s">
        <v>8</v>
      </c>
      <c r="D2496">
        <v>2.92</v>
      </c>
      <c r="E2496">
        <v>934</v>
      </c>
      <c r="F2496" t="str">
        <f>HYPERLINK("https://www.google.com/maps/search/?api=1&amp;query=24.87142205,46.62866069", "View Map")</f>
        <v>View Map</v>
      </c>
    </row>
    <row r="2497" spans="1:7" x14ac:dyDescent="0.3">
      <c r="A2497" t="s">
        <v>4336</v>
      </c>
      <c r="B2497" t="s">
        <v>4337</v>
      </c>
      <c r="C2497" t="s">
        <v>738</v>
      </c>
      <c r="D2497">
        <v>2.919</v>
      </c>
      <c r="E2497">
        <v>934</v>
      </c>
      <c r="F2497" t="str">
        <f>HYPERLINK("https://www.google.com/maps/search/?api=1&amp;query=25.17499245,46.32814718", "View Map")</f>
        <v>View Map</v>
      </c>
      <c r="G2497" s="2">
        <v>0.52136710232941486</v>
      </c>
    </row>
    <row r="2498" spans="1:7" x14ac:dyDescent="0.3">
      <c r="A2498" t="s">
        <v>4338</v>
      </c>
      <c r="B2498" t="s">
        <v>4339</v>
      </c>
      <c r="C2498" t="s">
        <v>291</v>
      </c>
      <c r="D2498">
        <v>2.919</v>
      </c>
      <c r="E2498">
        <v>934</v>
      </c>
      <c r="F2498" t="str">
        <f>HYPERLINK("https://www.google.com/maps/search/?api=1&amp;query=24.34791713,45.82786863", "View Map")</f>
        <v>View Map</v>
      </c>
      <c r="G2498" s="2">
        <v>1.1101579507058681</v>
      </c>
    </row>
    <row r="2499" spans="1:7" x14ac:dyDescent="0.3">
      <c r="A2499" t="s">
        <v>4340</v>
      </c>
      <c r="B2499" t="s">
        <v>4341</v>
      </c>
      <c r="C2499" t="s">
        <v>8</v>
      </c>
      <c r="D2499">
        <v>2.919</v>
      </c>
      <c r="E2499">
        <v>934</v>
      </c>
      <c r="F2499" t="str">
        <f>HYPERLINK("https://www.google.com/maps/search/?api=1&amp;query=24.59302892,46.70819325", "View Map")</f>
        <v>View Map</v>
      </c>
    </row>
    <row r="2500" spans="1:7" x14ac:dyDescent="0.3">
      <c r="A2500" t="s">
        <v>4342</v>
      </c>
      <c r="B2500" t="s">
        <v>4343</v>
      </c>
      <c r="C2500" t="s">
        <v>30</v>
      </c>
      <c r="D2500">
        <v>2.9180000000000001</v>
      </c>
      <c r="E2500">
        <v>934</v>
      </c>
      <c r="F2500" t="str">
        <f>HYPERLINK("https://www.google.com/maps/search/?api=1&amp;query=24.1256862,47.27311222", "View Map")</f>
        <v>View Map</v>
      </c>
      <c r="G2500" s="2">
        <v>0.50995875123173395</v>
      </c>
    </row>
    <row r="2501" spans="1:7" x14ac:dyDescent="0.3">
      <c r="A2501" t="s">
        <v>4344</v>
      </c>
      <c r="B2501" t="s">
        <v>4345</v>
      </c>
      <c r="C2501" t="s">
        <v>8</v>
      </c>
      <c r="D2501">
        <v>2.9169999999999998</v>
      </c>
      <c r="E2501">
        <v>934</v>
      </c>
      <c r="F2501" t="str">
        <f>HYPERLINK("https://www.google.com/maps/search/?api=1&amp;query=24.79165838,46.79803889", "View Map")</f>
        <v>View Map</v>
      </c>
    </row>
    <row r="2502" spans="1:7" x14ac:dyDescent="0.3">
      <c r="A2502" t="s">
        <v>46</v>
      </c>
      <c r="B2502" t="s">
        <v>4346</v>
      </c>
      <c r="C2502" t="s">
        <v>8</v>
      </c>
      <c r="D2502">
        <v>2.9159999999999999</v>
      </c>
      <c r="E2502">
        <v>933</v>
      </c>
      <c r="F2502" t="str">
        <f>HYPERLINK("https://www.google.com/maps/search/?api=1&amp;query=24.74511633,46.75445286", "View Map")</f>
        <v>View Map</v>
      </c>
    </row>
    <row r="2503" spans="1:7" x14ac:dyDescent="0.3">
      <c r="A2503" t="s">
        <v>4347</v>
      </c>
      <c r="B2503" t="s">
        <v>4348</v>
      </c>
      <c r="C2503" t="s">
        <v>214</v>
      </c>
      <c r="D2503">
        <v>2.915</v>
      </c>
      <c r="E2503">
        <v>933</v>
      </c>
      <c r="F2503" t="str">
        <f>HYPERLINK("https://www.google.com/maps/search/?api=1&amp;query=25.89848637,45.34724455", "View Map")</f>
        <v>View Map</v>
      </c>
      <c r="G2503" s="2">
        <v>0.52851169613154458</v>
      </c>
    </row>
    <row r="2504" spans="1:7" x14ac:dyDescent="0.3">
      <c r="A2504" t="s">
        <v>4349</v>
      </c>
      <c r="B2504" t="s">
        <v>4350</v>
      </c>
      <c r="C2504" t="s">
        <v>8</v>
      </c>
      <c r="D2504">
        <v>2.9140000000000001</v>
      </c>
      <c r="E2504">
        <v>932</v>
      </c>
      <c r="F2504" t="str">
        <f>HYPERLINK("https://www.google.com/maps/search/?api=1&amp;query=24.59470148,46.67763248", "View Map")</f>
        <v>View Map</v>
      </c>
    </row>
    <row r="2505" spans="1:7" x14ac:dyDescent="0.3">
      <c r="A2505" t="s">
        <v>4351</v>
      </c>
      <c r="B2505" t="s">
        <v>4352</v>
      </c>
      <c r="C2505" t="s">
        <v>255</v>
      </c>
      <c r="D2505">
        <v>2.9119999999999999</v>
      </c>
      <c r="E2505">
        <v>932</v>
      </c>
      <c r="F2505" t="str">
        <f>HYPERLINK("https://www.google.com/maps/search/?api=1&amp;query=25.09604809,43.80613146", "View Map")</f>
        <v>View Map</v>
      </c>
      <c r="G2505" s="2">
        <v>0.85655971886726556</v>
      </c>
    </row>
    <row r="2506" spans="1:7" x14ac:dyDescent="0.3">
      <c r="A2506" t="s">
        <v>459</v>
      </c>
      <c r="B2506" t="s">
        <v>4353</v>
      </c>
      <c r="C2506" t="s">
        <v>286</v>
      </c>
      <c r="D2506">
        <v>2.9119999999999999</v>
      </c>
      <c r="E2506">
        <v>932</v>
      </c>
      <c r="F2506" t="str">
        <f>HYPERLINK("https://www.google.com/maps/search/?api=1&amp;query=25.21279976,45.26649344", "View Map")</f>
        <v>View Map</v>
      </c>
      <c r="G2506" s="2">
        <v>0.67661491212500924</v>
      </c>
    </row>
    <row r="2507" spans="1:7" x14ac:dyDescent="0.3">
      <c r="A2507" t="s">
        <v>4354</v>
      </c>
      <c r="B2507" t="s">
        <v>4355</v>
      </c>
      <c r="C2507" t="s">
        <v>8</v>
      </c>
      <c r="D2507">
        <v>2.9079999999999999</v>
      </c>
      <c r="E2507">
        <v>931</v>
      </c>
      <c r="F2507" t="str">
        <f>HYPERLINK("https://www.google.com/maps/search/?api=1&amp;query=24.665809,46.71244387", "View Map")</f>
        <v>View Map</v>
      </c>
    </row>
    <row r="2508" spans="1:7" x14ac:dyDescent="0.3">
      <c r="A2508" t="s">
        <v>4356</v>
      </c>
      <c r="B2508" t="s">
        <v>4357</v>
      </c>
      <c r="C2508" t="s">
        <v>8</v>
      </c>
      <c r="D2508">
        <v>2.9060000000000001</v>
      </c>
      <c r="E2508">
        <v>930</v>
      </c>
      <c r="F2508" t="str">
        <f>HYPERLINK("https://www.google.com/maps/search/?api=1&amp;query=24.79361874,46.71214831", "View Map")</f>
        <v>View Map</v>
      </c>
      <c r="G2508" s="2">
        <v>0.2990664566533725</v>
      </c>
    </row>
    <row r="2509" spans="1:7" x14ac:dyDescent="0.3">
      <c r="A2509" t="s">
        <v>2285</v>
      </c>
      <c r="B2509" t="s">
        <v>4358</v>
      </c>
      <c r="C2509" t="s">
        <v>8</v>
      </c>
      <c r="D2509">
        <v>2.9060000000000001</v>
      </c>
      <c r="E2509">
        <v>930</v>
      </c>
      <c r="F2509" t="str">
        <f>HYPERLINK("https://www.google.com/maps/search/?api=1&amp;query=24.74872362,46.76460672", "View Map")</f>
        <v>View Map</v>
      </c>
    </row>
    <row r="2510" spans="1:7" x14ac:dyDescent="0.3">
      <c r="A2510" t="s">
        <v>4359</v>
      </c>
      <c r="B2510" t="s">
        <v>4360</v>
      </c>
      <c r="C2510" t="s">
        <v>286</v>
      </c>
      <c r="D2510">
        <v>2.9060000000000001</v>
      </c>
      <c r="E2510">
        <v>930</v>
      </c>
      <c r="F2510" t="str">
        <f>HYPERLINK("https://www.google.com/maps/search/?api=1&amp;query=25.23282389,45.25779775", "View Map")</f>
        <v>View Map</v>
      </c>
      <c r="G2510" s="2">
        <v>0.65419787043409339</v>
      </c>
    </row>
    <row r="2511" spans="1:7" x14ac:dyDescent="0.3">
      <c r="A2511" t="s">
        <v>1514</v>
      </c>
      <c r="B2511" t="s">
        <v>4361</v>
      </c>
      <c r="C2511" t="s">
        <v>255</v>
      </c>
      <c r="D2511">
        <v>2.9039999999999999</v>
      </c>
      <c r="E2511">
        <v>929</v>
      </c>
      <c r="F2511" t="str">
        <f>HYPERLINK("https://www.google.com/maps/search/?api=1&amp;query=24.4955568,44.38286592", "View Map")</f>
        <v>View Map</v>
      </c>
    </row>
    <row r="2512" spans="1:7" x14ac:dyDescent="0.3">
      <c r="A2512" t="s">
        <v>4362</v>
      </c>
      <c r="B2512" t="s">
        <v>4363</v>
      </c>
      <c r="C2512" t="s">
        <v>8</v>
      </c>
      <c r="D2512">
        <v>2.903</v>
      </c>
      <c r="E2512">
        <v>929</v>
      </c>
      <c r="F2512" t="str">
        <f>HYPERLINK("https://www.google.com/maps/search/?api=1&amp;query=24.63378414,46.7244641", "View Map")</f>
        <v>View Map</v>
      </c>
      <c r="G2512" s="2">
        <v>0.62232679387248613</v>
      </c>
    </row>
    <row r="2513" spans="1:7" x14ac:dyDescent="0.3">
      <c r="A2513" t="s">
        <v>4364</v>
      </c>
      <c r="B2513" t="s">
        <v>4365</v>
      </c>
      <c r="C2513" t="s">
        <v>8</v>
      </c>
      <c r="D2513">
        <v>2.903</v>
      </c>
      <c r="E2513">
        <v>929</v>
      </c>
      <c r="F2513" t="str">
        <f>HYPERLINK("https://www.google.com/maps/search/?api=1&amp;query=24.68744178,46.67166272", "View Map")</f>
        <v>View Map</v>
      </c>
    </row>
    <row r="2514" spans="1:7" x14ac:dyDescent="0.3">
      <c r="A2514" t="s">
        <v>4366</v>
      </c>
      <c r="B2514" t="s">
        <v>4367</v>
      </c>
      <c r="C2514" t="s">
        <v>30</v>
      </c>
      <c r="D2514">
        <v>2.903</v>
      </c>
      <c r="E2514">
        <v>929</v>
      </c>
      <c r="F2514" t="str">
        <f>HYPERLINK("https://www.google.com/maps/search/?api=1&amp;query=24.14510379,47.36378974", "View Map")</f>
        <v>View Map</v>
      </c>
      <c r="G2514" s="2">
        <v>0.45288747103526239</v>
      </c>
    </row>
    <row r="2515" spans="1:7" x14ac:dyDescent="0.3">
      <c r="A2515" t="s">
        <v>4368</v>
      </c>
      <c r="B2515" t="s">
        <v>4369</v>
      </c>
      <c r="C2515" t="s">
        <v>8</v>
      </c>
      <c r="D2515">
        <v>2.9020000000000001</v>
      </c>
      <c r="E2515">
        <v>929</v>
      </c>
      <c r="F2515" t="str">
        <f>HYPERLINK("https://www.google.com/maps/search/?api=1&amp;query=24.55658705,46.78032038", "View Map")</f>
        <v>View Map</v>
      </c>
    </row>
    <row r="2516" spans="1:7" x14ac:dyDescent="0.3">
      <c r="A2516" t="s">
        <v>4370</v>
      </c>
      <c r="B2516" t="s">
        <v>4371</v>
      </c>
      <c r="C2516" t="s">
        <v>8</v>
      </c>
      <c r="D2516">
        <v>2.9009999999999998</v>
      </c>
      <c r="E2516">
        <v>928</v>
      </c>
      <c r="F2516" t="str">
        <f>HYPERLINK("https://www.google.com/maps/search/?api=1&amp;query=24.74056975,46.82994626", "View Map")</f>
        <v>View Map</v>
      </c>
    </row>
    <row r="2517" spans="1:7" x14ac:dyDescent="0.3">
      <c r="A2517" t="s">
        <v>4372</v>
      </c>
      <c r="B2517" t="s">
        <v>4373</v>
      </c>
      <c r="C2517" t="s">
        <v>291</v>
      </c>
      <c r="D2517">
        <v>2.9009999999999998</v>
      </c>
      <c r="E2517">
        <v>928</v>
      </c>
      <c r="F2517" t="str">
        <f>HYPERLINK("https://www.google.com/maps/search/?api=1&amp;query=24.04980918,45.26207937", "View Map")</f>
        <v>View Map</v>
      </c>
    </row>
    <row r="2518" spans="1:7" x14ac:dyDescent="0.3">
      <c r="A2518" t="s">
        <v>4374</v>
      </c>
      <c r="B2518" t="s">
        <v>4375</v>
      </c>
      <c r="C2518" t="s">
        <v>646</v>
      </c>
      <c r="D2518">
        <v>2.9</v>
      </c>
      <c r="E2518">
        <v>928</v>
      </c>
      <c r="F2518" t="str">
        <f>HYPERLINK("https://www.google.com/maps/search/?api=1&amp;query=20.47285474,45.57557678", "View Map")</f>
        <v>View Map</v>
      </c>
    </row>
    <row r="2519" spans="1:7" x14ac:dyDescent="0.3">
      <c r="A2519" t="s">
        <v>4376</v>
      </c>
      <c r="B2519" t="s">
        <v>4377</v>
      </c>
      <c r="C2519" t="s">
        <v>8</v>
      </c>
      <c r="D2519">
        <v>2.9</v>
      </c>
      <c r="E2519">
        <v>928</v>
      </c>
      <c r="F2519" t="str">
        <f>HYPERLINK("https://www.google.com/maps/search/?api=1&amp;query=24.68583329,46.80294072", "View Map")</f>
        <v>View Map</v>
      </c>
    </row>
    <row r="2520" spans="1:7" x14ac:dyDescent="0.3">
      <c r="A2520" t="s">
        <v>1594</v>
      </c>
      <c r="B2520" t="s">
        <v>4378</v>
      </c>
      <c r="C2520" t="s">
        <v>820</v>
      </c>
      <c r="D2520">
        <v>2.899</v>
      </c>
      <c r="E2520">
        <v>928</v>
      </c>
      <c r="F2520" t="str">
        <f>HYPERLINK("https://www.google.com/maps/search/?api=1&amp;query=0.0,0.0", "View Map")</f>
        <v>View Map</v>
      </c>
      <c r="G2520" s="2">
        <v>0.32201094859355039</v>
      </c>
    </row>
    <row r="2521" spans="1:7" x14ac:dyDescent="0.3">
      <c r="A2521" t="s">
        <v>4379</v>
      </c>
      <c r="B2521" t="s">
        <v>4380</v>
      </c>
      <c r="C2521" t="s">
        <v>286</v>
      </c>
      <c r="D2521">
        <v>2.899</v>
      </c>
      <c r="E2521">
        <v>928</v>
      </c>
      <c r="F2521" t="str">
        <f>HYPERLINK("https://www.google.com/maps/search/?api=1&amp;query=25.24006568,45.24722379", "View Map")</f>
        <v>View Map</v>
      </c>
    </row>
    <row r="2522" spans="1:7" x14ac:dyDescent="0.3">
      <c r="A2522" t="s">
        <v>4381</v>
      </c>
      <c r="B2522" t="s">
        <v>4382</v>
      </c>
      <c r="C2522" t="s">
        <v>8</v>
      </c>
      <c r="D2522">
        <v>2.899</v>
      </c>
      <c r="E2522">
        <v>928</v>
      </c>
      <c r="F2522" t="str">
        <f>HYPERLINK("https://www.google.com/maps/search/?api=1&amp;query=24.80235704,46.68640744", "View Map")</f>
        <v>View Map</v>
      </c>
    </row>
    <row r="2523" spans="1:7" x14ac:dyDescent="0.3">
      <c r="A2523" t="s">
        <v>464</v>
      </c>
      <c r="B2523" t="s">
        <v>4383</v>
      </c>
      <c r="C2523" t="s">
        <v>466</v>
      </c>
      <c r="D2523">
        <v>2.8969999999999998</v>
      </c>
      <c r="E2523">
        <v>927</v>
      </c>
      <c r="F2523" t="str">
        <f>HYPERLINK("https://www.google.com/maps/search/?api=1&amp;query=24.58132669,46.15331029", "View Map")</f>
        <v>View Map</v>
      </c>
      <c r="G2523" s="2">
        <v>0.59147539104903157</v>
      </c>
    </row>
    <row r="2524" spans="1:7" x14ac:dyDescent="0.3">
      <c r="A2524" t="s">
        <v>1262</v>
      </c>
      <c r="B2524" t="s">
        <v>4384</v>
      </c>
      <c r="C2524" t="s">
        <v>8</v>
      </c>
      <c r="D2524">
        <v>2.8959999999999999</v>
      </c>
      <c r="E2524">
        <v>927</v>
      </c>
      <c r="F2524" t="str">
        <f>HYPERLINK("https://www.google.com/maps/search/?api=1&amp;query=24.75402241,46.8084702", "View Map")</f>
        <v>View Map</v>
      </c>
    </row>
    <row r="2525" spans="1:7" x14ac:dyDescent="0.3">
      <c r="A2525" t="s">
        <v>4385</v>
      </c>
      <c r="B2525" t="s">
        <v>4386</v>
      </c>
      <c r="C2525" t="s">
        <v>296</v>
      </c>
      <c r="D2525">
        <v>2.8940000000000001</v>
      </c>
      <c r="E2525">
        <v>926</v>
      </c>
      <c r="F2525" t="str">
        <f>HYPERLINK("https://www.google.com/maps/search/?api=1&amp;query=24.47397336,46.26342217", "View Map")</f>
        <v>View Map</v>
      </c>
      <c r="G2525" s="2">
        <v>0.51063981188660124</v>
      </c>
    </row>
    <row r="2526" spans="1:7" x14ac:dyDescent="0.3">
      <c r="A2526" t="s">
        <v>4387</v>
      </c>
      <c r="B2526" t="s">
        <v>4388</v>
      </c>
      <c r="C2526" t="s">
        <v>30</v>
      </c>
      <c r="D2526">
        <v>2.8940000000000001</v>
      </c>
      <c r="E2526">
        <v>926</v>
      </c>
      <c r="F2526" t="str">
        <f>HYPERLINK("https://www.google.com/maps/search/?api=1&amp;query=24.14812705,47.36014304", "View Map")</f>
        <v>View Map</v>
      </c>
    </row>
    <row r="2527" spans="1:7" x14ac:dyDescent="0.3">
      <c r="A2527" t="s">
        <v>4389</v>
      </c>
      <c r="B2527" t="s">
        <v>4390</v>
      </c>
      <c r="C2527" t="s">
        <v>8</v>
      </c>
      <c r="D2527">
        <v>2.8929999999999998</v>
      </c>
      <c r="E2527">
        <v>926</v>
      </c>
      <c r="F2527" t="str">
        <f>HYPERLINK("https://www.google.com/maps/search/?api=1&amp;query=24.6342636,46.61424206", "View Map")</f>
        <v>View Map</v>
      </c>
    </row>
    <row r="2528" spans="1:7" x14ac:dyDescent="0.3">
      <c r="A2528" t="s">
        <v>4391</v>
      </c>
      <c r="B2528" t="s">
        <v>4392</v>
      </c>
      <c r="C2528" t="s">
        <v>393</v>
      </c>
      <c r="D2528">
        <v>2.8919999999999999</v>
      </c>
      <c r="E2528">
        <v>925</v>
      </c>
      <c r="F2528" t="str">
        <f>HYPERLINK("https://www.google.com/maps/search/?api=1&amp;query=23.60005612,45.13986684", "View Map")</f>
        <v>View Map</v>
      </c>
      <c r="G2528" s="2">
        <v>0.78921972634506898</v>
      </c>
    </row>
    <row r="2529" spans="1:7" x14ac:dyDescent="0.3">
      <c r="A2529" t="s">
        <v>881</v>
      </c>
      <c r="B2529" t="s">
        <v>4393</v>
      </c>
      <c r="C2529" t="s">
        <v>883</v>
      </c>
      <c r="D2529">
        <v>2.89</v>
      </c>
      <c r="E2529">
        <v>925</v>
      </c>
      <c r="F2529" t="str">
        <f>HYPERLINK("https://www.google.com/maps/search/?api=1&amp;query=25.55529691,47.16109428", "View Map")</f>
        <v>View Map</v>
      </c>
      <c r="G2529" s="2">
        <v>0.64893609059226198</v>
      </c>
    </row>
    <row r="2530" spans="1:7" x14ac:dyDescent="0.3">
      <c r="A2530" t="s">
        <v>4394</v>
      </c>
      <c r="B2530" t="s">
        <v>4395</v>
      </c>
      <c r="C2530" t="s">
        <v>646</v>
      </c>
      <c r="D2530">
        <v>2.89</v>
      </c>
      <c r="E2530">
        <v>925</v>
      </c>
      <c r="F2530" t="str">
        <f>HYPERLINK("https://www.google.com/maps/search/?api=1&amp;query=20.4532111,45.59276155", "View Map")</f>
        <v>View Map</v>
      </c>
      <c r="G2530" s="2">
        <v>0.47733949763502492</v>
      </c>
    </row>
    <row r="2531" spans="1:7" x14ac:dyDescent="0.3">
      <c r="A2531" t="s">
        <v>4396</v>
      </c>
      <c r="B2531" t="s">
        <v>4397</v>
      </c>
      <c r="C2531" t="s">
        <v>8</v>
      </c>
      <c r="D2531">
        <v>2.8879999999999999</v>
      </c>
      <c r="E2531">
        <v>924</v>
      </c>
      <c r="F2531" t="str">
        <f>HYPERLINK("https://www.google.com/maps/search/?api=1&amp;query=24.71843199,46.85317115", "View Map")</f>
        <v>View Map</v>
      </c>
    </row>
    <row r="2532" spans="1:7" x14ac:dyDescent="0.3">
      <c r="A2532" t="s">
        <v>4398</v>
      </c>
      <c r="B2532" t="s">
        <v>4399</v>
      </c>
      <c r="C2532" t="s">
        <v>8</v>
      </c>
      <c r="D2532">
        <v>2.8879999999999999</v>
      </c>
      <c r="E2532">
        <v>924</v>
      </c>
      <c r="F2532" t="str">
        <f>HYPERLINK("https://www.google.com/maps/search/?api=1&amp;query=24.63897865,46.72488425", "View Map")</f>
        <v>View Map</v>
      </c>
    </row>
    <row r="2533" spans="1:7" x14ac:dyDescent="0.3">
      <c r="A2533" t="s">
        <v>4400</v>
      </c>
      <c r="B2533" t="s">
        <v>4401</v>
      </c>
      <c r="C2533" t="s">
        <v>241</v>
      </c>
      <c r="D2533">
        <v>2.8879999999999999</v>
      </c>
      <c r="E2533">
        <v>924</v>
      </c>
      <c r="F2533" t="str">
        <f>HYPERLINK("https://www.google.com/maps/search/?api=1&amp;query=20.45392653,44.82910373", "View Map")</f>
        <v>View Map</v>
      </c>
      <c r="G2533" s="2">
        <v>0.5301215667764293</v>
      </c>
    </row>
    <row r="2534" spans="1:7" x14ac:dyDescent="0.3">
      <c r="A2534" t="s">
        <v>46</v>
      </c>
      <c r="B2534" t="s">
        <v>4402</v>
      </c>
      <c r="C2534" t="s">
        <v>55</v>
      </c>
      <c r="D2534">
        <v>2.8860000000000001</v>
      </c>
      <c r="E2534">
        <v>924</v>
      </c>
      <c r="F2534" t="str">
        <f>HYPERLINK("https://www.google.com/maps/search/?api=1&amp;query=24.77900361,46.56888038", "View Map")</f>
        <v>View Map</v>
      </c>
      <c r="G2534" s="2">
        <v>0.40349915286144578</v>
      </c>
    </row>
    <row r="2535" spans="1:7" x14ac:dyDescent="0.3">
      <c r="A2535" t="s">
        <v>4403</v>
      </c>
      <c r="B2535" t="s">
        <v>4404</v>
      </c>
      <c r="C2535" t="s">
        <v>255</v>
      </c>
      <c r="D2535">
        <v>2.8860000000000001</v>
      </c>
      <c r="E2535">
        <v>924</v>
      </c>
      <c r="F2535" t="str">
        <f>HYPERLINK("https://www.google.com/maps/search/?api=1&amp;query=24.67497996,43.68389488", "View Map")</f>
        <v>View Map</v>
      </c>
    </row>
    <row r="2536" spans="1:7" x14ac:dyDescent="0.3">
      <c r="A2536" t="s">
        <v>4405</v>
      </c>
      <c r="B2536" t="s">
        <v>4406</v>
      </c>
      <c r="C2536" t="s">
        <v>8</v>
      </c>
      <c r="D2536">
        <v>2.8849999999999998</v>
      </c>
      <c r="E2536">
        <v>923</v>
      </c>
      <c r="F2536" t="str">
        <f>HYPERLINK("https://www.google.com/maps/search/?api=1&amp;query=24.61272913,46.69543896", "View Map")</f>
        <v>View Map</v>
      </c>
    </row>
    <row r="2537" spans="1:7" x14ac:dyDescent="0.3">
      <c r="A2537" t="s">
        <v>4407</v>
      </c>
      <c r="B2537" t="s">
        <v>4408</v>
      </c>
      <c r="C2537" t="s">
        <v>8</v>
      </c>
      <c r="D2537">
        <v>2.8839999999999999</v>
      </c>
      <c r="E2537">
        <v>923</v>
      </c>
      <c r="F2537" t="str">
        <f>HYPERLINK("https://www.google.com/maps/search/?api=1&amp;query=24.70771,46.67637", "View Map")</f>
        <v>View Map</v>
      </c>
    </row>
    <row r="2538" spans="1:7" x14ac:dyDescent="0.3">
      <c r="A2538" t="s">
        <v>627</v>
      </c>
      <c r="B2538" t="s">
        <v>4409</v>
      </c>
      <c r="C2538" t="s">
        <v>8</v>
      </c>
      <c r="D2538">
        <v>2.8820000000000001</v>
      </c>
      <c r="E2538">
        <v>922</v>
      </c>
      <c r="F2538" t="str">
        <f>HYPERLINK("https://www.google.com/maps/search/?api=1&amp;query=24.67283441,46.71292724", "View Map")</f>
        <v>View Map</v>
      </c>
    </row>
    <row r="2539" spans="1:7" x14ac:dyDescent="0.3">
      <c r="A2539" t="s">
        <v>4410</v>
      </c>
      <c r="B2539" t="s">
        <v>4411</v>
      </c>
      <c r="C2539" t="s">
        <v>291</v>
      </c>
      <c r="D2539">
        <v>2.8820000000000001</v>
      </c>
      <c r="E2539">
        <v>922</v>
      </c>
      <c r="F2539" t="str">
        <f>HYPERLINK("https://www.google.com/maps/search/?api=1&amp;query=24.0819817,45.32265652", "View Map")</f>
        <v>View Map</v>
      </c>
      <c r="G2539" s="2">
        <v>0.40969518843880193</v>
      </c>
    </row>
    <row r="2540" spans="1:7" x14ac:dyDescent="0.3">
      <c r="A2540" t="s">
        <v>4412</v>
      </c>
      <c r="B2540" t="s">
        <v>4413</v>
      </c>
      <c r="C2540" t="s">
        <v>16</v>
      </c>
      <c r="D2540">
        <v>2.8809999999999998</v>
      </c>
      <c r="E2540">
        <v>922</v>
      </c>
      <c r="F2540" t="str">
        <f>HYPERLINK("https://www.google.com/maps/search/?api=1&amp;query=23.91884862,42.91626417", "View Map")</f>
        <v>View Map</v>
      </c>
    </row>
    <row r="2541" spans="1:7" x14ac:dyDescent="0.3">
      <c r="A2541" t="s">
        <v>46</v>
      </c>
      <c r="B2541" t="s">
        <v>4414</v>
      </c>
      <c r="C2541" t="s">
        <v>8</v>
      </c>
      <c r="D2541">
        <v>2.879</v>
      </c>
      <c r="E2541">
        <v>921</v>
      </c>
      <c r="F2541" t="str">
        <f>HYPERLINK("https://www.google.com/maps/search/?api=1&amp;query=24.73259865,46.74387485", "View Map")</f>
        <v>View Map</v>
      </c>
    </row>
    <row r="2542" spans="1:7" x14ac:dyDescent="0.3">
      <c r="A2542" t="s">
        <v>4415</v>
      </c>
      <c r="B2542" t="s">
        <v>4416</v>
      </c>
      <c r="C2542" t="s">
        <v>214</v>
      </c>
      <c r="D2542">
        <v>2.879</v>
      </c>
      <c r="E2542">
        <v>921</v>
      </c>
      <c r="F2542" t="str">
        <f>HYPERLINK("https://www.google.com/maps/search/?api=1&amp;query=26.21894027,45.38882602", "View Map")</f>
        <v>View Map</v>
      </c>
      <c r="G2542" s="2">
        <v>0.64221609152596681</v>
      </c>
    </row>
    <row r="2543" spans="1:7" x14ac:dyDescent="0.3">
      <c r="A2543" t="s">
        <v>4417</v>
      </c>
      <c r="B2543" t="s">
        <v>4418</v>
      </c>
      <c r="C2543" t="s">
        <v>21</v>
      </c>
      <c r="D2543">
        <v>2.8780000000000001</v>
      </c>
      <c r="E2543">
        <v>921</v>
      </c>
      <c r="F2543" t="str">
        <f>HYPERLINK("https://www.google.com/maps/search/?api=1&amp;query=26.28126719,44.83399955", "View Map")</f>
        <v>View Map</v>
      </c>
      <c r="G2543" s="2">
        <v>0.45413035933033891</v>
      </c>
    </row>
    <row r="2544" spans="1:7" x14ac:dyDescent="0.3">
      <c r="A2544" t="s">
        <v>4419</v>
      </c>
      <c r="B2544" t="s">
        <v>4420</v>
      </c>
      <c r="C2544" t="s">
        <v>8</v>
      </c>
      <c r="D2544">
        <v>2.8780000000000001</v>
      </c>
      <c r="E2544">
        <v>921</v>
      </c>
      <c r="F2544" t="str">
        <f>HYPERLINK("https://www.google.com/maps/search/?api=1&amp;query=24.53110089,46.66362815", "View Map")</f>
        <v>View Map</v>
      </c>
    </row>
    <row r="2545" spans="1:7" x14ac:dyDescent="0.3">
      <c r="A2545" t="s">
        <v>46</v>
      </c>
      <c r="B2545" t="s">
        <v>4421</v>
      </c>
      <c r="C2545" t="s">
        <v>8</v>
      </c>
      <c r="D2545">
        <v>2.8769999999999998</v>
      </c>
      <c r="E2545">
        <v>921</v>
      </c>
      <c r="F2545" t="str">
        <f>HYPERLINK("https://www.google.com/maps/search/?api=1&amp;query=24.81066695,46.8276515", "View Map")</f>
        <v>View Map</v>
      </c>
      <c r="G2545" s="2">
        <v>0.35162997955820652</v>
      </c>
    </row>
    <row r="2546" spans="1:7" x14ac:dyDescent="0.3">
      <c r="A2546" t="s">
        <v>28</v>
      </c>
      <c r="B2546" t="s">
        <v>4422</v>
      </c>
      <c r="C2546" t="s">
        <v>30</v>
      </c>
      <c r="D2546">
        <v>2.8769999999999998</v>
      </c>
      <c r="E2546">
        <v>921</v>
      </c>
      <c r="F2546" t="str">
        <f>HYPERLINK("https://www.google.com/maps/search/?api=1&amp;query=24.10752162,47.27322458", "View Map")</f>
        <v>View Map</v>
      </c>
    </row>
    <row r="2547" spans="1:7" x14ac:dyDescent="0.3">
      <c r="A2547" t="s">
        <v>4423</v>
      </c>
      <c r="B2547" t="s">
        <v>4424</v>
      </c>
      <c r="C2547" t="s">
        <v>8</v>
      </c>
      <c r="D2547">
        <v>2.875</v>
      </c>
      <c r="E2547">
        <v>920</v>
      </c>
      <c r="F2547" t="str">
        <f>HYPERLINK("https://www.google.com/maps/search/?api=1&amp;query=24.74903067,46.82357853", "View Map")</f>
        <v>View Map</v>
      </c>
    </row>
    <row r="2548" spans="1:7" x14ac:dyDescent="0.3">
      <c r="A2548" t="s">
        <v>4425</v>
      </c>
      <c r="B2548" t="s">
        <v>4426</v>
      </c>
      <c r="C2548" t="s">
        <v>8</v>
      </c>
      <c r="D2548">
        <v>2.8740000000000001</v>
      </c>
      <c r="E2548">
        <v>920</v>
      </c>
      <c r="F2548" t="str">
        <f>HYPERLINK("https://www.google.com/maps/search/?api=1&amp;query=24.58275977,46.64237807", "View Map")</f>
        <v>View Map</v>
      </c>
    </row>
    <row r="2549" spans="1:7" x14ac:dyDescent="0.3">
      <c r="A2549" t="s">
        <v>4427</v>
      </c>
      <c r="B2549" t="s">
        <v>4428</v>
      </c>
      <c r="C2549" t="s">
        <v>55</v>
      </c>
      <c r="D2549">
        <v>2.8719999999999999</v>
      </c>
      <c r="E2549">
        <v>919</v>
      </c>
      <c r="F2549" t="str">
        <f>HYPERLINK("https://www.google.com/maps/search/?api=1&amp;query=24.74697581,46.5715762", "View Map")</f>
        <v>View Map</v>
      </c>
    </row>
    <row r="2550" spans="1:7" x14ac:dyDescent="0.3">
      <c r="A2550" t="s">
        <v>4429</v>
      </c>
      <c r="B2550" t="s">
        <v>4430</v>
      </c>
      <c r="C2550" t="s">
        <v>255</v>
      </c>
      <c r="D2550">
        <v>2.8719999999999999</v>
      </c>
      <c r="E2550">
        <v>919</v>
      </c>
      <c r="F2550" t="str">
        <f>HYPERLINK("https://www.google.com/maps/search/?api=1&amp;query=25.18606944,44.59945533", "View Map")</f>
        <v>View Map</v>
      </c>
    </row>
    <row r="2551" spans="1:7" x14ac:dyDescent="0.3">
      <c r="A2551" t="s">
        <v>46</v>
      </c>
      <c r="B2551" t="s">
        <v>4431</v>
      </c>
      <c r="C2551" t="s">
        <v>8</v>
      </c>
      <c r="D2551">
        <v>2.8719999999999999</v>
      </c>
      <c r="E2551">
        <v>919</v>
      </c>
      <c r="F2551" t="str">
        <f>HYPERLINK("https://www.google.com/maps/search/?api=1&amp;query=24.79030918,46.58661777", "View Map")</f>
        <v>View Map</v>
      </c>
    </row>
    <row r="2552" spans="1:7" x14ac:dyDescent="0.3">
      <c r="A2552" t="s">
        <v>28</v>
      </c>
      <c r="B2552" t="s">
        <v>4432</v>
      </c>
      <c r="C2552" t="s">
        <v>30</v>
      </c>
      <c r="D2552">
        <v>2.871</v>
      </c>
      <c r="E2552">
        <v>919</v>
      </c>
      <c r="F2552" t="str">
        <f>HYPERLINK("https://www.google.com/maps/search/?api=1&amp;query=24.19701756,47.3049415", "View Map")</f>
        <v>View Map</v>
      </c>
      <c r="G2552" s="2">
        <v>0.44657342122734861</v>
      </c>
    </row>
    <row r="2553" spans="1:7" x14ac:dyDescent="0.3">
      <c r="A2553" t="s">
        <v>4433</v>
      </c>
      <c r="B2553" t="s">
        <v>4434</v>
      </c>
      <c r="C2553" t="s">
        <v>296</v>
      </c>
      <c r="D2553">
        <v>2.871</v>
      </c>
      <c r="E2553">
        <v>919</v>
      </c>
      <c r="F2553" t="str">
        <f>HYPERLINK("https://www.google.com/maps/search/?api=1&amp;query=24.48257876,46.29601422", "View Map")</f>
        <v>View Map</v>
      </c>
    </row>
    <row r="2554" spans="1:7" x14ac:dyDescent="0.3">
      <c r="A2554" t="s">
        <v>4435</v>
      </c>
      <c r="B2554" t="s">
        <v>4436</v>
      </c>
      <c r="C2554" t="s">
        <v>8</v>
      </c>
      <c r="D2554">
        <v>2.871</v>
      </c>
      <c r="E2554">
        <v>919</v>
      </c>
      <c r="F2554" t="str">
        <f>HYPERLINK("https://www.google.com/maps/search/?api=1&amp;query=24.8204805,46.65611957", "View Map")</f>
        <v>View Map</v>
      </c>
    </row>
    <row r="2555" spans="1:7" x14ac:dyDescent="0.3">
      <c r="A2555" t="s">
        <v>4437</v>
      </c>
      <c r="B2555" t="s">
        <v>4438</v>
      </c>
      <c r="C2555" t="s">
        <v>8</v>
      </c>
      <c r="D2555">
        <v>2.871</v>
      </c>
      <c r="E2555">
        <v>919</v>
      </c>
      <c r="F2555" t="str">
        <f>HYPERLINK("https://www.google.com/maps/search/?api=1&amp;query=24.63661924,46.74131099", "View Map")</f>
        <v>View Map</v>
      </c>
    </row>
    <row r="2556" spans="1:7" x14ac:dyDescent="0.3">
      <c r="A2556" t="s">
        <v>4439</v>
      </c>
      <c r="B2556" t="s">
        <v>4440</v>
      </c>
      <c r="C2556" t="s">
        <v>296</v>
      </c>
      <c r="D2556">
        <v>2.87</v>
      </c>
      <c r="E2556">
        <v>918</v>
      </c>
      <c r="F2556" t="str">
        <f>HYPERLINK("https://www.google.com/maps/search/?api=1&amp;query=24.46597606,46.26709091", "View Map")</f>
        <v>View Map</v>
      </c>
    </row>
    <row r="2557" spans="1:7" x14ac:dyDescent="0.3">
      <c r="A2557" t="s">
        <v>4441</v>
      </c>
      <c r="B2557" t="s">
        <v>4442</v>
      </c>
      <c r="C2557" t="s">
        <v>393</v>
      </c>
      <c r="D2557">
        <v>2.8679999999999999</v>
      </c>
      <c r="E2557">
        <v>918</v>
      </c>
      <c r="F2557" t="str">
        <f>HYPERLINK("https://www.google.com/maps/search/?api=1&amp;query=22.66814461,44.74089466", "View Map")</f>
        <v>View Map</v>
      </c>
      <c r="G2557" s="2">
        <v>0.65405673524829699</v>
      </c>
    </row>
    <row r="2558" spans="1:7" x14ac:dyDescent="0.3">
      <c r="A2558" t="s">
        <v>4443</v>
      </c>
      <c r="B2558" t="s">
        <v>4444</v>
      </c>
      <c r="C2558" t="s">
        <v>393</v>
      </c>
      <c r="D2558">
        <v>2.8679999999999999</v>
      </c>
      <c r="E2558">
        <v>918</v>
      </c>
      <c r="F2558" t="str">
        <f>HYPERLINK("https://www.google.com/maps/search/?api=1&amp;query=22.80546656,45.13746842", "View Map")</f>
        <v>View Map</v>
      </c>
      <c r="G2558" s="2">
        <v>0.86290398085453557</v>
      </c>
    </row>
    <row r="2559" spans="1:7" x14ac:dyDescent="0.3">
      <c r="A2559" t="s">
        <v>4445</v>
      </c>
      <c r="B2559" t="s">
        <v>4446</v>
      </c>
      <c r="C2559" t="s">
        <v>4447</v>
      </c>
      <c r="D2559">
        <v>2.8679999999999999</v>
      </c>
      <c r="E2559">
        <v>918</v>
      </c>
      <c r="F2559" t="str">
        <f>HYPERLINK("https://www.google.com/maps/search/?api=1&amp;query=23.85943167,42.10436833", "View Map")</f>
        <v>View Map</v>
      </c>
      <c r="G2559" s="2">
        <v>0.76990100866291233</v>
      </c>
    </row>
    <row r="2560" spans="1:7" x14ac:dyDescent="0.3">
      <c r="A2560" t="s">
        <v>4448</v>
      </c>
      <c r="B2560" t="s">
        <v>4449</v>
      </c>
      <c r="C2560" t="s">
        <v>8</v>
      </c>
      <c r="D2560">
        <v>2.8660000000000001</v>
      </c>
      <c r="E2560">
        <v>917</v>
      </c>
      <c r="F2560" t="str">
        <f>HYPERLINK("https://www.google.com/maps/search/?api=1&amp;query=24.69406303,46.64134932", "View Map")</f>
        <v>View Map</v>
      </c>
      <c r="G2560" s="2">
        <v>0.30577168073011157</v>
      </c>
    </row>
    <row r="2561" spans="1:7" x14ac:dyDescent="0.3">
      <c r="A2561" t="s">
        <v>4450</v>
      </c>
      <c r="B2561" t="s">
        <v>4451</v>
      </c>
      <c r="C2561" t="s">
        <v>738</v>
      </c>
      <c r="D2561">
        <v>2.8650000000000002</v>
      </c>
      <c r="E2561">
        <v>917</v>
      </c>
      <c r="F2561" t="str">
        <f>HYPERLINK("https://www.google.com/maps/search/?api=1&amp;query=25.14405089,46.26464413", "View Map")</f>
        <v>View Map</v>
      </c>
      <c r="G2561" s="2">
        <v>0.56058583414925689</v>
      </c>
    </row>
    <row r="2562" spans="1:7" x14ac:dyDescent="0.3">
      <c r="A2562" t="s">
        <v>46</v>
      </c>
      <c r="B2562" t="s">
        <v>4452</v>
      </c>
      <c r="C2562" t="s">
        <v>820</v>
      </c>
      <c r="D2562">
        <v>2.8639999999999999</v>
      </c>
      <c r="E2562">
        <v>916</v>
      </c>
      <c r="F2562" t="str">
        <f>HYPERLINK("https://www.google.com/maps/search/?api=1&amp;query=0.0,0.0", "View Map")</f>
        <v>View Map</v>
      </c>
      <c r="G2562" s="2">
        <v>0.34456879432083232</v>
      </c>
    </row>
    <row r="2563" spans="1:7" x14ac:dyDescent="0.3">
      <c r="A2563" t="s">
        <v>4453</v>
      </c>
      <c r="B2563" t="s">
        <v>4454</v>
      </c>
      <c r="C2563" t="s">
        <v>8</v>
      </c>
      <c r="D2563">
        <v>2.863</v>
      </c>
      <c r="E2563">
        <v>916</v>
      </c>
      <c r="F2563" t="str">
        <f>HYPERLINK("https://www.google.com/maps/search/?api=1&amp;query=24.54583695,46.73072358", "View Map")</f>
        <v>View Map</v>
      </c>
    </row>
    <row r="2564" spans="1:7" x14ac:dyDescent="0.3">
      <c r="A2564" t="s">
        <v>4455</v>
      </c>
      <c r="B2564" t="s">
        <v>4456</v>
      </c>
      <c r="C2564" t="s">
        <v>214</v>
      </c>
      <c r="D2564">
        <v>2.8620000000000001</v>
      </c>
      <c r="E2564">
        <v>916</v>
      </c>
      <c r="F2564" t="str">
        <f>HYPERLINK("https://www.google.com/maps/search/?api=1&amp;query=26.46809519,45.35691786", "View Map")</f>
        <v>View Map</v>
      </c>
      <c r="G2564" s="2">
        <v>0.79838504366813723</v>
      </c>
    </row>
    <row r="2565" spans="1:7" x14ac:dyDescent="0.3">
      <c r="A2565" t="s">
        <v>4155</v>
      </c>
      <c r="B2565" t="s">
        <v>4457</v>
      </c>
      <c r="C2565" t="s">
        <v>883</v>
      </c>
      <c r="D2565">
        <v>2.8620000000000001</v>
      </c>
      <c r="E2565">
        <v>916</v>
      </c>
      <c r="F2565" t="str">
        <f>HYPERLINK("https://www.google.com/maps/search/?api=1&amp;query=25.55450464,47.16384012", "View Map")</f>
        <v>View Map</v>
      </c>
    </row>
    <row r="2566" spans="1:7" x14ac:dyDescent="0.3">
      <c r="A2566" t="s">
        <v>150</v>
      </c>
      <c r="B2566" t="s">
        <v>4458</v>
      </c>
      <c r="C2566" t="s">
        <v>8</v>
      </c>
      <c r="D2566">
        <v>2.859</v>
      </c>
      <c r="E2566">
        <v>915</v>
      </c>
      <c r="F2566" t="str">
        <f>HYPERLINK("https://www.google.com/maps/search/?api=1&amp;query=24.7578456,46.84093192", "View Map")</f>
        <v>View Map</v>
      </c>
    </row>
    <row r="2567" spans="1:7" x14ac:dyDescent="0.3">
      <c r="A2567" t="s">
        <v>479</v>
      </c>
      <c r="B2567" t="s">
        <v>4459</v>
      </c>
      <c r="C2567" t="s">
        <v>738</v>
      </c>
      <c r="D2567">
        <v>2.8580000000000001</v>
      </c>
      <c r="E2567">
        <v>915</v>
      </c>
      <c r="F2567" t="str">
        <f>HYPERLINK("https://www.google.com/maps/search/?api=1&amp;query=25.16919687,46.33634203", "View Map")</f>
        <v>View Map</v>
      </c>
      <c r="G2567" s="2">
        <v>0.7099856030398034</v>
      </c>
    </row>
    <row r="2568" spans="1:7" x14ac:dyDescent="0.3">
      <c r="A2568" t="s">
        <v>4460</v>
      </c>
      <c r="B2568" t="s">
        <v>4461</v>
      </c>
      <c r="C2568" t="s">
        <v>393</v>
      </c>
      <c r="D2568">
        <v>2.8570000000000002</v>
      </c>
      <c r="E2568">
        <v>914</v>
      </c>
      <c r="F2568" t="str">
        <f>HYPERLINK("https://www.google.com/maps/search/?api=1&amp;query=23.3055121,45.15773134", "View Map")</f>
        <v>View Map</v>
      </c>
      <c r="G2568" s="2">
        <v>0.88528899462510513</v>
      </c>
    </row>
    <row r="2569" spans="1:7" x14ac:dyDescent="0.3">
      <c r="A2569" t="s">
        <v>4462</v>
      </c>
      <c r="B2569" t="s">
        <v>4463</v>
      </c>
      <c r="C2569" t="s">
        <v>8</v>
      </c>
      <c r="D2569">
        <v>2.8559999999999999</v>
      </c>
      <c r="E2569">
        <v>914</v>
      </c>
      <c r="F2569" t="str">
        <f>HYPERLINK("https://www.google.com/maps/search/?api=1&amp;query=24.81733812,46.88340268", "View Map")</f>
        <v>View Map</v>
      </c>
    </row>
    <row r="2570" spans="1:7" x14ac:dyDescent="0.3">
      <c r="A2570" t="s">
        <v>4464</v>
      </c>
      <c r="B2570" t="s">
        <v>4465</v>
      </c>
      <c r="C2570" t="s">
        <v>8</v>
      </c>
      <c r="D2570">
        <v>2.855</v>
      </c>
      <c r="E2570">
        <v>914</v>
      </c>
      <c r="F2570" t="str">
        <f>HYPERLINK("https://www.google.com/maps/search/?api=1&amp;query=24.76235624,46.68537258", "View Map")</f>
        <v>View Map</v>
      </c>
    </row>
    <row r="2571" spans="1:7" x14ac:dyDescent="0.3">
      <c r="A2571" t="s">
        <v>4466</v>
      </c>
      <c r="B2571" t="s">
        <v>4467</v>
      </c>
      <c r="C2571" t="s">
        <v>21</v>
      </c>
      <c r="D2571">
        <v>2.855</v>
      </c>
      <c r="E2571">
        <v>914</v>
      </c>
      <c r="F2571" t="str">
        <f>HYPERLINK("https://www.google.com/maps/search/?api=1&amp;query=26.31999517,44.8200038", "View Map")</f>
        <v>View Map</v>
      </c>
    </row>
    <row r="2572" spans="1:7" x14ac:dyDescent="0.3">
      <c r="A2572" t="s">
        <v>4468</v>
      </c>
      <c r="B2572" t="s">
        <v>4469</v>
      </c>
      <c r="C2572" t="s">
        <v>8</v>
      </c>
      <c r="D2572">
        <v>2.855</v>
      </c>
      <c r="E2572">
        <v>914</v>
      </c>
      <c r="F2572" t="str">
        <f>HYPERLINK("https://www.google.com/maps/search/?api=1&amp;query=24.75010793,46.75223719", "View Map")</f>
        <v>View Map</v>
      </c>
    </row>
    <row r="2573" spans="1:7" x14ac:dyDescent="0.3">
      <c r="A2573" t="s">
        <v>4470</v>
      </c>
      <c r="B2573" t="s">
        <v>4471</v>
      </c>
      <c r="C2573" t="s">
        <v>286</v>
      </c>
      <c r="D2573">
        <v>2.855</v>
      </c>
      <c r="E2573">
        <v>914</v>
      </c>
      <c r="F2573" t="str">
        <f>HYPERLINK("https://www.google.com/maps/search/?api=1&amp;query=25.33499792,45.18960664", "View Map")</f>
        <v>View Map</v>
      </c>
      <c r="G2573" s="2">
        <v>0.4268580546392492</v>
      </c>
    </row>
    <row r="2574" spans="1:7" x14ac:dyDescent="0.3">
      <c r="A2574" t="s">
        <v>464</v>
      </c>
      <c r="B2574" t="s">
        <v>4472</v>
      </c>
      <c r="C2574" t="s">
        <v>466</v>
      </c>
      <c r="D2574">
        <v>2.8540000000000001</v>
      </c>
      <c r="E2574">
        <v>913</v>
      </c>
      <c r="F2574" t="str">
        <f>HYPERLINK("https://www.google.com/maps/search/?api=1&amp;query=24.5908024,46.13035834", "View Map")</f>
        <v>View Map</v>
      </c>
      <c r="G2574" s="2">
        <v>0.44534157256574058</v>
      </c>
    </row>
    <row r="2575" spans="1:7" x14ac:dyDescent="0.3">
      <c r="A2575" t="s">
        <v>4473</v>
      </c>
      <c r="B2575" t="s">
        <v>4474</v>
      </c>
      <c r="C2575" t="s">
        <v>8</v>
      </c>
      <c r="D2575">
        <v>2.8519999999999999</v>
      </c>
      <c r="E2575">
        <v>913</v>
      </c>
      <c r="F2575" t="str">
        <f>HYPERLINK("https://www.google.com/maps/search/?api=1&amp;query=24.5956,46.7258", "View Map")</f>
        <v>View Map</v>
      </c>
      <c r="G2575" s="2">
        <v>0.66489784125591311</v>
      </c>
    </row>
    <row r="2576" spans="1:7" x14ac:dyDescent="0.3">
      <c r="A2576" t="s">
        <v>4475</v>
      </c>
      <c r="B2576" t="s">
        <v>4476</v>
      </c>
      <c r="C2576" t="s">
        <v>214</v>
      </c>
      <c r="D2576">
        <v>2.851</v>
      </c>
      <c r="E2576">
        <v>912</v>
      </c>
      <c r="F2576" t="str">
        <f>HYPERLINK("https://www.google.com/maps/search/?api=1&amp;query=25.59169963,45.62010949", "View Map")</f>
        <v>View Map</v>
      </c>
      <c r="G2576" s="2">
        <v>0.38236751686479742</v>
      </c>
    </row>
    <row r="2577" spans="1:7" x14ac:dyDescent="0.3">
      <c r="A2577" t="s">
        <v>46</v>
      </c>
      <c r="B2577" t="s">
        <v>4477</v>
      </c>
      <c r="C2577" t="s">
        <v>8</v>
      </c>
      <c r="D2577">
        <v>2.851</v>
      </c>
      <c r="E2577">
        <v>912</v>
      </c>
      <c r="F2577" t="str">
        <f>HYPERLINK("https://www.google.com/maps/search/?api=1&amp;query=24.89741797,46.95056237", "View Map")</f>
        <v>View Map</v>
      </c>
    </row>
    <row r="2578" spans="1:7" x14ac:dyDescent="0.3">
      <c r="A2578" t="s">
        <v>4478</v>
      </c>
      <c r="B2578" t="s">
        <v>4479</v>
      </c>
      <c r="C2578" t="s">
        <v>270</v>
      </c>
      <c r="D2578">
        <v>2.85</v>
      </c>
      <c r="E2578">
        <v>912</v>
      </c>
      <c r="F2578" t="str">
        <f>HYPERLINK("https://www.google.com/maps/search/?api=1&amp;query=24.01605005,47.16734655", "View Map")</f>
        <v>View Map</v>
      </c>
      <c r="G2578" s="2">
        <v>0.60480020970022697</v>
      </c>
    </row>
    <row r="2579" spans="1:7" x14ac:dyDescent="0.3">
      <c r="A2579" t="s">
        <v>459</v>
      </c>
      <c r="B2579" t="s">
        <v>4480</v>
      </c>
      <c r="C2579" t="s">
        <v>699</v>
      </c>
      <c r="D2579">
        <v>2.8490000000000002</v>
      </c>
      <c r="E2579">
        <v>912</v>
      </c>
      <c r="F2579" t="str">
        <f>HYPERLINK("https://www.google.com/maps/search/?api=1&amp;query=25.11646891,45.48871868", "View Map")</f>
        <v>View Map</v>
      </c>
      <c r="G2579" s="2">
        <v>0.37243751850641837</v>
      </c>
    </row>
    <row r="2580" spans="1:7" x14ac:dyDescent="0.3">
      <c r="A2580" t="s">
        <v>4481</v>
      </c>
      <c r="B2580" t="s">
        <v>4482</v>
      </c>
      <c r="C2580" t="s">
        <v>8</v>
      </c>
      <c r="D2580">
        <v>2.8490000000000002</v>
      </c>
      <c r="E2580">
        <v>912</v>
      </c>
      <c r="F2580" t="str">
        <f>HYPERLINK("https://www.google.com/maps/search/?api=1&amp;query=24.80882234,46.80198243", "View Map")</f>
        <v>View Map</v>
      </c>
    </row>
    <row r="2581" spans="1:7" x14ac:dyDescent="0.3">
      <c r="A2581" t="s">
        <v>4483</v>
      </c>
      <c r="B2581" t="s">
        <v>4484</v>
      </c>
      <c r="C2581" t="s">
        <v>8</v>
      </c>
      <c r="D2581">
        <v>2.8479999999999999</v>
      </c>
      <c r="E2581">
        <v>911</v>
      </c>
      <c r="F2581" t="str">
        <f>HYPERLINK("https://www.google.com/maps/search/?api=1&amp;query=24.75581776,46.61076902", "View Map")</f>
        <v>View Map</v>
      </c>
    </row>
    <row r="2582" spans="1:7" x14ac:dyDescent="0.3">
      <c r="A2582" t="s">
        <v>4485</v>
      </c>
      <c r="B2582" t="s">
        <v>4486</v>
      </c>
      <c r="C2582" t="s">
        <v>8</v>
      </c>
      <c r="D2582">
        <v>2.847</v>
      </c>
      <c r="E2582">
        <v>911</v>
      </c>
      <c r="F2582" t="str">
        <f>HYPERLINK("https://www.google.com/maps/search/?api=1&amp;query=24.68619982,46.82453137", "View Map")</f>
        <v>View Map</v>
      </c>
    </row>
    <row r="2583" spans="1:7" x14ac:dyDescent="0.3">
      <c r="A2583" t="s">
        <v>28</v>
      </c>
      <c r="B2583" t="s">
        <v>4487</v>
      </c>
      <c r="C2583" t="s">
        <v>30</v>
      </c>
      <c r="D2583">
        <v>2.847</v>
      </c>
      <c r="E2583">
        <v>911</v>
      </c>
      <c r="F2583" t="str">
        <f>HYPERLINK("https://www.google.com/maps/search/?api=1&amp;query=24.09385926,47.24024689", "View Map")</f>
        <v>View Map</v>
      </c>
      <c r="G2583" s="2">
        <v>0.51792765147497799</v>
      </c>
    </row>
    <row r="2584" spans="1:7" x14ac:dyDescent="0.3">
      <c r="A2584" t="s">
        <v>4488</v>
      </c>
      <c r="B2584" t="s">
        <v>4489</v>
      </c>
      <c r="C2584" t="s">
        <v>255</v>
      </c>
      <c r="D2584">
        <v>2.8460000000000001</v>
      </c>
      <c r="E2584">
        <v>911</v>
      </c>
      <c r="F2584" t="str">
        <f>HYPERLINK("https://www.google.com/maps/search/?api=1&amp;query=24.30664571,43.72427232", "View Map")</f>
        <v>View Map</v>
      </c>
      <c r="G2584" s="2">
        <v>0.73300975782304956</v>
      </c>
    </row>
    <row r="2585" spans="1:7" x14ac:dyDescent="0.3">
      <c r="A2585" t="s">
        <v>4490</v>
      </c>
      <c r="B2585" t="s">
        <v>4491</v>
      </c>
      <c r="C2585" t="s">
        <v>291</v>
      </c>
      <c r="D2585">
        <v>2.8450000000000002</v>
      </c>
      <c r="E2585">
        <v>910</v>
      </c>
      <c r="F2585" t="str">
        <f>HYPERLINK("https://www.google.com/maps/search/?api=1&amp;query=24.31393185,45.85156619", "View Map")</f>
        <v>View Map</v>
      </c>
      <c r="G2585" s="2">
        <v>0.73088510023537179</v>
      </c>
    </row>
    <row r="2586" spans="1:7" x14ac:dyDescent="0.3">
      <c r="A2586" t="s">
        <v>1273</v>
      </c>
      <c r="B2586" t="s">
        <v>4492</v>
      </c>
      <c r="C2586" t="s">
        <v>241</v>
      </c>
      <c r="D2586">
        <v>2.8450000000000002</v>
      </c>
      <c r="E2586">
        <v>911</v>
      </c>
      <c r="F2586" t="str">
        <f>HYPERLINK("https://www.google.com/maps/search/?api=1&amp;query=20.42512156,44.88295773", "View Map")</f>
        <v>View Map</v>
      </c>
      <c r="G2586" s="2">
        <v>0.37456824868875532</v>
      </c>
    </row>
    <row r="2587" spans="1:7" x14ac:dyDescent="0.3">
      <c r="A2587" t="s">
        <v>4493</v>
      </c>
      <c r="B2587" t="s">
        <v>4494</v>
      </c>
      <c r="C2587" t="s">
        <v>30</v>
      </c>
      <c r="D2587">
        <v>2.8439999999999999</v>
      </c>
      <c r="E2587">
        <v>910</v>
      </c>
      <c r="F2587" t="str">
        <f>HYPERLINK("https://www.google.com/maps/search/?api=1&amp;query=24.16184041,47.2302534", "View Map")</f>
        <v>View Map</v>
      </c>
    </row>
    <row r="2588" spans="1:7" x14ac:dyDescent="0.3">
      <c r="A2588" t="s">
        <v>4495</v>
      </c>
      <c r="B2588" t="s">
        <v>4496</v>
      </c>
      <c r="C2588" t="s">
        <v>8</v>
      </c>
      <c r="D2588">
        <v>2.843</v>
      </c>
      <c r="E2588">
        <v>910</v>
      </c>
      <c r="F2588" t="str">
        <f>HYPERLINK("https://www.google.com/maps/search/?api=1&amp;query=24.77552941,46.72267279", "View Map")</f>
        <v>View Map</v>
      </c>
    </row>
    <row r="2589" spans="1:7" x14ac:dyDescent="0.3">
      <c r="A2589" t="s">
        <v>4497</v>
      </c>
      <c r="B2589" t="s">
        <v>4498</v>
      </c>
      <c r="C2589" t="s">
        <v>8</v>
      </c>
      <c r="D2589">
        <v>2.843</v>
      </c>
      <c r="E2589">
        <v>910</v>
      </c>
      <c r="F2589" t="str">
        <f>HYPERLINK("https://www.google.com/maps/search/?api=1&amp;query=24.61961669,46.73371283", "View Map")</f>
        <v>View Map</v>
      </c>
      <c r="G2589" s="2">
        <v>0.1781455723135261</v>
      </c>
    </row>
    <row r="2590" spans="1:7" x14ac:dyDescent="0.3">
      <c r="A2590" t="s">
        <v>4499</v>
      </c>
      <c r="B2590" t="s">
        <v>4500</v>
      </c>
      <c r="C2590" t="s">
        <v>8</v>
      </c>
      <c r="D2590">
        <v>2.8420000000000001</v>
      </c>
      <c r="E2590">
        <v>909</v>
      </c>
      <c r="F2590" t="str">
        <f>HYPERLINK("https://www.google.com/maps/search/?api=1&amp;query=24.71496876,46.84993356", "View Map")</f>
        <v>View Map</v>
      </c>
    </row>
    <row r="2591" spans="1:7" x14ac:dyDescent="0.3">
      <c r="A2591" t="s">
        <v>4501</v>
      </c>
      <c r="B2591" t="s">
        <v>4502</v>
      </c>
      <c r="C2591" t="s">
        <v>8</v>
      </c>
      <c r="D2591">
        <v>2.8410000000000002</v>
      </c>
      <c r="E2591">
        <v>909</v>
      </c>
      <c r="F2591" t="str">
        <f>HYPERLINK("https://www.google.com/maps/search/?api=1&amp;query=24.62071313,46.76037453", "View Map")</f>
        <v>View Map</v>
      </c>
    </row>
    <row r="2592" spans="1:7" x14ac:dyDescent="0.3">
      <c r="A2592" t="s">
        <v>146</v>
      </c>
      <c r="B2592" t="s">
        <v>4503</v>
      </c>
      <c r="C2592" t="s">
        <v>8</v>
      </c>
      <c r="D2592">
        <v>2.8410000000000002</v>
      </c>
      <c r="E2592">
        <v>909</v>
      </c>
      <c r="F2592" t="str">
        <f>HYPERLINK("https://www.google.com/maps/search/?api=1&amp;query=24.55068893,46.63014862", "View Map")</f>
        <v>View Map</v>
      </c>
    </row>
    <row r="2593" spans="1:7" x14ac:dyDescent="0.3">
      <c r="A2593" t="s">
        <v>4504</v>
      </c>
      <c r="B2593" t="s">
        <v>4505</v>
      </c>
      <c r="C2593" t="s">
        <v>8</v>
      </c>
      <c r="D2593">
        <v>2.8410000000000002</v>
      </c>
      <c r="E2593">
        <v>909</v>
      </c>
      <c r="F2593" t="str">
        <f>HYPERLINK("https://www.google.com/maps/search/?api=1&amp;query=24.61407213,46.85477443", "View Map")</f>
        <v>View Map</v>
      </c>
    </row>
    <row r="2594" spans="1:7" x14ac:dyDescent="0.3">
      <c r="A2594" t="s">
        <v>4506</v>
      </c>
      <c r="B2594" t="s">
        <v>4507</v>
      </c>
      <c r="C2594" t="s">
        <v>214</v>
      </c>
      <c r="D2594">
        <v>2.8410000000000002</v>
      </c>
      <c r="E2594">
        <v>909</v>
      </c>
      <c r="F2594" t="str">
        <f>HYPERLINK("https://www.google.com/maps/search/?api=1&amp;query=25.55638288,45.68421005", "View Map")</f>
        <v>View Map</v>
      </c>
      <c r="G2594" s="2">
        <v>0.69721250002273449</v>
      </c>
    </row>
    <row r="2595" spans="1:7" x14ac:dyDescent="0.3">
      <c r="A2595" t="s">
        <v>4508</v>
      </c>
      <c r="B2595" t="s">
        <v>4509</v>
      </c>
      <c r="C2595" t="s">
        <v>214</v>
      </c>
      <c r="D2595">
        <v>2.8380000000000001</v>
      </c>
      <c r="E2595">
        <v>908</v>
      </c>
      <c r="F2595" t="str">
        <f>HYPERLINK("https://www.google.com/maps/search/?api=1&amp;query=25.60174848,45.62442469", "View Map")</f>
        <v>View Map</v>
      </c>
      <c r="G2595" s="2">
        <v>0.64860749195577583</v>
      </c>
    </row>
    <row r="2596" spans="1:7" x14ac:dyDescent="0.3">
      <c r="A2596" t="s">
        <v>4095</v>
      </c>
      <c r="B2596" t="s">
        <v>4510</v>
      </c>
      <c r="C2596" t="s">
        <v>8</v>
      </c>
      <c r="D2596">
        <v>2.8359999999999999</v>
      </c>
      <c r="E2596">
        <v>908</v>
      </c>
      <c r="F2596" t="str">
        <f>HYPERLINK("https://www.google.com/maps/search/?api=1&amp;query=24.7972609,46.65974272", "View Map")</f>
        <v>View Map</v>
      </c>
    </row>
    <row r="2597" spans="1:7" x14ac:dyDescent="0.3">
      <c r="A2597" t="s">
        <v>4511</v>
      </c>
      <c r="B2597" t="s">
        <v>4512</v>
      </c>
      <c r="C2597" t="s">
        <v>270</v>
      </c>
      <c r="D2597">
        <v>2.8359999999999999</v>
      </c>
      <c r="E2597">
        <v>907</v>
      </c>
      <c r="F2597" t="str">
        <f>HYPERLINK("https://www.google.com/maps/search/?api=1&amp;query=24.00328167,47.11321407", "View Map")</f>
        <v>View Map</v>
      </c>
    </row>
    <row r="2598" spans="1:7" x14ac:dyDescent="0.3">
      <c r="A2598" t="s">
        <v>1234</v>
      </c>
      <c r="B2598" t="s">
        <v>4513</v>
      </c>
      <c r="C2598" t="s">
        <v>8</v>
      </c>
      <c r="D2598">
        <v>2.835</v>
      </c>
      <c r="E2598">
        <v>907</v>
      </c>
      <c r="F2598" t="str">
        <f>HYPERLINK("https://www.google.com/maps/search/?api=1&amp;query=24.74275208,46.74966629", "View Map")</f>
        <v>View Map</v>
      </c>
    </row>
    <row r="2599" spans="1:7" x14ac:dyDescent="0.3">
      <c r="A2599" t="s">
        <v>4514</v>
      </c>
      <c r="B2599" t="s">
        <v>4515</v>
      </c>
      <c r="C2599" t="s">
        <v>8</v>
      </c>
      <c r="D2599">
        <v>2.8340000000000001</v>
      </c>
      <c r="E2599">
        <v>907</v>
      </c>
      <c r="F2599" t="str">
        <f>HYPERLINK("https://www.google.com/maps/search/?api=1&amp;query=24.55931226,46.70118497", "View Map")</f>
        <v>View Map</v>
      </c>
    </row>
    <row r="2600" spans="1:7" x14ac:dyDescent="0.3">
      <c r="A2600" t="s">
        <v>3350</v>
      </c>
      <c r="B2600" t="s">
        <v>4516</v>
      </c>
      <c r="C2600" t="s">
        <v>8</v>
      </c>
      <c r="D2600">
        <v>2.8319999999999999</v>
      </c>
      <c r="E2600">
        <v>906</v>
      </c>
      <c r="F2600" t="str">
        <f>HYPERLINK("https://www.google.com/maps/search/?api=1&amp;query=24.58030558,46.52540169", "View Map")</f>
        <v>View Map</v>
      </c>
    </row>
    <row r="2601" spans="1:7" x14ac:dyDescent="0.3">
      <c r="A2601" t="s">
        <v>146</v>
      </c>
      <c r="B2601" t="s">
        <v>4517</v>
      </c>
      <c r="C2601" t="s">
        <v>8</v>
      </c>
      <c r="D2601">
        <v>2.831</v>
      </c>
      <c r="E2601">
        <v>906</v>
      </c>
      <c r="F2601" t="str">
        <f>HYPERLINK("https://www.google.com/maps/search/?api=1&amp;query=24.625613,46.697227", "View Map")</f>
        <v>View Map</v>
      </c>
    </row>
    <row r="2602" spans="1:7" x14ac:dyDescent="0.3">
      <c r="A2602" t="s">
        <v>4518</v>
      </c>
      <c r="B2602" t="s">
        <v>4519</v>
      </c>
      <c r="C2602" t="s">
        <v>30</v>
      </c>
      <c r="D2602">
        <v>2.83</v>
      </c>
      <c r="E2602">
        <v>906</v>
      </c>
      <c r="F2602" t="str">
        <f>HYPERLINK("https://www.google.com/maps/search/?api=1&amp;query=24.14940783,47.31633843", "View Map")</f>
        <v>View Map</v>
      </c>
      <c r="G2602" s="2">
        <v>0.50476793732078518</v>
      </c>
    </row>
    <row r="2603" spans="1:7" x14ac:dyDescent="0.3">
      <c r="A2603" t="s">
        <v>4520</v>
      </c>
      <c r="B2603" t="s">
        <v>4521</v>
      </c>
      <c r="C2603" t="s">
        <v>8</v>
      </c>
      <c r="D2603">
        <v>2.8290000000000002</v>
      </c>
      <c r="E2603">
        <v>905</v>
      </c>
      <c r="F2603" t="str">
        <f>HYPERLINK("https://www.google.com/maps/search/?api=1&amp;query=24.56918754,46.69135625", "View Map")</f>
        <v>View Map</v>
      </c>
    </row>
    <row r="2604" spans="1:7" x14ac:dyDescent="0.3">
      <c r="A2604" t="s">
        <v>4522</v>
      </c>
      <c r="B2604" t="s">
        <v>4523</v>
      </c>
      <c r="C2604" t="s">
        <v>8</v>
      </c>
      <c r="D2604">
        <v>2.8279999999999998</v>
      </c>
      <c r="E2604">
        <v>905</v>
      </c>
      <c r="F2604" t="str">
        <f>HYPERLINK("https://www.google.com/maps/search/?api=1&amp;query=24.66033855,46.73400261", "View Map")</f>
        <v>View Map</v>
      </c>
    </row>
    <row r="2605" spans="1:7" x14ac:dyDescent="0.3">
      <c r="A2605" t="s">
        <v>4524</v>
      </c>
      <c r="B2605" t="s">
        <v>4525</v>
      </c>
      <c r="C2605" t="s">
        <v>255</v>
      </c>
      <c r="D2605">
        <v>2.8279999999999998</v>
      </c>
      <c r="E2605">
        <v>905</v>
      </c>
      <c r="F2605" t="str">
        <f>HYPERLINK("https://www.google.com/maps/search/?api=1&amp;query=25.08225566,44.28410885", "View Map")</f>
        <v>View Map</v>
      </c>
      <c r="G2605" s="2">
        <v>0.37784180028075159</v>
      </c>
    </row>
    <row r="2606" spans="1:7" x14ac:dyDescent="0.3">
      <c r="A2606" t="s">
        <v>4526</v>
      </c>
      <c r="B2606" t="s">
        <v>4527</v>
      </c>
      <c r="C2606" t="s">
        <v>883</v>
      </c>
      <c r="D2606">
        <v>2.827</v>
      </c>
      <c r="E2606">
        <v>905</v>
      </c>
      <c r="F2606" t="str">
        <f>HYPERLINK("https://www.google.com/maps/search/?api=1&amp;query=25.5751681,46.97353524", "View Map")</f>
        <v>View Map</v>
      </c>
      <c r="G2606" s="2">
        <v>0.70234966603387394</v>
      </c>
    </row>
    <row r="2607" spans="1:7" x14ac:dyDescent="0.3">
      <c r="A2607" t="s">
        <v>289</v>
      </c>
      <c r="B2607" t="s">
        <v>4528</v>
      </c>
      <c r="C2607" t="s">
        <v>291</v>
      </c>
      <c r="D2607">
        <v>2.8260000000000001</v>
      </c>
      <c r="E2607">
        <v>904</v>
      </c>
      <c r="F2607" t="str">
        <f>HYPERLINK("https://www.google.com/maps/search/?api=1&amp;query=24.32680018,45.82388909", "View Map")</f>
        <v>View Map</v>
      </c>
      <c r="G2607" s="2">
        <v>0.58768647962738463</v>
      </c>
    </row>
    <row r="2608" spans="1:7" x14ac:dyDescent="0.3">
      <c r="A2608" t="s">
        <v>4529</v>
      </c>
      <c r="B2608" t="s">
        <v>4530</v>
      </c>
      <c r="C2608" t="s">
        <v>214</v>
      </c>
      <c r="D2608">
        <v>2.8260000000000001</v>
      </c>
      <c r="E2608">
        <v>904</v>
      </c>
      <c r="F2608" t="str">
        <f>HYPERLINK("https://www.google.com/maps/search/?api=1&amp;query=26.5090677,45.34735978", "View Map")</f>
        <v>View Map</v>
      </c>
      <c r="G2608" s="2">
        <v>0.5268649615565032</v>
      </c>
    </row>
    <row r="2609" spans="1:7" x14ac:dyDescent="0.3">
      <c r="A2609" t="s">
        <v>3112</v>
      </c>
      <c r="B2609" t="s">
        <v>4531</v>
      </c>
      <c r="C2609" t="s">
        <v>291</v>
      </c>
      <c r="D2609">
        <v>2.8260000000000001</v>
      </c>
      <c r="E2609">
        <v>904</v>
      </c>
      <c r="F2609" t="str">
        <f>HYPERLINK("https://www.google.com/maps/search/?api=1&amp;query=24.33303742,45.81854412", "View Map")</f>
        <v>View Map</v>
      </c>
      <c r="G2609" s="2">
        <v>0.68342575725021115</v>
      </c>
    </row>
    <row r="2610" spans="1:7" x14ac:dyDescent="0.3">
      <c r="A2610" t="s">
        <v>4532</v>
      </c>
      <c r="B2610" t="s">
        <v>4533</v>
      </c>
      <c r="C2610" t="s">
        <v>214</v>
      </c>
      <c r="D2610">
        <v>2.8260000000000001</v>
      </c>
      <c r="E2610">
        <v>904</v>
      </c>
      <c r="F2610" t="str">
        <f>HYPERLINK("https://www.google.com/maps/search/?api=1&amp;query=25.90048975,45.37221019", "View Map")</f>
        <v>View Map</v>
      </c>
      <c r="G2610" s="2">
        <v>0.62072331760993493</v>
      </c>
    </row>
    <row r="2611" spans="1:7" x14ac:dyDescent="0.3">
      <c r="A2611" t="s">
        <v>4534</v>
      </c>
      <c r="B2611" t="s">
        <v>4535</v>
      </c>
      <c r="C2611" t="s">
        <v>8</v>
      </c>
      <c r="D2611">
        <v>2.8260000000000001</v>
      </c>
      <c r="E2611">
        <v>904</v>
      </c>
      <c r="F2611" t="str">
        <f>HYPERLINK("https://www.google.com/maps/search/?api=1&amp;query=24.39324164,46.83622297", "View Map")</f>
        <v>View Map</v>
      </c>
      <c r="G2611" s="2">
        <v>0.37134912521203228</v>
      </c>
    </row>
    <row r="2612" spans="1:7" x14ac:dyDescent="0.3">
      <c r="A2612" t="s">
        <v>4536</v>
      </c>
      <c r="B2612" t="s">
        <v>4537</v>
      </c>
      <c r="C2612" t="s">
        <v>8</v>
      </c>
      <c r="D2612">
        <v>2.8239999999999998</v>
      </c>
      <c r="E2612">
        <v>904</v>
      </c>
      <c r="F2612" t="str">
        <f>HYPERLINK("https://www.google.com/maps/search/?api=1&amp;query=24.58720564,46.78842017", "View Map")</f>
        <v>View Map</v>
      </c>
    </row>
    <row r="2613" spans="1:7" x14ac:dyDescent="0.3">
      <c r="A2613" t="s">
        <v>4538</v>
      </c>
      <c r="B2613" t="s">
        <v>4539</v>
      </c>
      <c r="C2613" t="s">
        <v>8</v>
      </c>
      <c r="D2613">
        <v>2.8239999999999998</v>
      </c>
      <c r="E2613">
        <v>904</v>
      </c>
      <c r="F2613" t="str">
        <f>HYPERLINK("https://www.google.com/maps/search/?api=1&amp;query=24.56690937,46.54187861", "View Map")</f>
        <v>View Map</v>
      </c>
    </row>
    <row r="2614" spans="1:7" x14ac:dyDescent="0.3">
      <c r="A2614" t="s">
        <v>1418</v>
      </c>
      <c r="B2614" t="s">
        <v>4540</v>
      </c>
      <c r="C2614" t="s">
        <v>8</v>
      </c>
      <c r="D2614">
        <v>2.8239999999999998</v>
      </c>
      <c r="E2614">
        <v>904</v>
      </c>
      <c r="F2614" t="str">
        <f>HYPERLINK("https://www.google.com/maps/search/?api=1&amp;query=24.77375402,46.71187778", "View Map")</f>
        <v>View Map</v>
      </c>
    </row>
    <row r="2615" spans="1:7" x14ac:dyDescent="0.3">
      <c r="A2615" t="s">
        <v>46</v>
      </c>
      <c r="B2615" t="s">
        <v>4541</v>
      </c>
      <c r="C2615" t="s">
        <v>8</v>
      </c>
      <c r="D2615">
        <v>2.8239999999999998</v>
      </c>
      <c r="E2615">
        <v>904</v>
      </c>
      <c r="F2615" t="str">
        <f>HYPERLINK("https://www.google.com/maps/search/?api=1&amp;query=24.82820974,46.58653605", "View Map")</f>
        <v>View Map</v>
      </c>
      <c r="G2615" s="2">
        <v>0.26605501271289472</v>
      </c>
    </row>
    <row r="2616" spans="1:7" x14ac:dyDescent="0.3">
      <c r="A2616" t="s">
        <v>46</v>
      </c>
      <c r="B2616" t="s">
        <v>4542</v>
      </c>
      <c r="C2616" t="s">
        <v>8</v>
      </c>
      <c r="D2616">
        <v>2.823</v>
      </c>
      <c r="E2616">
        <v>903</v>
      </c>
      <c r="F2616" t="str">
        <f>HYPERLINK("https://www.google.com/maps/search/?api=1&amp;query=24.92205197,46.79593492", "View Map")</f>
        <v>View Map</v>
      </c>
    </row>
    <row r="2617" spans="1:7" x14ac:dyDescent="0.3">
      <c r="A2617" t="s">
        <v>4543</v>
      </c>
      <c r="B2617" t="s">
        <v>4544</v>
      </c>
      <c r="C2617" t="s">
        <v>8</v>
      </c>
      <c r="D2617">
        <v>2.8220000000000001</v>
      </c>
      <c r="E2617">
        <v>903</v>
      </c>
      <c r="F2617" t="str">
        <f>HYPERLINK("https://www.google.com/maps/search/?api=1&amp;query=24.69856028,46.78649476", "View Map")</f>
        <v>View Map</v>
      </c>
    </row>
    <row r="2618" spans="1:7" x14ac:dyDescent="0.3">
      <c r="A2618" t="s">
        <v>4545</v>
      </c>
      <c r="B2618" t="s">
        <v>4546</v>
      </c>
      <c r="C2618" t="s">
        <v>214</v>
      </c>
      <c r="D2618">
        <v>2.8220000000000001</v>
      </c>
      <c r="E2618">
        <v>903</v>
      </c>
      <c r="F2618" t="str">
        <f>HYPERLINK("https://www.google.com/maps/search/?api=1&amp;query=25.69707417,45.87855716", "View Map")</f>
        <v>View Map</v>
      </c>
      <c r="G2618" s="2">
        <v>0.55564992625125254</v>
      </c>
    </row>
    <row r="2619" spans="1:7" x14ac:dyDescent="0.3">
      <c r="A2619" t="s">
        <v>4547</v>
      </c>
      <c r="B2619" t="s">
        <v>4548</v>
      </c>
      <c r="C2619" t="s">
        <v>8</v>
      </c>
      <c r="D2619">
        <v>2.8210000000000002</v>
      </c>
      <c r="E2619">
        <v>903</v>
      </c>
      <c r="F2619" t="str">
        <f>HYPERLINK("https://www.google.com/maps/search/?api=1&amp;query=24.814851,46.89511", "View Map")</f>
        <v>View Map</v>
      </c>
    </row>
    <row r="2620" spans="1:7" x14ac:dyDescent="0.3">
      <c r="A2620" t="s">
        <v>4549</v>
      </c>
      <c r="B2620" t="s">
        <v>4550</v>
      </c>
      <c r="C2620" t="s">
        <v>738</v>
      </c>
      <c r="D2620">
        <v>2.82</v>
      </c>
      <c r="E2620">
        <v>902</v>
      </c>
      <c r="F2620" t="str">
        <f>HYPERLINK("https://www.google.com/maps/search/?api=1&amp;query=25.11202627,46.09503588", "View Map")</f>
        <v>View Map</v>
      </c>
      <c r="G2620" s="2">
        <v>0.5715251776368484</v>
      </c>
    </row>
    <row r="2621" spans="1:7" x14ac:dyDescent="0.3">
      <c r="A2621" t="s">
        <v>1594</v>
      </c>
      <c r="B2621" t="s">
        <v>4551</v>
      </c>
      <c r="C2621" t="s">
        <v>296</v>
      </c>
      <c r="D2621">
        <v>2.82</v>
      </c>
      <c r="E2621">
        <v>903</v>
      </c>
      <c r="F2621" t="str">
        <f>HYPERLINK("https://www.google.com/maps/search/?api=1&amp;query=24.48466457,46.26776487", "View Map")</f>
        <v>View Map</v>
      </c>
      <c r="G2621" s="2">
        <v>0.52525259873897212</v>
      </c>
    </row>
    <row r="2622" spans="1:7" x14ac:dyDescent="0.3">
      <c r="A2622" t="s">
        <v>4552</v>
      </c>
      <c r="B2622" t="s">
        <v>4553</v>
      </c>
      <c r="C2622" t="s">
        <v>8</v>
      </c>
      <c r="D2622">
        <v>2.8180000000000001</v>
      </c>
      <c r="E2622">
        <v>902</v>
      </c>
      <c r="F2622" t="str">
        <f>HYPERLINK("https://www.google.com/maps/search/?api=1&amp;query=24.76831581,46.61218218", "View Map")</f>
        <v>View Map</v>
      </c>
    </row>
    <row r="2623" spans="1:7" x14ac:dyDescent="0.3">
      <c r="A2623" t="s">
        <v>4554</v>
      </c>
      <c r="B2623" t="s">
        <v>4555</v>
      </c>
      <c r="C2623" t="s">
        <v>8</v>
      </c>
      <c r="D2623">
        <v>2.8170000000000002</v>
      </c>
      <c r="E2623">
        <v>902</v>
      </c>
      <c r="F2623" t="str">
        <f>HYPERLINK("https://www.google.com/maps/search/?api=1&amp;query=24.64786086,46.57852373", "View Map")</f>
        <v>View Map</v>
      </c>
    </row>
    <row r="2624" spans="1:7" x14ac:dyDescent="0.3">
      <c r="A2624" t="s">
        <v>860</v>
      </c>
      <c r="B2624" t="s">
        <v>4556</v>
      </c>
      <c r="C2624" t="s">
        <v>8</v>
      </c>
      <c r="D2624">
        <v>2.8170000000000002</v>
      </c>
      <c r="E2624">
        <v>901</v>
      </c>
      <c r="F2624" t="str">
        <f>HYPERLINK("https://www.google.com/maps/search/?api=1&amp;query=24.61373628,46.75084666", "View Map")</f>
        <v>View Map</v>
      </c>
    </row>
    <row r="2625" spans="1:7" x14ac:dyDescent="0.3">
      <c r="A2625" t="s">
        <v>678</v>
      </c>
      <c r="B2625" t="s">
        <v>4557</v>
      </c>
      <c r="C2625" t="s">
        <v>21</v>
      </c>
      <c r="D2625">
        <v>2.8149999999999999</v>
      </c>
      <c r="E2625">
        <v>901</v>
      </c>
      <c r="F2625" t="str">
        <f>HYPERLINK("https://www.google.com/maps/search/?api=1&amp;query=26.33728128,44.81793767", "View Map")</f>
        <v>View Map</v>
      </c>
      <c r="G2625" s="2">
        <v>0.68804096800076731</v>
      </c>
    </row>
    <row r="2626" spans="1:7" x14ac:dyDescent="0.3">
      <c r="A2626" t="s">
        <v>146</v>
      </c>
      <c r="B2626" t="s">
        <v>4558</v>
      </c>
      <c r="C2626" t="s">
        <v>8</v>
      </c>
      <c r="D2626">
        <v>2.8130000000000002</v>
      </c>
      <c r="E2626">
        <v>900</v>
      </c>
      <c r="F2626" t="str">
        <f>HYPERLINK("https://www.google.com/maps/search/?api=1&amp;query=24.55400993,46.57070032", "View Map")</f>
        <v>View Map</v>
      </c>
    </row>
    <row r="2627" spans="1:7" x14ac:dyDescent="0.3">
      <c r="A2627" t="s">
        <v>464</v>
      </c>
      <c r="B2627" t="s">
        <v>4559</v>
      </c>
      <c r="C2627" t="s">
        <v>466</v>
      </c>
      <c r="D2627">
        <v>2.8119999999999998</v>
      </c>
      <c r="E2627">
        <v>900</v>
      </c>
      <c r="F2627" t="str">
        <f>HYPERLINK("https://www.google.com/maps/search/?api=1&amp;query=24.52122093,46.13405041", "View Map")</f>
        <v>View Map</v>
      </c>
      <c r="G2627" s="2">
        <v>0.5015291463950331</v>
      </c>
    </row>
    <row r="2628" spans="1:7" x14ac:dyDescent="0.3">
      <c r="A2628" t="s">
        <v>4560</v>
      </c>
      <c r="B2628" t="s">
        <v>4561</v>
      </c>
      <c r="C2628" t="s">
        <v>214</v>
      </c>
      <c r="D2628">
        <v>2.8119999999999998</v>
      </c>
      <c r="E2628">
        <v>900</v>
      </c>
      <c r="F2628" t="str">
        <f>HYPERLINK("https://www.google.com/maps/search/?api=1&amp;query=26.49421926,45.34198786", "View Map")</f>
        <v>View Map</v>
      </c>
      <c r="G2628" s="2">
        <v>0.67522369338862442</v>
      </c>
    </row>
    <row r="2629" spans="1:7" x14ac:dyDescent="0.3">
      <c r="A2629" t="s">
        <v>4562</v>
      </c>
      <c r="B2629" t="s">
        <v>4563</v>
      </c>
      <c r="C2629" t="s">
        <v>30</v>
      </c>
      <c r="D2629">
        <v>2.8109999999999999</v>
      </c>
      <c r="E2629">
        <v>899</v>
      </c>
      <c r="F2629" t="str">
        <f>HYPERLINK("https://www.google.com/maps/search/?api=1&amp;query=24.10897225,47.27751586", "View Map")</f>
        <v>View Map</v>
      </c>
      <c r="G2629" s="2">
        <v>0.69455349433390046</v>
      </c>
    </row>
    <row r="2630" spans="1:7" x14ac:dyDescent="0.3">
      <c r="A2630" t="s">
        <v>4564</v>
      </c>
      <c r="B2630" t="s">
        <v>4565</v>
      </c>
      <c r="C2630" t="s">
        <v>8</v>
      </c>
      <c r="D2630">
        <v>2.8109999999999999</v>
      </c>
      <c r="E2630">
        <v>900</v>
      </c>
      <c r="F2630" t="str">
        <f>HYPERLINK("https://www.google.com/maps/search/?api=1&amp;query=24.53834528,46.69340104", "View Map")</f>
        <v>View Map</v>
      </c>
    </row>
    <row r="2631" spans="1:7" x14ac:dyDescent="0.3">
      <c r="A2631" t="s">
        <v>4566</v>
      </c>
      <c r="B2631" t="s">
        <v>4567</v>
      </c>
      <c r="C2631" t="s">
        <v>296</v>
      </c>
      <c r="D2631">
        <v>2.81</v>
      </c>
      <c r="E2631">
        <v>899</v>
      </c>
      <c r="F2631" t="str">
        <f>HYPERLINK("https://www.google.com/maps/search/?api=1&amp;query=24.47678497,46.27644237", "View Map")</f>
        <v>View Map</v>
      </c>
    </row>
    <row r="2632" spans="1:7" x14ac:dyDescent="0.3">
      <c r="A2632" t="s">
        <v>4568</v>
      </c>
      <c r="B2632" t="s">
        <v>4569</v>
      </c>
      <c r="C2632" t="s">
        <v>30</v>
      </c>
      <c r="D2632">
        <v>2.8079999999999998</v>
      </c>
      <c r="E2632">
        <v>898</v>
      </c>
      <c r="F2632" t="str">
        <f>HYPERLINK("https://www.google.com/maps/search/?api=1&amp;query=24.14689316,47.30165313", "View Map")</f>
        <v>View Map</v>
      </c>
    </row>
    <row r="2633" spans="1:7" x14ac:dyDescent="0.3">
      <c r="A2633" t="s">
        <v>4570</v>
      </c>
      <c r="B2633" t="s">
        <v>4571</v>
      </c>
      <c r="C2633" t="s">
        <v>8</v>
      </c>
      <c r="D2633">
        <v>2.806</v>
      </c>
      <c r="E2633">
        <v>898</v>
      </c>
      <c r="F2633" t="str">
        <f>HYPERLINK("https://www.google.com/maps/search/?api=1&amp;query=24.63420434,46.73399719", "View Map")</f>
        <v>View Map</v>
      </c>
    </row>
    <row r="2634" spans="1:7" x14ac:dyDescent="0.3">
      <c r="A2634" t="s">
        <v>4572</v>
      </c>
      <c r="B2634" t="s">
        <v>4573</v>
      </c>
      <c r="C2634" t="s">
        <v>8</v>
      </c>
      <c r="D2634">
        <v>2.806</v>
      </c>
      <c r="E2634">
        <v>898</v>
      </c>
      <c r="F2634" t="str">
        <f>HYPERLINK("https://www.google.com/maps/search/?api=1&amp;query=24.81199178,46.79092932", "View Map")</f>
        <v>View Map</v>
      </c>
    </row>
    <row r="2635" spans="1:7" x14ac:dyDescent="0.3">
      <c r="A2635" t="s">
        <v>28</v>
      </c>
      <c r="B2635" t="s">
        <v>4574</v>
      </c>
      <c r="C2635" t="s">
        <v>30</v>
      </c>
      <c r="D2635">
        <v>2.8039999999999998</v>
      </c>
      <c r="E2635">
        <v>897</v>
      </c>
      <c r="F2635" t="str">
        <f>HYPERLINK("https://www.google.com/maps/search/?api=1&amp;query=24.1634387,47.25978021", "View Map")</f>
        <v>View Map</v>
      </c>
    </row>
    <row r="2636" spans="1:7" x14ac:dyDescent="0.3">
      <c r="A2636" t="s">
        <v>146</v>
      </c>
      <c r="B2636" t="s">
        <v>4575</v>
      </c>
      <c r="C2636" t="s">
        <v>8</v>
      </c>
      <c r="D2636">
        <v>2.8039999999999998</v>
      </c>
      <c r="E2636">
        <v>897</v>
      </c>
      <c r="F2636" t="str">
        <f>HYPERLINK("https://www.google.com/maps/search/?api=1&amp;query=24.6125,46.7017", "View Map")</f>
        <v>View Map</v>
      </c>
    </row>
    <row r="2637" spans="1:7" x14ac:dyDescent="0.3">
      <c r="A2637" t="s">
        <v>4576</v>
      </c>
      <c r="B2637" t="s">
        <v>4577</v>
      </c>
      <c r="C2637" t="s">
        <v>291</v>
      </c>
      <c r="D2637">
        <v>2.8039999999999998</v>
      </c>
      <c r="E2637">
        <v>897</v>
      </c>
      <c r="F2637" t="str">
        <f>HYPERLINK("https://www.google.com/maps/search/?api=1&amp;query=24.27031553,45.18166553", "View Map")</f>
        <v>View Map</v>
      </c>
      <c r="G2637" s="2">
        <v>0.67735669840283041</v>
      </c>
    </row>
    <row r="2638" spans="1:7" x14ac:dyDescent="0.3">
      <c r="A2638" t="s">
        <v>1070</v>
      </c>
      <c r="B2638" t="s">
        <v>4578</v>
      </c>
      <c r="C2638" t="s">
        <v>8</v>
      </c>
      <c r="D2638">
        <v>2.8039999999999998</v>
      </c>
      <c r="E2638">
        <v>897</v>
      </c>
      <c r="F2638" t="str">
        <f>HYPERLINK("https://www.google.com/maps/search/?api=1&amp;query=24.789881,46.81354787", "View Map")</f>
        <v>View Map</v>
      </c>
      <c r="G2638" s="2">
        <v>0.62697939862238328</v>
      </c>
    </row>
    <row r="2639" spans="1:7" x14ac:dyDescent="0.3">
      <c r="A2639" t="s">
        <v>2857</v>
      </c>
      <c r="B2639" t="s">
        <v>4579</v>
      </c>
      <c r="C2639" t="s">
        <v>8</v>
      </c>
      <c r="D2639">
        <v>2.8029999999999999</v>
      </c>
      <c r="E2639">
        <v>897</v>
      </c>
      <c r="F2639" t="str">
        <f>HYPERLINK("https://www.google.com/maps/search/?api=1&amp;query=24.80888281,46.65732768", "View Map")</f>
        <v>View Map</v>
      </c>
    </row>
    <row r="2640" spans="1:7" x14ac:dyDescent="0.3">
      <c r="A2640" t="s">
        <v>4580</v>
      </c>
      <c r="B2640" t="s">
        <v>4581</v>
      </c>
      <c r="C2640" t="s">
        <v>8</v>
      </c>
      <c r="D2640">
        <v>2.8029999999999999</v>
      </c>
      <c r="E2640">
        <v>897</v>
      </c>
      <c r="F2640" t="str">
        <f>HYPERLINK("https://www.google.com/maps/search/?api=1&amp;query=24.68006763,46.66975152", "View Map")</f>
        <v>View Map</v>
      </c>
      <c r="G2640" s="2">
        <v>0.90690365650382321</v>
      </c>
    </row>
    <row r="2641" spans="1:7" x14ac:dyDescent="0.3">
      <c r="A2641" t="s">
        <v>1273</v>
      </c>
      <c r="B2641" t="s">
        <v>4582</v>
      </c>
      <c r="C2641" t="s">
        <v>820</v>
      </c>
      <c r="D2641">
        <v>2.802</v>
      </c>
      <c r="E2641">
        <v>897</v>
      </c>
      <c r="F2641" t="str">
        <f>HYPERLINK("https://www.google.com/maps/search/?api=1&amp;query=0.0,0.0", "View Map")</f>
        <v>View Map</v>
      </c>
    </row>
    <row r="2642" spans="1:7" x14ac:dyDescent="0.3">
      <c r="A2642" t="s">
        <v>4583</v>
      </c>
      <c r="B2642" t="s">
        <v>4584</v>
      </c>
      <c r="C2642" t="s">
        <v>214</v>
      </c>
      <c r="D2642">
        <v>2.802</v>
      </c>
      <c r="E2642">
        <v>896</v>
      </c>
      <c r="F2642" t="str">
        <f>HYPERLINK("https://www.google.com/maps/search/?api=1&amp;query=25.5991194,45.62974651", "View Map")</f>
        <v>View Map</v>
      </c>
    </row>
    <row r="2643" spans="1:7" x14ac:dyDescent="0.3">
      <c r="A2643" t="s">
        <v>4585</v>
      </c>
      <c r="B2643" t="s">
        <v>4586</v>
      </c>
      <c r="C2643" t="s">
        <v>8</v>
      </c>
      <c r="D2643">
        <v>2.8</v>
      </c>
      <c r="E2643">
        <v>896</v>
      </c>
      <c r="F2643" t="str">
        <f>HYPERLINK("https://www.google.com/maps/search/?api=1&amp;query=24.69207975,46.81154014", "View Map")</f>
        <v>View Map</v>
      </c>
    </row>
    <row r="2644" spans="1:7" x14ac:dyDescent="0.3">
      <c r="A2644" t="s">
        <v>4587</v>
      </c>
      <c r="B2644" t="s">
        <v>4588</v>
      </c>
      <c r="C2644" t="s">
        <v>8</v>
      </c>
      <c r="D2644">
        <v>2.8</v>
      </c>
      <c r="E2644">
        <v>896</v>
      </c>
      <c r="F2644" t="str">
        <f>HYPERLINK("https://www.google.com/maps/search/?api=1&amp;query=24.60175366,46.77346194", "View Map")</f>
        <v>View Map</v>
      </c>
    </row>
    <row r="2645" spans="1:7" x14ac:dyDescent="0.3">
      <c r="A2645" t="s">
        <v>4589</v>
      </c>
      <c r="B2645" t="s">
        <v>4590</v>
      </c>
      <c r="C2645" t="s">
        <v>364</v>
      </c>
      <c r="D2645">
        <v>2.7989999999999999</v>
      </c>
      <c r="E2645">
        <v>896</v>
      </c>
      <c r="F2645" t="str">
        <f>HYPERLINK("https://www.google.com/maps/search/?api=1&amp;query=25.20231899,45.85652942", "View Map")</f>
        <v>View Map</v>
      </c>
      <c r="G2645" s="2">
        <v>0.66892494858327889</v>
      </c>
    </row>
    <row r="2646" spans="1:7" x14ac:dyDescent="0.3">
      <c r="A2646" t="s">
        <v>4591</v>
      </c>
      <c r="B2646" t="s">
        <v>4592</v>
      </c>
      <c r="C2646" t="s">
        <v>21</v>
      </c>
      <c r="D2646">
        <v>2.7989999999999999</v>
      </c>
      <c r="E2646">
        <v>896</v>
      </c>
      <c r="F2646" t="str">
        <f>HYPERLINK("https://www.google.com/maps/search/?api=1&amp;query=26.29423433,44.82305807", "View Map")</f>
        <v>View Map</v>
      </c>
      <c r="G2646" s="2">
        <v>0.59674466160119211</v>
      </c>
    </row>
    <row r="2647" spans="1:7" x14ac:dyDescent="0.3">
      <c r="A2647" t="s">
        <v>4593</v>
      </c>
      <c r="B2647" t="s">
        <v>4594</v>
      </c>
      <c r="C2647" t="s">
        <v>286</v>
      </c>
      <c r="D2647">
        <v>2.7959999999999998</v>
      </c>
      <c r="E2647">
        <v>895</v>
      </c>
      <c r="F2647" t="str">
        <f>HYPERLINK("https://www.google.com/maps/search/?api=1&amp;query=25.21873258,45.27205401", "View Map")</f>
        <v>View Map</v>
      </c>
      <c r="G2647" s="2">
        <v>0.69980430141278849</v>
      </c>
    </row>
    <row r="2648" spans="1:7" x14ac:dyDescent="0.3">
      <c r="A2648" t="s">
        <v>4595</v>
      </c>
      <c r="B2648" t="s">
        <v>4596</v>
      </c>
      <c r="C2648" t="s">
        <v>8</v>
      </c>
      <c r="D2648">
        <v>2.7959999999999998</v>
      </c>
      <c r="E2648">
        <v>895</v>
      </c>
      <c r="F2648" t="str">
        <f>HYPERLINK("https://www.google.com/maps/search/?api=1&amp;query=24.71985871,46.82554207", "View Map")</f>
        <v>View Map</v>
      </c>
    </row>
    <row r="2649" spans="1:7" x14ac:dyDescent="0.3">
      <c r="A2649" t="s">
        <v>46</v>
      </c>
      <c r="B2649" t="s">
        <v>4597</v>
      </c>
      <c r="C2649" t="s">
        <v>8</v>
      </c>
      <c r="D2649">
        <v>2.7949999999999999</v>
      </c>
      <c r="E2649">
        <v>894</v>
      </c>
      <c r="F2649" t="str">
        <f>HYPERLINK("https://www.google.com/maps/search/?api=1&amp;query=24.75612521,46.60457785", "View Map")</f>
        <v>View Map</v>
      </c>
    </row>
    <row r="2650" spans="1:7" x14ac:dyDescent="0.3">
      <c r="A2650" t="s">
        <v>4598</v>
      </c>
      <c r="B2650" t="s">
        <v>4599</v>
      </c>
      <c r="C2650" t="s">
        <v>8</v>
      </c>
      <c r="D2650">
        <v>2.7949999999999999</v>
      </c>
      <c r="E2650">
        <v>894</v>
      </c>
      <c r="F2650" t="str">
        <f>HYPERLINK("https://www.google.com/maps/search/?api=1&amp;query=24.80938896,46.68705046", "View Map")</f>
        <v>View Map</v>
      </c>
    </row>
    <row r="2651" spans="1:7" x14ac:dyDescent="0.3">
      <c r="A2651" t="s">
        <v>627</v>
      </c>
      <c r="B2651" t="s">
        <v>4600</v>
      </c>
      <c r="C2651" t="s">
        <v>8</v>
      </c>
      <c r="D2651">
        <v>2.7949999999999999</v>
      </c>
      <c r="E2651">
        <v>895</v>
      </c>
      <c r="F2651" t="str">
        <f>HYPERLINK("https://www.google.com/maps/search/?api=1&amp;query=24.77894893,46.67866674", "View Map")</f>
        <v>View Map</v>
      </c>
    </row>
    <row r="2652" spans="1:7" x14ac:dyDescent="0.3">
      <c r="A2652" t="s">
        <v>632</v>
      </c>
      <c r="B2652" t="s">
        <v>4601</v>
      </c>
      <c r="C2652" t="s">
        <v>8</v>
      </c>
      <c r="D2652">
        <v>2.794</v>
      </c>
      <c r="E2652">
        <v>894</v>
      </c>
      <c r="F2652" t="str">
        <f>HYPERLINK("https://www.google.com/maps/search/?api=1&amp;query=24.57611727,46.57332223", "View Map")</f>
        <v>View Map</v>
      </c>
    </row>
    <row r="2653" spans="1:7" x14ac:dyDescent="0.3">
      <c r="A2653" t="s">
        <v>73</v>
      </c>
      <c r="B2653" t="s">
        <v>4602</v>
      </c>
      <c r="C2653" t="s">
        <v>8</v>
      </c>
      <c r="D2653">
        <v>2.7930000000000001</v>
      </c>
      <c r="E2653">
        <v>894</v>
      </c>
      <c r="F2653" t="str">
        <f>HYPERLINK("https://www.google.com/maps/search/?api=1&amp;query=24.64037295,46.55897973", "View Map")</f>
        <v>View Map</v>
      </c>
    </row>
    <row r="2654" spans="1:7" x14ac:dyDescent="0.3">
      <c r="A2654" t="s">
        <v>1859</v>
      </c>
      <c r="B2654" t="s">
        <v>4603</v>
      </c>
      <c r="C2654" t="s">
        <v>8</v>
      </c>
      <c r="D2654">
        <v>2.7909999999999999</v>
      </c>
      <c r="E2654">
        <v>893</v>
      </c>
      <c r="F2654" t="str">
        <f>HYPERLINK("https://www.google.com/maps/search/?api=1&amp;query=24.74580397,46.66669321", "View Map")</f>
        <v>View Map</v>
      </c>
    </row>
    <row r="2655" spans="1:7" x14ac:dyDescent="0.3">
      <c r="A2655" t="s">
        <v>4604</v>
      </c>
      <c r="B2655" t="s">
        <v>4605</v>
      </c>
      <c r="C2655" t="s">
        <v>8</v>
      </c>
      <c r="D2655">
        <v>2.79</v>
      </c>
      <c r="E2655">
        <v>893</v>
      </c>
      <c r="F2655" t="str">
        <f>HYPERLINK("https://www.google.com/maps/search/?api=1&amp;query=24.6351631,46.70024726", "View Map")</f>
        <v>View Map</v>
      </c>
    </row>
    <row r="2656" spans="1:7" x14ac:dyDescent="0.3">
      <c r="A2656" t="s">
        <v>4606</v>
      </c>
      <c r="B2656" t="s">
        <v>4607</v>
      </c>
      <c r="C2656" t="s">
        <v>8</v>
      </c>
      <c r="D2656">
        <v>2.7879999999999998</v>
      </c>
      <c r="E2656">
        <v>892</v>
      </c>
      <c r="F2656" t="str">
        <f>HYPERLINK("https://www.google.com/maps/search/?api=1&amp;query=24.72869569,46.68696178", "View Map")</f>
        <v>View Map</v>
      </c>
    </row>
    <row r="2657" spans="1:7" x14ac:dyDescent="0.3">
      <c r="A2657" t="s">
        <v>300</v>
      </c>
      <c r="B2657" t="s">
        <v>4608</v>
      </c>
      <c r="C2657" t="s">
        <v>8</v>
      </c>
      <c r="D2657">
        <v>2.7879999999999998</v>
      </c>
      <c r="E2657">
        <v>892</v>
      </c>
      <c r="F2657" t="str">
        <f>HYPERLINK("https://www.google.com/maps/search/?api=1&amp;query=24.78675534,46.69088504", "View Map")</f>
        <v>View Map</v>
      </c>
    </row>
    <row r="2658" spans="1:7" x14ac:dyDescent="0.3">
      <c r="A2658" t="s">
        <v>4609</v>
      </c>
      <c r="B2658" t="s">
        <v>4610</v>
      </c>
      <c r="C2658" t="s">
        <v>296</v>
      </c>
      <c r="D2658">
        <v>2.7869999999999999</v>
      </c>
      <c r="E2658">
        <v>892</v>
      </c>
      <c r="F2658" t="str">
        <f>HYPERLINK("https://www.google.com/maps/search/?api=1&amp;query=24.47411963,46.26569852", "View Map")</f>
        <v>View Map</v>
      </c>
    </row>
    <row r="2659" spans="1:7" x14ac:dyDescent="0.3">
      <c r="A2659" t="s">
        <v>881</v>
      </c>
      <c r="B2659" t="s">
        <v>4611</v>
      </c>
      <c r="C2659" t="s">
        <v>883</v>
      </c>
      <c r="D2659">
        <v>2.7869999999999999</v>
      </c>
      <c r="E2659">
        <v>892</v>
      </c>
      <c r="F2659" t="str">
        <f>HYPERLINK("https://www.google.com/maps/search/?api=1&amp;query=25.54175382,47.16558585", "View Map")</f>
        <v>View Map</v>
      </c>
      <c r="G2659" s="2">
        <v>0.43420689673740909</v>
      </c>
    </row>
    <row r="2660" spans="1:7" x14ac:dyDescent="0.3">
      <c r="A2660" t="s">
        <v>4612</v>
      </c>
      <c r="B2660" t="s">
        <v>4613</v>
      </c>
      <c r="C2660" t="s">
        <v>241</v>
      </c>
      <c r="D2660">
        <v>2.786</v>
      </c>
      <c r="E2660">
        <v>891</v>
      </c>
      <c r="F2660" t="str">
        <f>HYPERLINK("https://www.google.com/maps/search/?api=1&amp;query=20.44415432,44.79756388", "View Map")</f>
        <v>View Map</v>
      </c>
      <c r="G2660" s="2">
        <v>0.38379084874143837</v>
      </c>
    </row>
    <row r="2661" spans="1:7" x14ac:dyDescent="0.3">
      <c r="A2661" t="s">
        <v>4614</v>
      </c>
      <c r="B2661" t="s">
        <v>4615</v>
      </c>
      <c r="C2661" t="s">
        <v>255</v>
      </c>
      <c r="D2661">
        <v>2.7839999999999998</v>
      </c>
      <c r="E2661">
        <v>891</v>
      </c>
      <c r="F2661" t="str">
        <f>HYPERLINK("https://www.google.com/maps/search/?api=1&amp;query=24.83731415,43.65222538", "View Map")</f>
        <v>View Map</v>
      </c>
      <c r="G2661" s="2">
        <v>0.77755432528584745</v>
      </c>
    </row>
    <row r="2662" spans="1:7" x14ac:dyDescent="0.3">
      <c r="A2662" t="s">
        <v>627</v>
      </c>
      <c r="B2662" t="s">
        <v>4616</v>
      </c>
      <c r="C2662" t="s">
        <v>8</v>
      </c>
      <c r="D2662">
        <v>2.7839999999999998</v>
      </c>
      <c r="E2662">
        <v>891</v>
      </c>
      <c r="F2662" t="str">
        <f>HYPERLINK("https://www.google.com/maps/search/?api=1&amp;query=24.79641343,46.65581817", "View Map")</f>
        <v>View Map</v>
      </c>
    </row>
    <row r="2663" spans="1:7" x14ac:dyDescent="0.3">
      <c r="A2663" t="s">
        <v>4617</v>
      </c>
      <c r="B2663" t="s">
        <v>4618</v>
      </c>
      <c r="C2663" t="s">
        <v>8</v>
      </c>
      <c r="D2663">
        <v>2.7839999999999998</v>
      </c>
      <c r="E2663">
        <v>891</v>
      </c>
      <c r="F2663" t="str">
        <f>HYPERLINK("https://www.google.com/maps/search/?api=1&amp;query=24.80817943,46.90203331", "View Map")</f>
        <v>View Map</v>
      </c>
    </row>
    <row r="2664" spans="1:7" x14ac:dyDescent="0.3">
      <c r="A2664" t="s">
        <v>4619</v>
      </c>
      <c r="B2664" t="s">
        <v>4620</v>
      </c>
      <c r="C2664" t="s">
        <v>8</v>
      </c>
      <c r="D2664">
        <v>2.7829999999999999</v>
      </c>
      <c r="E2664">
        <v>891</v>
      </c>
      <c r="F2664" t="str">
        <f>HYPERLINK("https://www.google.com/maps/search/?api=1&amp;query=24.56452182,46.54374322", "View Map")</f>
        <v>View Map</v>
      </c>
    </row>
    <row r="2665" spans="1:7" x14ac:dyDescent="0.3">
      <c r="A2665" t="s">
        <v>4621</v>
      </c>
      <c r="B2665" t="s">
        <v>4622</v>
      </c>
      <c r="C2665" t="s">
        <v>8</v>
      </c>
      <c r="D2665">
        <v>2.782</v>
      </c>
      <c r="E2665">
        <v>890</v>
      </c>
      <c r="F2665" t="str">
        <f>HYPERLINK("https://www.google.com/maps/search/?api=1&amp;query=24.78804605,46.70861209", "View Map")</f>
        <v>View Map</v>
      </c>
      <c r="G2665" s="2">
        <v>0.55472889676257087</v>
      </c>
    </row>
    <row r="2666" spans="1:7" x14ac:dyDescent="0.3">
      <c r="A2666" t="s">
        <v>4623</v>
      </c>
      <c r="B2666" t="s">
        <v>4624</v>
      </c>
      <c r="C2666" t="s">
        <v>8</v>
      </c>
      <c r="D2666">
        <v>2.782</v>
      </c>
      <c r="E2666">
        <v>890</v>
      </c>
      <c r="F2666" t="str">
        <f>HYPERLINK("https://www.google.com/maps/search/?api=1&amp;query=24.64942153,46.70695369", "View Map")</f>
        <v>View Map</v>
      </c>
    </row>
    <row r="2667" spans="1:7" x14ac:dyDescent="0.3">
      <c r="A2667" t="s">
        <v>146</v>
      </c>
      <c r="B2667" t="s">
        <v>4625</v>
      </c>
      <c r="C2667" t="s">
        <v>8</v>
      </c>
      <c r="D2667">
        <v>2.782</v>
      </c>
      <c r="E2667">
        <v>890</v>
      </c>
      <c r="F2667" t="str">
        <f>HYPERLINK("https://www.google.com/maps/search/?api=1&amp;query=24.5575,46.625", "View Map")</f>
        <v>View Map</v>
      </c>
    </row>
    <row r="2668" spans="1:7" x14ac:dyDescent="0.3">
      <c r="A2668" t="s">
        <v>4626</v>
      </c>
      <c r="B2668" t="s">
        <v>4627</v>
      </c>
      <c r="C2668" t="s">
        <v>393</v>
      </c>
      <c r="D2668">
        <v>2.7810000000000001</v>
      </c>
      <c r="E2668">
        <v>890</v>
      </c>
      <c r="F2668" t="str">
        <f>HYPERLINK("https://www.google.com/maps/search/?api=1&amp;query=23.36856577,45.39373398", "View Map")</f>
        <v>View Map</v>
      </c>
      <c r="G2668" s="2">
        <v>0.45489262994564439</v>
      </c>
    </row>
    <row r="2669" spans="1:7" x14ac:dyDescent="0.3">
      <c r="A2669" t="s">
        <v>4628</v>
      </c>
      <c r="B2669" t="s">
        <v>4629</v>
      </c>
      <c r="C2669" t="s">
        <v>8</v>
      </c>
      <c r="D2669">
        <v>2.778</v>
      </c>
      <c r="E2669">
        <v>889</v>
      </c>
      <c r="F2669" t="str">
        <f>HYPERLINK("https://www.google.com/maps/search/?api=1&amp;query=24.56372838,46.78322256", "View Map")</f>
        <v>View Map</v>
      </c>
    </row>
    <row r="2670" spans="1:7" x14ac:dyDescent="0.3">
      <c r="A2670" t="s">
        <v>4630</v>
      </c>
      <c r="B2670" t="s">
        <v>4631</v>
      </c>
      <c r="C2670" t="s">
        <v>8</v>
      </c>
      <c r="D2670">
        <v>2.778</v>
      </c>
      <c r="E2670">
        <v>889</v>
      </c>
      <c r="F2670" t="str">
        <f>HYPERLINK("https://www.google.com/maps/search/?api=1&amp;query=24.780734,46.76991222", "View Map")</f>
        <v>View Map</v>
      </c>
    </row>
    <row r="2671" spans="1:7" x14ac:dyDescent="0.3">
      <c r="A2671" t="s">
        <v>28</v>
      </c>
      <c r="B2671" t="s">
        <v>4632</v>
      </c>
      <c r="C2671" t="s">
        <v>30</v>
      </c>
      <c r="D2671">
        <v>2.778</v>
      </c>
      <c r="E2671">
        <v>889</v>
      </c>
      <c r="F2671" t="str">
        <f>HYPERLINK("https://www.google.com/maps/search/?api=1&amp;query=24.09442,47.27492", "View Map")</f>
        <v>View Map</v>
      </c>
      <c r="G2671" s="2">
        <v>0.52638004050218734</v>
      </c>
    </row>
    <row r="2672" spans="1:7" x14ac:dyDescent="0.3">
      <c r="A2672" t="s">
        <v>46</v>
      </c>
      <c r="B2672" t="s">
        <v>4633</v>
      </c>
      <c r="C2672" t="s">
        <v>8</v>
      </c>
      <c r="D2672">
        <v>2.778</v>
      </c>
      <c r="E2672">
        <v>889</v>
      </c>
      <c r="F2672" t="str">
        <f>HYPERLINK("https://www.google.com/maps/search/?api=1&amp;query=24.76839986,46.83408547", "View Map")</f>
        <v>View Map</v>
      </c>
    </row>
    <row r="2673" spans="1:7" x14ac:dyDescent="0.3">
      <c r="A2673" t="s">
        <v>4634</v>
      </c>
      <c r="B2673" t="s">
        <v>4635</v>
      </c>
      <c r="C2673" t="s">
        <v>8</v>
      </c>
      <c r="D2673">
        <v>2.7770000000000001</v>
      </c>
      <c r="E2673">
        <v>889</v>
      </c>
      <c r="F2673" t="str">
        <f>HYPERLINK("https://www.google.com/maps/search/?api=1&amp;query=24.71792452,46.81783059", "View Map")</f>
        <v>View Map</v>
      </c>
    </row>
    <row r="2674" spans="1:7" x14ac:dyDescent="0.3">
      <c r="A2674" t="s">
        <v>4636</v>
      </c>
      <c r="B2674" t="s">
        <v>4637</v>
      </c>
      <c r="C2674" t="s">
        <v>8</v>
      </c>
      <c r="D2674">
        <v>2.7749999999999999</v>
      </c>
      <c r="E2674">
        <v>888</v>
      </c>
      <c r="F2674" t="str">
        <f>HYPERLINK("https://www.google.com/maps/search/?api=1&amp;query=24.74345578,46.75898319", "View Map")</f>
        <v>View Map</v>
      </c>
    </row>
    <row r="2675" spans="1:7" x14ac:dyDescent="0.3">
      <c r="A2675" t="s">
        <v>4638</v>
      </c>
      <c r="B2675" t="s">
        <v>4639</v>
      </c>
      <c r="C2675" t="s">
        <v>214</v>
      </c>
      <c r="D2675">
        <v>2.7749999999999999</v>
      </c>
      <c r="E2675">
        <v>888</v>
      </c>
      <c r="F2675" t="str">
        <f>HYPERLINK("https://www.google.com/maps/search/?api=1&amp;query=25.67526821,45.45331772", "View Map")</f>
        <v>View Map</v>
      </c>
      <c r="G2675" s="2">
        <v>0.69514103944378713</v>
      </c>
    </row>
    <row r="2676" spans="1:7" x14ac:dyDescent="0.3">
      <c r="A2676" t="s">
        <v>46</v>
      </c>
      <c r="B2676" t="s">
        <v>4640</v>
      </c>
      <c r="C2676" t="s">
        <v>8</v>
      </c>
      <c r="D2676">
        <v>2.7749999999999999</v>
      </c>
      <c r="E2676">
        <v>888</v>
      </c>
      <c r="F2676" t="str">
        <f>HYPERLINK("https://www.google.com/maps/search/?api=1&amp;query=24.93732387,46.78949624", "View Map")</f>
        <v>View Map</v>
      </c>
      <c r="G2676" s="2">
        <v>0.35812428358274101</v>
      </c>
    </row>
    <row r="2677" spans="1:7" x14ac:dyDescent="0.3">
      <c r="A2677" t="s">
        <v>146</v>
      </c>
      <c r="B2677" t="s">
        <v>4641</v>
      </c>
      <c r="C2677" t="s">
        <v>8</v>
      </c>
      <c r="D2677">
        <v>2.7749999999999999</v>
      </c>
      <c r="E2677">
        <v>888</v>
      </c>
      <c r="F2677" t="str">
        <f>HYPERLINK("https://www.google.com/maps/search/?api=1&amp;query=24.68303487,46.57086891", "View Map")</f>
        <v>View Map</v>
      </c>
    </row>
    <row r="2678" spans="1:7" x14ac:dyDescent="0.3">
      <c r="A2678" t="s">
        <v>4642</v>
      </c>
      <c r="B2678" t="s">
        <v>4643</v>
      </c>
      <c r="C2678" t="s">
        <v>241</v>
      </c>
      <c r="D2678">
        <v>2.774</v>
      </c>
      <c r="E2678">
        <v>888</v>
      </c>
      <c r="F2678" t="str">
        <f>HYPERLINK("https://www.google.com/maps/search/?api=1&amp;query=20.45625797,44.79848915", "View Map")</f>
        <v>View Map</v>
      </c>
      <c r="G2678" s="2">
        <v>0.84323569077295102</v>
      </c>
    </row>
    <row r="2679" spans="1:7" x14ac:dyDescent="0.3">
      <c r="A2679" t="s">
        <v>4644</v>
      </c>
      <c r="B2679" t="s">
        <v>4645</v>
      </c>
      <c r="C2679" t="s">
        <v>8</v>
      </c>
      <c r="D2679">
        <v>2.7730000000000001</v>
      </c>
      <c r="E2679">
        <v>887</v>
      </c>
      <c r="F2679" t="str">
        <f>HYPERLINK("https://www.google.com/maps/search/?api=1&amp;query=24.78380468,46.78335339", "View Map")</f>
        <v>View Map</v>
      </c>
    </row>
    <row r="2680" spans="1:7" x14ac:dyDescent="0.3">
      <c r="A2680" t="s">
        <v>261</v>
      </c>
      <c r="B2680" t="s">
        <v>4646</v>
      </c>
      <c r="C2680" t="s">
        <v>255</v>
      </c>
      <c r="D2680">
        <v>2.7730000000000001</v>
      </c>
      <c r="E2680">
        <v>887</v>
      </c>
      <c r="F2680" t="str">
        <f>HYPERLINK("https://www.google.com/maps/search/?api=1&amp;query=24.50087887,44.39025447", "View Map")</f>
        <v>View Map</v>
      </c>
      <c r="G2680" s="2">
        <v>0.49020569581964701</v>
      </c>
    </row>
    <row r="2681" spans="1:7" x14ac:dyDescent="0.3">
      <c r="A2681" t="s">
        <v>4647</v>
      </c>
      <c r="B2681" t="s">
        <v>4648</v>
      </c>
      <c r="C2681" t="s">
        <v>8</v>
      </c>
      <c r="D2681">
        <v>2.7709999999999999</v>
      </c>
      <c r="E2681">
        <v>887</v>
      </c>
      <c r="F2681" t="str">
        <f>HYPERLINK("https://www.google.com/maps/search/?api=1&amp;query=24.75940706,46.73565536", "View Map")</f>
        <v>View Map</v>
      </c>
    </row>
    <row r="2682" spans="1:7" x14ac:dyDescent="0.3">
      <c r="A2682" t="s">
        <v>46</v>
      </c>
      <c r="B2682" t="s">
        <v>4649</v>
      </c>
      <c r="C2682" t="s">
        <v>8</v>
      </c>
      <c r="D2682">
        <v>2.7709999999999999</v>
      </c>
      <c r="E2682">
        <v>887</v>
      </c>
      <c r="F2682" t="str">
        <f>HYPERLINK("https://www.google.com/maps/search/?api=1&amp;query=24.84132377,46.75461212", "View Map")</f>
        <v>View Map</v>
      </c>
    </row>
    <row r="2683" spans="1:7" x14ac:dyDescent="0.3">
      <c r="A2683" t="s">
        <v>4650</v>
      </c>
      <c r="B2683" t="s">
        <v>4651</v>
      </c>
      <c r="C2683" t="s">
        <v>8</v>
      </c>
      <c r="D2683">
        <v>2.7709999999999999</v>
      </c>
      <c r="E2683">
        <v>887</v>
      </c>
      <c r="F2683" t="str">
        <f>HYPERLINK("https://www.google.com/maps/search/?api=1&amp;query=24.76981515,46.78986917", "View Map")</f>
        <v>View Map</v>
      </c>
    </row>
    <row r="2684" spans="1:7" x14ac:dyDescent="0.3">
      <c r="A2684" t="s">
        <v>146</v>
      </c>
      <c r="B2684" t="s">
        <v>4652</v>
      </c>
      <c r="C2684" t="s">
        <v>8</v>
      </c>
      <c r="D2684">
        <v>2.77</v>
      </c>
      <c r="E2684">
        <v>886</v>
      </c>
      <c r="F2684" t="str">
        <f>HYPERLINK("https://www.google.com/maps/search/?api=1&amp;query=24.58643079,46.68677077", "View Map")</f>
        <v>View Map</v>
      </c>
    </row>
    <row r="2685" spans="1:7" x14ac:dyDescent="0.3">
      <c r="A2685" t="s">
        <v>4653</v>
      </c>
      <c r="B2685" t="s">
        <v>4654</v>
      </c>
      <c r="C2685" t="s">
        <v>8</v>
      </c>
      <c r="D2685">
        <v>2.77</v>
      </c>
      <c r="E2685">
        <v>886</v>
      </c>
      <c r="F2685" t="str">
        <f>HYPERLINK("https://www.google.com/maps/search/?api=1&amp;query=24.79055915,46.79616398", "View Map")</f>
        <v>View Map</v>
      </c>
    </row>
    <row r="2686" spans="1:7" x14ac:dyDescent="0.3">
      <c r="A2686" t="s">
        <v>4655</v>
      </c>
      <c r="B2686" t="s">
        <v>4656</v>
      </c>
      <c r="C2686" t="s">
        <v>137</v>
      </c>
      <c r="D2686">
        <v>2.77</v>
      </c>
      <c r="E2686">
        <v>886</v>
      </c>
      <c r="F2686" t="str">
        <f>HYPERLINK("https://www.google.com/maps/search/?api=1&amp;query=23.20447309,46.39494812", "View Map")</f>
        <v>View Map</v>
      </c>
      <c r="G2686" s="2">
        <v>0.65763868059631447</v>
      </c>
    </row>
    <row r="2687" spans="1:7" x14ac:dyDescent="0.3">
      <c r="A2687" t="s">
        <v>4657</v>
      </c>
      <c r="B2687" t="s">
        <v>4658</v>
      </c>
      <c r="C2687" t="s">
        <v>8</v>
      </c>
      <c r="D2687">
        <v>2.7690000000000001</v>
      </c>
      <c r="E2687">
        <v>886</v>
      </c>
      <c r="F2687" t="str">
        <f>HYPERLINK("https://www.google.com/maps/search/?api=1&amp;query=24.75177033,46.66900921", "View Map")</f>
        <v>View Map</v>
      </c>
    </row>
    <row r="2688" spans="1:7" x14ac:dyDescent="0.3">
      <c r="A2688" t="s">
        <v>4659</v>
      </c>
      <c r="B2688" t="s">
        <v>4660</v>
      </c>
      <c r="C2688" t="s">
        <v>883</v>
      </c>
      <c r="D2688">
        <v>2.7690000000000001</v>
      </c>
      <c r="E2688">
        <v>886</v>
      </c>
      <c r="F2688" t="str">
        <f>HYPERLINK("https://www.google.com/maps/search/?api=1&amp;query=25.4060951,47.20939746", "View Map")</f>
        <v>View Map</v>
      </c>
      <c r="G2688" s="2">
        <v>0.70893820117343564</v>
      </c>
    </row>
    <row r="2689" spans="1:7" x14ac:dyDescent="0.3">
      <c r="A2689" t="s">
        <v>28</v>
      </c>
      <c r="B2689" t="s">
        <v>4661</v>
      </c>
      <c r="C2689" t="s">
        <v>30</v>
      </c>
      <c r="D2689">
        <v>2.7679999999999998</v>
      </c>
      <c r="E2689">
        <v>886</v>
      </c>
      <c r="F2689" t="str">
        <f>HYPERLINK("https://www.google.com/maps/search/?api=1&amp;query=24.08044102,47.26647476", "View Map")</f>
        <v>View Map</v>
      </c>
      <c r="G2689" s="2">
        <v>0.40540888388249952</v>
      </c>
    </row>
    <row r="2690" spans="1:7" x14ac:dyDescent="0.3">
      <c r="A2690" t="s">
        <v>411</v>
      </c>
      <c r="B2690" t="s">
        <v>4662</v>
      </c>
      <c r="C2690" t="s">
        <v>77</v>
      </c>
      <c r="D2690">
        <v>2.7669999999999999</v>
      </c>
      <c r="E2690">
        <v>886</v>
      </c>
      <c r="F2690" t="str">
        <f>HYPERLINK("https://www.google.com/maps/search/?api=1&amp;query=22.32206347,46.70301756", "View Map")</f>
        <v>View Map</v>
      </c>
      <c r="G2690" s="2">
        <v>0.66741639408022413</v>
      </c>
    </row>
    <row r="2691" spans="1:7" x14ac:dyDescent="0.3">
      <c r="A2691" t="s">
        <v>46</v>
      </c>
      <c r="B2691" t="s">
        <v>4663</v>
      </c>
      <c r="C2691" t="s">
        <v>8</v>
      </c>
      <c r="D2691">
        <v>2.7669999999999999</v>
      </c>
      <c r="E2691">
        <v>885</v>
      </c>
      <c r="F2691" t="str">
        <f>HYPERLINK("https://www.google.com/maps/search/?api=1&amp;query=24.85478018,46.62643913", "View Map")</f>
        <v>View Map</v>
      </c>
    </row>
    <row r="2692" spans="1:7" x14ac:dyDescent="0.3">
      <c r="A2692" t="s">
        <v>4664</v>
      </c>
      <c r="B2692" t="s">
        <v>4665</v>
      </c>
      <c r="C2692" t="s">
        <v>291</v>
      </c>
      <c r="D2692">
        <v>2.7639999999999998</v>
      </c>
      <c r="E2692">
        <v>884</v>
      </c>
      <c r="F2692" t="str">
        <f>HYPERLINK("https://www.google.com/maps/search/?api=1&amp;query=24.03555914,45.05791535", "View Map")</f>
        <v>View Map</v>
      </c>
      <c r="G2692" s="2">
        <v>0.65135250282250978</v>
      </c>
    </row>
    <row r="2693" spans="1:7" x14ac:dyDescent="0.3">
      <c r="A2693" t="s">
        <v>4666</v>
      </c>
      <c r="B2693" t="s">
        <v>4667</v>
      </c>
      <c r="C2693" t="s">
        <v>21</v>
      </c>
      <c r="D2693">
        <v>2.76</v>
      </c>
      <c r="E2693">
        <v>883</v>
      </c>
      <c r="F2693" t="str">
        <f>HYPERLINK("https://www.google.com/maps/search/?api=1&amp;query=26.29411352,44.7935574", "View Map")</f>
        <v>View Map</v>
      </c>
      <c r="G2693" s="2">
        <v>0.49659384776187548</v>
      </c>
    </row>
    <row r="2694" spans="1:7" x14ac:dyDescent="0.3">
      <c r="A2694" t="s">
        <v>4668</v>
      </c>
      <c r="B2694" t="s">
        <v>4669</v>
      </c>
      <c r="C2694" t="s">
        <v>8</v>
      </c>
      <c r="D2694">
        <v>2.76</v>
      </c>
      <c r="E2694">
        <v>883</v>
      </c>
      <c r="F2694" t="str">
        <f>HYPERLINK("https://www.google.com/maps/search/?api=1&amp;query=24.64139568,46.84214511", "View Map")</f>
        <v>View Map</v>
      </c>
    </row>
    <row r="2695" spans="1:7" x14ac:dyDescent="0.3">
      <c r="A2695" t="s">
        <v>4670</v>
      </c>
      <c r="B2695" t="s">
        <v>4671</v>
      </c>
      <c r="C2695" t="s">
        <v>8</v>
      </c>
      <c r="D2695">
        <v>2.758</v>
      </c>
      <c r="E2695">
        <v>882</v>
      </c>
      <c r="F2695" t="str">
        <f>HYPERLINK("https://www.google.com/maps/search/?api=1&amp;query=24.81315951,46.79012088", "View Map")</f>
        <v>View Map</v>
      </c>
      <c r="G2695" s="2">
        <v>0.33099042070943391</v>
      </c>
    </row>
    <row r="2696" spans="1:7" x14ac:dyDescent="0.3">
      <c r="A2696" t="s">
        <v>73</v>
      </c>
      <c r="B2696" t="s">
        <v>4672</v>
      </c>
      <c r="C2696" t="s">
        <v>8</v>
      </c>
      <c r="D2696">
        <v>2.758</v>
      </c>
      <c r="E2696">
        <v>883</v>
      </c>
      <c r="F2696" t="str">
        <f>HYPERLINK("https://www.google.com/maps/search/?api=1&amp;query=24.8265293,46.59987905", "View Map")</f>
        <v>View Map</v>
      </c>
    </row>
    <row r="2697" spans="1:7" x14ac:dyDescent="0.3">
      <c r="A2697" t="s">
        <v>4673</v>
      </c>
      <c r="B2697" t="s">
        <v>4674</v>
      </c>
      <c r="C2697" t="s">
        <v>21</v>
      </c>
      <c r="D2697">
        <v>2.7570000000000001</v>
      </c>
      <c r="E2697">
        <v>882</v>
      </c>
      <c r="F2697" t="str">
        <f>HYPERLINK("https://www.google.com/maps/search/?api=1&amp;query=26.29963822,44.81325745", "View Map")</f>
        <v>View Map</v>
      </c>
      <c r="G2697" s="2">
        <v>0.39280340380352652</v>
      </c>
    </row>
    <row r="2698" spans="1:7" x14ac:dyDescent="0.3">
      <c r="A2698" t="s">
        <v>4675</v>
      </c>
      <c r="B2698" t="s">
        <v>4676</v>
      </c>
      <c r="C2698" t="s">
        <v>255</v>
      </c>
      <c r="D2698">
        <v>2.7559999999999998</v>
      </c>
      <c r="E2698">
        <v>882</v>
      </c>
      <c r="F2698" t="str">
        <f>HYPERLINK("https://www.google.com/maps/search/?api=1&amp;query=24.50983412,43.78630565", "View Map")</f>
        <v>View Map</v>
      </c>
      <c r="G2698" s="2">
        <v>0.34403963483192779</v>
      </c>
    </row>
    <row r="2699" spans="1:7" x14ac:dyDescent="0.3">
      <c r="A2699" t="s">
        <v>4677</v>
      </c>
      <c r="B2699" t="s">
        <v>4678</v>
      </c>
      <c r="C2699" t="s">
        <v>8</v>
      </c>
      <c r="D2699">
        <v>2.7549999999999999</v>
      </c>
      <c r="E2699">
        <v>882</v>
      </c>
      <c r="F2699" t="str">
        <f>HYPERLINK("https://www.google.com/maps/search/?api=1&amp;query=24.81027553,46.86274451", "View Map")</f>
        <v>View Map</v>
      </c>
    </row>
    <row r="2700" spans="1:7" x14ac:dyDescent="0.3">
      <c r="A2700" t="s">
        <v>1002</v>
      </c>
      <c r="B2700" t="s">
        <v>4679</v>
      </c>
      <c r="C2700" t="s">
        <v>214</v>
      </c>
      <c r="D2700">
        <v>2.754</v>
      </c>
      <c r="E2700">
        <v>881</v>
      </c>
      <c r="F2700" t="str">
        <f>HYPERLINK("https://www.google.com/maps/search/?api=1&amp;query=25.92774426,45.39099149", "View Map")</f>
        <v>View Map</v>
      </c>
      <c r="G2700" s="2">
        <v>0.6112306248983661</v>
      </c>
    </row>
    <row r="2701" spans="1:7" x14ac:dyDescent="0.3">
      <c r="A2701" t="s">
        <v>4680</v>
      </c>
      <c r="B2701" t="s">
        <v>4681</v>
      </c>
      <c r="C2701" t="s">
        <v>241</v>
      </c>
      <c r="D2701">
        <v>2.7530000000000001</v>
      </c>
      <c r="E2701">
        <v>881</v>
      </c>
      <c r="F2701" t="str">
        <f>HYPERLINK("https://www.google.com/maps/search/?api=1&amp;query=20.46119847,44.81774903", "View Map")</f>
        <v>View Map</v>
      </c>
      <c r="G2701" s="2">
        <v>0.71920429838553557</v>
      </c>
    </row>
    <row r="2702" spans="1:7" x14ac:dyDescent="0.3">
      <c r="A2702" t="s">
        <v>4682</v>
      </c>
      <c r="B2702" t="s">
        <v>4683</v>
      </c>
      <c r="C2702" t="s">
        <v>21</v>
      </c>
      <c r="D2702">
        <v>2.7509999999999999</v>
      </c>
      <c r="E2702">
        <v>880</v>
      </c>
      <c r="F2702" t="str">
        <f>HYPERLINK("https://www.google.com/maps/search/?api=1&amp;query=26.29654289,44.80482589", "View Map")</f>
        <v>View Map</v>
      </c>
      <c r="G2702" s="2">
        <v>0.40370759862065592</v>
      </c>
    </row>
    <row r="2703" spans="1:7" x14ac:dyDescent="0.3">
      <c r="A2703" t="s">
        <v>4684</v>
      </c>
      <c r="B2703" t="s">
        <v>4685</v>
      </c>
      <c r="C2703" t="s">
        <v>255</v>
      </c>
      <c r="D2703">
        <v>2.75</v>
      </c>
      <c r="E2703">
        <v>880</v>
      </c>
      <c r="F2703" t="str">
        <f>HYPERLINK("https://www.google.com/maps/search/?api=1&amp;query=25.28375449,44.56906662", "View Map")</f>
        <v>View Map</v>
      </c>
      <c r="G2703" s="2">
        <v>0.58755789287402471</v>
      </c>
    </row>
    <row r="2704" spans="1:7" x14ac:dyDescent="0.3">
      <c r="A2704" t="s">
        <v>46</v>
      </c>
      <c r="B2704" t="s">
        <v>4686</v>
      </c>
      <c r="C2704" t="s">
        <v>8</v>
      </c>
      <c r="D2704">
        <v>2.75</v>
      </c>
      <c r="E2704">
        <v>880</v>
      </c>
      <c r="F2704" t="str">
        <f>HYPERLINK("https://www.google.com/maps/search/?api=1&amp;query=24.64531683,46.66312484", "View Map")</f>
        <v>View Map</v>
      </c>
    </row>
    <row r="2705" spans="1:7" x14ac:dyDescent="0.3">
      <c r="A2705" t="s">
        <v>4687</v>
      </c>
      <c r="B2705" t="s">
        <v>4688</v>
      </c>
      <c r="C2705" t="s">
        <v>8</v>
      </c>
      <c r="D2705">
        <v>2.7490000000000001</v>
      </c>
      <c r="E2705">
        <v>880</v>
      </c>
      <c r="F2705" t="str">
        <f>HYPERLINK("https://www.google.com/maps/search/?api=1&amp;query=24.63766124,46.79752221", "View Map")</f>
        <v>View Map</v>
      </c>
    </row>
    <row r="2706" spans="1:7" x14ac:dyDescent="0.3">
      <c r="A2706" t="s">
        <v>4689</v>
      </c>
      <c r="B2706" t="s">
        <v>4690</v>
      </c>
      <c r="C2706" t="s">
        <v>8</v>
      </c>
      <c r="D2706">
        <v>2.7490000000000001</v>
      </c>
      <c r="E2706">
        <v>880</v>
      </c>
      <c r="F2706" t="str">
        <f>HYPERLINK("https://www.google.com/maps/search/?api=1&amp;query=24.57726345,46.69667648", "View Map")</f>
        <v>View Map</v>
      </c>
    </row>
    <row r="2707" spans="1:7" x14ac:dyDescent="0.3">
      <c r="A2707" t="s">
        <v>4691</v>
      </c>
      <c r="B2707" t="s">
        <v>4692</v>
      </c>
      <c r="C2707" t="s">
        <v>8</v>
      </c>
      <c r="D2707">
        <v>2.7480000000000002</v>
      </c>
      <c r="E2707">
        <v>879</v>
      </c>
      <c r="F2707" t="str">
        <f>HYPERLINK("https://www.google.com/maps/search/?api=1&amp;query=24.81616492,46.64085398", "View Map")</f>
        <v>View Map</v>
      </c>
    </row>
    <row r="2708" spans="1:7" x14ac:dyDescent="0.3">
      <c r="A2708" t="s">
        <v>4693</v>
      </c>
      <c r="B2708" t="s">
        <v>4694</v>
      </c>
      <c r="C2708" t="s">
        <v>8</v>
      </c>
      <c r="D2708">
        <v>2.7469999999999999</v>
      </c>
      <c r="E2708">
        <v>879</v>
      </c>
      <c r="F2708" t="str">
        <f>HYPERLINK("https://www.google.com/maps/search/?api=1&amp;query=24.79415308,46.74981119", "View Map")</f>
        <v>View Map</v>
      </c>
    </row>
    <row r="2709" spans="1:7" x14ac:dyDescent="0.3">
      <c r="A2709" t="s">
        <v>28</v>
      </c>
      <c r="B2709" t="s">
        <v>4695</v>
      </c>
      <c r="C2709" t="s">
        <v>30</v>
      </c>
      <c r="D2709">
        <v>2.746</v>
      </c>
      <c r="E2709">
        <v>879</v>
      </c>
      <c r="F2709" t="str">
        <f>HYPERLINK("https://www.google.com/maps/search/?api=1&amp;query=24.0945035,47.27503035", "View Map")</f>
        <v>View Map</v>
      </c>
      <c r="G2709" s="2">
        <v>0.63304959720471299</v>
      </c>
    </row>
    <row r="2710" spans="1:7" x14ac:dyDescent="0.3">
      <c r="A2710" t="s">
        <v>4324</v>
      </c>
      <c r="B2710" t="s">
        <v>4696</v>
      </c>
      <c r="C2710" t="s">
        <v>8</v>
      </c>
      <c r="D2710">
        <v>2.7450000000000001</v>
      </c>
      <c r="E2710">
        <v>878</v>
      </c>
      <c r="F2710" t="str">
        <f>HYPERLINK("https://www.google.com/maps/search/?api=1&amp;query=24.50292507,46.63061117", "View Map")</f>
        <v>View Map</v>
      </c>
      <c r="G2710" s="2">
        <v>0.5164906327006511</v>
      </c>
    </row>
    <row r="2711" spans="1:7" x14ac:dyDescent="0.3">
      <c r="A2711" t="s">
        <v>4697</v>
      </c>
      <c r="B2711" t="s">
        <v>4698</v>
      </c>
      <c r="C2711" t="s">
        <v>8</v>
      </c>
      <c r="D2711">
        <v>2.7440000000000002</v>
      </c>
      <c r="E2711">
        <v>878</v>
      </c>
      <c r="F2711" t="str">
        <f>HYPERLINK("https://www.google.com/maps/search/?api=1&amp;query=24.67307022,46.78202841", "View Map")</f>
        <v>View Map</v>
      </c>
    </row>
    <row r="2712" spans="1:7" x14ac:dyDescent="0.3">
      <c r="A2712" t="s">
        <v>2281</v>
      </c>
      <c r="B2712" t="s">
        <v>4699</v>
      </c>
      <c r="C2712" t="s">
        <v>8</v>
      </c>
      <c r="D2712">
        <v>2.7440000000000002</v>
      </c>
      <c r="E2712">
        <v>878</v>
      </c>
      <c r="F2712" t="str">
        <f>HYPERLINK("https://www.google.com/maps/search/?api=1&amp;query=24.70473601,46.81267078", "View Map")</f>
        <v>View Map</v>
      </c>
    </row>
    <row r="2713" spans="1:7" x14ac:dyDescent="0.3">
      <c r="A2713" t="s">
        <v>4700</v>
      </c>
      <c r="B2713" t="s">
        <v>4701</v>
      </c>
      <c r="C2713" t="s">
        <v>241</v>
      </c>
      <c r="D2713">
        <v>2.7440000000000002</v>
      </c>
      <c r="E2713">
        <v>878</v>
      </c>
      <c r="F2713" t="str">
        <f>HYPERLINK("https://www.google.com/maps/search/?api=1&amp;query=20.47760957,44.78047792", "View Map")</f>
        <v>View Map</v>
      </c>
    </row>
    <row r="2714" spans="1:7" x14ac:dyDescent="0.3">
      <c r="A2714" t="s">
        <v>4702</v>
      </c>
      <c r="B2714" t="s">
        <v>4703</v>
      </c>
      <c r="C2714" t="s">
        <v>8</v>
      </c>
      <c r="D2714">
        <v>2.7440000000000002</v>
      </c>
      <c r="E2714">
        <v>878</v>
      </c>
      <c r="F2714" t="str">
        <f>HYPERLINK("https://www.google.com/maps/search/?api=1&amp;query=24.68619865,46.69726107", "View Map")</f>
        <v>View Map</v>
      </c>
    </row>
    <row r="2715" spans="1:7" x14ac:dyDescent="0.3">
      <c r="A2715" t="s">
        <v>73</v>
      </c>
      <c r="B2715" t="s">
        <v>4704</v>
      </c>
      <c r="C2715" t="s">
        <v>8</v>
      </c>
      <c r="D2715">
        <v>2.7429999999999999</v>
      </c>
      <c r="E2715">
        <v>878</v>
      </c>
      <c r="F2715" t="str">
        <f>HYPERLINK("https://www.google.com/maps/search/?api=1&amp;query=24.87518521,46.62365942", "View Map")</f>
        <v>View Map</v>
      </c>
    </row>
    <row r="2716" spans="1:7" x14ac:dyDescent="0.3">
      <c r="A2716" t="s">
        <v>4705</v>
      </c>
      <c r="B2716" t="s">
        <v>4706</v>
      </c>
      <c r="C2716" t="s">
        <v>291</v>
      </c>
      <c r="D2716">
        <v>2.742</v>
      </c>
      <c r="E2716">
        <v>878</v>
      </c>
      <c r="F2716" t="str">
        <f>HYPERLINK("https://www.google.com/maps/search/?api=1&amp;query=24.06957216,45.29535756", "View Map")</f>
        <v>View Map</v>
      </c>
    </row>
    <row r="2717" spans="1:7" x14ac:dyDescent="0.3">
      <c r="A2717" t="s">
        <v>46</v>
      </c>
      <c r="B2717" t="s">
        <v>4707</v>
      </c>
      <c r="C2717" t="s">
        <v>8</v>
      </c>
      <c r="D2717">
        <v>2.742</v>
      </c>
      <c r="E2717">
        <v>877</v>
      </c>
      <c r="F2717" t="str">
        <f>HYPERLINK("https://www.google.com/maps/search/?api=1&amp;query=24.8501347,46.8425871", "View Map")</f>
        <v>View Map</v>
      </c>
    </row>
    <row r="2718" spans="1:7" x14ac:dyDescent="0.3">
      <c r="A2718" t="s">
        <v>28</v>
      </c>
      <c r="B2718" t="s">
        <v>4708</v>
      </c>
      <c r="C2718" t="s">
        <v>30</v>
      </c>
      <c r="D2718">
        <v>2.7410000000000001</v>
      </c>
      <c r="E2718">
        <v>877</v>
      </c>
      <c r="F2718" t="str">
        <f>HYPERLINK("https://www.google.com/maps/search/?api=1&amp;query=24.12567787,47.25666604", "View Map")</f>
        <v>View Map</v>
      </c>
      <c r="G2718" s="2">
        <v>0.49601721444272728</v>
      </c>
    </row>
    <row r="2719" spans="1:7" x14ac:dyDescent="0.3">
      <c r="A2719" t="s">
        <v>4709</v>
      </c>
      <c r="B2719" t="s">
        <v>4710</v>
      </c>
      <c r="C2719" t="s">
        <v>699</v>
      </c>
      <c r="D2719">
        <v>2.74</v>
      </c>
      <c r="E2719">
        <v>877</v>
      </c>
      <c r="F2719" t="str">
        <f>HYPERLINK("https://www.google.com/maps/search/?api=1&amp;query=25.06817734,45.46543435", "View Map")</f>
        <v>View Map</v>
      </c>
    </row>
    <row r="2720" spans="1:7" x14ac:dyDescent="0.3">
      <c r="A2720" t="s">
        <v>4711</v>
      </c>
      <c r="B2720" t="s">
        <v>4712</v>
      </c>
      <c r="C2720" t="s">
        <v>241</v>
      </c>
      <c r="D2720">
        <v>2.738</v>
      </c>
      <c r="E2720">
        <v>876</v>
      </c>
      <c r="F2720" t="str">
        <f>HYPERLINK("https://www.google.com/maps/search/?api=1&amp;query=20.45112597,44.76774079", "View Map")</f>
        <v>View Map</v>
      </c>
    </row>
    <row r="2721" spans="1:7" x14ac:dyDescent="0.3">
      <c r="A2721" t="s">
        <v>1729</v>
      </c>
      <c r="B2721" t="s">
        <v>4713</v>
      </c>
      <c r="C2721" t="s">
        <v>8</v>
      </c>
      <c r="D2721">
        <v>2.7370000000000001</v>
      </c>
      <c r="E2721">
        <v>876</v>
      </c>
      <c r="F2721" t="str">
        <f>HYPERLINK("https://www.google.com/maps/search/?api=1&amp;query=24.8242,46.7614", "View Map")</f>
        <v>View Map</v>
      </c>
      <c r="G2721" s="2">
        <v>0.48800475020883682</v>
      </c>
    </row>
    <row r="2722" spans="1:7" x14ac:dyDescent="0.3">
      <c r="A2722" t="s">
        <v>4714</v>
      </c>
      <c r="B2722" t="s">
        <v>4715</v>
      </c>
      <c r="C2722" t="s">
        <v>30</v>
      </c>
      <c r="D2722">
        <v>2.7370000000000001</v>
      </c>
      <c r="E2722">
        <v>876</v>
      </c>
      <c r="F2722" t="str">
        <f>HYPERLINK("https://www.google.com/maps/search/?api=1&amp;query=24.1441969,47.3466413", "View Map")</f>
        <v>View Map</v>
      </c>
    </row>
    <row r="2723" spans="1:7" x14ac:dyDescent="0.3">
      <c r="A2723" t="s">
        <v>4716</v>
      </c>
      <c r="B2723" t="s">
        <v>4717</v>
      </c>
      <c r="C2723" t="s">
        <v>8</v>
      </c>
      <c r="D2723">
        <v>2.7360000000000002</v>
      </c>
      <c r="E2723">
        <v>876</v>
      </c>
      <c r="F2723" t="str">
        <f>HYPERLINK("https://www.google.com/maps/search/?api=1&amp;query=24.80239133,46.7870053", "View Map")</f>
        <v>View Map</v>
      </c>
    </row>
    <row r="2724" spans="1:7" x14ac:dyDescent="0.3">
      <c r="A2724" t="s">
        <v>4718</v>
      </c>
      <c r="B2724" t="s">
        <v>4719</v>
      </c>
      <c r="C2724" t="s">
        <v>30</v>
      </c>
      <c r="D2724">
        <v>2.7349999999999999</v>
      </c>
      <c r="E2724">
        <v>875</v>
      </c>
      <c r="F2724" t="str">
        <f>HYPERLINK("https://www.google.com/maps/search/?api=1&amp;query=24.1530248,47.34529481", "View Map")</f>
        <v>View Map</v>
      </c>
    </row>
    <row r="2725" spans="1:7" x14ac:dyDescent="0.3">
      <c r="A2725" t="s">
        <v>4720</v>
      </c>
      <c r="B2725" t="s">
        <v>4721</v>
      </c>
      <c r="C2725" t="s">
        <v>214</v>
      </c>
      <c r="D2725">
        <v>2.7320000000000002</v>
      </c>
      <c r="E2725">
        <v>874</v>
      </c>
      <c r="F2725" t="str">
        <f>HYPERLINK("https://www.google.com/maps/search/?api=1&amp;query=25.60077785,45.62651126", "View Map")</f>
        <v>View Map</v>
      </c>
      <c r="G2725" s="2">
        <v>0.52327584451318399</v>
      </c>
    </row>
    <row r="2726" spans="1:7" x14ac:dyDescent="0.3">
      <c r="A2726" t="s">
        <v>4722</v>
      </c>
      <c r="B2726" t="s">
        <v>4723</v>
      </c>
      <c r="C2726" t="s">
        <v>8</v>
      </c>
      <c r="D2726">
        <v>2.7320000000000002</v>
      </c>
      <c r="E2726">
        <v>874</v>
      </c>
      <c r="F2726" t="str">
        <f>HYPERLINK("https://www.google.com/maps/search/?api=1&amp;query=24.3942408,46.83394213", "View Map")</f>
        <v>View Map</v>
      </c>
      <c r="G2726" s="2">
        <v>0.47050099927057532</v>
      </c>
    </row>
    <row r="2727" spans="1:7" x14ac:dyDescent="0.3">
      <c r="A2727" t="s">
        <v>4724</v>
      </c>
      <c r="B2727" t="s">
        <v>4725</v>
      </c>
      <c r="C2727" t="s">
        <v>8</v>
      </c>
      <c r="D2727">
        <v>2.73</v>
      </c>
      <c r="E2727">
        <v>874</v>
      </c>
      <c r="F2727" t="str">
        <f>HYPERLINK("https://www.google.com/maps/search/?api=1&amp;query=24.6123126,46.71145752", "View Map")</f>
        <v>View Map</v>
      </c>
    </row>
    <row r="2728" spans="1:7" x14ac:dyDescent="0.3">
      <c r="A2728" t="s">
        <v>4726</v>
      </c>
      <c r="B2728" t="s">
        <v>4727</v>
      </c>
      <c r="C2728" t="s">
        <v>8</v>
      </c>
      <c r="D2728">
        <v>2.7269999999999999</v>
      </c>
      <c r="E2728">
        <v>873</v>
      </c>
      <c r="F2728" t="str">
        <f>HYPERLINK("https://www.google.com/maps/search/?api=1&amp;query=24.78386498,46.71254496", "View Map")</f>
        <v>View Map</v>
      </c>
    </row>
    <row r="2729" spans="1:7" x14ac:dyDescent="0.3">
      <c r="A2729" t="s">
        <v>1349</v>
      </c>
      <c r="B2729" t="s">
        <v>4728</v>
      </c>
      <c r="C2729" t="s">
        <v>30</v>
      </c>
      <c r="D2729">
        <v>2.7269999999999999</v>
      </c>
      <c r="E2729">
        <v>873</v>
      </c>
      <c r="F2729" t="str">
        <f>HYPERLINK("https://www.google.com/maps/search/?api=1&amp;query=24.15223722,47.29734301", "View Map")</f>
        <v>View Map</v>
      </c>
      <c r="G2729" s="2">
        <v>0.51503656434782663</v>
      </c>
    </row>
    <row r="2730" spans="1:7" x14ac:dyDescent="0.3">
      <c r="A2730" t="s">
        <v>479</v>
      </c>
      <c r="B2730" t="s">
        <v>4729</v>
      </c>
      <c r="C2730" t="s">
        <v>738</v>
      </c>
      <c r="D2730">
        <v>2.7250000000000001</v>
      </c>
      <c r="E2730">
        <v>872</v>
      </c>
      <c r="F2730" t="str">
        <f>HYPERLINK("https://www.google.com/maps/search/?api=1&amp;query=25.10445454,46.09299079", "View Map")</f>
        <v>View Map</v>
      </c>
      <c r="G2730" s="2">
        <v>0.64226696754194446</v>
      </c>
    </row>
    <row r="2731" spans="1:7" x14ac:dyDescent="0.3">
      <c r="A2731" t="s">
        <v>4730</v>
      </c>
      <c r="B2731" t="s">
        <v>4731</v>
      </c>
      <c r="C2731" t="s">
        <v>8</v>
      </c>
      <c r="D2731">
        <v>2.7250000000000001</v>
      </c>
      <c r="E2731">
        <v>872</v>
      </c>
      <c r="F2731" t="str">
        <f>HYPERLINK("https://www.google.com/maps/search/?api=1&amp;query=24.56355516,46.63332373", "View Map")</f>
        <v>View Map</v>
      </c>
    </row>
    <row r="2732" spans="1:7" x14ac:dyDescent="0.3">
      <c r="A2732" t="s">
        <v>4732</v>
      </c>
      <c r="B2732" t="s">
        <v>4733</v>
      </c>
      <c r="C2732" t="s">
        <v>21</v>
      </c>
      <c r="D2732">
        <v>2.7240000000000002</v>
      </c>
      <c r="E2732">
        <v>872</v>
      </c>
      <c r="F2732" t="str">
        <f>HYPERLINK("https://www.google.com/maps/search/?api=1&amp;query=26.29270412,44.81956362", "View Map")</f>
        <v>View Map</v>
      </c>
      <c r="G2732" s="2">
        <v>0.52897668922531205</v>
      </c>
    </row>
    <row r="2733" spans="1:7" x14ac:dyDescent="0.3">
      <c r="A2733" t="s">
        <v>4734</v>
      </c>
      <c r="B2733" t="s">
        <v>4735</v>
      </c>
      <c r="C2733" t="s">
        <v>214</v>
      </c>
      <c r="D2733">
        <v>2.7240000000000002</v>
      </c>
      <c r="E2733">
        <v>872</v>
      </c>
      <c r="F2733" t="str">
        <f>HYPERLINK("https://www.google.com/maps/search/?api=1&amp;query=25.69447891,45.89125791", "View Map")</f>
        <v>View Map</v>
      </c>
      <c r="G2733" s="2">
        <v>0.58577298423742963</v>
      </c>
    </row>
    <row r="2734" spans="1:7" x14ac:dyDescent="0.3">
      <c r="A2734" t="s">
        <v>4736</v>
      </c>
      <c r="B2734" t="s">
        <v>4737</v>
      </c>
      <c r="C2734" t="s">
        <v>255</v>
      </c>
      <c r="D2734">
        <v>2.722</v>
      </c>
      <c r="E2734">
        <v>871</v>
      </c>
      <c r="F2734" t="str">
        <f>HYPERLINK("https://www.google.com/maps/search/?api=1&amp;query=24.87218407,43.80006349", "View Map")</f>
        <v>View Map</v>
      </c>
    </row>
    <row r="2735" spans="1:7" x14ac:dyDescent="0.3">
      <c r="A2735" t="s">
        <v>46</v>
      </c>
      <c r="B2735" t="s">
        <v>4738</v>
      </c>
      <c r="C2735" t="s">
        <v>8</v>
      </c>
      <c r="D2735">
        <v>2.722</v>
      </c>
      <c r="E2735">
        <v>871</v>
      </c>
      <c r="F2735" t="str">
        <f>HYPERLINK("https://www.google.com/maps/search/?api=1&amp;query=24.85225717,46.77450288", "View Map")</f>
        <v>View Map</v>
      </c>
    </row>
    <row r="2736" spans="1:7" x14ac:dyDescent="0.3">
      <c r="A2736" t="s">
        <v>4739</v>
      </c>
      <c r="B2736" t="s">
        <v>4740</v>
      </c>
      <c r="C2736" t="s">
        <v>8</v>
      </c>
      <c r="D2736">
        <v>2.7210000000000001</v>
      </c>
      <c r="E2736">
        <v>871</v>
      </c>
      <c r="F2736" t="str">
        <f>HYPERLINK("https://www.google.com/maps/search/?api=1&amp;query=24.61795401,46.6575625", "View Map")</f>
        <v>View Map</v>
      </c>
      <c r="G2736" s="2">
        <v>0.41728181270508291</v>
      </c>
    </row>
    <row r="2737" spans="1:7" x14ac:dyDescent="0.3">
      <c r="A2737" t="s">
        <v>4741</v>
      </c>
      <c r="B2737" t="s">
        <v>4742</v>
      </c>
      <c r="C2737" t="s">
        <v>21</v>
      </c>
      <c r="D2737">
        <v>2.7189999999999999</v>
      </c>
      <c r="E2737">
        <v>870</v>
      </c>
      <c r="F2737" t="str">
        <f>HYPERLINK("https://www.google.com/maps/search/?api=1&amp;query=26.29563566,44.79226382", "View Map")</f>
        <v>View Map</v>
      </c>
      <c r="G2737" s="2">
        <v>0.48556726742698031</v>
      </c>
    </row>
    <row r="2738" spans="1:7" x14ac:dyDescent="0.3">
      <c r="A2738" t="s">
        <v>146</v>
      </c>
      <c r="B2738" t="s">
        <v>4743</v>
      </c>
      <c r="C2738" t="s">
        <v>8</v>
      </c>
      <c r="D2738">
        <v>2.7170000000000001</v>
      </c>
      <c r="E2738">
        <v>870</v>
      </c>
      <c r="F2738" t="str">
        <f>HYPERLINK("https://www.google.com/maps/search/?api=1&amp;query=24.56326244,46.57380798", "View Map")</f>
        <v>View Map</v>
      </c>
    </row>
    <row r="2739" spans="1:7" x14ac:dyDescent="0.3">
      <c r="A2739" t="s">
        <v>4744</v>
      </c>
      <c r="B2739" t="s">
        <v>4745</v>
      </c>
      <c r="C2739" t="s">
        <v>8</v>
      </c>
      <c r="D2739">
        <v>2.7170000000000001</v>
      </c>
      <c r="E2739">
        <v>870</v>
      </c>
      <c r="F2739" t="str">
        <f>HYPERLINK("https://www.google.com/maps/search/?api=1&amp;query=24.63898121,46.67516509", "View Map")</f>
        <v>View Map</v>
      </c>
    </row>
    <row r="2740" spans="1:7" x14ac:dyDescent="0.3">
      <c r="A2740" t="s">
        <v>28</v>
      </c>
      <c r="B2740" t="s">
        <v>4746</v>
      </c>
      <c r="C2740" t="s">
        <v>30</v>
      </c>
      <c r="D2740">
        <v>2.7160000000000002</v>
      </c>
      <c r="E2740">
        <v>869</v>
      </c>
      <c r="F2740" t="str">
        <f>HYPERLINK("https://www.google.com/maps/search/?api=1&amp;query=24.09488066,47.29145779", "View Map")</f>
        <v>View Map</v>
      </c>
      <c r="G2740" s="2">
        <v>0.46954469093156931</v>
      </c>
    </row>
    <row r="2741" spans="1:7" x14ac:dyDescent="0.3">
      <c r="A2741" t="s">
        <v>28</v>
      </c>
      <c r="B2741" t="s">
        <v>4747</v>
      </c>
      <c r="C2741" t="s">
        <v>30</v>
      </c>
      <c r="D2741">
        <v>2.7160000000000002</v>
      </c>
      <c r="E2741">
        <v>869</v>
      </c>
      <c r="F2741" t="str">
        <f>HYPERLINK("https://www.google.com/maps/search/?api=1&amp;query=24.13928563,47.27856597", "View Map")</f>
        <v>View Map</v>
      </c>
    </row>
    <row r="2742" spans="1:7" x14ac:dyDescent="0.3">
      <c r="A2742" t="s">
        <v>146</v>
      </c>
      <c r="B2742" t="s">
        <v>4748</v>
      </c>
      <c r="C2742" t="s">
        <v>8</v>
      </c>
      <c r="D2742">
        <v>2.714</v>
      </c>
      <c r="E2742">
        <v>868</v>
      </c>
      <c r="F2742" t="str">
        <f>HYPERLINK("https://www.google.com/maps/search/?api=1&amp;query=24.55389683,46.52898021", "View Map")</f>
        <v>View Map</v>
      </c>
    </row>
    <row r="2743" spans="1:7" x14ac:dyDescent="0.3">
      <c r="A2743" t="s">
        <v>1788</v>
      </c>
      <c r="B2743" t="s">
        <v>4749</v>
      </c>
      <c r="C2743" t="s">
        <v>393</v>
      </c>
      <c r="D2743">
        <v>2.7130000000000001</v>
      </c>
      <c r="E2743">
        <v>868</v>
      </c>
      <c r="F2743" t="str">
        <f>HYPERLINK("https://www.google.com/maps/search/?api=1&amp;query=23.22202517,45.52271093", "View Map")</f>
        <v>View Map</v>
      </c>
      <c r="G2743" s="2">
        <v>0.64475724551711777</v>
      </c>
    </row>
    <row r="2744" spans="1:7" x14ac:dyDescent="0.3">
      <c r="A2744" t="s">
        <v>4750</v>
      </c>
      <c r="B2744" t="s">
        <v>4751</v>
      </c>
      <c r="C2744" t="s">
        <v>8</v>
      </c>
      <c r="D2744">
        <v>2.7120000000000002</v>
      </c>
      <c r="E2744">
        <v>868</v>
      </c>
      <c r="F2744" t="str">
        <f>HYPERLINK("https://www.google.com/maps/search/?api=1&amp;query=24.69948418,46.85979804", "View Map")</f>
        <v>View Map</v>
      </c>
    </row>
    <row r="2745" spans="1:7" x14ac:dyDescent="0.3">
      <c r="A2745" t="s">
        <v>4752</v>
      </c>
      <c r="B2745" t="s">
        <v>4753</v>
      </c>
      <c r="C2745" t="s">
        <v>8</v>
      </c>
      <c r="D2745">
        <v>2.7109999999999999</v>
      </c>
      <c r="E2745">
        <v>868</v>
      </c>
      <c r="F2745" t="str">
        <f>HYPERLINK("https://www.google.com/maps/search/?api=1&amp;query=24.63458264,46.8494493", "View Map")</f>
        <v>View Map</v>
      </c>
      <c r="G2745" s="2">
        <v>0.55241636104909464</v>
      </c>
    </row>
    <row r="2746" spans="1:7" x14ac:dyDescent="0.3">
      <c r="A2746" t="s">
        <v>4754</v>
      </c>
      <c r="B2746" t="s">
        <v>4755</v>
      </c>
      <c r="C2746" t="s">
        <v>21</v>
      </c>
      <c r="D2746">
        <v>2.71</v>
      </c>
      <c r="E2746">
        <v>867</v>
      </c>
      <c r="F2746" t="str">
        <f>HYPERLINK("https://www.google.com/maps/search/?api=1&amp;query=26.28745018,44.82072228", "View Map")</f>
        <v>View Map</v>
      </c>
      <c r="G2746" s="2">
        <v>0.68110742937831814</v>
      </c>
    </row>
    <row r="2747" spans="1:7" x14ac:dyDescent="0.3">
      <c r="A2747" t="s">
        <v>881</v>
      </c>
      <c r="B2747" t="s">
        <v>4756</v>
      </c>
      <c r="C2747" t="s">
        <v>883</v>
      </c>
      <c r="D2747">
        <v>2.71</v>
      </c>
      <c r="E2747">
        <v>867</v>
      </c>
      <c r="F2747" t="str">
        <f>HYPERLINK("https://www.google.com/maps/search/?api=1&amp;query=25.52677734,47.17643147", "View Map")</f>
        <v>View Map</v>
      </c>
    </row>
    <row r="2748" spans="1:7" x14ac:dyDescent="0.3">
      <c r="A2748" t="s">
        <v>4757</v>
      </c>
      <c r="B2748" t="s">
        <v>4758</v>
      </c>
      <c r="C2748" t="s">
        <v>8</v>
      </c>
      <c r="D2748">
        <v>2.7090000000000001</v>
      </c>
      <c r="E2748">
        <v>867</v>
      </c>
      <c r="F2748" t="str">
        <f>HYPERLINK("https://www.google.com/maps/search/?api=1&amp;query=24.79178461,46.82688877", "View Map")</f>
        <v>View Map</v>
      </c>
    </row>
    <row r="2749" spans="1:7" x14ac:dyDescent="0.3">
      <c r="A2749" t="s">
        <v>4759</v>
      </c>
      <c r="B2749" t="s">
        <v>4760</v>
      </c>
      <c r="C2749" t="s">
        <v>255</v>
      </c>
      <c r="D2749">
        <v>2.7090000000000001</v>
      </c>
      <c r="E2749">
        <v>867</v>
      </c>
      <c r="F2749" t="str">
        <f>HYPERLINK("https://www.google.com/maps/search/?api=1&amp;query=25.33652116,44.46278233", "View Map")</f>
        <v>View Map</v>
      </c>
      <c r="G2749" s="2">
        <v>0.50525420693044265</v>
      </c>
    </row>
    <row r="2750" spans="1:7" x14ac:dyDescent="0.3">
      <c r="A2750" t="s">
        <v>4761</v>
      </c>
      <c r="B2750" t="s">
        <v>4762</v>
      </c>
      <c r="C2750" t="s">
        <v>8</v>
      </c>
      <c r="D2750">
        <v>2.7090000000000001</v>
      </c>
      <c r="E2750">
        <v>867</v>
      </c>
      <c r="F2750" t="str">
        <f>HYPERLINK("https://www.google.com/maps/search/?api=1&amp;query=24.70350896,46.67361466", "View Map")</f>
        <v>View Map</v>
      </c>
    </row>
    <row r="2751" spans="1:7" x14ac:dyDescent="0.3">
      <c r="A2751" t="s">
        <v>4763</v>
      </c>
      <c r="B2751" t="s">
        <v>4764</v>
      </c>
      <c r="C2751" t="s">
        <v>30</v>
      </c>
      <c r="D2751">
        <v>2.7090000000000001</v>
      </c>
      <c r="E2751">
        <v>867</v>
      </c>
      <c r="F2751" t="str">
        <f>HYPERLINK("https://www.google.com/maps/search/?api=1&amp;query=24.14864453,47.30744799", "View Map")</f>
        <v>View Map</v>
      </c>
    </row>
    <row r="2752" spans="1:7" x14ac:dyDescent="0.3">
      <c r="A2752" t="s">
        <v>510</v>
      </c>
      <c r="B2752" t="s">
        <v>4765</v>
      </c>
      <c r="C2752" t="s">
        <v>393</v>
      </c>
      <c r="D2752">
        <v>2.7090000000000001</v>
      </c>
      <c r="E2752">
        <v>867</v>
      </c>
      <c r="F2752" t="str">
        <f>HYPERLINK("https://www.google.com/maps/search/?api=1&amp;query=22.79358294,45.16866691", "View Map")</f>
        <v>View Map</v>
      </c>
      <c r="G2752" s="2">
        <v>0.6957979082000485</v>
      </c>
    </row>
    <row r="2753" spans="1:7" x14ac:dyDescent="0.3">
      <c r="A2753" t="s">
        <v>4766</v>
      </c>
      <c r="B2753" t="s">
        <v>4767</v>
      </c>
      <c r="C2753" t="s">
        <v>55</v>
      </c>
      <c r="D2753">
        <v>2.7080000000000002</v>
      </c>
      <c r="E2753">
        <v>867</v>
      </c>
      <c r="F2753" t="str">
        <f>HYPERLINK("https://www.google.com/maps/search/?api=1&amp;query=24.74833913,46.5328365", "View Map")</f>
        <v>View Map</v>
      </c>
    </row>
    <row r="2754" spans="1:7" x14ac:dyDescent="0.3">
      <c r="A2754" t="s">
        <v>4768</v>
      </c>
      <c r="B2754" t="s">
        <v>4769</v>
      </c>
      <c r="C2754" t="s">
        <v>214</v>
      </c>
      <c r="D2754">
        <v>2.7069999999999999</v>
      </c>
      <c r="E2754">
        <v>866</v>
      </c>
      <c r="F2754" t="str">
        <f>HYPERLINK("https://www.google.com/maps/search/?api=1&amp;query=26.41777721,45.17324209", "View Map")</f>
        <v>View Map</v>
      </c>
      <c r="G2754" s="2">
        <v>0.56637101914577404</v>
      </c>
    </row>
    <row r="2755" spans="1:7" x14ac:dyDescent="0.3">
      <c r="A2755" t="s">
        <v>4770</v>
      </c>
      <c r="B2755" t="s">
        <v>4771</v>
      </c>
      <c r="C2755" t="s">
        <v>296</v>
      </c>
      <c r="D2755">
        <v>2.7069999999999999</v>
      </c>
      <c r="E2755">
        <v>866</v>
      </c>
      <c r="F2755" t="str">
        <f>HYPERLINK("https://www.google.com/maps/search/?api=1&amp;query=24.12353392,46.29611288", "View Map")</f>
        <v>View Map</v>
      </c>
      <c r="G2755" s="2">
        <v>0.8945981511513259</v>
      </c>
    </row>
    <row r="2756" spans="1:7" x14ac:dyDescent="0.3">
      <c r="A2756" t="s">
        <v>4772</v>
      </c>
      <c r="B2756" t="s">
        <v>4773</v>
      </c>
      <c r="C2756" t="s">
        <v>393</v>
      </c>
      <c r="D2756">
        <v>2.7069999999999999</v>
      </c>
      <c r="E2756">
        <v>866</v>
      </c>
      <c r="F2756" t="str">
        <f>HYPERLINK("https://www.google.com/maps/search/?api=1&amp;query=22.7913333,45.0354997", "View Map")</f>
        <v>View Map</v>
      </c>
      <c r="G2756" s="2">
        <v>0.5583206217546699</v>
      </c>
    </row>
    <row r="2757" spans="1:7" x14ac:dyDescent="0.3">
      <c r="A2757" t="s">
        <v>4774</v>
      </c>
      <c r="B2757" t="s">
        <v>4775</v>
      </c>
      <c r="C2757" t="s">
        <v>214</v>
      </c>
      <c r="D2757">
        <v>2.7069999999999999</v>
      </c>
      <c r="E2757">
        <v>866</v>
      </c>
      <c r="F2757" t="str">
        <f>HYPERLINK("https://www.google.com/maps/search/?api=1&amp;query=25.69374397,45.88209094", "View Map")</f>
        <v>View Map</v>
      </c>
      <c r="G2757" s="2">
        <v>0.64273980104628792</v>
      </c>
    </row>
    <row r="2758" spans="1:7" x14ac:dyDescent="0.3">
      <c r="A2758" t="s">
        <v>4776</v>
      </c>
      <c r="B2758" t="s">
        <v>4777</v>
      </c>
      <c r="C2758" t="s">
        <v>8</v>
      </c>
      <c r="D2758">
        <v>2.706</v>
      </c>
      <c r="E2758">
        <v>866</v>
      </c>
      <c r="F2758" t="str">
        <f>HYPERLINK("https://www.google.com/maps/search/?api=1&amp;query=24.56843608,46.62294978", "View Map")</f>
        <v>View Map</v>
      </c>
    </row>
    <row r="2759" spans="1:7" x14ac:dyDescent="0.3">
      <c r="A2759" t="s">
        <v>4778</v>
      </c>
      <c r="B2759" t="s">
        <v>4779</v>
      </c>
      <c r="C2759" t="s">
        <v>286</v>
      </c>
      <c r="D2759">
        <v>2.706</v>
      </c>
      <c r="E2759">
        <v>866</v>
      </c>
      <c r="F2759" t="str">
        <f>HYPERLINK("https://www.google.com/maps/search/?api=1&amp;query=25.22680237,45.24411641", "View Map")</f>
        <v>View Map</v>
      </c>
      <c r="G2759" s="2">
        <v>0.72385701411863179</v>
      </c>
    </row>
    <row r="2760" spans="1:7" x14ac:dyDescent="0.3">
      <c r="A2760" t="s">
        <v>4780</v>
      </c>
      <c r="B2760" t="s">
        <v>4781</v>
      </c>
      <c r="C2760" t="s">
        <v>8</v>
      </c>
      <c r="D2760">
        <v>2.706</v>
      </c>
      <c r="E2760">
        <v>866</v>
      </c>
      <c r="F2760" t="str">
        <f>HYPERLINK("https://www.google.com/maps/search/?api=1&amp;query=24.68597658,46.69043332", "View Map")</f>
        <v>View Map</v>
      </c>
    </row>
    <row r="2761" spans="1:7" x14ac:dyDescent="0.3">
      <c r="A2761" t="s">
        <v>4782</v>
      </c>
      <c r="B2761" t="s">
        <v>4783</v>
      </c>
      <c r="C2761" t="s">
        <v>270</v>
      </c>
      <c r="D2761">
        <v>2.7040000000000002</v>
      </c>
      <c r="E2761">
        <v>865</v>
      </c>
      <c r="F2761" t="str">
        <f>HYPERLINK("https://www.google.com/maps/search/?api=1&amp;query=23.99239392,47.1329204", "View Map")</f>
        <v>View Map</v>
      </c>
      <c r="G2761" s="2">
        <v>0.52304236232660717</v>
      </c>
    </row>
    <row r="2762" spans="1:7" x14ac:dyDescent="0.3">
      <c r="A2762" t="s">
        <v>4784</v>
      </c>
      <c r="B2762" t="s">
        <v>4785</v>
      </c>
      <c r="C2762" t="s">
        <v>8</v>
      </c>
      <c r="D2762">
        <v>2.7040000000000002</v>
      </c>
      <c r="E2762">
        <v>865</v>
      </c>
      <c r="F2762" t="str">
        <f>HYPERLINK("https://www.google.com/maps/search/?api=1&amp;query=24.55528807,46.71076679", "View Map")</f>
        <v>View Map</v>
      </c>
    </row>
    <row r="2763" spans="1:7" x14ac:dyDescent="0.3">
      <c r="A2763" t="s">
        <v>4786</v>
      </c>
      <c r="B2763" t="s">
        <v>4787</v>
      </c>
      <c r="C2763" t="s">
        <v>8</v>
      </c>
      <c r="D2763">
        <v>2.7040000000000002</v>
      </c>
      <c r="E2763">
        <v>865</v>
      </c>
      <c r="F2763" t="str">
        <f>HYPERLINK("https://www.google.com/maps/search/?api=1&amp;query=24.67615124,46.75584079", "View Map")</f>
        <v>View Map</v>
      </c>
    </row>
    <row r="2764" spans="1:7" x14ac:dyDescent="0.3">
      <c r="A2764" t="s">
        <v>146</v>
      </c>
      <c r="B2764" t="s">
        <v>4788</v>
      </c>
      <c r="C2764" t="s">
        <v>8</v>
      </c>
      <c r="D2764">
        <v>2.7029999999999998</v>
      </c>
      <c r="E2764">
        <v>865</v>
      </c>
      <c r="F2764" t="str">
        <f>HYPERLINK("https://www.google.com/maps/search/?api=1&amp;query=24.55673478,46.61292399", "View Map")</f>
        <v>View Map</v>
      </c>
    </row>
    <row r="2765" spans="1:7" x14ac:dyDescent="0.3">
      <c r="A2765" t="s">
        <v>4789</v>
      </c>
      <c r="B2765" t="s">
        <v>4790</v>
      </c>
      <c r="C2765" t="s">
        <v>8</v>
      </c>
      <c r="D2765">
        <v>2.7010000000000001</v>
      </c>
      <c r="E2765">
        <v>864</v>
      </c>
      <c r="F2765" t="str">
        <f>HYPERLINK("https://www.google.com/maps/search/?api=1&amp;query=24.63220534,46.73784733", "View Map")</f>
        <v>View Map</v>
      </c>
      <c r="G2765" s="2">
        <v>0.51727915057221674</v>
      </c>
    </row>
    <row r="2766" spans="1:7" x14ac:dyDescent="0.3">
      <c r="A2766" t="s">
        <v>4791</v>
      </c>
      <c r="B2766" t="s">
        <v>4792</v>
      </c>
      <c r="C2766" t="s">
        <v>255</v>
      </c>
      <c r="D2766">
        <v>2.7</v>
      </c>
      <c r="E2766">
        <v>864</v>
      </c>
      <c r="F2766" t="str">
        <f>HYPERLINK("https://www.google.com/maps/search/?api=1&amp;query=24.65914582,43.65764723", "View Map")</f>
        <v>View Map</v>
      </c>
      <c r="G2766" s="2">
        <v>0.43405568773712289</v>
      </c>
    </row>
    <row r="2767" spans="1:7" x14ac:dyDescent="0.3">
      <c r="A2767" t="s">
        <v>4793</v>
      </c>
      <c r="B2767" t="s">
        <v>4794</v>
      </c>
      <c r="C2767" t="s">
        <v>241</v>
      </c>
      <c r="D2767">
        <v>2.698</v>
      </c>
      <c r="E2767">
        <v>863</v>
      </c>
      <c r="F2767" t="str">
        <f>HYPERLINK("https://www.google.com/maps/search/?api=1&amp;query=20.46913493,44.79566844", "View Map")</f>
        <v>View Map</v>
      </c>
      <c r="G2767" s="2">
        <v>0.30645658880112803</v>
      </c>
    </row>
    <row r="2768" spans="1:7" x14ac:dyDescent="0.3">
      <c r="A2768" t="s">
        <v>4795</v>
      </c>
      <c r="B2768" t="s">
        <v>4796</v>
      </c>
      <c r="C2768" t="s">
        <v>393</v>
      </c>
      <c r="D2768">
        <v>2.698</v>
      </c>
      <c r="E2768">
        <v>863</v>
      </c>
      <c r="F2768" t="str">
        <f>HYPERLINK("https://www.google.com/maps/search/?api=1&amp;query=23.24768865,45.56059288", "View Map")</f>
        <v>View Map</v>
      </c>
      <c r="G2768" s="2">
        <v>0.81665385170917515</v>
      </c>
    </row>
    <row r="2769" spans="1:7" x14ac:dyDescent="0.3">
      <c r="A2769" t="s">
        <v>4797</v>
      </c>
      <c r="B2769" t="s">
        <v>4798</v>
      </c>
      <c r="C2769" t="s">
        <v>883</v>
      </c>
      <c r="D2769">
        <v>2.698</v>
      </c>
      <c r="E2769">
        <v>863</v>
      </c>
      <c r="F2769" t="str">
        <f>HYPERLINK("https://www.google.com/maps/search/?api=1&amp;query=25.55083568,47.1737786", "View Map")</f>
        <v>View Map</v>
      </c>
      <c r="G2769" s="2">
        <v>0.36594937522459492</v>
      </c>
    </row>
    <row r="2770" spans="1:7" x14ac:dyDescent="0.3">
      <c r="A2770" t="s">
        <v>4799</v>
      </c>
      <c r="B2770" t="s">
        <v>4800</v>
      </c>
      <c r="C2770" t="s">
        <v>21</v>
      </c>
      <c r="D2770">
        <v>2.6960000000000002</v>
      </c>
      <c r="E2770">
        <v>863</v>
      </c>
      <c r="F2770" t="str">
        <f>HYPERLINK("https://www.google.com/maps/search/?api=1&amp;query=26.29294404,44.83806913", "View Map")</f>
        <v>View Map</v>
      </c>
      <c r="G2770" s="2">
        <v>0.53608930100416996</v>
      </c>
    </row>
    <row r="2771" spans="1:7" x14ac:dyDescent="0.3">
      <c r="A2771" t="s">
        <v>627</v>
      </c>
      <c r="B2771" t="s">
        <v>4801</v>
      </c>
      <c r="C2771" t="s">
        <v>8</v>
      </c>
      <c r="D2771">
        <v>2.6960000000000002</v>
      </c>
      <c r="E2771">
        <v>863</v>
      </c>
      <c r="F2771" t="str">
        <f>HYPERLINK("https://www.google.com/maps/search/?api=1&amp;query=24.63869558,46.59641028", "View Map")</f>
        <v>View Map</v>
      </c>
    </row>
    <row r="2772" spans="1:7" x14ac:dyDescent="0.3">
      <c r="A2772" t="s">
        <v>4802</v>
      </c>
      <c r="B2772" t="s">
        <v>4803</v>
      </c>
      <c r="C2772" t="s">
        <v>286</v>
      </c>
      <c r="D2772">
        <v>2.6930000000000001</v>
      </c>
      <c r="E2772">
        <v>862</v>
      </c>
      <c r="F2772" t="str">
        <f>HYPERLINK("https://www.google.com/maps/search/?api=1&amp;query=25.21726632,45.24461813", "View Map")</f>
        <v>View Map</v>
      </c>
      <c r="G2772" s="2">
        <v>0.37565397005266749</v>
      </c>
    </row>
    <row r="2773" spans="1:7" x14ac:dyDescent="0.3">
      <c r="A2773" t="s">
        <v>146</v>
      </c>
      <c r="B2773" t="s">
        <v>4804</v>
      </c>
      <c r="C2773" t="s">
        <v>8</v>
      </c>
      <c r="D2773">
        <v>2.6930000000000001</v>
      </c>
      <c r="E2773">
        <v>862</v>
      </c>
      <c r="F2773" t="str">
        <f>HYPERLINK("https://www.google.com/maps/search/?api=1&amp;query=24.55488805,46.58872846", "View Map")</f>
        <v>View Map</v>
      </c>
    </row>
    <row r="2774" spans="1:7" x14ac:dyDescent="0.3">
      <c r="A2774" t="s">
        <v>4805</v>
      </c>
      <c r="B2774" t="s">
        <v>4806</v>
      </c>
      <c r="C2774" t="s">
        <v>255</v>
      </c>
      <c r="D2774">
        <v>2.6930000000000001</v>
      </c>
      <c r="E2774">
        <v>862</v>
      </c>
      <c r="F2774" t="str">
        <f>HYPERLINK("https://www.google.com/maps/search/?api=1&amp;query=25.10798357,44.67785226", "View Map")</f>
        <v>View Map</v>
      </c>
      <c r="G2774" s="2">
        <v>0.64560514585158724</v>
      </c>
    </row>
    <row r="2775" spans="1:7" x14ac:dyDescent="0.3">
      <c r="A2775" t="s">
        <v>4807</v>
      </c>
      <c r="B2775" t="s">
        <v>4808</v>
      </c>
      <c r="C2775" t="s">
        <v>8</v>
      </c>
      <c r="D2775">
        <v>2.6920000000000002</v>
      </c>
      <c r="E2775">
        <v>861</v>
      </c>
      <c r="F2775" t="str">
        <f>HYPERLINK("https://www.google.com/maps/search/?api=1&amp;query=24.73437324,46.75474847", "View Map")</f>
        <v>View Map</v>
      </c>
      <c r="G2775" s="2">
        <v>0.23129746355187039</v>
      </c>
    </row>
    <row r="2776" spans="1:7" x14ac:dyDescent="0.3">
      <c r="A2776" t="s">
        <v>4809</v>
      </c>
      <c r="B2776" t="s">
        <v>4810</v>
      </c>
      <c r="C2776" t="s">
        <v>883</v>
      </c>
      <c r="D2776">
        <v>2.6920000000000002</v>
      </c>
      <c r="E2776">
        <v>862</v>
      </c>
      <c r="F2776" t="str">
        <f>HYPERLINK("https://www.google.com/maps/search/?api=1&amp;query=25.55113121,47.16992472", "View Map")</f>
        <v>View Map</v>
      </c>
    </row>
    <row r="2777" spans="1:7" x14ac:dyDescent="0.3">
      <c r="A2777" t="s">
        <v>4811</v>
      </c>
      <c r="B2777" t="s">
        <v>4812</v>
      </c>
      <c r="C2777" t="s">
        <v>214</v>
      </c>
      <c r="D2777">
        <v>2.6920000000000002</v>
      </c>
      <c r="E2777">
        <v>861</v>
      </c>
      <c r="F2777" t="str">
        <f>HYPERLINK("https://www.google.com/maps/search/?api=1&amp;query=26.86940434,45.2427869", "View Map")</f>
        <v>View Map</v>
      </c>
      <c r="G2777" s="2">
        <v>0.7001938688620597</v>
      </c>
    </row>
    <row r="2778" spans="1:7" x14ac:dyDescent="0.3">
      <c r="A2778" t="s">
        <v>4813</v>
      </c>
      <c r="B2778" t="s">
        <v>4814</v>
      </c>
      <c r="C2778" t="s">
        <v>30</v>
      </c>
      <c r="D2778">
        <v>2.6909999999999998</v>
      </c>
      <c r="E2778">
        <v>861</v>
      </c>
      <c r="F2778" t="str">
        <f>HYPERLINK("https://www.google.com/maps/search/?api=1&amp;query=24.27912352,47.29054417", "View Map")</f>
        <v>View Map</v>
      </c>
      <c r="G2778" s="2">
        <v>0.40021588320341162</v>
      </c>
    </row>
    <row r="2779" spans="1:7" x14ac:dyDescent="0.3">
      <c r="A2779" t="s">
        <v>4815</v>
      </c>
      <c r="B2779" t="s">
        <v>4816</v>
      </c>
      <c r="C2779" t="s">
        <v>646</v>
      </c>
      <c r="D2779">
        <v>2.6909999999999998</v>
      </c>
      <c r="E2779">
        <v>861</v>
      </c>
      <c r="F2779" t="str">
        <f>HYPERLINK("https://www.google.com/maps/search/?api=1&amp;query=20.47938523,45.59162069", "View Map")</f>
        <v>View Map</v>
      </c>
      <c r="G2779" s="2">
        <v>0.39971282841622779</v>
      </c>
    </row>
    <row r="2780" spans="1:7" x14ac:dyDescent="0.3">
      <c r="A2780" t="s">
        <v>22</v>
      </c>
      <c r="B2780" t="s">
        <v>4817</v>
      </c>
      <c r="C2780" t="s">
        <v>255</v>
      </c>
      <c r="D2780">
        <v>2.69</v>
      </c>
      <c r="E2780">
        <v>861</v>
      </c>
      <c r="F2780" t="str">
        <f>HYPERLINK("https://www.google.com/maps/search/?api=1&amp;query=25.49227438,44.41025467", "View Map")</f>
        <v>View Map</v>
      </c>
      <c r="G2780" s="2">
        <v>0.61477828792114975</v>
      </c>
    </row>
    <row r="2781" spans="1:7" x14ac:dyDescent="0.3">
      <c r="A2781" t="s">
        <v>4818</v>
      </c>
      <c r="B2781" t="s">
        <v>4819</v>
      </c>
      <c r="C2781" t="s">
        <v>1112</v>
      </c>
      <c r="D2781">
        <v>2.6890000000000001</v>
      </c>
      <c r="E2781">
        <v>861</v>
      </c>
      <c r="F2781" t="str">
        <f>HYPERLINK("https://www.google.com/maps/search/?api=1&amp;query=26.02922486,44.94000357", "View Map")</f>
        <v>View Map</v>
      </c>
      <c r="G2781" s="2">
        <v>0.38312009458348639</v>
      </c>
    </row>
    <row r="2782" spans="1:7" x14ac:dyDescent="0.3">
      <c r="A2782" t="s">
        <v>46</v>
      </c>
      <c r="B2782" t="s">
        <v>4820</v>
      </c>
      <c r="C2782" t="s">
        <v>8</v>
      </c>
      <c r="D2782">
        <v>2.6880000000000002</v>
      </c>
      <c r="E2782">
        <v>860</v>
      </c>
      <c r="F2782" t="str">
        <f>HYPERLINK("https://www.google.com/maps/search/?api=1&amp;query=24.86569964,46.63802922", "View Map")</f>
        <v>View Map</v>
      </c>
    </row>
    <row r="2783" spans="1:7" x14ac:dyDescent="0.3">
      <c r="A2783" t="s">
        <v>46</v>
      </c>
      <c r="B2783" t="s">
        <v>4821</v>
      </c>
      <c r="C2783" t="s">
        <v>8</v>
      </c>
      <c r="D2783">
        <v>2.6869999999999998</v>
      </c>
      <c r="E2783">
        <v>860</v>
      </c>
      <c r="F2783" t="str">
        <f>HYPERLINK("https://www.google.com/maps/search/?api=1&amp;query=24.83744612,46.88558924", "View Map")</f>
        <v>View Map</v>
      </c>
    </row>
    <row r="2784" spans="1:7" x14ac:dyDescent="0.3">
      <c r="A2784" t="s">
        <v>4822</v>
      </c>
      <c r="B2784" t="s">
        <v>4823</v>
      </c>
      <c r="C2784" t="s">
        <v>8</v>
      </c>
      <c r="D2784">
        <v>2.6859999999999999</v>
      </c>
      <c r="E2784">
        <v>859</v>
      </c>
      <c r="F2784" t="str">
        <f>HYPERLINK("https://www.google.com/maps/search/?api=1&amp;query=24.68501402,46.78269899", "View Map")</f>
        <v>View Map</v>
      </c>
    </row>
    <row r="2785" spans="1:7" x14ac:dyDescent="0.3">
      <c r="A2785" t="s">
        <v>4824</v>
      </c>
      <c r="B2785" t="s">
        <v>4825</v>
      </c>
      <c r="C2785" t="s">
        <v>8</v>
      </c>
      <c r="D2785">
        <v>2.6859999999999999</v>
      </c>
      <c r="E2785">
        <v>860</v>
      </c>
      <c r="F2785" t="str">
        <f>HYPERLINK("https://www.google.com/maps/search/?api=1&amp;query=24.68146447,46.72423429", "View Map")</f>
        <v>View Map</v>
      </c>
    </row>
    <row r="2786" spans="1:7" x14ac:dyDescent="0.3">
      <c r="A2786" t="s">
        <v>4826</v>
      </c>
      <c r="B2786" t="s">
        <v>4827</v>
      </c>
      <c r="C2786" t="s">
        <v>8</v>
      </c>
      <c r="D2786">
        <v>2.6850000000000001</v>
      </c>
      <c r="E2786">
        <v>859</v>
      </c>
      <c r="F2786" t="str">
        <f>HYPERLINK("https://www.google.com/maps/search/?api=1&amp;query=24.55732054,46.70137618", "View Map")</f>
        <v>View Map</v>
      </c>
    </row>
    <row r="2787" spans="1:7" x14ac:dyDescent="0.3">
      <c r="A2787" t="s">
        <v>4828</v>
      </c>
      <c r="B2787" t="s">
        <v>4829</v>
      </c>
      <c r="C2787" t="s">
        <v>8</v>
      </c>
      <c r="D2787">
        <v>2.6840000000000002</v>
      </c>
      <c r="E2787">
        <v>859</v>
      </c>
      <c r="F2787" t="str">
        <f>HYPERLINK("https://www.google.com/maps/search/?api=1&amp;query=24.59798563,46.68248764", "View Map")</f>
        <v>View Map</v>
      </c>
    </row>
    <row r="2788" spans="1:7" x14ac:dyDescent="0.3">
      <c r="A2788" t="s">
        <v>4830</v>
      </c>
      <c r="B2788" t="s">
        <v>4831</v>
      </c>
      <c r="C2788" t="s">
        <v>8</v>
      </c>
      <c r="D2788">
        <v>2.6840000000000002</v>
      </c>
      <c r="E2788">
        <v>859</v>
      </c>
      <c r="F2788" t="str">
        <f>HYPERLINK("https://www.google.com/maps/search/?api=1&amp;query=24.67108266,46.81242773", "View Map")</f>
        <v>View Map</v>
      </c>
    </row>
    <row r="2789" spans="1:7" x14ac:dyDescent="0.3">
      <c r="A2789" t="s">
        <v>4832</v>
      </c>
      <c r="B2789" t="s">
        <v>4833</v>
      </c>
      <c r="C2789" t="s">
        <v>8</v>
      </c>
      <c r="D2789">
        <v>2.6829999999999998</v>
      </c>
      <c r="E2789">
        <v>859</v>
      </c>
      <c r="F2789" t="str">
        <f>HYPERLINK("https://www.google.com/maps/search/?api=1&amp;query=24.6918934,46.64110086", "View Map")</f>
        <v>View Map</v>
      </c>
    </row>
    <row r="2790" spans="1:7" x14ac:dyDescent="0.3">
      <c r="A2790" t="s">
        <v>1788</v>
      </c>
      <c r="B2790" t="s">
        <v>4834</v>
      </c>
      <c r="C2790" t="s">
        <v>291</v>
      </c>
      <c r="D2790">
        <v>2.6819999999999999</v>
      </c>
      <c r="E2790">
        <v>858</v>
      </c>
      <c r="F2790" t="str">
        <f>HYPERLINK("https://www.google.com/maps/search/?api=1&amp;query=24.08258881,45.3255726", "View Map")</f>
        <v>View Map</v>
      </c>
      <c r="G2790" s="2">
        <v>0.70693464271600026</v>
      </c>
    </row>
    <row r="2791" spans="1:7" x14ac:dyDescent="0.3">
      <c r="A2791" t="s">
        <v>4835</v>
      </c>
      <c r="B2791" t="s">
        <v>4836</v>
      </c>
      <c r="C2791" t="s">
        <v>8</v>
      </c>
      <c r="D2791">
        <v>2.681</v>
      </c>
      <c r="E2791">
        <v>858</v>
      </c>
      <c r="F2791" t="str">
        <f>HYPERLINK("https://www.google.com/maps/search/?api=1&amp;query=24.67790644,46.76702772", "View Map")</f>
        <v>View Map</v>
      </c>
    </row>
    <row r="2792" spans="1:7" x14ac:dyDescent="0.3">
      <c r="A2792" t="s">
        <v>196</v>
      </c>
      <c r="B2792" t="s">
        <v>4837</v>
      </c>
      <c r="C2792" t="s">
        <v>8</v>
      </c>
      <c r="D2792">
        <v>2.677</v>
      </c>
      <c r="E2792">
        <v>857</v>
      </c>
      <c r="F2792" t="str">
        <f>HYPERLINK("https://www.google.com/maps/search/?api=1&amp;query=24.60020806,46.7691024", "View Map")</f>
        <v>View Map</v>
      </c>
    </row>
    <row r="2793" spans="1:7" x14ac:dyDescent="0.3">
      <c r="A2793" t="s">
        <v>717</v>
      </c>
      <c r="B2793" t="s">
        <v>4838</v>
      </c>
      <c r="C2793" t="s">
        <v>255</v>
      </c>
      <c r="D2793">
        <v>2.677</v>
      </c>
      <c r="E2793">
        <v>857</v>
      </c>
      <c r="F2793" t="str">
        <f>HYPERLINK("https://www.google.com/maps/search/?api=1&amp;query=24.5520837,44.42524255", "View Map")</f>
        <v>View Map</v>
      </c>
    </row>
    <row r="2794" spans="1:7" x14ac:dyDescent="0.3">
      <c r="A2794" t="s">
        <v>4839</v>
      </c>
      <c r="B2794" t="s">
        <v>4840</v>
      </c>
      <c r="C2794" t="s">
        <v>8</v>
      </c>
      <c r="D2794">
        <v>2.6760000000000002</v>
      </c>
      <c r="E2794">
        <v>856</v>
      </c>
      <c r="F2794" t="str">
        <f>HYPERLINK("https://www.google.com/maps/search/?api=1&amp;query=24.67086237,46.75838885", "View Map")</f>
        <v>View Map</v>
      </c>
      <c r="G2794" s="2">
        <v>0.36516580090735251</v>
      </c>
    </row>
    <row r="2795" spans="1:7" x14ac:dyDescent="0.3">
      <c r="A2795" t="s">
        <v>4841</v>
      </c>
      <c r="B2795" t="s">
        <v>4842</v>
      </c>
      <c r="C2795" t="s">
        <v>8</v>
      </c>
      <c r="D2795">
        <v>2.6749999999999998</v>
      </c>
      <c r="E2795">
        <v>856</v>
      </c>
      <c r="F2795" t="str">
        <f>HYPERLINK("https://www.google.com/maps/search/?api=1&amp;query=24.7297,46.8114", "View Map")</f>
        <v>View Map</v>
      </c>
    </row>
    <row r="2796" spans="1:7" x14ac:dyDescent="0.3">
      <c r="A2796" t="s">
        <v>4843</v>
      </c>
      <c r="B2796" t="s">
        <v>4844</v>
      </c>
      <c r="C2796" t="s">
        <v>8</v>
      </c>
      <c r="D2796">
        <v>2.6739999999999999</v>
      </c>
      <c r="E2796">
        <v>856</v>
      </c>
      <c r="F2796" t="str">
        <f>HYPERLINK("https://www.google.com/maps/search/?api=1&amp;query=24.63183258,46.71742932", "View Map")</f>
        <v>View Map</v>
      </c>
    </row>
    <row r="2797" spans="1:7" x14ac:dyDescent="0.3">
      <c r="A2797" t="s">
        <v>717</v>
      </c>
      <c r="B2797" t="s">
        <v>4845</v>
      </c>
      <c r="C2797" t="s">
        <v>255</v>
      </c>
      <c r="D2797">
        <v>2.6739999999999999</v>
      </c>
      <c r="E2797">
        <v>856</v>
      </c>
      <c r="F2797" t="str">
        <f>HYPERLINK("https://www.google.com/maps/search/?api=1&amp;query=24.54890768,44.41565382", "View Map")</f>
        <v>View Map</v>
      </c>
    </row>
    <row r="2798" spans="1:7" x14ac:dyDescent="0.3">
      <c r="A2798" t="s">
        <v>146</v>
      </c>
      <c r="B2798" t="s">
        <v>4846</v>
      </c>
      <c r="C2798" t="s">
        <v>8</v>
      </c>
      <c r="D2798">
        <v>2.6739999999999999</v>
      </c>
      <c r="E2798">
        <v>856</v>
      </c>
      <c r="F2798" t="str">
        <f>HYPERLINK("https://www.google.com/maps/search/?api=1&amp;query=24.50563991,46.62900741", "View Map")</f>
        <v>View Map</v>
      </c>
    </row>
    <row r="2799" spans="1:7" x14ac:dyDescent="0.3">
      <c r="A2799" t="s">
        <v>4847</v>
      </c>
      <c r="B2799" t="s">
        <v>4848</v>
      </c>
      <c r="C2799" t="s">
        <v>214</v>
      </c>
      <c r="D2799">
        <v>2.673</v>
      </c>
      <c r="E2799">
        <v>855</v>
      </c>
      <c r="F2799" t="str">
        <f>HYPERLINK("https://www.google.com/maps/search/?api=1&amp;query=25.58793191,45.69619133", "View Map")</f>
        <v>View Map</v>
      </c>
      <c r="G2799" s="2">
        <v>0.56134029566897314</v>
      </c>
    </row>
    <row r="2800" spans="1:7" x14ac:dyDescent="0.3">
      <c r="A2800" t="s">
        <v>4849</v>
      </c>
      <c r="B2800" t="s">
        <v>4850</v>
      </c>
      <c r="C2800" t="s">
        <v>883</v>
      </c>
      <c r="D2800">
        <v>2.6720000000000002</v>
      </c>
      <c r="E2800">
        <v>855</v>
      </c>
      <c r="F2800" t="str">
        <f>HYPERLINK("https://www.google.com/maps/search/?api=1&amp;query=25.56990853,46.98225485", "View Map")</f>
        <v>View Map</v>
      </c>
      <c r="G2800" s="2">
        <v>0.38112260796112002</v>
      </c>
    </row>
    <row r="2801" spans="1:7" x14ac:dyDescent="0.3">
      <c r="A2801" t="s">
        <v>4851</v>
      </c>
      <c r="B2801" t="s">
        <v>4852</v>
      </c>
      <c r="C2801" t="s">
        <v>8</v>
      </c>
      <c r="D2801">
        <v>2.6720000000000002</v>
      </c>
      <c r="E2801">
        <v>855</v>
      </c>
      <c r="F2801" t="str">
        <f>HYPERLINK("https://www.google.com/maps/search/?api=1&amp;query=24.75820738,46.6703758", "View Map")</f>
        <v>View Map</v>
      </c>
    </row>
    <row r="2802" spans="1:7" x14ac:dyDescent="0.3">
      <c r="A2802" t="s">
        <v>46</v>
      </c>
      <c r="B2802" t="s">
        <v>4853</v>
      </c>
      <c r="C2802" t="s">
        <v>8</v>
      </c>
      <c r="D2802">
        <v>2.6720000000000002</v>
      </c>
      <c r="E2802">
        <v>855</v>
      </c>
      <c r="F2802" t="str">
        <f>HYPERLINK("https://www.google.com/maps/search/?api=1&amp;query=24.83867618,46.77747984", "View Map")</f>
        <v>View Map</v>
      </c>
    </row>
    <row r="2803" spans="1:7" x14ac:dyDescent="0.3">
      <c r="A2803" t="s">
        <v>4854</v>
      </c>
      <c r="B2803" t="s">
        <v>4855</v>
      </c>
      <c r="C2803" t="s">
        <v>55</v>
      </c>
      <c r="D2803">
        <v>2.6680000000000001</v>
      </c>
      <c r="E2803">
        <v>854</v>
      </c>
      <c r="F2803" t="str">
        <f>HYPERLINK("https://www.google.com/maps/search/?api=1&amp;query=24.74142,46.58241", "View Map")</f>
        <v>View Map</v>
      </c>
    </row>
    <row r="2804" spans="1:7" x14ac:dyDescent="0.3">
      <c r="A2804" t="s">
        <v>4856</v>
      </c>
      <c r="B2804" t="s">
        <v>4857</v>
      </c>
      <c r="C2804" t="s">
        <v>241</v>
      </c>
      <c r="D2804">
        <v>2.6680000000000001</v>
      </c>
      <c r="E2804">
        <v>854</v>
      </c>
      <c r="F2804" t="str">
        <f>HYPERLINK("https://www.google.com/maps/search/?api=1&amp;query=20.4728795,44.78438994", "View Map")</f>
        <v>View Map</v>
      </c>
    </row>
    <row r="2805" spans="1:7" x14ac:dyDescent="0.3">
      <c r="A2805" t="s">
        <v>4858</v>
      </c>
      <c r="B2805" t="s">
        <v>4859</v>
      </c>
      <c r="C2805" t="s">
        <v>241</v>
      </c>
      <c r="D2805">
        <v>2.6669999999999998</v>
      </c>
      <c r="E2805">
        <v>853</v>
      </c>
      <c r="F2805" t="str">
        <f>HYPERLINK("https://www.google.com/maps/search/?api=1&amp;query=20.50575494,44.73383038", "View Map")</f>
        <v>View Map</v>
      </c>
    </row>
    <row r="2806" spans="1:7" x14ac:dyDescent="0.3">
      <c r="A2806" t="s">
        <v>4860</v>
      </c>
      <c r="B2806" t="s">
        <v>4861</v>
      </c>
      <c r="C2806" t="s">
        <v>8</v>
      </c>
      <c r="D2806">
        <v>2.665</v>
      </c>
      <c r="E2806">
        <v>853</v>
      </c>
      <c r="F2806" t="str">
        <f>HYPERLINK("https://www.google.com/maps/search/?api=1&amp;query=24.6796903,46.66705264", "View Map")</f>
        <v>View Map</v>
      </c>
    </row>
    <row r="2807" spans="1:7" x14ac:dyDescent="0.3">
      <c r="A2807" t="s">
        <v>2122</v>
      </c>
      <c r="B2807" t="s">
        <v>4862</v>
      </c>
      <c r="C2807" t="s">
        <v>8</v>
      </c>
      <c r="D2807">
        <v>2.6640000000000001</v>
      </c>
      <c r="E2807">
        <v>852</v>
      </c>
      <c r="F2807" t="str">
        <f>HYPERLINK("https://www.google.com/maps/search/?api=1&amp;query=24.82515323,46.78374478", "View Map")</f>
        <v>View Map</v>
      </c>
      <c r="G2807" s="2">
        <v>0.76266393138232413</v>
      </c>
    </row>
    <row r="2808" spans="1:7" x14ac:dyDescent="0.3">
      <c r="A2808" t="s">
        <v>4863</v>
      </c>
      <c r="B2808" t="s">
        <v>4864</v>
      </c>
      <c r="C2808" t="s">
        <v>21</v>
      </c>
      <c r="D2808">
        <v>2.6640000000000001</v>
      </c>
      <c r="E2808">
        <v>853</v>
      </c>
      <c r="F2808" t="str">
        <f>HYPERLINK("https://www.google.com/maps/search/?api=1&amp;query=26.32383586,44.81459594", "View Map")</f>
        <v>View Map</v>
      </c>
      <c r="G2808" s="2">
        <v>0.5424982030379647</v>
      </c>
    </row>
    <row r="2809" spans="1:7" x14ac:dyDescent="0.3">
      <c r="A2809" t="s">
        <v>4865</v>
      </c>
      <c r="B2809" t="s">
        <v>4866</v>
      </c>
      <c r="C2809" t="s">
        <v>291</v>
      </c>
      <c r="D2809">
        <v>2.6640000000000001</v>
      </c>
      <c r="E2809">
        <v>853</v>
      </c>
      <c r="F2809" t="str">
        <f>HYPERLINK("https://www.google.com/maps/search/?api=1&amp;query=23.78313373,44.78872573", "View Map")</f>
        <v>View Map</v>
      </c>
      <c r="G2809" s="2">
        <v>0.58545938564760691</v>
      </c>
    </row>
    <row r="2810" spans="1:7" x14ac:dyDescent="0.3">
      <c r="A2810" t="s">
        <v>4867</v>
      </c>
      <c r="B2810" t="s">
        <v>4868</v>
      </c>
      <c r="C2810" t="s">
        <v>8</v>
      </c>
      <c r="D2810">
        <v>2.6640000000000001</v>
      </c>
      <c r="E2810">
        <v>853</v>
      </c>
      <c r="F2810" t="str">
        <f>HYPERLINK("https://www.google.com/maps/search/?api=1&amp;query=24.57407675,46.76710118", "View Map")</f>
        <v>View Map</v>
      </c>
    </row>
    <row r="2811" spans="1:7" x14ac:dyDescent="0.3">
      <c r="A2811" t="s">
        <v>46</v>
      </c>
      <c r="B2811" t="s">
        <v>4869</v>
      </c>
      <c r="C2811" t="s">
        <v>8</v>
      </c>
      <c r="D2811">
        <v>2.6629999999999998</v>
      </c>
      <c r="E2811">
        <v>852</v>
      </c>
      <c r="F2811" t="str">
        <f>HYPERLINK("https://www.google.com/maps/search/?api=1&amp;query=24.80897062,46.82532211", "View Map")</f>
        <v>View Map</v>
      </c>
    </row>
    <row r="2812" spans="1:7" x14ac:dyDescent="0.3">
      <c r="A2812" t="s">
        <v>352</v>
      </c>
      <c r="B2812" t="s">
        <v>4870</v>
      </c>
      <c r="C2812" t="s">
        <v>8</v>
      </c>
      <c r="D2812">
        <v>2.6629999999999998</v>
      </c>
      <c r="E2812">
        <v>852</v>
      </c>
      <c r="F2812" t="str">
        <f>HYPERLINK("https://www.google.com/maps/search/?api=1&amp;query=24.74873106,46.80280011", "View Map")</f>
        <v>View Map</v>
      </c>
    </row>
    <row r="2813" spans="1:7" x14ac:dyDescent="0.3">
      <c r="A2813" t="s">
        <v>4871</v>
      </c>
      <c r="B2813" t="s">
        <v>4872</v>
      </c>
      <c r="C2813" t="s">
        <v>8</v>
      </c>
      <c r="D2813">
        <v>2.6589999999999998</v>
      </c>
      <c r="E2813">
        <v>851</v>
      </c>
      <c r="F2813" t="str">
        <f>HYPERLINK("https://www.google.com/maps/search/?api=1&amp;query=24.75574702,46.76296887", "View Map")</f>
        <v>View Map</v>
      </c>
    </row>
    <row r="2814" spans="1:7" x14ac:dyDescent="0.3">
      <c r="A2814" t="s">
        <v>4873</v>
      </c>
      <c r="B2814" t="s">
        <v>4874</v>
      </c>
      <c r="C2814" t="s">
        <v>8</v>
      </c>
      <c r="D2814">
        <v>2.6579999999999999</v>
      </c>
      <c r="E2814">
        <v>851</v>
      </c>
      <c r="F2814" t="str">
        <f>HYPERLINK("https://www.google.com/maps/search/?api=1&amp;query=24.57570091,46.75938962", "View Map")</f>
        <v>View Map</v>
      </c>
    </row>
    <row r="2815" spans="1:7" x14ac:dyDescent="0.3">
      <c r="A2815" t="s">
        <v>4875</v>
      </c>
      <c r="B2815" t="s">
        <v>4876</v>
      </c>
      <c r="C2815" t="s">
        <v>55</v>
      </c>
      <c r="D2815">
        <v>2.6560000000000001</v>
      </c>
      <c r="E2815">
        <v>850</v>
      </c>
      <c r="F2815" t="str">
        <f>HYPERLINK("https://www.google.com/maps/search/?api=1&amp;query=24.75461295,46.53530444", "View Map")</f>
        <v>View Map</v>
      </c>
    </row>
    <row r="2816" spans="1:7" x14ac:dyDescent="0.3">
      <c r="A2816" t="s">
        <v>28</v>
      </c>
      <c r="B2816" t="s">
        <v>4877</v>
      </c>
      <c r="C2816" t="s">
        <v>30</v>
      </c>
      <c r="D2816">
        <v>2.6560000000000001</v>
      </c>
      <c r="E2816">
        <v>850</v>
      </c>
      <c r="F2816" t="str">
        <f>HYPERLINK("https://www.google.com/maps/search/?api=1&amp;query=24.10724635,47.26312493", "View Map")</f>
        <v>View Map</v>
      </c>
    </row>
    <row r="2817" spans="1:7" x14ac:dyDescent="0.3">
      <c r="A2817" t="s">
        <v>1608</v>
      </c>
      <c r="B2817" t="s">
        <v>4878</v>
      </c>
      <c r="C2817" t="s">
        <v>8</v>
      </c>
      <c r="D2817">
        <v>2.6549999999999998</v>
      </c>
      <c r="E2817">
        <v>850</v>
      </c>
      <c r="F2817" t="str">
        <f>HYPERLINK("https://www.google.com/maps/search/?api=1&amp;query=24.705896,46.61826581", "View Map")</f>
        <v>View Map</v>
      </c>
    </row>
    <row r="2818" spans="1:7" x14ac:dyDescent="0.3">
      <c r="A2818" t="s">
        <v>4879</v>
      </c>
      <c r="B2818" t="s">
        <v>4880</v>
      </c>
      <c r="C2818" t="s">
        <v>8</v>
      </c>
      <c r="D2818">
        <v>2.6549999999999998</v>
      </c>
      <c r="E2818">
        <v>850</v>
      </c>
      <c r="F2818" t="str">
        <f>HYPERLINK("https://www.google.com/maps/search/?api=1&amp;query=24.69011604,46.82454045", "View Map")</f>
        <v>View Map</v>
      </c>
    </row>
    <row r="2819" spans="1:7" x14ac:dyDescent="0.3">
      <c r="A2819" t="s">
        <v>4881</v>
      </c>
      <c r="B2819" t="s">
        <v>4882</v>
      </c>
      <c r="C2819" t="s">
        <v>883</v>
      </c>
      <c r="D2819">
        <v>2.6549999999999998</v>
      </c>
      <c r="E2819">
        <v>850</v>
      </c>
      <c r="F2819" t="str">
        <f>HYPERLINK("https://www.google.com/maps/search/?api=1&amp;query=25.54815679,47.16352871", "View Map")</f>
        <v>View Map</v>
      </c>
    </row>
    <row r="2820" spans="1:7" x14ac:dyDescent="0.3">
      <c r="A2820" t="s">
        <v>4883</v>
      </c>
      <c r="B2820" t="s">
        <v>4884</v>
      </c>
      <c r="C2820" t="s">
        <v>286</v>
      </c>
      <c r="D2820">
        <v>2.6539999999999999</v>
      </c>
      <c r="E2820">
        <v>849</v>
      </c>
      <c r="F2820" t="str">
        <f>HYPERLINK("https://www.google.com/maps/search/?api=1&amp;query=25.29960131,45.52492078", "View Map")</f>
        <v>View Map</v>
      </c>
      <c r="G2820" s="2">
        <v>0.75453626934711038</v>
      </c>
    </row>
    <row r="2821" spans="1:7" x14ac:dyDescent="0.3">
      <c r="A2821" t="s">
        <v>4885</v>
      </c>
      <c r="B2821" t="s">
        <v>4886</v>
      </c>
      <c r="C2821" t="s">
        <v>8</v>
      </c>
      <c r="D2821">
        <v>2.6539999999999999</v>
      </c>
      <c r="E2821">
        <v>849</v>
      </c>
      <c r="F2821" t="str">
        <f>HYPERLINK("https://www.google.com/maps/search/?api=1&amp;query=24.58916402,46.5319198", "View Map")</f>
        <v>View Map</v>
      </c>
      <c r="G2821" s="2">
        <v>0.47518219507990572</v>
      </c>
    </row>
    <row r="2822" spans="1:7" x14ac:dyDescent="0.3">
      <c r="A2822" t="s">
        <v>4887</v>
      </c>
      <c r="B2822" t="s">
        <v>4888</v>
      </c>
      <c r="C2822" t="s">
        <v>699</v>
      </c>
      <c r="D2822">
        <v>2.6539999999999999</v>
      </c>
      <c r="E2822">
        <v>849</v>
      </c>
      <c r="F2822" t="str">
        <f>HYPERLINK("https://www.google.com/maps/search/?api=1&amp;query=24.54292639,45.32704888", "View Map")</f>
        <v>View Map</v>
      </c>
    </row>
    <row r="2823" spans="1:7" x14ac:dyDescent="0.3">
      <c r="A2823" t="s">
        <v>2168</v>
      </c>
      <c r="B2823" t="s">
        <v>4889</v>
      </c>
      <c r="C2823" t="s">
        <v>393</v>
      </c>
      <c r="D2823">
        <v>2.6539999999999999</v>
      </c>
      <c r="E2823">
        <v>849</v>
      </c>
      <c r="F2823" t="str">
        <f>HYPERLINK("https://www.google.com/maps/search/?api=1&amp;query=23.54366195,45.50526378", "View Map")</f>
        <v>View Map</v>
      </c>
      <c r="G2823" s="2">
        <v>0.38420477829306798</v>
      </c>
    </row>
    <row r="2824" spans="1:7" x14ac:dyDescent="0.3">
      <c r="A2824" t="s">
        <v>46</v>
      </c>
      <c r="B2824" t="s">
        <v>4890</v>
      </c>
      <c r="C2824" t="s">
        <v>8</v>
      </c>
      <c r="D2824">
        <v>2.653</v>
      </c>
      <c r="E2824">
        <v>849</v>
      </c>
      <c r="F2824" t="str">
        <f>HYPERLINK("https://www.google.com/maps/search/?api=1&amp;query=24.8261,46.6792", "View Map")</f>
        <v>View Map</v>
      </c>
    </row>
    <row r="2825" spans="1:7" x14ac:dyDescent="0.3">
      <c r="A2825" t="s">
        <v>4891</v>
      </c>
      <c r="B2825" t="s">
        <v>4892</v>
      </c>
      <c r="C2825" t="s">
        <v>8</v>
      </c>
      <c r="D2825">
        <v>2.6520000000000001</v>
      </c>
      <c r="E2825">
        <v>849</v>
      </c>
      <c r="F2825" t="str">
        <f>HYPERLINK("https://www.google.com/maps/search/?api=1&amp;query=24.58798906,46.54917495", "View Map")</f>
        <v>View Map</v>
      </c>
    </row>
    <row r="2826" spans="1:7" x14ac:dyDescent="0.3">
      <c r="A2826" t="s">
        <v>112</v>
      </c>
      <c r="B2826" t="s">
        <v>4893</v>
      </c>
      <c r="C2826" t="s">
        <v>8</v>
      </c>
      <c r="D2826">
        <v>2.6520000000000001</v>
      </c>
      <c r="E2826">
        <v>849</v>
      </c>
      <c r="F2826" t="str">
        <f>HYPERLINK("https://www.google.com/maps/search/?api=1&amp;query=24.58057329,46.55179855", "View Map")</f>
        <v>View Map</v>
      </c>
    </row>
    <row r="2827" spans="1:7" x14ac:dyDescent="0.3">
      <c r="A2827" t="s">
        <v>4894</v>
      </c>
      <c r="B2827" t="s">
        <v>4895</v>
      </c>
      <c r="C2827" t="s">
        <v>77</v>
      </c>
      <c r="D2827">
        <v>2.6520000000000001</v>
      </c>
      <c r="E2827">
        <v>849</v>
      </c>
      <c r="F2827" t="str">
        <f>HYPERLINK("https://www.google.com/maps/search/?api=1&amp;query=22.29021615,46.71103832", "View Map")</f>
        <v>View Map</v>
      </c>
    </row>
    <row r="2828" spans="1:7" x14ac:dyDescent="0.3">
      <c r="A2828" t="s">
        <v>146</v>
      </c>
      <c r="B2828" t="s">
        <v>4896</v>
      </c>
      <c r="C2828" t="s">
        <v>8</v>
      </c>
      <c r="D2828">
        <v>2.6509999999999998</v>
      </c>
      <c r="E2828">
        <v>848</v>
      </c>
      <c r="F2828" t="str">
        <f>HYPERLINK("https://www.google.com/maps/search/?api=1&amp;query=24.55363955,46.6674507", "View Map")</f>
        <v>View Map</v>
      </c>
      <c r="G2828" s="2">
        <v>0.3490631380071873</v>
      </c>
    </row>
    <row r="2829" spans="1:7" x14ac:dyDescent="0.3">
      <c r="A2829" t="s">
        <v>4897</v>
      </c>
      <c r="B2829" t="s">
        <v>4898</v>
      </c>
      <c r="C2829" t="s">
        <v>8</v>
      </c>
      <c r="D2829">
        <v>2.649</v>
      </c>
      <c r="E2829">
        <v>848</v>
      </c>
      <c r="F2829" t="str">
        <f>HYPERLINK("https://www.google.com/maps/search/?api=1&amp;query=24.71295674,46.68056328", "View Map")</f>
        <v>View Map</v>
      </c>
    </row>
    <row r="2830" spans="1:7" x14ac:dyDescent="0.3">
      <c r="A2830" t="s">
        <v>4899</v>
      </c>
      <c r="B2830" t="s">
        <v>4900</v>
      </c>
      <c r="C2830" t="s">
        <v>8</v>
      </c>
      <c r="D2830">
        <v>2.649</v>
      </c>
      <c r="E2830">
        <v>848</v>
      </c>
      <c r="F2830" t="str">
        <f>HYPERLINK("https://www.google.com/maps/search/?api=1&amp;query=24.62268132,46.71668946", "View Map")</f>
        <v>View Map</v>
      </c>
    </row>
    <row r="2831" spans="1:7" x14ac:dyDescent="0.3">
      <c r="A2831" t="s">
        <v>4901</v>
      </c>
      <c r="B2831" t="s">
        <v>4902</v>
      </c>
      <c r="C2831" t="s">
        <v>8</v>
      </c>
      <c r="D2831">
        <v>2.6480000000000001</v>
      </c>
      <c r="E2831">
        <v>847</v>
      </c>
      <c r="F2831" t="str">
        <f>HYPERLINK("https://www.google.com/maps/search/?api=1&amp;query=24.55594874,46.68403626", "View Map")</f>
        <v>View Map</v>
      </c>
    </row>
    <row r="2832" spans="1:7" x14ac:dyDescent="0.3">
      <c r="A2832" t="s">
        <v>4903</v>
      </c>
      <c r="B2832" t="s">
        <v>4904</v>
      </c>
      <c r="C2832" t="s">
        <v>8</v>
      </c>
      <c r="D2832">
        <v>2.645</v>
      </c>
      <c r="E2832">
        <v>847</v>
      </c>
      <c r="F2832" t="str">
        <f>HYPERLINK("https://www.google.com/maps/search/?api=1&amp;query=24.77149952,46.62970709", "View Map")</f>
        <v>View Map</v>
      </c>
    </row>
    <row r="2833" spans="1:7" x14ac:dyDescent="0.3">
      <c r="A2833" t="s">
        <v>4905</v>
      </c>
      <c r="B2833" t="s">
        <v>4906</v>
      </c>
      <c r="C2833" t="s">
        <v>8</v>
      </c>
      <c r="D2833">
        <v>2.645</v>
      </c>
      <c r="E2833">
        <v>846</v>
      </c>
      <c r="F2833" t="str">
        <f>HYPERLINK("https://www.google.com/maps/search/?api=1&amp;query=24.77573178,46.75846052", "View Map")</f>
        <v>View Map</v>
      </c>
      <c r="G2833" s="2">
        <v>0.2160967633762752</v>
      </c>
    </row>
    <row r="2834" spans="1:7" x14ac:dyDescent="0.3">
      <c r="A2834" t="s">
        <v>4907</v>
      </c>
      <c r="B2834" t="s">
        <v>4908</v>
      </c>
      <c r="C2834" t="s">
        <v>8</v>
      </c>
      <c r="D2834">
        <v>2.645</v>
      </c>
      <c r="E2834">
        <v>846</v>
      </c>
      <c r="F2834" t="str">
        <f>HYPERLINK("https://www.google.com/maps/search/?api=1&amp;query=24.61757667,46.69805552", "View Map")</f>
        <v>View Map</v>
      </c>
    </row>
    <row r="2835" spans="1:7" x14ac:dyDescent="0.3">
      <c r="A2835" t="s">
        <v>1754</v>
      </c>
      <c r="B2835" t="s">
        <v>4909</v>
      </c>
      <c r="C2835" t="s">
        <v>646</v>
      </c>
      <c r="D2835">
        <v>2.6440000000000001</v>
      </c>
      <c r="E2835">
        <v>846</v>
      </c>
      <c r="F2835" t="str">
        <f>HYPERLINK("https://www.google.com/maps/search/?api=1&amp;query=20.4596098,45.5763322", "View Map")</f>
        <v>View Map</v>
      </c>
    </row>
    <row r="2836" spans="1:7" x14ac:dyDescent="0.3">
      <c r="A2836" t="s">
        <v>4910</v>
      </c>
      <c r="B2836" t="s">
        <v>4911</v>
      </c>
      <c r="C2836" t="s">
        <v>8</v>
      </c>
      <c r="D2836">
        <v>2.6440000000000001</v>
      </c>
      <c r="E2836">
        <v>846</v>
      </c>
      <c r="F2836" t="str">
        <f>HYPERLINK("https://www.google.com/maps/search/?api=1&amp;query=24.57640778,46.59466383", "View Map")</f>
        <v>View Map</v>
      </c>
    </row>
    <row r="2837" spans="1:7" x14ac:dyDescent="0.3">
      <c r="A2837" t="s">
        <v>576</v>
      </c>
      <c r="B2837" t="s">
        <v>4912</v>
      </c>
      <c r="C2837" t="s">
        <v>8</v>
      </c>
      <c r="D2837">
        <v>2.6419999999999999</v>
      </c>
      <c r="E2837">
        <v>846</v>
      </c>
      <c r="F2837" t="str">
        <f>HYPERLINK("https://www.google.com/maps/search/?api=1&amp;query=24.52840106,46.70179337", "View Map")</f>
        <v>View Map</v>
      </c>
    </row>
    <row r="2838" spans="1:7" x14ac:dyDescent="0.3">
      <c r="A2838" t="s">
        <v>150</v>
      </c>
      <c r="B2838" t="s">
        <v>4913</v>
      </c>
      <c r="C2838" t="s">
        <v>8</v>
      </c>
      <c r="D2838">
        <v>2.6419999999999999</v>
      </c>
      <c r="E2838">
        <v>845</v>
      </c>
      <c r="F2838" t="str">
        <f>HYPERLINK("https://www.google.com/maps/search/?api=1&amp;query=24.81223815,46.75974487", "View Map")</f>
        <v>View Map</v>
      </c>
    </row>
    <row r="2839" spans="1:7" x14ac:dyDescent="0.3">
      <c r="A2839" t="s">
        <v>4914</v>
      </c>
      <c r="B2839" t="s">
        <v>4915</v>
      </c>
      <c r="C2839" t="s">
        <v>21</v>
      </c>
      <c r="D2839">
        <v>2.641</v>
      </c>
      <c r="E2839">
        <v>845</v>
      </c>
      <c r="F2839" t="str">
        <f>HYPERLINK("https://www.google.com/maps/search/?api=1&amp;query=26.29023158,44.81705732", "View Map")</f>
        <v>View Map</v>
      </c>
      <c r="G2839" s="2">
        <v>0.54956537889698243</v>
      </c>
    </row>
    <row r="2840" spans="1:7" x14ac:dyDescent="0.3">
      <c r="A2840" t="s">
        <v>1273</v>
      </c>
      <c r="B2840" t="s">
        <v>4916</v>
      </c>
      <c r="C2840" t="s">
        <v>241</v>
      </c>
      <c r="D2840">
        <v>2.641</v>
      </c>
      <c r="E2840">
        <v>845</v>
      </c>
      <c r="F2840" t="str">
        <f>HYPERLINK("https://www.google.com/maps/search/?api=1&amp;query=20.4503241,44.8405842", "View Map")</f>
        <v>View Map</v>
      </c>
      <c r="G2840" s="2">
        <v>0.49393139312101503</v>
      </c>
    </row>
    <row r="2841" spans="1:7" x14ac:dyDescent="0.3">
      <c r="A2841" t="s">
        <v>433</v>
      </c>
      <c r="B2841" t="s">
        <v>4917</v>
      </c>
      <c r="C2841" t="s">
        <v>137</v>
      </c>
      <c r="D2841">
        <v>2.641</v>
      </c>
      <c r="E2841">
        <v>845</v>
      </c>
      <c r="F2841" t="str">
        <f>HYPERLINK("https://www.google.com/maps/search/?api=1&amp;query=23.45812721,46.8620731", "View Map")</f>
        <v>View Map</v>
      </c>
      <c r="G2841" s="2">
        <v>0.41742629972244871</v>
      </c>
    </row>
    <row r="2842" spans="1:7" x14ac:dyDescent="0.3">
      <c r="A2842" t="s">
        <v>4918</v>
      </c>
      <c r="B2842" t="s">
        <v>4919</v>
      </c>
      <c r="C2842" t="s">
        <v>8</v>
      </c>
      <c r="D2842">
        <v>2.64</v>
      </c>
      <c r="E2842">
        <v>845</v>
      </c>
      <c r="F2842" t="str">
        <f>HYPERLINK("https://www.google.com/maps/search/?api=1&amp;query=24.81256081,46.75290913", "View Map")</f>
        <v>View Map</v>
      </c>
    </row>
    <row r="2843" spans="1:7" x14ac:dyDescent="0.3">
      <c r="A2843" t="s">
        <v>4920</v>
      </c>
      <c r="B2843" t="s">
        <v>4921</v>
      </c>
      <c r="C2843" t="s">
        <v>8</v>
      </c>
      <c r="D2843">
        <v>2.64</v>
      </c>
      <c r="E2843">
        <v>845</v>
      </c>
      <c r="F2843" t="str">
        <f>HYPERLINK("https://www.google.com/maps/search/?api=1&amp;query=24.72548506,46.78920127", "View Map")</f>
        <v>View Map</v>
      </c>
    </row>
    <row r="2844" spans="1:7" x14ac:dyDescent="0.3">
      <c r="A2844" t="s">
        <v>46</v>
      </c>
      <c r="B2844" t="s">
        <v>4922</v>
      </c>
      <c r="C2844" t="s">
        <v>8</v>
      </c>
      <c r="D2844">
        <v>2.64</v>
      </c>
      <c r="E2844">
        <v>845</v>
      </c>
      <c r="F2844" t="str">
        <f>HYPERLINK("https://www.google.com/maps/search/?api=1&amp;query=24.83819136,46.64715421", "View Map")</f>
        <v>View Map</v>
      </c>
    </row>
    <row r="2845" spans="1:7" x14ac:dyDescent="0.3">
      <c r="A2845" t="s">
        <v>4923</v>
      </c>
      <c r="B2845" t="s">
        <v>4924</v>
      </c>
      <c r="C2845" t="s">
        <v>8</v>
      </c>
      <c r="D2845">
        <v>2.6389999999999998</v>
      </c>
      <c r="E2845">
        <v>845</v>
      </c>
      <c r="F2845" t="str">
        <f>HYPERLINK("https://www.google.com/maps/search/?api=1&amp;query=24.6398036,46.71630179", "View Map")</f>
        <v>View Map</v>
      </c>
    </row>
    <row r="2846" spans="1:7" x14ac:dyDescent="0.3">
      <c r="A2846" t="s">
        <v>963</v>
      </c>
      <c r="B2846" t="s">
        <v>4925</v>
      </c>
      <c r="C2846" t="s">
        <v>241</v>
      </c>
      <c r="D2846">
        <v>2.6389999999999998</v>
      </c>
      <c r="E2846">
        <v>844</v>
      </c>
      <c r="F2846" t="str">
        <f>HYPERLINK("https://www.google.com/maps/search/?api=1&amp;query=20.4986618,44.72718531", "View Map")</f>
        <v>View Map</v>
      </c>
      <c r="G2846" s="2">
        <v>0.43659032911825818</v>
      </c>
    </row>
    <row r="2847" spans="1:7" x14ac:dyDescent="0.3">
      <c r="A2847" t="s">
        <v>4926</v>
      </c>
      <c r="B2847" t="s">
        <v>4927</v>
      </c>
      <c r="C2847" t="s">
        <v>8</v>
      </c>
      <c r="D2847">
        <v>2.6379999999999999</v>
      </c>
      <c r="E2847">
        <v>844</v>
      </c>
      <c r="F2847" t="str">
        <f>HYPERLINK("https://www.google.com/maps/search/?api=1&amp;query=24.7559137,46.69511064", "View Map")</f>
        <v>View Map</v>
      </c>
    </row>
    <row r="2848" spans="1:7" x14ac:dyDescent="0.3">
      <c r="A2848" t="s">
        <v>4928</v>
      </c>
      <c r="B2848" t="s">
        <v>4929</v>
      </c>
      <c r="C2848" t="s">
        <v>8</v>
      </c>
      <c r="D2848">
        <v>2.6379999999999999</v>
      </c>
      <c r="E2848">
        <v>844</v>
      </c>
      <c r="F2848" t="str">
        <f>HYPERLINK("https://www.google.com/maps/search/?api=1&amp;query=24.68567,46.71372", "View Map")</f>
        <v>View Map</v>
      </c>
    </row>
    <row r="2849" spans="1:7" x14ac:dyDescent="0.3">
      <c r="A2849" t="s">
        <v>1774</v>
      </c>
      <c r="B2849" t="s">
        <v>4930</v>
      </c>
      <c r="C2849" t="s">
        <v>8</v>
      </c>
      <c r="D2849">
        <v>2.637</v>
      </c>
      <c r="E2849">
        <v>844</v>
      </c>
      <c r="F2849" t="str">
        <f>HYPERLINK("https://www.google.com/maps/search/?api=1&amp;query=24.65840714,46.79786341", "View Map")</f>
        <v>View Map</v>
      </c>
    </row>
    <row r="2850" spans="1:7" x14ac:dyDescent="0.3">
      <c r="A2850" t="s">
        <v>4931</v>
      </c>
      <c r="B2850" t="s">
        <v>4932</v>
      </c>
      <c r="C2850" t="s">
        <v>241</v>
      </c>
      <c r="D2850">
        <v>2.637</v>
      </c>
      <c r="E2850">
        <v>844</v>
      </c>
      <c r="F2850" t="str">
        <f>HYPERLINK("https://www.google.com/maps/search/?api=1&amp;query=20.46178858,44.73882496", "View Map")</f>
        <v>View Map</v>
      </c>
      <c r="G2850" s="2">
        <v>0.58925203993171926</v>
      </c>
    </row>
    <row r="2851" spans="1:7" x14ac:dyDescent="0.3">
      <c r="A2851" t="s">
        <v>1273</v>
      </c>
      <c r="B2851" t="s">
        <v>4933</v>
      </c>
      <c r="C2851" t="s">
        <v>241</v>
      </c>
      <c r="D2851">
        <v>2.6360000000000001</v>
      </c>
      <c r="E2851">
        <v>844</v>
      </c>
      <c r="F2851" t="str">
        <f>HYPERLINK("https://www.google.com/maps/search/?api=1&amp;query=20.4503241,44.8405842", "View Map")</f>
        <v>View Map</v>
      </c>
      <c r="G2851" s="2">
        <v>0.61754989621085987</v>
      </c>
    </row>
    <row r="2852" spans="1:7" x14ac:dyDescent="0.3">
      <c r="A2852" t="s">
        <v>4934</v>
      </c>
      <c r="B2852" t="s">
        <v>4935</v>
      </c>
      <c r="C2852" t="s">
        <v>21</v>
      </c>
      <c r="D2852">
        <v>2.6360000000000001</v>
      </c>
      <c r="E2852">
        <v>843</v>
      </c>
      <c r="F2852" t="str">
        <f>HYPERLINK("https://www.google.com/maps/search/?api=1&amp;query=26.31084787,44.82424385", "View Map")</f>
        <v>View Map</v>
      </c>
      <c r="G2852" s="2">
        <v>0.5016719861611928</v>
      </c>
    </row>
    <row r="2853" spans="1:7" x14ac:dyDescent="0.3">
      <c r="A2853" t="s">
        <v>46</v>
      </c>
      <c r="B2853" t="s">
        <v>4936</v>
      </c>
      <c r="C2853" t="s">
        <v>8</v>
      </c>
      <c r="D2853">
        <v>2.6339999999999999</v>
      </c>
      <c r="E2853">
        <v>843</v>
      </c>
      <c r="F2853" t="str">
        <f>HYPERLINK("https://www.google.com/maps/search/?api=1&amp;query=24.73900405,46.85128239", "View Map")</f>
        <v>View Map</v>
      </c>
    </row>
    <row r="2854" spans="1:7" x14ac:dyDescent="0.3">
      <c r="A2854" t="s">
        <v>46</v>
      </c>
      <c r="B2854" t="s">
        <v>4937</v>
      </c>
      <c r="C2854" t="s">
        <v>8</v>
      </c>
      <c r="D2854">
        <v>2.633</v>
      </c>
      <c r="E2854">
        <v>843</v>
      </c>
      <c r="F2854" t="str">
        <f>HYPERLINK("https://www.google.com/maps/search/?api=1&amp;query=24.92309687,46.82405636", "View Map")</f>
        <v>View Map</v>
      </c>
      <c r="G2854" s="2">
        <v>0.49620828309948889</v>
      </c>
    </row>
    <row r="2855" spans="1:7" x14ac:dyDescent="0.3">
      <c r="A2855" t="s">
        <v>4938</v>
      </c>
      <c r="B2855" t="s">
        <v>4939</v>
      </c>
      <c r="C2855" t="s">
        <v>55</v>
      </c>
      <c r="D2855">
        <v>2.6320000000000001</v>
      </c>
      <c r="E2855">
        <v>842</v>
      </c>
      <c r="F2855" t="str">
        <f>HYPERLINK("https://www.google.com/maps/search/?api=1&amp;query=24.74571002,46.35579148", "View Map")</f>
        <v>View Map</v>
      </c>
    </row>
    <row r="2856" spans="1:7" x14ac:dyDescent="0.3">
      <c r="A2856" t="s">
        <v>4940</v>
      </c>
      <c r="B2856" t="s">
        <v>4941</v>
      </c>
      <c r="C2856" t="s">
        <v>1112</v>
      </c>
      <c r="D2856">
        <v>2.6320000000000001</v>
      </c>
      <c r="E2856">
        <v>842</v>
      </c>
      <c r="F2856" t="str">
        <f>HYPERLINK("https://www.google.com/maps/search/?api=1&amp;query=26.03373657,44.9423371", "View Map")</f>
        <v>View Map</v>
      </c>
      <c r="G2856" s="2">
        <v>0.60454053513231154</v>
      </c>
    </row>
    <row r="2857" spans="1:7" x14ac:dyDescent="0.3">
      <c r="A2857" t="s">
        <v>4942</v>
      </c>
      <c r="B2857" t="s">
        <v>4943</v>
      </c>
      <c r="C2857" t="s">
        <v>8</v>
      </c>
      <c r="D2857">
        <v>2.63</v>
      </c>
      <c r="E2857">
        <v>842</v>
      </c>
      <c r="F2857" t="str">
        <f>HYPERLINK("https://www.google.com/maps/search/?api=1&amp;query=24.72485281,46.81306006", "View Map")</f>
        <v>View Map</v>
      </c>
    </row>
    <row r="2858" spans="1:7" x14ac:dyDescent="0.3">
      <c r="A2858" t="s">
        <v>4944</v>
      </c>
      <c r="B2858" t="s">
        <v>4945</v>
      </c>
      <c r="C2858" t="s">
        <v>214</v>
      </c>
      <c r="D2858">
        <v>2.63</v>
      </c>
      <c r="E2858">
        <v>841</v>
      </c>
      <c r="F2858" t="str">
        <f>HYPERLINK("https://www.google.com/maps/search/?api=1&amp;query=25.69577542,45.87911518", "View Map")</f>
        <v>View Map</v>
      </c>
      <c r="G2858" s="2">
        <v>0.58578626789740096</v>
      </c>
    </row>
    <row r="2859" spans="1:7" x14ac:dyDescent="0.3">
      <c r="A2859" t="s">
        <v>4946</v>
      </c>
      <c r="B2859" t="s">
        <v>4947</v>
      </c>
      <c r="C2859" t="s">
        <v>442</v>
      </c>
      <c r="D2859">
        <v>2.63</v>
      </c>
      <c r="E2859">
        <v>841</v>
      </c>
      <c r="F2859" t="str">
        <f>HYPERLINK("https://www.google.com/maps/search/?api=1&amp;query=23.61986544,46.51812511", "View Map")</f>
        <v>View Map</v>
      </c>
      <c r="G2859" s="2">
        <v>0.38047028713487219</v>
      </c>
    </row>
    <row r="2860" spans="1:7" x14ac:dyDescent="0.3">
      <c r="A2860" t="s">
        <v>4948</v>
      </c>
      <c r="B2860" t="s">
        <v>4949</v>
      </c>
      <c r="C2860" t="s">
        <v>214</v>
      </c>
      <c r="D2860">
        <v>2.63</v>
      </c>
      <c r="E2860">
        <v>842</v>
      </c>
      <c r="F2860" t="str">
        <f>HYPERLINK("https://www.google.com/maps/search/?api=1&amp;query=25.57519948,45.65924587", "View Map")</f>
        <v>View Map</v>
      </c>
      <c r="G2860" s="2">
        <v>0.62432770828673834</v>
      </c>
    </row>
    <row r="2861" spans="1:7" x14ac:dyDescent="0.3">
      <c r="A2861" t="s">
        <v>4950</v>
      </c>
      <c r="B2861" t="s">
        <v>4951</v>
      </c>
      <c r="C2861" t="s">
        <v>214</v>
      </c>
      <c r="D2861">
        <v>2.6280000000000001</v>
      </c>
      <c r="E2861">
        <v>841</v>
      </c>
      <c r="F2861" t="str">
        <f>HYPERLINK("https://www.google.com/maps/search/?api=1&amp;query=25.7108,45.8628", "View Map")</f>
        <v>View Map</v>
      </c>
      <c r="G2861" s="2">
        <v>0.69818855644547895</v>
      </c>
    </row>
    <row r="2862" spans="1:7" x14ac:dyDescent="0.3">
      <c r="A2862" t="s">
        <v>46</v>
      </c>
      <c r="B2862" t="s">
        <v>4952</v>
      </c>
      <c r="C2862" t="s">
        <v>55</v>
      </c>
      <c r="D2862">
        <v>2.6269999999999998</v>
      </c>
      <c r="E2862">
        <v>841</v>
      </c>
      <c r="F2862" t="str">
        <f>HYPERLINK("https://www.google.com/maps/search/?api=1&amp;query=24.7814,46.5739", "View Map")</f>
        <v>View Map</v>
      </c>
    </row>
    <row r="2863" spans="1:7" x14ac:dyDescent="0.3">
      <c r="A2863" t="s">
        <v>4953</v>
      </c>
      <c r="B2863" t="s">
        <v>4954</v>
      </c>
      <c r="C2863" t="s">
        <v>8</v>
      </c>
      <c r="D2863">
        <v>2.625</v>
      </c>
      <c r="E2863">
        <v>840</v>
      </c>
      <c r="F2863" t="str">
        <f>HYPERLINK("https://www.google.com/maps/search/?api=1&amp;query=24.75934701,46.71452459", "View Map")</f>
        <v>View Map</v>
      </c>
    </row>
    <row r="2864" spans="1:7" x14ac:dyDescent="0.3">
      <c r="A2864" t="s">
        <v>4955</v>
      </c>
      <c r="B2864" t="s">
        <v>4956</v>
      </c>
      <c r="C2864" t="s">
        <v>8</v>
      </c>
      <c r="D2864">
        <v>2.6240000000000001</v>
      </c>
      <c r="E2864">
        <v>840</v>
      </c>
      <c r="F2864" t="str">
        <f>HYPERLINK("https://www.google.com/maps/search/?api=1&amp;query=24.80981262,46.74898654", "View Map")</f>
        <v>View Map</v>
      </c>
    </row>
    <row r="2865" spans="1:7" x14ac:dyDescent="0.3">
      <c r="A2865" t="s">
        <v>4957</v>
      </c>
      <c r="B2865" t="s">
        <v>4958</v>
      </c>
      <c r="C2865" t="s">
        <v>8</v>
      </c>
      <c r="D2865">
        <v>2.6240000000000001</v>
      </c>
      <c r="E2865">
        <v>840</v>
      </c>
      <c r="F2865" t="str">
        <f>HYPERLINK("https://www.google.com/maps/search/?api=1&amp;query=24.68942477,46.83043704", "View Map")</f>
        <v>View Map</v>
      </c>
    </row>
    <row r="2866" spans="1:7" x14ac:dyDescent="0.3">
      <c r="A2866" t="s">
        <v>4959</v>
      </c>
      <c r="B2866" t="s">
        <v>4960</v>
      </c>
      <c r="C2866" t="s">
        <v>8</v>
      </c>
      <c r="D2866">
        <v>2.6240000000000001</v>
      </c>
      <c r="E2866">
        <v>840</v>
      </c>
      <c r="F2866" t="str">
        <f>HYPERLINK("https://www.google.com/maps/search/?api=1&amp;query=24.7583,46.7833", "View Map")</f>
        <v>View Map</v>
      </c>
    </row>
    <row r="2867" spans="1:7" x14ac:dyDescent="0.3">
      <c r="A2867" t="s">
        <v>4961</v>
      </c>
      <c r="B2867" t="s">
        <v>4962</v>
      </c>
      <c r="C2867" t="s">
        <v>8</v>
      </c>
      <c r="D2867">
        <v>2.6230000000000002</v>
      </c>
      <c r="E2867">
        <v>839</v>
      </c>
      <c r="F2867" t="str">
        <f>HYPERLINK("https://www.google.com/maps/search/?api=1&amp;query=24.73463213,46.77801222", "View Map")</f>
        <v>View Map</v>
      </c>
      <c r="G2867" s="2">
        <v>0.76944286796200312</v>
      </c>
    </row>
    <row r="2868" spans="1:7" x14ac:dyDescent="0.3">
      <c r="A2868" t="s">
        <v>510</v>
      </c>
      <c r="B2868" t="s">
        <v>4963</v>
      </c>
      <c r="C2868" t="s">
        <v>291</v>
      </c>
      <c r="D2868">
        <v>2.6230000000000002</v>
      </c>
      <c r="E2868">
        <v>839</v>
      </c>
      <c r="F2868" t="str">
        <f>HYPERLINK("https://www.google.com/maps/search/?api=1&amp;query=24.52463718,45.76798693", "View Map")</f>
        <v>View Map</v>
      </c>
      <c r="G2868" s="2">
        <v>0.57647688346586601</v>
      </c>
    </row>
    <row r="2869" spans="1:7" x14ac:dyDescent="0.3">
      <c r="A2869" t="s">
        <v>28</v>
      </c>
      <c r="B2869" t="s">
        <v>4964</v>
      </c>
      <c r="C2869" t="s">
        <v>30</v>
      </c>
      <c r="D2869">
        <v>2.6219999999999999</v>
      </c>
      <c r="E2869">
        <v>839</v>
      </c>
      <c r="F2869" t="str">
        <f>HYPERLINK("https://www.google.com/maps/search/?api=1&amp;query=24.13816298,47.37775885", "View Map")</f>
        <v>View Map</v>
      </c>
      <c r="G2869" s="2">
        <v>0.50323355498735178</v>
      </c>
    </row>
    <row r="2870" spans="1:7" x14ac:dyDescent="0.3">
      <c r="A2870" t="s">
        <v>4965</v>
      </c>
      <c r="B2870" t="s">
        <v>4966</v>
      </c>
      <c r="C2870" t="s">
        <v>241</v>
      </c>
      <c r="D2870">
        <v>2.6219999999999999</v>
      </c>
      <c r="E2870">
        <v>839</v>
      </c>
      <c r="F2870" t="str">
        <f>HYPERLINK("https://www.google.com/maps/search/?api=1&amp;query=20.45321588,44.81211579", "View Map")</f>
        <v>View Map</v>
      </c>
      <c r="G2870" s="2">
        <v>0.34741028703508381</v>
      </c>
    </row>
    <row r="2871" spans="1:7" x14ac:dyDescent="0.3">
      <c r="A2871" t="s">
        <v>4967</v>
      </c>
      <c r="B2871" t="s">
        <v>4968</v>
      </c>
      <c r="C2871" t="s">
        <v>241</v>
      </c>
      <c r="D2871">
        <v>2.621</v>
      </c>
      <c r="E2871">
        <v>839</v>
      </c>
      <c r="F2871" t="str">
        <f>HYPERLINK("https://www.google.com/maps/search/?api=1&amp;query=20.46012959,44.8325353", "View Map")</f>
        <v>View Map</v>
      </c>
      <c r="G2871" s="2">
        <v>0.46041206767219872</v>
      </c>
    </row>
    <row r="2872" spans="1:7" x14ac:dyDescent="0.3">
      <c r="A2872" t="s">
        <v>46</v>
      </c>
      <c r="B2872" t="s">
        <v>4969</v>
      </c>
      <c r="C2872" t="s">
        <v>8</v>
      </c>
      <c r="D2872">
        <v>2.62</v>
      </c>
      <c r="E2872">
        <v>838</v>
      </c>
      <c r="F2872" t="str">
        <f>HYPERLINK("https://www.google.com/maps/search/?api=1&amp;query=24.65252,46.52495", "View Map")</f>
        <v>View Map</v>
      </c>
    </row>
    <row r="2873" spans="1:7" x14ac:dyDescent="0.3">
      <c r="A2873" t="s">
        <v>4970</v>
      </c>
      <c r="B2873" t="s">
        <v>4971</v>
      </c>
      <c r="C2873" t="s">
        <v>8</v>
      </c>
      <c r="D2873">
        <v>2.6190000000000002</v>
      </c>
      <c r="E2873">
        <v>838</v>
      </c>
      <c r="F2873" t="str">
        <f>HYPERLINK("https://www.google.com/maps/search/?api=1&amp;query=24.82059653,46.80499636", "View Map")</f>
        <v>View Map</v>
      </c>
    </row>
    <row r="2874" spans="1:7" x14ac:dyDescent="0.3">
      <c r="A2874" t="s">
        <v>4972</v>
      </c>
      <c r="B2874" t="s">
        <v>4973</v>
      </c>
      <c r="C2874" t="s">
        <v>8</v>
      </c>
      <c r="D2874">
        <v>2.6179999999999999</v>
      </c>
      <c r="E2874">
        <v>838</v>
      </c>
      <c r="F2874" t="str">
        <f>HYPERLINK("https://www.google.com/maps/search/?api=1&amp;query=24.6119,46.7258", "View Map")</f>
        <v>View Map</v>
      </c>
    </row>
    <row r="2875" spans="1:7" x14ac:dyDescent="0.3">
      <c r="A2875" t="s">
        <v>3735</v>
      </c>
      <c r="B2875" t="s">
        <v>4974</v>
      </c>
      <c r="C2875" t="s">
        <v>255</v>
      </c>
      <c r="D2875">
        <v>2.617</v>
      </c>
      <c r="E2875">
        <v>837</v>
      </c>
      <c r="F2875" t="str">
        <f>HYPERLINK("https://www.google.com/maps/search/?api=1&amp;query=25.20792934,44.59124785", "View Map")</f>
        <v>View Map</v>
      </c>
      <c r="G2875" s="2">
        <v>0.404012644422584</v>
      </c>
    </row>
    <row r="2876" spans="1:7" x14ac:dyDescent="0.3">
      <c r="A2876" t="s">
        <v>4975</v>
      </c>
      <c r="B2876" t="s">
        <v>4976</v>
      </c>
      <c r="C2876" t="s">
        <v>8</v>
      </c>
      <c r="D2876">
        <v>2.6160000000000001</v>
      </c>
      <c r="E2876">
        <v>837</v>
      </c>
      <c r="F2876" t="str">
        <f>HYPERLINK("https://www.google.com/maps/search/?api=1&amp;query=24.69673509,46.67856475", "View Map")</f>
        <v>View Map</v>
      </c>
    </row>
    <row r="2877" spans="1:7" x14ac:dyDescent="0.3">
      <c r="A2877" t="s">
        <v>4977</v>
      </c>
      <c r="B2877" t="s">
        <v>4978</v>
      </c>
      <c r="C2877" t="s">
        <v>8</v>
      </c>
      <c r="D2877">
        <v>2.6150000000000002</v>
      </c>
      <c r="E2877">
        <v>837</v>
      </c>
      <c r="F2877" t="str">
        <f>HYPERLINK("https://www.google.com/maps/search/?api=1&amp;query=24.53569995,46.66798414", "View Map")</f>
        <v>View Map</v>
      </c>
    </row>
    <row r="2878" spans="1:7" x14ac:dyDescent="0.3">
      <c r="A2878" t="s">
        <v>4979</v>
      </c>
      <c r="B2878" t="s">
        <v>4980</v>
      </c>
      <c r="C2878" t="s">
        <v>8</v>
      </c>
      <c r="D2878">
        <v>2.6139999999999999</v>
      </c>
      <c r="E2878">
        <v>837</v>
      </c>
      <c r="F2878" t="str">
        <f>HYPERLINK("https://www.google.com/maps/search/?api=1&amp;query=24.76276,46.61216", "View Map")</f>
        <v>View Map</v>
      </c>
    </row>
    <row r="2879" spans="1:7" x14ac:dyDescent="0.3">
      <c r="A2879" t="s">
        <v>4981</v>
      </c>
      <c r="B2879" t="s">
        <v>4982</v>
      </c>
      <c r="C2879" t="s">
        <v>8</v>
      </c>
      <c r="D2879">
        <v>2.6139999999999999</v>
      </c>
      <c r="E2879">
        <v>836</v>
      </c>
      <c r="F2879" t="str">
        <f>HYPERLINK("https://www.google.com/maps/search/?api=1&amp;query=24.78807358,46.69483607", "View Map")</f>
        <v>View Map</v>
      </c>
    </row>
    <row r="2880" spans="1:7" x14ac:dyDescent="0.3">
      <c r="A2880" t="s">
        <v>4983</v>
      </c>
      <c r="B2880" t="s">
        <v>4984</v>
      </c>
      <c r="C2880" t="s">
        <v>8</v>
      </c>
      <c r="D2880">
        <v>2.613</v>
      </c>
      <c r="E2880">
        <v>836</v>
      </c>
      <c r="F2880" t="str">
        <f>HYPERLINK("https://www.google.com/maps/search/?api=1&amp;query=24.81540608,46.63750237", "View Map")</f>
        <v>View Map</v>
      </c>
      <c r="G2880" s="2">
        <v>0.21299196053061489</v>
      </c>
    </row>
    <row r="2881" spans="1:7" x14ac:dyDescent="0.3">
      <c r="A2881" t="s">
        <v>4985</v>
      </c>
      <c r="B2881" t="s">
        <v>4986</v>
      </c>
      <c r="C2881" t="s">
        <v>4987</v>
      </c>
      <c r="D2881">
        <v>2.613</v>
      </c>
      <c r="E2881">
        <v>836</v>
      </c>
      <c r="F2881" t="str">
        <f>HYPERLINK("https://www.google.com/maps/search/?api=1&amp;query=23.41388493,42.32836236", "View Map")</f>
        <v>View Map</v>
      </c>
      <c r="G2881" s="2">
        <v>0.87074741431493241</v>
      </c>
    </row>
    <row r="2882" spans="1:7" x14ac:dyDescent="0.3">
      <c r="A2882" t="s">
        <v>4988</v>
      </c>
      <c r="B2882" t="s">
        <v>4989</v>
      </c>
      <c r="C2882" t="s">
        <v>8</v>
      </c>
      <c r="D2882">
        <v>2.6120000000000001</v>
      </c>
      <c r="E2882">
        <v>836</v>
      </c>
      <c r="F2882" t="str">
        <f>HYPERLINK("https://www.google.com/maps/search/?api=1&amp;query=24.79409119,46.68990334", "View Map")</f>
        <v>View Map</v>
      </c>
    </row>
    <row r="2883" spans="1:7" x14ac:dyDescent="0.3">
      <c r="A2883" t="s">
        <v>4990</v>
      </c>
      <c r="B2883" t="s">
        <v>4991</v>
      </c>
      <c r="C2883" t="s">
        <v>8</v>
      </c>
      <c r="D2883">
        <v>2.61</v>
      </c>
      <c r="E2883">
        <v>835</v>
      </c>
      <c r="F2883" t="str">
        <f>HYPERLINK("https://www.google.com/maps/search/?api=1&amp;query=24.54932667,46.64978423", "View Map")</f>
        <v>View Map</v>
      </c>
    </row>
    <row r="2884" spans="1:7" x14ac:dyDescent="0.3">
      <c r="A2884" t="s">
        <v>4992</v>
      </c>
      <c r="B2884" t="s">
        <v>4993</v>
      </c>
      <c r="C2884" t="s">
        <v>8</v>
      </c>
      <c r="D2884">
        <v>2.61</v>
      </c>
      <c r="E2884">
        <v>835</v>
      </c>
      <c r="F2884" t="str">
        <f>HYPERLINK("https://www.google.com/maps/search/?api=1&amp;query=24.62797559,46.70421321", "View Map")</f>
        <v>View Map</v>
      </c>
    </row>
    <row r="2885" spans="1:7" x14ac:dyDescent="0.3">
      <c r="A2885" t="s">
        <v>4994</v>
      </c>
      <c r="B2885" t="s">
        <v>4995</v>
      </c>
      <c r="C2885" t="s">
        <v>8</v>
      </c>
      <c r="D2885">
        <v>2.609</v>
      </c>
      <c r="E2885">
        <v>835</v>
      </c>
      <c r="F2885" t="str">
        <f>HYPERLINK("https://www.google.com/maps/search/?api=1&amp;query=24.61719769,46.52628644", "View Map")</f>
        <v>View Map</v>
      </c>
      <c r="G2885" s="2">
        <v>0.3721319322348966</v>
      </c>
    </row>
    <row r="2886" spans="1:7" x14ac:dyDescent="0.3">
      <c r="A2886" t="s">
        <v>4996</v>
      </c>
      <c r="B2886" t="s">
        <v>4997</v>
      </c>
      <c r="C2886" t="s">
        <v>8</v>
      </c>
      <c r="D2886">
        <v>2.609</v>
      </c>
      <c r="E2886">
        <v>835</v>
      </c>
      <c r="F2886" t="str">
        <f>HYPERLINK("https://www.google.com/maps/search/?api=1&amp;query=24.7563553,46.70733311", "View Map")</f>
        <v>View Map</v>
      </c>
    </row>
    <row r="2887" spans="1:7" x14ac:dyDescent="0.3">
      <c r="A2887" t="s">
        <v>627</v>
      </c>
      <c r="B2887" t="s">
        <v>4998</v>
      </c>
      <c r="C2887" t="s">
        <v>8</v>
      </c>
      <c r="D2887">
        <v>2.6059999999999999</v>
      </c>
      <c r="E2887">
        <v>834</v>
      </c>
      <c r="F2887" t="str">
        <f>HYPERLINK("https://www.google.com/maps/search/?api=1&amp;query=24.64442634,46.55545005", "View Map")</f>
        <v>View Map</v>
      </c>
    </row>
    <row r="2888" spans="1:7" x14ac:dyDescent="0.3">
      <c r="A2888" t="s">
        <v>4999</v>
      </c>
      <c r="B2888" t="s">
        <v>5000</v>
      </c>
      <c r="C2888" t="s">
        <v>8</v>
      </c>
      <c r="D2888">
        <v>2.6059999999999999</v>
      </c>
      <c r="E2888">
        <v>834</v>
      </c>
      <c r="F2888" t="str">
        <f>HYPERLINK("https://www.google.com/maps/search/?api=1&amp;query=24.72555095,46.83721331", "View Map")</f>
        <v>View Map</v>
      </c>
    </row>
    <row r="2889" spans="1:7" x14ac:dyDescent="0.3">
      <c r="A2889" t="s">
        <v>5001</v>
      </c>
      <c r="B2889" t="s">
        <v>5002</v>
      </c>
      <c r="C2889" t="s">
        <v>8</v>
      </c>
      <c r="D2889">
        <v>2.6040000000000001</v>
      </c>
      <c r="E2889">
        <v>833</v>
      </c>
      <c r="F2889" t="str">
        <f>HYPERLINK("https://www.google.com/maps/search/?api=1&amp;query=24.75111255,46.7636978", "View Map")</f>
        <v>View Map</v>
      </c>
    </row>
    <row r="2890" spans="1:7" x14ac:dyDescent="0.3">
      <c r="A2890" t="s">
        <v>5003</v>
      </c>
      <c r="B2890" t="s">
        <v>5004</v>
      </c>
      <c r="C2890" t="s">
        <v>8</v>
      </c>
      <c r="D2890">
        <v>2.6030000000000002</v>
      </c>
      <c r="E2890">
        <v>833</v>
      </c>
      <c r="F2890" t="str">
        <f>HYPERLINK("https://www.google.com/maps/search/?api=1&amp;query=24.65797652,46.73842717", "View Map")</f>
        <v>View Map</v>
      </c>
    </row>
    <row r="2891" spans="1:7" x14ac:dyDescent="0.3">
      <c r="A2891" t="s">
        <v>3350</v>
      </c>
      <c r="B2891" t="s">
        <v>5005</v>
      </c>
      <c r="C2891" t="s">
        <v>8</v>
      </c>
      <c r="D2891">
        <v>2.6019999999999999</v>
      </c>
      <c r="E2891">
        <v>833</v>
      </c>
      <c r="F2891" t="str">
        <f>HYPERLINK("https://www.google.com/maps/search/?api=1&amp;query=24.6036851,46.62268977", "View Map")</f>
        <v>View Map</v>
      </c>
    </row>
    <row r="2892" spans="1:7" x14ac:dyDescent="0.3">
      <c r="A2892" t="s">
        <v>479</v>
      </c>
      <c r="B2892" t="s">
        <v>5006</v>
      </c>
      <c r="C2892" t="s">
        <v>738</v>
      </c>
      <c r="D2892">
        <v>2.601</v>
      </c>
      <c r="E2892">
        <v>832</v>
      </c>
      <c r="F2892" t="str">
        <f>HYPERLINK("https://www.google.com/maps/search/?api=1&amp;query=25.1146144,46.09004195", "View Map")</f>
        <v>View Map</v>
      </c>
      <c r="G2892" s="2">
        <v>0.53913168624964836</v>
      </c>
    </row>
    <row r="2893" spans="1:7" x14ac:dyDescent="0.3">
      <c r="A2893" t="s">
        <v>5007</v>
      </c>
      <c r="B2893" t="s">
        <v>5008</v>
      </c>
      <c r="C2893" t="s">
        <v>8</v>
      </c>
      <c r="D2893">
        <v>2.6</v>
      </c>
      <c r="E2893">
        <v>832</v>
      </c>
      <c r="F2893" t="str">
        <f>HYPERLINK("https://www.google.com/maps/search/?api=1&amp;query=24.71571067,46.82345801", "View Map")</f>
        <v>View Map</v>
      </c>
    </row>
    <row r="2894" spans="1:7" x14ac:dyDescent="0.3">
      <c r="A2894" t="s">
        <v>2926</v>
      </c>
      <c r="B2894" t="s">
        <v>5009</v>
      </c>
      <c r="C2894" t="s">
        <v>8</v>
      </c>
      <c r="D2894">
        <v>2.6</v>
      </c>
      <c r="E2894">
        <v>832</v>
      </c>
      <c r="F2894" t="str">
        <f>HYPERLINK("https://www.google.com/maps/search/?api=1&amp;query=24.59745902,46.63510843", "View Map")</f>
        <v>View Map</v>
      </c>
    </row>
    <row r="2895" spans="1:7" x14ac:dyDescent="0.3">
      <c r="A2895" t="s">
        <v>5010</v>
      </c>
      <c r="B2895" t="s">
        <v>5011</v>
      </c>
      <c r="C2895" t="s">
        <v>8</v>
      </c>
      <c r="D2895">
        <v>2.6</v>
      </c>
      <c r="E2895">
        <v>832</v>
      </c>
      <c r="F2895" t="str">
        <f>HYPERLINK("https://www.google.com/maps/search/?api=1&amp;query=24.79024101,46.76159696", "View Map")</f>
        <v>View Map</v>
      </c>
    </row>
    <row r="2896" spans="1:7" x14ac:dyDescent="0.3">
      <c r="A2896" t="s">
        <v>1788</v>
      </c>
      <c r="B2896" t="s">
        <v>5012</v>
      </c>
      <c r="C2896" t="s">
        <v>393</v>
      </c>
      <c r="D2896">
        <v>2.597</v>
      </c>
      <c r="E2896">
        <v>831</v>
      </c>
      <c r="F2896" t="str">
        <f>HYPERLINK("https://www.google.com/maps/search/?api=1&amp;query=23.5632186,45.45001926", "View Map")</f>
        <v>View Map</v>
      </c>
      <c r="G2896" s="2">
        <v>0.56804358956245016</v>
      </c>
    </row>
    <row r="2897" spans="1:7" x14ac:dyDescent="0.3">
      <c r="A2897" t="s">
        <v>5013</v>
      </c>
      <c r="B2897" t="s">
        <v>5014</v>
      </c>
      <c r="C2897" t="s">
        <v>8</v>
      </c>
      <c r="D2897">
        <v>2.5960000000000001</v>
      </c>
      <c r="E2897">
        <v>831</v>
      </c>
      <c r="F2897" t="str">
        <f>HYPERLINK("https://www.google.com/maps/search/?api=1&amp;query=24.66032098,46.73144275", "View Map")</f>
        <v>View Map</v>
      </c>
    </row>
    <row r="2898" spans="1:7" x14ac:dyDescent="0.3">
      <c r="A2898" t="s">
        <v>5015</v>
      </c>
      <c r="B2898" t="s">
        <v>5016</v>
      </c>
      <c r="C2898" t="s">
        <v>241</v>
      </c>
      <c r="D2898">
        <v>2.5960000000000001</v>
      </c>
      <c r="E2898">
        <v>831</v>
      </c>
      <c r="F2898" t="str">
        <f>HYPERLINK("https://www.google.com/maps/search/?api=1&amp;query=22.28938496,45.13409974", "View Map")</f>
        <v>View Map</v>
      </c>
      <c r="G2898" s="2">
        <v>0.57807112265381244</v>
      </c>
    </row>
    <row r="2899" spans="1:7" x14ac:dyDescent="0.3">
      <c r="A2899" t="s">
        <v>5017</v>
      </c>
      <c r="B2899" t="s">
        <v>5018</v>
      </c>
      <c r="C2899" t="s">
        <v>8</v>
      </c>
      <c r="D2899">
        <v>2.5939999999999999</v>
      </c>
      <c r="E2899">
        <v>830</v>
      </c>
      <c r="F2899" t="str">
        <f>HYPERLINK("https://www.google.com/maps/search/?api=1&amp;query=24.81352794,46.85888217", "View Map")</f>
        <v>View Map</v>
      </c>
      <c r="G2899" s="2">
        <v>0.43938681598525758</v>
      </c>
    </row>
    <row r="2900" spans="1:7" x14ac:dyDescent="0.3">
      <c r="A2900" t="s">
        <v>5019</v>
      </c>
      <c r="B2900" t="s">
        <v>5020</v>
      </c>
      <c r="C2900" t="s">
        <v>8</v>
      </c>
      <c r="D2900">
        <v>2.5939999999999999</v>
      </c>
      <c r="E2900">
        <v>830</v>
      </c>
      <c r="F2900" t="str">
        <f>HYPERLINK("https://www.google.com/maps/search/?api=1&amp;query=24.66503208,46.72114448", "View Map")</f>
        <v>View Map</v>
      </c>
    </row>
    <row r="2901" spans="1:7" x14ac:dyDescent="0.3">
      <c r="A2901" t="s">
        <v>46</v>
      </c>
      <c r="B2901" t="s">
        <v>5021</v>
      </c>
      <c r="C2901" t="s">
        <v>8</v>
      </c>
      <c r="D2901">
        <v>2.593</v>
      </c>
      <c r="E2901">
        <v>830</v>
      </c>
      <c r="F2901" t="str">
        <f>HYPERLINK("https://www.google.com/maps/search/?api=1&amp;query=24.82316485,46.66212999", "View Map")</f>
        <v>View Map</v>
      </c>
    </row>
    <row r="2902" spans="1:7" x14ac:dyDescent="0.3">
      <c r="A2902" t="s">
        <v>881</v>
      </c>
      <c r="B2902" t="s">
        <v>5022</v>
      </c>
      <c r="C2902" t="s">
        <v>883</v>
      </c>
      <c r="D2902">
        <v>2.593</v>
      </c>
      <c r="E2902">
        <v>830</v>
      </c>
      <c r="F2902" t="str">
        <f>HYPERLINK("https://www.google.com/maps/search/?api=1&amp;query=25.53464809,47.17668441", "View Map")</f>
        <v>View Map</v>
      </c>
      <c r="G2902" s="2">
        <v>0.51709434103349139</v>
      </c>
    </row>
    <row r="2903" spans="1:7" x14ac:dyDescent="0.3">
      <c r="A2903" t="s">
        <v>46</v>
      </c>
      <c r="B2903" t="s">
        <v>5023</v>
      </c>
      <c r="C2903" t="s">
        <v>8</v>
      </c>
      <c r="D2903">
        <v>2.5920000000000001</v>
      </c>
      <c r="E2903">
        <v>829</v>
      </c>
      <c r="F2903" t="str">
        <f>HYPERLINK("https://www.google.com/maps/search/?api=1&amp;query=24.83021863,46.80539429", "View Map")</f>
        <v>View Map</v>
      </c>
    </row>
    <row r="2904" spans="1:7" x14ac:dyDescent="0.3">
      <c r="A2904" t="s">
        <v>5024</v>
      </c>
      <c r="B2904" t="s">
        <v>5025</v>
      </c>
      <c r="C2904" t="s">
        <v>21</v>
      </c>
      <c r="D2904">
        <v>2.5920000000000001</v>
      </c>
      <c r="E2904">
        <v>829</v>
      </c>
      <c r="F2904" t="str">
        <f>HYPERLINK("https://www.google.com/maps/search/?api=1&amp;query=26.33224144,44.78434966", "View Map")</f>
        <v>View Map</v>
      </c>
      <c r="G2904" s="2">
        <v>0.59186850157560622</v>
      </c>
    </row>
    <row r="2905" spans="1:7" x14ac:dyDescent="0.3">
      <c r="A2905" t="s">
        <v>5026</v>
      </c>
      <c r="B2905" t="s">
        <v>5027</v>
      </c>
      <c r="C2905" t="s">
        <v>8</v>
      </c>
      <c r="D2905">
        <v>2.5920000000000001</v>
      </c>
      <c r="E2905">
        <v>829</v>
      </c>
      <c r="F2905" t="str">
        <f>HYPERLINK("https://www.google.com/maps/search/?api=1&amp;query=24.55102918,46.66025004", "View Map")</f>
        <v>View Map</v>
      </c>
      <c r="G2905" s="2">
        <v>0.43549948951930317</v>
      </c>
    </row>
    <row r="2906" spans="1:7" x14ac:dyDescent="0.3">
      <c r="A2906" t="s">
        <v>2933</v>
      </c>
      <c r="B2906" t="s">
        <v>5028</v>
      </c>
      <c r="C2906" t="s">
        <v>8</v>
      </c>
      <c r="D2906">
        <v>2.5920000000000001</v>
      </c>
      <c r="E2906">
        <v>829</v>
      </c>
      <c r="F2906" t="str">
        <f>HYPERLINK("https://www.google.com/maps/search/?api=1&amp;query=24.79646133,46.70030065", "View Map")</f>
        <v>View Map</v>
      </c>
      <c r="G2906" s="2">
        <v>0.74476309620990022</v>
      </c>
    </row>
    <row r="2907" spans="1:7" x14ac:dyDescent="0.3">
      <c r="A2907" t="s">
        <v>5029</v>
      </c>
      <c r="B2907" t="s">
        <v>5030</v>
      </c>
      <c r="C2907" t="s">
        <v>255</v>
      </c>
      <c r="D2907">
        <v>2.5920000000000001</v>
      </c>
      <c r="E2907">
        <v>829</v>
      </c>
      <c r="F2907" t="str">
        <f>HYPERLINK("https://www.google.com/maps/search/?api=1&amp;query=24.64116214,43.63271777", "View Map")</f>
        <v>View Map</v>
      </c>
      <c r="G2907" s="2">
        <v>0.49740385890755479</v>
      </c>
    </row>
    <row r="2908" spans="1:7" x14ac:dyDescent="0.3">
      <c r="A2908" t="s">
        <v>5031</v>
      </c>
      <c r="B2908" t="s">
        <v>5032</v>
      </c>
      <c r="C2908" t="s">
        <v>30</v>
      </c>
      <c r="D2908">
        <v>2.5910000000000002</v>
      </c>
      <c r="E2908">
        <v>829</v>
      </c>
      <c r="F2908" t="str">
        <f>HYPERLINK("https://www.google.com/maps/search/?api=1&amp;query=24.26254752,47.30638916", "View Map")</f>
        <v>View Map</v>
      </c>
      <c r="G2908" s="2">
        <v>0.35340857668705072</v>
      </c>
    </row>
    <row r="2909" spans="1:7" x14ac:dyDescent="0.3">
      <c r="A2909" t="s">
        <v>5033</v>
      </c>
      <c r="B2909" t="s">
        <v>5034</v>
      </c>
      <c r="C2909" t="s">
        <v>8</v>
      </c>
      <c r="D2909">
        <v>2.589</v>
      </c>
      <c r="E2909">
        <v>829</v>
      </c>
      <c r="F2909" t="str">
        <f>HYPERLINK("https://www.google.com/maps/search/?api=1&amp;query=24.63603721,46.71222599", "View Map")</f>
        <v>View Map</v>
      </c>
    </row>
    <row r="2910" spans="1:7" x14ac:dyDescent="0.3">
      <c r="A2910" t="s">
        <v>1002</v>
      </c>
      <c r="B2910" t="s">
        <v>5035</v>
      </c>
      <c r="C2910" t="s">
        <v>214</v>
      </c>
      <c r="D2910">
        <v>2.5870000000000002</v>
      </c>
      <c r="E2910">
        <v>828</v>
      </c>
      <c r="F2910" t="str">
        <f>HYPERLINK("https://www.google.com/maps/search/?api=1&amp;query=25.91100429,45.40429217", "View Map")</f>
        <v>View Map</v>
      </c>
      <c r="G2910" s="2">
        <v>0.39516295638868681</v>
      </c>
    </row>
    <row r="2911" spans="1:7" x14ac:dyDescent="0.3">
      <c r="A2911" t="s">
        <v>5036</v>
      </c>
      <c r="B2911" t="s">
        <v>5037</v>
      </c>
      <c r="C2911" t="s">
        <v>255</v>
      </c>
      <c r="D2911">
        <v>2.5859999999999999</v>
      </c>
      <c r="E2911">
        <v>827</v>
      </c>
      <c r="F2911" t="str">
        <f>HYPERLINK("https://www.google.com/maps/search/?api=1&amp;query=24.81573066,43.60415136", "View Map")</f>
        <v>View Map</v>
      </c>
      <c r="G2911" s="2">
        <v>0.84516457339323525</v>
      </c>
    </row>
    <row r="2912" spans="1:7" x14ac:dyDescent="0.3">
      <c r="A2912" t="s">
        <v>5038</v>
      </c>
      <c r="B2912" t="s">
        <v>5039</v>
      </c>
      <c r="C2912" t="s">
        <v>8</v>
      </c>
      <c r="D2912">
        <v>2.5840000000000001</v>
      </c>
      <c r="E2912">
        <v>827</v>
      </c>
      <c r="F2912" t="str">
        <f>HYPERLINK("https://www.google.com/maps/search/?api=1&amp;query=24.68819604,46.79910071", "View Map")</f>
        <v>View Map</v>
      </c>
      <c r="G2912" s="2">
        <v>0.35599723344452622</v>
      </c>
    </row>
    <row r="2913" spans="1:7" x14ac:dyDescent="0.3">
      <c r="A2913" t="s">
        <v>1391</v>
      </c>
      <c r="B2913" t="s">
        <v>5040</v>
      </c>
      <c r="C2913" t="s">
        <v>8</v>
      </c>
      <c r="D2913">
        <v>2.5830000000000002</v>
      </c>
      <c r="E2913">
        <v>827</v>
      </c>
      <c r="F2913" t="str">
        <f>HYPERLINK("https://www.google.com/maps/search/?api=1&amp;query=24.72752671,46.84777358", "View Map")</f>
        <v>View Map</v>
      </c>
    </row>
    <row r="2914" spans="1:7" x14ac:dyDescent="0.3">
      <c r="A2914" t="s">
        <v>5041</v>
      </c>
      <c r="B2914" t="s">
        <v>5042</v>
      </c>
      <c r="C2914" t="s">
        <v>21</v>
      </c>
      <c r="D2914">
        <v>2.5819999999999999</v>
      </c>
      <c r="E2914">
        <v>826</v>
      </c>
      <c r="F2914" t="str">
        <f>HYPERLINK("https://www.google.com/maps/search/?api=1&amp;query=26.31075929,44.80451684", "View Map")</f>
        <v>View Map</v>
      </c>
      <c r="G2914" s="2">
        <v>0.39531941148715227</v>
      </c>
    </row>
    <row r="2915" spans="1:7" x14ac:dyDescent="0.3">
      <c r="A2915" t="s">
        <v>5043</v>
      </c>
      <c r="B2915" t="s">
        <v>5044</v>
      </c>
      <c r="C2915" t="s">
        <v>393</v>
      </c>
      <c r="D2915">
        <v>2.581</v>
      </c>
      <c r="E2915">
        <v>826</v>
      </c>
      <c r="F2915" t="str">
        <f>HYPERLINK("https://www.google.com/maps/search/?api=1&amp;query=23.55895325,45.45631645", "View Map")</f>
        <v>View Map</v>
      </c>
      <c r="G2915" s="2">
        <v>0.78125724602383373</v>
      </c>
    </row>
    <row r="2916" spans="1:7" x14ac:dyDescent="0.3">
      <c r="A2916" t="s">
        <v>150</v>
      </c>
      <c r="B2916" t="s">
        <v>5045</v>
      </c>
      <c r="C2916" t="s">
        <v>8</v>
      </c>
      <c r="D2916">
        <v>2.581</v>
      </c>
      <c r="E2916">
        <v>826</v>
      </c>
      <c r="F2916" t="str">
        <f>HYPERLINK("https://www.google.com/maps/search/?api=1&amp;query=24.79704184,46.88365533", "View Map")</f>
        <v>View Map</v>
      </c>
    </row>
    <row r="2917" spans="1:7" x14ac:dyDescent="0.3">
      <c r="A2917" t="s">
        <v>881</v>
      </c>
      <c r="B2917" t="s">
        <v>5046</v>
      </c>
      <c r="C2917" t="s">
        <v>883</v>
      </c>
      <c r="D2917">
        <v>2.581</v>
      </c>
      <c r="E2917">
        <v>826</v>
      </c>
      <c r="F2917" t="str">
        <f>HYPERLINK("https://www.google.com/maps/search/?api=1&amp;query=25.53464809,47.17668441", "View Map")</f>
        <v>View Map</v>
      </c>
      <c r="G2917" s="2">
        <v>0.41966687983410428</v>
      </c>
    </row>
    <row r="2918" spans="1:7" x14ac:dyDescent="0.3">
      <c r="A2918" t="s">
        <v>5047</v>
      </c>
      <c r="B2918" t="s">
        <v>5048</v>
      </c>
      <c r="C2918" t="s">
        <v>8</v>
      </c>
      <c r="D2918">
        <v>2.581</v>
      </c>
      <c r="E2918">
        <v>826</v>
      </c>
      <c r="F2918" t="str">
        <f>HYPERLINK("https://www.google.com/maps/search/?api=1&amp;query=24.69005098,46.85004594", "View Map")</f>
        <v>View Map</v>
      </c>
    </row>
    <row r="2919" spans="1:7" x14ac:dyDescent="0.3">
      <c r="A2919" t="s">
        <v>5049</v>
      </c>
      <c r="B2919" t="s">
        <v>5050</v>
      </c>
      <c r="C2919" t="s">
        <v>8</v>
      </c>
      <c r="D2919">
        <v>2.58</v>
      </c>
      <c r="E2919">
        <v>826</v>
      </c>
      <c r="F2919" t="str">
        <f>HYPERLINK("https://www.google.com/maps/search/?api=1&amp;query=24.56370406,46.77201019", "View Map")</f>
        <v>View Map</v>
      </c>
    </row>
    <row r="2920" spans="1:7" x14ac:dyDescent="0.3">
      <c r="A2920" t="s">
        <v>627</v>
      </c>
      <c r="B2920" t="s">
        <v>5051</v>
      </c>
      <c r="C2920" t="s">
        <v>8</v>
      </c>
      <c r="D2920">
        <v>2.5790000000000002</v>
      </c>
      <c r="E2920">
        <v>825</v>
      </c>
      <c r="F2920" t="str">
        <f>HYPERLINK("https://www.google.com/maps/search/?api=1&amp;query=24.78738884,46.62578337", "View Map")</f>
        <v>View Map</v>
      </c>
    </row>
    <row r="2921" spans="1:7" x14ac:dyDescent="0.3">
      <c r="A2921" t="s">
        <v>5052</v>
      </c>
      <c r="B2921" t="s">
        <v>5053</v>
      </c>
      <c r="C2921" t="s">
        <v>8</v>
      </c>
      <c r="D2921">
        <v>2.5790000000000002</v>
      </c>
      <c r="E2921">
        <v>825</v>
      </c>
      <c r="F2921" t="str">
        <f>HYPERLINK("https://www.google.com/maps/search/?api=1&amp;query=24.55163773,46.65317337", "View Map")</f>
        <v>View Map</v>
      </c>
    </row>
    <row r="2922" spans="1:7" x14ac:dyDescent="0.3">
      <c r="A2922" t="s">
        <v>146</v>
      </c>
      <c r="B2922" t="s">
        <v>5054</v>
      </c>
      <c r="C2922" t="s">
        <v>8</v>
      </c>
      <c r="D2922">
        <v>2.5790000000000002</v>
      </c>
      <c r="E2922">
        <v>825</v>
      </c>
      <c r="F2922" t="str">
        <f>HYPERLINK("https://www.google.com/maps/search/?api=1&amp;query=24.58705242,46.71247986", "View Map")</f>
        <v>View Map</v>
      </c>
    </row>
    <row r="2923" spans="1:7" x14ac:dyDescent="0.3">
      <c r="A2923" t="s">
        <v>46</v>
      </c>
      <c r="B2923" t="s">
        <v>5055</v>
      </c>
      <c r="C2923" t="s">
        <v>8</v>
      </c>
      <c r="D2923">
        <v>2.5779999999999998</v>
      </c>
      <c r="E2923">
        <v>825</v>
      </c>
      <c r="F2923" t="str">
        <f>HYPERLINK("https://www.google.com/maps/search/?api=1&amp;query=24.82311751,46.77345016", "View Map")</f>
        <v>View Map</v>
      </c>
    </row>
    <row r="2924" spans="1:7" x14ac:dyDescent="0.3">
      <c r="A2924" t="s">
        <v>5056</v>
      </c>
      <c r="B2924" t="s">
        <v>5057</v>
      </c>
      <c r="C2924" t="s">
        <v>8</v>
      </c>
      <c r="D2924">
        <v>2.5779999999999998</v>
      </c>
      <c r="E2924">
        <v>825</v>
      </c>
      <c r="F2924" t="str">
        <f>HYPERLINK("https://www.google.com/maps/search/?api=1&amp;query=24.80533717,46.88850322", "View Map")</f>
        <v>View Map</v>
      </c>
    </row>
    <row r="2925" spans="1:7" x14ac:dyDescent="0.3">
      <c r="A2925" t="s">
        <v>5058</v>
      </c>
      <c r="B2925" t="s">
        <v>5059</v>
      </c>
      <c r="C2925" t="s">
        <v>8</v>
      </c>
      <c r="D2925">
        <v>2.5779999999999998</v>
      </c>
      <c r="E2925">
        <v>825</v>
      </c>
      <c r="F2925" t="str">
        <f>HYPERLINK("https://www.google.com/maps/search/?api=1&amp;query=24.78268326,46.69424282", "View Map")</f>
        <v>View Map</v>
      </c>
    </row>
    <row r="2926" spans="1:7" x14ac:dyDescent="0.3">
      <c r="A2926" t="s">
        <v>150</v>
      </c>
      <c r="B2926" t="s">
        <v>5060</v>
      </c>
      <c r="C2926" t="s">
        <v>8</v>
      </c>
      <c r="D2926">
        <v>2.5779999999999998</v>
      </c>
      <c r="E2926">
        <v>825</v>
      </c>
      <c r="F2926" t="str">
        <f>HYPERLINK("https://www.google.com/maps/search/?api=1&amp;query=24.76176439,46.60760998", "View Map")</f>
        <v>View Map</v>
      </c>
    </row>
    <row r="2927" spans="1:7" x14ac:dyDescent="0.3">
      <c r="A2927" t="s">
        <v>5061</v>
      </c>
      <c r="B2927" t="s">
        <v>5062</v>
      </c>
      <c r="C2927" t="s">
        <v>8</v>
      </c>
      <c r="D2927">
        <v>2.5760000000000001</v>
      </c>
      <c r="E2927">
        <v>824</v>
      </c>
      <c r="F2927" t="str">
        <f>HYPERLINK("https://www.google.com/maps/search/?api=1&amp;query=24.59689984,46.72986151", "View Map")</f>
        <v>View Map</v>
      </c>
    </row>
    <row r="2928" spans="1:7" x14ac:dyDescent="0.3">
      <c r="A2928" t="s">
        <v>5063</v>
      </c>
      <c r="B2928" t="s">
        <v>5064</v>
      </c>
      <c r="C2928" t="s">
        <v>8</v>
      </c>
      <c r="D2928">
        <v>2.5760000000000001</v>
      </c>
      <c r="E2928">
        <v>824</v>
      </c>
      <c r="F2928" t="str">
        <f>HYPERLINK("https://www.google.com/maps/search/?api=1&amp;query=24.77880281,46.67439311", "View Map")</f>
        <v>View Map</v>
      </c>
    </row>
    <row r="2929" spans="1:7" x14ac:dyDescent="0.3">
      <c r="A2929" t="s">
        <v>46</v>
      </c>
      <c r="B2929" t="s">
        <v>5065</v>
      </c>
      <c r="C2929" t="s">
        <v>8</v>
      </c>
      <c r="D2929">
        <v>2.5750000000000002</v>
      </c>
      <c r="E2929">
        <v>824</v>
      </c>
      <c r="F2929" t="str">
        <f>HYPERLINK("https://www.google.com/maps/search/?api=1&amp;query=24.6798508,46.5851082", "View Map")</f>
        <v>View Map</v>
      </c>
    </row>
    <row r="2930" spans="1:7" x14ac:dyDescent="0.3">
      <c r="A2930" t="s">
        <v>5066</v>
      </c>
      <c r="B2930" t="s">
        <v>5067</v>
      </c>
      <c r="C2930" t="s">
        <v>8</v>
      </c>
      <c r="D2930">
        <v>2.5750000000000002</v>
      </c>
      <c r="E2930">
        <v>824</v>
      </c>
      <c r="F2930" t="str">
        <f>HYPERLINK("https://www.google.com/maps/search/?api=1&amp;query=24.67883732,46.69634316", "View Map")</f>
        <v>View Map</v>
      </c>
    </row>
    <row r="2931" spans="1:7" x14ac:dyDescent="0.3">
      <c r="A2931" t="s">
        <v>358</v>
      </c>
      <c r="B2931" t="s">
        <v>5068</v>
      </c>
      <c r="C2931" t="s">
        <v>8</v>
      </c>
      <c r="D2931">
        <v>2.5739999999999998</v>
      </c>
      <c r="E2931">
        <v>824</v>
      </c>
      <c r="F2931" t="str">
        <f>HYPERLINK("https://www.google.com/maps/search/?api=1&amp;query=24.79579869,46.70471849", "View Map")</f>
        <v>View Map</v>
      </c>
    </row>
    <row r="2932" spans="1:7" x14ac:dyDescent="0.3">
      <c r="A2932" t="s">
        <v>5069</v>
      </c>
      <c r="B2932" t="s">
        <v>5070</v>
      </c>
      <c r="C2932" t="s">
        <v>8</v>
      </c>
      <c r="D2932">
        <v>2.5739999999999998</v>
      </c>
      <c r="E2932">
        <v>824</v>
      </c>
      <c r="F2932" t="str">
        <f>HYPERLINK("https://www.google.com/maps/search/?api=1&amp;query=24.6325,46.7125", "View Map")</f>
        <v>View Map</v>
      </c>
    </row>
    <row r="2933" spans="1:7" x14ac:dyDescent="0.3">
      <c r="A2933" t="s">
        <v>5071</v>
      </c>
      <c r="B2933" t="s">
        <v>5072</v>
      </c>
      <c r="C2933" t="s">
        <v>214</v>
      </c>
      <c r="D2933">
        <v>2.573</v>
      </c>
      <c r="E2933">
        <v>823</v>
      </c>
      <c r="F2933" t="str">
        <f>HYPERLINK("https://www.google.com/maps/search/?api=1&amp;query=26.50001577,45.34959659", "View Map")</f>
        <v>View Map</v>
      </c>
      <c r="G2933" s="2">
        <v>0.41055215965479708</v>
      </c>
    </row>
    <row r="2934" spans="1:7" x14ac:dyDescent="0.3">
      <c r="A2934" t="s">
        <v>5073</v>
      </c>
      <c r="B2934" t="s">
        <v>5074</v>
      </c>
      <c r="C2934" t="s">
        <v>8</v>
      </c>
      <c r="D2934">
        <v>2.573</v>
      </c>
      <c r="E2934">
        <v>824</v>
      </c>
      <c r="F2934" t="str">
        <f>HYPERLINK("https://www.google.com/maps/search/?api=1&amp;query=24.79490435,46.65304588", "View Map")</f>
        <v>View Map</v>
      </c>
      <c r="G2934" s="2">
        <v>0.72262915178961251</v>
      </c>
    </row>
    <row r="2935" spans="1:7" x14ac:dyDescent="0.3">
      <c r="A2935" t="s">
        <v>46</v>
      </c>
      <c r="B2935" t="s">
        <v>5075</v>
      </c>
      <c r="C2935" t="s">
        <v>8</v>
      </c>
      <c r="D2935">
        <v>2.573</v>
      </c>
      <c r="E2935">
        <v>823</v>
      </c>
      <c r="F2935" t="str">
        <f>HYPERLINK("https://www.google.com/maps/search/?api=1&amp;query=24.82853691,46.64812559", "View Map")</f>
        <v>View Map</v>
      </c>
      <c r="G2935" s="2">
        <v>0.7266133658938313</v>
      </c>
    </row>
    <row r="2936" spans="1:7" x14ac:dyDescent="0.3">
      <c r="A2936" t="s">
        <v>5076</v>
      </c>
      <c r="B2936" t="s">
        <v>5077</v>
      </c>
      <c r="C2936" t="s">
        <v>738</v>
      </c>
      <c r="D2936">
        <v>2.573</v>
      </c>
      <c r="E2936">
        <v>823</v>
      </c>
      <c r="F2936" t="str">
        <f>HYPERLINK("https://www.google.com/maps/search/?api=1&amp;query=25.11411823,46.09580913", "View Map")</f>
        <v>View Map</v>
      </c>
      <c r="G2936" s="2">
        <v>0.65597774404669551</v>
      </c>
    </row>
    <row r="2937" spans="1:7" x14ac:dyDescent="0.3">
      <c r="A2937" t="s">
        <v>1735</v>
      </c>
      <c r="B2937" t="s">
        <v>5078</v>
      </c>
      <c r="C2937" t="s">
        <v>8</v>
      </c>
      <c r="D2937">
        <v>2.5720000000000001</v>
      </c>
      <c r="E2937">
        <v>823</v>
      </c>
      <c r="F2937" t="str">
        <f>HYPERLINK("https://www.google.com/maps/search/?api=1&amp;query=24.6306191,46.75079643", "View Map")</f>
        <v>View Map</v>
      </c>
    </row>
    <row r="2938" spans="1:7" x14ac:dyDescent="0.3">
      <c r="A2938" t="s">
        <v>5079</v>
      </c>
      <c r="B2938" t="s">
        <v>5080</v>
      </c>
      <c r="C2938" t="s">
        <v>8</v>
      </c>
      <c r="D2938">
        <v>2.5710000000000002</v>
      </c>
      <c r="E2938">
        <v>823</v>
      </c>
      <c r="F2938" t="str">
        <f>HYPERLINK("https://www.google.com/maps/search/?api=1&amp;query=24.57460467,46.66938705", "View Map")</f>
        <v>View Map</v>
      </c>
    </row>
    <row r="2939" spans="1:7" x14ac:dyDescent="0.3">
      <c r="A2939" t="s">
        <v>5081</v>
      </c>
      <c r="B2939" t="s">
        <v>5082</v>
      </c>
      <c r="C2939" t="s">
        <v>8</v>
      </c>
      <c r="D2939">
        <v>2.5710000000000002</v>
      </c>
      <c r="E2939">
        <v>823</v>
      </c>
      <c r="F2939" t="str">
        <f>HYPERLINK("https://www.google.com/maps/search/?api=1&amp;query=24.55682018,46.76230524", "View Map")</f>
        <v>View Map</v>
      </c>
    </row>
    <row r="2940" spans="1:7" x14ac:dyDescent="0.3">
      <c r="A2940" t="s">
        <v>146</v>
      </c>
      <c r="B2940" t="s">
        <v>5083</v>
      </c>
      <c r="C2940" t="s">
        <v>8</v>
      </c>
      <c r="D2940">
        <v>2.5710000000000002</v>
      </c>
      <c r="E2940">
        <v>823</v>
      </c>
      <c r="F2940" t="str">
        <f>HYPERLINK("https://www.google.com/maps/search/?api=1&amp;query=24.5883757,46.69042881", "View Map")</f>
        <v>View Map</v>
      </c>
    </row>
    <row r="2941" spans="1:7" x14ac:dyDescent="0.3">
      <c r="A2941" t="s">
        <v>5084</v>
      </c>
      <c r="B2941" t="s">
        <v>5085</v>
      </c>
      <c r="C2941" t="s">
        <v>255</v>
      </c>
      <c r="D2941">
        <v>2.57</v>
      </c>
      <c r="E2941">
        <v>823</v>
      </c>
      <c r="F2941" t="str">
        <f>HYPERLINK("https://www.google.com/maps/search/?api=1&amp;query=25.19885511,44.59492049", "View Map")</f>
        <v>View Map</v>
      </c>
      <c r="G2941" s="2">
        <v>0.58862100587446575</v>
      </c>
    </row>
    <row r="2942" spans="1:7" x14ac:dyDescent="0.3">
      <c r="A2942" t="s">
        <v>5086</v>
      </c>
      <c r="B2942" t="s">
        <v>5087</v>
      </c>
      <c r="C2942" t="s">
        <v>8</v>
      </c>
      <c r="D2942">
        <v>2.57</v>
      </c>
      <c r="E2942">
        <v>822</v>
      </c>
      <c r="F2942" t="str">
        <f>HYPERLINK("https://www.google.com/maps/search/?api=1&amp;query=24.77321573,46.64560772", "View Map")</f>
        <v>View Map</v>
      </c>
    </row>
    <row r="2943" spans="1:7" x14ac:dyDescent="0.3">
      <c r="A2943" t="s">
        <v>5088</v>
      </c>
      <c r="B2943" t="s">
        <v>5089</v>
      </c>
      <c r="C2943" t="s">
        <v>255</v>
      </c>
      <c r="D2943">
        <v>2.57</v>
      </c>
      <c r="E2943">
        <v>822</v>
      </c>
      <c r="F2943" t="str">
        <f>HYPERLINK("https://www.google.com/maps/search/?api=1&amp;query=24.53336497,44.27820182", "View Map")</f>
        <v>View Map</v>
      </c>
      <c r="G2943" s="2">
        <v>0.58876748965799219</v>
      </c>
    </row>
    <row r="2944" spans="1:7" x14ac:dyDescent="0.3">
      <c r="A2944" t="s">
        <v>5090</v>
      </c>
      <c r="B2944" t="s">
        <v>5091</v>
      </c>
      <c r="C2944" t="s">
        <v>8</v>
      </c>
      <c r="D2944">
        <v>2.57</v>
      </c>
      <c r="E2944">
        <v>822</v>
      </c>
      <c r="F2944" t="str">
        <f>HYPERLINK("https://www.google.com/maps/search/?api=1&amp;query=24.71378733,46.696004", "View Map")</f>
        <v>View Map</v>
      </c>
    </row>
    <row r="2945" spans="1:7" x14ac:dyDescent="0.3">
      <c r="A2945" t="s">
        <v>73</v>
      </c>
      <c r="B2945" t="s">
        <v>5092</v>
      </c>
      <c r="C2945" t="s">
        <v>8</v>
      </c>
      <c r="D2945">
        <v>2.569</v>
      </c>
      <c r="E2945">
        <v>822</v>
      </c>
      <c r="F2945" t="str">
        <f>HYPERLINK("https://www.google.com/maps/search/?api=1&amp;query=24.63850329,46.58642776", "View Map")</f>
        <v>View Map</v>
      </c>
    </row>
    <row r="2946" spans="1:7" x14ac:dyDescent="0.3">
      <c r="A2946" t="s">
        <v>5093</v>
      </c>
      <c r="B2946" t="s">
        <v>5094</v>
      </c>
      <c r="C2946" t="s">
        <v>255</v>
      </c>
      <c r="D2946">
        <v>2.569</v>
      </c>
      <c r="E2946">
        <v>822</v>
      </c>
      <c r="F2946" t="str">
        <f>HYPERLINK("https://www.google.com/maps/search/?api=1&amp;query=24.27177365,43.70090151", "View Map")</f>
        <v>View Map</v>
      </c>
      <c r="G2946" s="2">
        <v>0.51158636721801531</v>
      </c>
    </row>
    <row r="2947" spans="1:7" x14ac:dyDescent="0.3">
      <c r="A2947" t="s">
        <v>5095</v>
      </c>
      <c r="B2947" t="s">
        <v>5096</v>
      </c>
      <c r="C2947" t="s">
        <v>1112</v>
      </c>
      <c r="D2947">
        <v>2.5680000000000001</v>
      </c>
      <c r="E2947">
        <v>822</v>
      </c>
      <c r="F2947" t="str">
        <f>HYPERLINK("https://www.google.com/maps/search/?api=1&amp;query=26.03556668,44.93329609", "View Map")</f>
        <v>View Map</v>
      </c>
      <c r="G2947" s="2">
        <v>0.62554191368995571</v>
      </c>
    </row>
    <row r="2948" spans="1:7" x14ac:dyDescent="0.3">
      <c r="A2948" t="s">
        <v>150</v>
      </c>
      <c r="B2948" t="s">
        <v>5097</v>
      </c>
      <c r="C2948" t="s">
        <v>8</v>
      </c>
      <c r="D2948">
        <v>2.5680000000000001</v>
      </c>
      <c r="E2948">
        <v>822</v>
      </c>
      <c r="F2948" t="str">
        <f>HYPERLINK("https://www.google.com/maps/search/?api=1&amp;query=24.81350778,46.81228237", "View Map")</f>
        <v>View Map</v>
      </c>
    </row>
    <row r="2949" spans="1:7" x14ac:dyDescent="0.3">
      <c r="A2949" t="s">
        <v>1234</v>
      </c>
      <c r="B2949" t="s">
        <v>5098</v>
      </c>
      <c r="C2949" t="s">
        <v>296</v>
      </c>
      <c r="D2949">
        <v>2.5680000000000001</v>
      </c>
      <c r="E2949">
        <v>822</v>
      </c>
      <c r="F2949" t="str">
        <f>HYPERLINK("https://www.google.com/maps/search/?api=1&amp;query=24.47380076,46.2697589", "View Map")</f>
        <v>View Map</v>
      </c>
      <c r="G2949" s="2">
        <v>0.46377690362900731</v>
      </c>
    </row>
    <row r="2950" spans="1:7" x14ac:dyDescent="0.3">
      <c r="A2950" t="s">
        <v>5099</v>
      </c>
      <c r="B2950" t="s">
        <v>5100</v>
      </c>
      <c r="C2950" t="s">
        <v>8</v>
      </c>
      <c r="D2950">
        <v>2.5680000000000001</v>
      </c>
      <c r="E2950">
        <v>822</v>
      </c>
      <c r="F2950" t="str">
        <f>HYPERLINK("https://www.google.com/maps/search/?api=1&amp;query=24.7681246,46.80888843", "View Map")</f>
        <v>View Map</v>
      </c>
    </row>
    <row r="2951" spans="1:7" x14ac:dyDescent="0.3">
      <c r="A2951" t="s">
        <v>5101</v>
      </c>
      <c r="B2951" t="s">
        <v>5102</v>
      </c>
      <c r="C2951" t="s">
        <v>8</v>
      </c>
      <c r="D2951">
        <v>2.5680000000000001</v>
      </c>
      <c r="E2951">
        <v>822</v>
      </c>
      <c r="F2951" t="str">
        <f>HYPERLINK("https://www.google.com/maps/search/?api=1&amp;query=24.57836643,46.70986096", "View Map")</f>
        <v>View Map</v>
      </c>
      <c r="G2951" s="2">
        <v>0.46527270767045731</v>
      </c>
    </row>
    <row r="2952" spans="1:7" x14ac:dyDescent="0.3">
      <c r="A2952" t="s">
        <v>5103</v>
      </c>
      <c r="B2952" t="s">
        <v>5104</v>
      </c>
      <c r="C2952" t="s">
        <v>8</v>
      </c>
      <c r="D2952">
        <v>2.5649999999999999</v>
      </c>
      <c r="E2952">
        <v>821</v>
      </c>
      <c r="F2952" t="str">
        <f>HYPERLINK("https://www.google.com/maps/search/?api=1&amp;query=24.70497222,46.69325261", "View Map")</f>
        <v>View Map</v>
      </c>
    </row>
    <row r="2953" spans="1:7" x14ac:dyDescent="0.3">
      <c r="A2953" t="s">
        <v>5105</v>
      </c>
      <c r="B2953" t="s">
        <v>5106</v>
      </c>
      <c r="C2953" t="s">
        <v>8</v>
      </c>
      <c r="D2953">
        <v>2.5640000000000001</v>
      </c>
      <c r="E2953">
        <v>820</v>
      </c>
      <c r="F2953" t="str">
        <f>HYPERLINK("https://www.google.com/maps/search/?api=1&amp;query=24.5683,46.6019", "View Map")</f>
        <v>View Map</v>
      </c>
    </row>
    <row r="2954" spans="1:7" x14ac:dyDescent="0.3">
      <c r="A2954" t="s">
        <v>5107</v>
      </c>
      <c r="B2954" t="s">
        <v>5108</v>
      </c>
      <c r="C2954" t="s">
        <v>8</v>
      </c>
      <c r="D2954">
        <v>2.5630000000000002</v>
      </c>
      <c r="E2954">
        <v>820</v>
      </c>
      <c r="F2954" t="str">
        <f>HYPERLINK("https://www.google.com/maps/search/?api=1&amp;query=24.68418379,46.6508941", "View Map")</f>
        <v>View Map</v>
      </c>
      <c r="G2954" s="2">
        <v>1.022155563729612</v>
      </c>
    </row>
    <row r="2955" spans="1:7" x14ac:dyDescent="0.3">
      <c r="A2955" t="s">
        <v>5109</v>
      </c>
      <c r="B2955" t="s">
        <v>5110</v>
      </c>
      <c r="C2955" t="s">
        <v>8</v>
      </c>
      <c r="D2955">
        <v>2.5630000000000002</v>
      </c>
      <c r="E2955">
        <v>820</v>
      </c>
      <c r="F2955" t="str">
        <f>HYPERLINK("https://www.google.com/maps/search/?api=1&amp;query=24.58376196,46.76947643", "View Map")</f>
        <v>View Map</v>
      </c>
    </row>
    <row r="2956" spans="1:7" x14ac:dyDescent="0.3">
      <c r="A2956" t="s">
        <v>5111</v>
      </c>
      <c r="B2956" t="s">
        <v>5112</v>
      </c>
      <c r="C2956" t="s">
        <v>8</v>
      </c>
      <c r="D2956">
        <v>2.5630000000000002</v>
      </c>
      <c r="E2956">
        <v>820</v>
      </c>
      <c r="F2956" t="str">
        <f>HYPERLINK("https://www.google.com/maps/search/?api=1&amp;query=24.59529414,46.7128258", "View Map")</f>
        <v>View Map</v>
      </c>
    </row>
    <row r="2957" spans="1:7" x14ac:dyDescent="0.3">
      <c r="A2957" t="s">
        <v>146</v>
      </c>
      <c r="B2957" t="s">
        <v>5113</v>
      </c>
      <c r="C2957" t="s">
        <v>8</v>
      </c>
      <c r="D2957">
        <v>2.5619999999999998</v>
      </c>
      <c r="E2957">
        <v>820</v>
      </c>
      <c r="F2957" t="str">
        <f>HYPERLINK("https://www.google.com/maps/search/?api=1&amp;query=24.56162455,46.70484907", "View Map")</f>
        <v>View Map</v>
      </c>
    </row>
    <row r="2958" spans="1:7" x14ac:dyDescent="0.3">
      <c r="A2958" t="s">
        <v>1005</v>
      </c>
      <c r="B2958" t="s">
        <v>5114</v>
      </c>
      <c r="C2958" t="s">
        <v>8</v>
      </c>
      <c r="D2958">
        <v>2.5609999999999999</v>
      </c>
      <c r="E2958">
        <v>820</v>
      </c>
      <c r="F2958" t="str">
        <f>HYPERLINK("https://www.google.com/maps/search/?api=1&amp;query=24.70275707,46.8393196", "View Map")</f>
        <v>View Map</v>
      </c>
    </row>
    <row r="2959" spans="1:7" x14ac:dyDescent="0.3">
      <c r="A2959" t="s">
        <v>5115</v>
      </c>
      <c r="B2959" t="s">
        <v>5116</v>
      </c>
      <c r="C2959" t="s">
        <v>8</v>
      </c>
      <c r="D2959">
        <v>2.5609999999999999</v>
      </c>
      <c r="E2959">
        <v>820</v>
      </c>
      <c r="F2959" t="str">
        <f>HYPERLINK("https://www.google.com/maps/search/?api=1&amp;query=24.5408,46.6944", "View Map")</f>
        <v>View Map</v>
      </c>
    </row>
    <row r="2960" spans="1:7" x14ac:dyDescent="0.3">
      <c r="A2960" t="s">
        <v>4008</v>
      </c>
      <c r="B2960" t="s">
        <v>5117</v>
      </c>
      <c r="C2960" t="s">
        <v>8</v>
      </c>
      <c r="D2960">
        <v>2.56</v>
      </c>
      <c r="E2960">
        <v>819</v>
      </c>
      <c r="F2960" t="str">
        <f>HYPERLINK("https://www.google.com/maps/search/?api=1&amp;query=24.63808125,46.68975562", "View Map")</f>
        <v>View Map</v>
      </c>
      <c r="G2960" s="2">
        <v>0.90753399275029034</v>
      </c>
    </row>
    <row r="2961" spans="1:7" x14ac:dyDescent="0.3">
      <c r="A2961" t="s">
        <v>5118</v>
      </c>
      <c r="B2961" t="s">
        <v>5119</v>
      </c>
      <c r="C2961" t="s">
        <v>8</v>
      </c>
      <c r="D2961">
        <v>2.56</v>
      </c>
      <c r="E2961">
        <v>819</v>
      </c>
      <c r="F2961" t="str">
        <f>HYPERLINK("https://www.google.com/maps/search/?api=1&amp;query=24.62458838,46.684835", "View Map")</f>
        <v>View Map</v>
      </c>
    </row>
    <row r="2962" spans="1:7" x14ac:dyDescent="0.3">
      <c r="A2962" t="s">
        <v>5120</v>
      </c>
      <c r="B2962" t="s">
        <v>5121</v>
      </c>
      <c r="C2962" t="s">
        <v>255</v>
      </c>
      <c r="D2962">
        <v>2.56</v>
      </c>
      <c r="E2962">
        <v>819</v>
      </c>
      <c r="F2962" t="str">
        <f>HYPERLINK("https://www.google.com/maps/search/?api=1&amp;query=25.37883621,44.46317791", "View Map")</f>
        <v>View Map</v>
      </c>
      <c r="G2962" s="2">
        <v>0.53569946092504861</v>
      </c>
    </row>
    <row r="2963" spans="1:7" x14ac:dyDescent="0.3">
      <c r="A2963" t="s">
        <v>5122</v>
      </c>
      <c r="B2963" t="s">
        <v>5123</v>
      </c>
      <c r="C2963" t="s">
        <v>8</v>
      </c>
      <c r="D2963">
        <v>2.5590000000000002</v>
      </c>
      <c r="E2963">
        <v>819</v>
      </c>
      <c r="F2963" t="str">
        <f>HYPERLINK("https://www.google.com/maps/search/?api=1&amp;query=24.73106364,46.8076619", "View Map")</f>
        <v>View Map</v>
      </c>
    </row>
    <row r="2964" spans="1:7" x14ac:dyDescent="0.3">
      <c r="A2964" t="s">
        <v>22</v>
      </c>
      <c r="B2964" t="s">
        <v>5124</v>
      </c>
      <c r="C2964" t="s">
        <v>8</v>
      </c>
      <c r="D2964">
        <v>2.5569999999999999</v>
      </c>
      <c r="E2964">
        <v>818</v>
      </c>
      <c r="F2964" t="str">
        <f>HYPERLINK("https://www.google.com/maps/search/?api=1&amp;query=24.76691639,46.76630882", "View Map")</f>
        <v>View Map</v>
      </c>
    </row>
    <row r="2965" spans="1:7" x14ac:dyDescent="0.3">
      <c r="A2965" t="s">
        <v>5125</v>
      </c>
      <c r="B2965" t="s">
        <v>5126</v>
      </c>
      <c r="C2965" t="s">
        <v>214</v>
      </c>
      <c r="D2965">
        <v>2.5569999999999999</v>
      </c>
      <c r="E2965">
        <v>818</v>
      </c>
      <c r="F2965" t="str">
        <f>HYPERLINK("https://www.google.com/maps/search/?api=1&amp;query=25.91410186,45.37400514", "View Map")</f>
        <v>View Map</v>
      </c>
      <c r="G2965" s="2">
        <v>0.57846623434243094</v>
      </c>
    </row>
    <row r="2966" spans="1:7" x14ac:dyDescent="0.3">
      <c r="A2966" t="s">
        <v>46</v>
      </c>
      <c r="B2966" t="s">
        <v>5127</v>
      </c>
      <c r="C2966" t="s">
        <v>8</v>
      </c>
      <c r="D2966">
        <v>2.5569999999999999</v>
      </c>
      <c r="E2966">
        <v>818</v>
      </c>
      <c r="F2966" t="str">
        <f>HYPERLINK("https://www.google.com/maps/search/?api=1&amp;query=24.82068267,46.80123932", "View Map")</f>
        <v>View Map</v>
      </c>
    </row>
    <row r="2967" spans="1:7" x14ac:dyDescent="0.3">
      <c r="A2967" t="s">
        <v>1275</v>
      </c>
      <c r="B2967" t="s">
        <v>5128</v>
      </c>
      <c r="C2967" t="s">
        <v>8</v>
      </c>
      <c r="D2967">
        <v>2.556</v>
      </c>
      <c r="E2967">
        <v>818</v>
      </c>
      <c r="F2967" t="str">
        <f>HYPERLINK("https://www.google.com/maps/search/?api=1&amp;query=24.73095434,46.79152552", "View Map")</f>
        <v>View Map</v>
      </c>
    </row>
    <row r="2968" spans="1:7" x14ac:dyDescent="0.3">
      <c r="A2968" t="s">
        <v>5129</v>
      </c>
      <c r="B2968" t="s">
        <v>5130</v>
      </c>
      <c r="C2968" t="s">
        <v>8</v>
      </c>
      <c r="D2968">
        <v>2.5539999999999998</v>
      </c>
      <c r="E2968">
        <v>817</v>
      </c>
      <c r="F2968" t="str">
        <f>HYPERLINK("https://www.google.com/maps/search/?api=1&amp;query=24.78943627,46.74272561", "View Map")</f>
        <v>View Map</v>
      </c>
    </row>
    <row r="2969" spans="1:7" x14ac:dyDescent="0.3">
      <c r="A2969" t="s">
        <v>5131</v>
      </c>
      <c r="B2969" t="s">
        <v>5132</v>
      </c>
      <c r="C2969" t="s">
        <v>364</v>
      </c>
      <c r="D2969">
        <v>2.5539999999999998</v>
      </c>
      <c r="E2969">
        <v>817</v>
      </c>
      <c r="F2969" t="str">
        <f>HYPERLINK("https://www.google.com/maps/search/?api=1&amp;query=25.29884089,45.95920193", "View Map")</f>
        <v>View Map</v>
      </c>
    </row>
    <row r="2970" spans="1:7" x14ac:dyDescent="0.3">
      <c r="A2970" t="s">
        <v>5133</v>
      </c>
      <c r="B2970" t="s">
        <v>5134</v>
      </c>
      <c r="C2970" t="s">
        <v>8</v>
      </c>
      <c r="D2970">
        <v>2.5529999999999999</v>
      </c>
      <c r="E2970">
        <v>817</v>
      </c>
      <c r="F2970" t="str">
        <f>HYPERLINK("https://www.google.com/maps/search/?api=1&amp;query=24.56710009,46.76306593", "View Map")</f>
        <v>View Map</v>
      </c>
    </row>
    <row r="2971" spans="1:7" x14ac:dyDescent="0.3">
      <c r="A2971" t="s">
        <v>5135</v>
      </c>
      <c r="B2971" t="s">
        <v>5136</v>
      </c>
      <c r="C2971" t="s">
        <v>8</v>
      </c>
      <c r="D2971">
        <v>2.5499999999999998</v>
      </c>
      <c r="E2971">
        <v>816</v>
      </c>
      <c r="F2971" t="str">
        <f>HYPERLINK("https://www.google.com/maps/search/?api=1&amp;query=24.72774824,46.67033249", "View Map")</f>
        <v>View Map</v>
      </c>
    </row>
    <row r="2972" spans="1:7" x14ac:dyDescent="0.3">
      <c r="A2972" t="s">
        <v>5137</v>
      </c>
      <c r="B2972" t="s">
        <v>5138</v>
      </c>
      <c r="C2972" t="s">
        <v>8</v>
      </c>
      <c r="D2972">
        <v>2.5499999999999998</v>
      </c>
      <c r="E2972">
        <v>816</v>
      </c>
      <c r="F2972" t="str">
        <f>HYPERLINK("https://www.google.com/maps/search/?api=1&amp;query=24.57704057,46.84532887", "View Map")</f>
        <v>View Map</v>
      </c>
    </row>
    <row r="2973" spans="1:7" x14ac:dyDescent="0.3">
      <c r="A2973" t="s">
        <v>5139</v>
      </c>
      <c r="B2973" t="s">
        <v>5140</v>
      </c>
      <c r="C2973" t="s">
        <v>699</v>
      </c>
      <c r="D2973">
        <v>2.5489999999999999</v>
      </c>
      <c r="E2973">
        <v>816</v>
      </c>
      <c r="F2973" t="str">
        <f>HYPERLINK("https://www.google.com/maps/search/?api=1&amp;query=25.07266508,45.46108788", "View Map")</f>
        <v>View Map</v>
      </c>
    </row>
    <row r="2974" spans="1:7" x14ac:dyDescent="0.3">
      <c r="A2974" t="s">
        <v>5141</v>
      </c>
      <c r="B2974" t="s">
        <v>5142</v>
      </c>
      <c r="C2974" t="s">
        <v>8</v>
      </c>
      <c r="D2974">
        <v>2.5489999999999999</v>
      </c>
      <c r="E2974">
        <v>816</v>
      </c>
      <c r="F2974" t="str">
        <f>HYPERLINK("https://www.google.com/maps/search/?api=1&amp;query=24.62381385,46.7214933", "View Map")</f>
        <v>View Map</v>
      </c>
    </row>
    <row r="2975" spans="1:7" x14ac:dyDescent="0.3">
      <c r="A2975" t="s">
        <v>46</v>
      </c>
      <c r="B2975" t="s">
        <v>5143</v>
      </c>
      <c r="C2975" t="s">
        <v>8</v>
      </c>
      <c r="D2975">
        <v>2.548</v>
      </c>
      <c r="E2975">
        <v>815</v>
      </c>
      <c r="F2975" t="str">
        <f>HYPERLINK("https://www.google.com/maps/search/?api=1&amp;query=24.64422334,46.71817887", "View Map")</f>
        <v>View Map</v>
      </c>
      <c r="G2975" s="2">
        <v>0.60998009750571003</v>
      </c>
    </row>
    <row r="2976" spans="1:7" x14ac:dyDescent="0.3">
      <c r="A2976" t="s">
        <v>5144</v>
      </c>
      <c r="B2976" t="s">
        <v>5145</v>
      </c>
      <c r="C2976" t="s">
        <v>30</v>
      </c>
      <c r="D2976">
        <v>2.548</v>
      </c>
      <c r="E2976">
        <v>815</v>
      </c>
      <c r="F2976" t="str">
        <f>HYPERLINK("https://www.google.com/maps/search/?api=1&amp;query=24.1894728,47.37754597", "View Map")</f>
        <v>View Map</v>
      </c>
      <c r="G2976" s="2">
        <v>0.59725687598154187</v>
      </c>
    </row>
    <row r="2977" spans="1:7" x14ac:dyDescent="0.3">
      <c r="A2977" t="s">
        <v>150</v>
      </c>
      <c r="B2977" t="s">
        <v>5146</v>
      </c>
      <c r="C2977" t="s">
        <v>8</v>
      </c>
      <c r="D2977">
        <v>2.5470000000000002</v>
      </c>
      <c r="E2977">
        <v>815</v>
      </c>
      <c r="F2977" t="str">
        <f>HYPERLINK("https://www.google.com/maps/search/?api=1&amp;query=24.823577,46.734064", "View Map")</f>
        <v>View Map</v>
      </c>
    </row>
    <row r="2978" spans="1:7" x14ac:dyDescent="0.3">
      <c r="A2978" t="s">
        <v>5147</v>
      </c>
      <c r="B2978" t="s">
        <v>5148</v>
      </c>
      <c r="C2978" t="s">
        <v>214</v>
      </c>
      <c r="D2978">
        <v>2.5470000000000002</v>
      </c>
      <c r="E2978">
        <v>815</v>
      </c>
      <c r="F2978" t="str">
        <f>HYPERLINK("https://www.google.com/maps/search/?api=1&amp;query=25.91347112,45.37601134", "View Map")</f>
        <v>View Map</v>
      </c>
      <c r="G2978" s="2">
        <v>0.38407661518548802</v>
      </c>
    </row>
    <row r="2979" spans="1:7" x14ac:dyDescent="0.3">
      <c r="A2979" t="s">
        <v>150</v>
      </c>
      <c r="B2979" t="s">
        <v>5149</v>
      </c>
      <c r="C2979" t="s">
        <v>8</v>
      </c>
      <c r="D2979">
        <v>2.5470000000000002</v>
      </c>
      <c r="E2979">
        <v>815</v>
      </c>
      <c r="F2979" t="str">
        <f>HYPERLINK("https://www.google.com/maps/search/?api=1&amp;query=24.84236232,46.76819195", "View Map")</f>
        <v>View Map</v>
      </c>
    </row>
    <row r="2980" spans="1:7" x14ac:dyDescent="0.3">
      <c r="A2980" t="s">
        <v>5150</v>
      </c>
      <c r="B2980" t="s">
        <v>5151</v>
      </c>
      <c r="C2980" t="s">
        <v>8</v>
      </c>
      <c r="D2980">
        <v>2.5449999999999999</v>
      </c>
      <c r="E2980">
        <v>814</v>
      </c>
      <c r="F2980" t="str">
        <f>HYPERLINK("https://www.google.com/maps/search/?api=1&amp;query=24.57405107,46.67177874", "View Map")</f>
        <v>View Map</v>
      </c>
    </row>
    <row r="2981" spans="1:7" x14ac:dyDescent="0.3">
      <c r="A2981" t="s">
        <v>5152</v>
      </c>
      <c r="B2981" t="s">
        <v>5153</v>
      </c>
      <c r="C2981" t="s">
        <v>255</v>
      </c>
      <c r="D2981">
        <v>2.5449999999999999</v>
      </c>
      <c r="E2981">
        <v>815</v>
      </c>
      <c r="F2981" t="str">
        <f>HYPERLINK("https://www.google.com/maps/search/?api=1&amp;query=24.6830547,43.6812741", "View Map")</f>
        <v>View Map</v>
      </c>
      <c r="G2981" s="2">
        <v>0.67192661066065629</v>
      </c>
    </row>
    <row r="2982" spans="1:7" x14ac:dyDescent="0.3">
      <c r="A2982" t="s">
        <v>5154</v>
      </c>
      <c r="B2982" t="s">
        <v>5155</v>
      </c>
      <c r="C2982" t="s">
        <v>8</v>
      </c>
      <c r="D2982">
        <v>2.544</v>
      </c>
      <c r="E2982">
        <v>814</v>
      </c>
      <c r="F2982" t="str">
        <f>HYPERLINK("https://www.google.com/maps/search/?api=1&amp;query=24.56231932,46.68050073", "View Map")</f>
        <v>View Map</v>
      </c>
    </row>
    <row r="2983" spans="1:7" x14ac:dyDescent="0.3">
      <c r="A2983" t="s">
        <v>5156</v>
      </c>
      <c r="B2983" t="s">
        <v>5157</v>
      </c>
      <c r="C2983" t="s">
        <v>8</v>
      </c>
      <c r="D2983">
        <v>2.5430000000000001</v>
      </c>
      <c r="E2983">
        <v>814</v>
      </c>
      <c r="F2983" t="str">
        <f>HYPERLINK("https://www.google.com/maps/search/?api=1&amp;query=24.75022578,46.77365846", "View Map")</f>
        <v>View Map</v>
      </c>
    </row>
    <row r="2984" spans="1:7" x14ac:dyDescent="0.3">
      <c r="A2984" t="s">
        <v>5158</v>
      </c>
      <c r="B2984" t="s">
        <v>5159</v>
      </c>
      <c r="C2984" t="s">
        <v>8</v>
      </c>
      <c r="D2984">
        <v>2.5419999999999998</v>
      </c>
      <c r="E2984">
        <v>814</v>
      </c>
      <c r="F2984" t="str">
        <f>HYPERLINK("https://www.google.com/maps/search/?api=1&amp;query=24.6901217,46.64576329", "View Map")</f>
        <v>View Map</v>
      </c>
    </row>
    <row r="2985" spans="1:7" x14ac:dyDescent="0.3">
      <c r="A2985" t="s">
        <v>5160</v>
      </c>
      <c r="B2985" t="s">
        <v>5161</v>
      </c>
      <c r="C2985" t="s">
        <v>8</v>
      </c>
      <c r="D2985">
        <v>2.5419999999999998</v>
      </c>
      <c r="E2985">
        <v>813</v>
      </c>
      <c r="F2985" t="str">
        <f>HYPERLINK("https://www.google.com/maps/search/?api=1&amp;query=24.67236649,46.66822635", "View Map")</f>
        <v>View Map</v>
      </c>
    </row>
    <row r="2986" spans="1:7" x14ac:dyDescent="0.3">
      <c r="A2986" t="s">
        <v>28</v>
      </c>
      <c r="B2986" t="s">
        <v>5162</v>
      </c>
      <c r="C2986" t="s">
        <v>30</v>
      </c>
      <c r="D2986">
        <v>2.5409999999999999</v>
      </c>
      <c r="E2986">
        <v>813</v>
      </c>
      <c r="F2986" t="str">
        <f>HYPERLINK("https://www.google.com/maps/search/?api=1&amp;query=24.09367526,47.26533839", "View Map")</f>
        <v>View Map</v>
      </c>
      <c r="G2986" s="2">
        <v>0.43880063259876428</v>
      </c>
    </row>
    <row r="2987" spans="1:7" x14ac:dyDescent="0.3">
      <c r="A2987" t="s">
        <v>4412</v>
      </c>
      <c r="B2987" t="s">
        <v>5163</v>
      </c>
      <c r="C2987" t="s">
        <v>16</v>
      </c>
      <c r="D2987">
        <v>2.5409999999999999</v>
      </c>
      <c r="E2987">
        <v>813</v>
      </c>
      <c r="F2987" t="str">
        <f>HYPERLINK("https://www.google.com/maps/search/?api=1&amp;query=23.69554211,42.19709338", "View Map")</f>
        <v>View Map</v>
      </c>
      <c r="G2987" s="2">
        <v>0.38730186247119108</v>
      </c>
    </row>
    <row r="2988" spans="1:7" x14ac:dyDescent="0.3">
      <c r="A2988" t="s">
        <v>5164</v>
      </c>
      <c r="B2988" t="s">
        <v>5165</v>
      </c>
      <c r="C2988" t="s">
        <v>8</v>
      </c>
      <c r="D2988">
        <v>2.54</v>
      </c>
      <c r="E2988">
        <v>813</v>
      </c>
      <c r="F2988" t="str">
        <f>HYPERLINK("https://www.google.com/maps/search/?api=1&amp;query=24.62817747,46.7545185", "View Map")</f>
        <v>View Map</v>
      </c>
    </row>
    <row r="2989" spans="1:7" x14ac:dyDescent="0.3">
      <c r="A2989" t="s">
        <v>5166</v>
      </c>
      <c r="B2989" t="s">
        <v>5167</v>
      </c>
      <c r="C2989" t="s">
        <v>738</v>
      </c>
      <c r="D2989">
        <v>2.5390000000000001</v>
      </c>
      <c r="E2989">
        <v>812</v>
      </c>
      <c r="F2989" t="str">
        <f>HYPERLINK("https://www.google.com/maps/search/?api=1&amp;query=25.11607965,46.1047303", "View Map")</f>
        <v>View Map</v>
      </c>
      <c r="G2989" s="2">
        <v>0.49982992605341209</v>
      </c>
    </row>
    <row r="2990" spans="1:7" x14ac:dyDescent="0.3">
      <c r="A2990" t="s">
        <v>146</v>
      </c>
      <c r="B2990" t="s">
        <v>5168</v>
      </c>
      <c r="C2990" t="s">
        <v>8</v>
      </c>
      <c r="D2990">
        <v>2.5390000000000001</v>
      </c>
      <c r="E2990">
        <v>813</v>
      </c>
      <c r="F2990" t="str">
        <f>HYPERLINK("https://www.google.com/maps/search/?api=1&amp;query=24.57384886,46.71337917", "View Map")</f>
        <v>View Map</v>
      </c>
    </row>
    <row r="2991" spans="1:7" x14ac:dyDescent="0.3">
      <c r="A2991" t="s">
        <v>5169</v>
      </c>
      <c r="B2991" t="s">
        <v>5170</v>
      </c>
      <c r="C2991" t="s">
        <v>8</v>
      </c>
      <c r="D2991">
        <v>2.5379999999999998</v>
      </c>
      <c r="E2991">
        <v>812</v>
      </c>
      <c r="F2991" t="str">
        <f>HYPERLINK("https://www.google.com/maps/search/?api=1&amp;query=24.5842,46.65", "View Map")</f>
        <v>View Map</v>
      </c>
    </row>
    <row r="2992" spans="1:7" x14ac:dyDescent="0.3">
      <c r="A2992" t="s">
        <v>5171</v>
      </c>
      <c r="B2992" t="s">
        <v>5172</v>
      </c>
      <c r="C2992" t="s">
        <v>241</v>
      </c>
      <c r="D2992">
        <v>2.5369999999999999</v>
      </c>
      <c r="E2992">
        <v>812</v>
      </c>
      <c r="F2992" t="str">
        <f>HYPERLINK("https://www.google.com/maps/search/?api=1&amp;query=20.44134241,44.72348135", "View Map")</f>
        <v>View Map</v>
      </c>
      <c r="G2992" s="2">
        <v>0.59834223125704633</v>
      </c>
    </row>
    <row r="2993" spans="1:7" x14ac:dyDescent="0.3">
      <c r="A2993" t="s">
        <v>5173</v>
      </c>
      <c r="B2993" t="s">
        <v>5174</v>
      </c>
      <c r="C2993" t="s">
        <v>8</v>
      </c>
      <c r="D2993">
        <v>2.536</v>
      </c>
      <c r="E2993">
        <v>811</v>
      </c>
      <c r="F2993" t="str">
        <f>HYPERLINK("https://www.google.com/maps/search/?api=1&amp;query=24.71972893,46.66681519", "View Map")</f>
        <v>View Map</v>
      </c>
      <c r="G2993" s="2">
        <v>0.4293615642376632</v>
      </c>
    </row>
    <row r="2994" spans="1:7" x14ac:dyDescent="0.3">
      <c r="A2994" t="s">
        <v>5175</v>
      </c>
      <c r="B2994" t="s">
        <v>5176</v>
      </c>
      <c r="C2994" t="s">
        <v>8</v>
      </c>
      <c r="D2994">
        <v>2.5350000000000001</v>
      </c>
      <c r="E2994">
        <v>811</v>
      </c>
      <c r="F2994" t="str">
        <f>HYPERLINK("https://www.google.com/maps/search/?api=1&amp;query=24.40975051,46.84541596", "View Map")</f>
        <v>View Map</v>
      </c>
      <c r="G2994" s="2">
        <v>0.57096997998914933</v>
      </c>
    </row>
    <row r="2995" spans="1:7" x14ac:dyDescent="0.3">
      <c r="A2995" t="s">
        <v>46</v>
      </c>
      <c r="B2995" t="s">
        <v>5177</v>
      </c>
      <c r="C2995" t="s">
        <v>8</v>
      </c>
      <c r="D2995">
        <v>2.5350000000000001</v>
      </c>
      <c r="E2995">
        <v>811</v>
      </c>
      <c r="F2995" t="str">
        <f>HYPERLINK("https://www.google.com/maps/search/?api=1&amp;query=24.80303666,46.83873329", "View Map")</f>
        <v>View Map</v>
      </c>
      <c r="G2995" s="2">
        <v>0.82949093119409045</v>
      </c>
    </row>
    <row r="2996" spans="1:7" x14ac:dyDescent="0.3">
      <c r="A2996" t="s">
        <v>5178</v>
      </c>
      <c r="B2996" t="s">
        <v>5179</v>
      </c>
      <c r="C2996" t="s">
        <v>30</v>
      </c>
      <c r="D2996">
        <v>2.5339999999999998</v>
      </c>
      <c r="E2996">
        <v>811</v>
      </c>
      <c r="F2996" t="str">
        <f>HYPERLINK("https://www.google.com/maps/search/?api=1&amp;query=24.15557526,47.37570382", "View Map")</f>
        <v>View Map</v>
      </c>
      <c r="G2996" s="2">
        <v>0.61219353848540403</v>
      </c>
    </row>
    <row r="2997" spans="1:7" x14ac:dyDescent="0.3">
      <c r="A2997" t="s">
        <v>5180</v>
      </c>
      <c r="B2997" t="s">
        <v>5181</v>
      </c>
      <c r="C2997" t="s">
        <v>8</v>
      </c>
      <c r="D2997">
        <v>2.5339999999999998</v>
      </c>
      <c r="E2997">
        <v>811</v>
      </c>
      <c r="F2997" t="str">
        <f>HYPERLINK("https://www.google.com/maps/search/?api=1&amp;query=24.55900659,46.68057761", "View Map")</f>
        <v>View Map</v>
      </c>
    </row>
    <row r="2998" spans="1:7" x14ac:dyDescent="0.3">
      <c r="A2998" t="s">
        <v>5182</v>
      </c>
      <c r="B2998" t="s">
        <v>5183</v>
      </c>
      <c r="C2998" t="s">
        <v>137</v>
      </c>
      <c r="D2998">
        <v>2.5329999999999999</v>
      </c>
      <c r="E2998">
        <v>810</v>
      </c>
      <c r="F2998" t="str">
        <f>HYPERLINK("https://www.google.com/maps/search/?api=1&amp;query=23.4854988,46.85071248", "View Map")</f>
        <v>View Map</v>
      </c>
    </row>
    <row r="2999" spans="1:7" x14ac:dyDescent="0.3">
      <c r="A2999" t="s">
        <v>5184</v>
      </c>
      <c r="B2999" t="s">
        <v>5185</v>
      </c>
      <c r="C2999" t="s">
        <v>8</v>
      </c>
      <c r="D2999">
        <v>2.532</v>
      </c>
      <c r="E2999">
        <v>810</v>
      </c>
      <c r="F2999" t="str">
        <f>HYPERLINK("https://www.google.com/maps/search/?api=1&amp;query=24.71509161,46.78822783", "View Map")</f>
        <v>View Map</v>
      </c>
    </row>
    <row r="3000" spans="1:7" x14ac:dyDescent="0.3">
      <c r="A3000" t="s">
        <v>5186</v>
      </c>
      <c r="B3000" t="s">
        <v>5187</v>
      </c>
      <c r="C3000" t="s">
        <v>466</v>
      </c>
      <c r="D3000">
        <v>2.532</v>
      </c>
      <c r="E3000">
        <v>810</v>
      </c>
      <c r="F3000" t="str">
        <f>HYPERLINK("https://www.google.com/maps/search/?api=1&amp;query=24.59621794,46.12841797", "View Map")</f>
        <v>View Map</v>
      </c>
      <c r="G3000" s="2">
        <v>0.60226157283329473</v>
      </c>
    </row>
    <row r="3001" spans="1:7" x14ac:dyDescent="0.3">
      <c r="A3001" t="s">
        <v>5188</v>
      </c>
      <c r="B3001" t="s">
        <v>5189</v>
      </c>
      <c r="C3001" t="s">
        <v>8</v>
      </c>
      <c r="D3001">
        <v>2.5310000000000001</v>
      </c>
      <c r="E3001">
        <v>810</v>
      </c>
      <c r="F3001" t="str">
        <f>HYPERLINK("https://www.google.com/maps/search/?api=1&amp;query=24.66062681,46.69517615", "View Map")</f>
        <v>View Map</v>
      </c>
      <c r="G3001" s="2">
        <v>0.39081584952395992</v>
      </c>
    </row>
    <row r="3002" spans="1:7" x14ac:dyDescent="0.3">
      <c r="A3002" t="s">
        <v>5190</v>
      </c>
      <c r="B3002" t="s">
        <v>5191</v>
      </c>
      <c r="C3002" t="s">
        <v>137</v>
      </c>
      <c r="D3002">
        <v>2.5310000000000001</v>
      </c>
      <c r="E3002">
        <v>810</v>
      </c>
      <c r="F3002" t="str">
        <f>HYPERLINK("https://www.google.com/maps/search/?api=1&amp;query=23.49309039,46.88628369", "View Map")</f>
        <v>View Map</v>
      </c>
      <c r="G3002" s="2">
        <v>0.62058664054598067</v>
      </c>
    </row>
    <row r="3003" spans="1:7" x14ac:dyDescent="0.3">
      <c r="A3003" t="s">
        <v>2737</v>
      </c>
      <c r="B3003" t="s">
        <v>5192</v>
      </c>
      <c r="C3003" t="s">
        <v>8</v>
      </c>
      <c r="D3003">
        <v>2.5299999999999998</v>
      </c>
      <c r="E3003">
        <v>810</v>
      </c>
      <c r="F3003" t="str">
        <f>HYPERLINK("https://www.google.com/maps/search/?api=1&amp;query=24.68331671,46.82461256", "View Map")</f>
        <v>View Map</v>
      </c>
    </row>
    <row r="3004" spans="1:7" x14ac:dyDescent="0.3">
      <c r="A3004" t="s">
        <v>5193</v>
      </c>
      <c r="B3004" t="s">
        <v>5194</v>
      </c>
      <c r="C3004" t="s">
        <v>8</v>
      </c>
      <c r="D3004">
        <v>2.5299999999999998</v>
      </c>
      <c r="E3004">
        <v>810</v>
      </c>
      <c r="F3004" t="str">
        <f>HYPERLINK("https://www.google.com/maps/search/?api=1&amp;query=24.77164775,46.83430954", "View Map")</f>
        <v>View Map</v>
      </c>
    </row>
    <row r="3005" spans="1:7" x14ac:dyDescent="0.3">
      <c r="A3005" t="s">
        <v>5195</v>
      </c>
      <c r="B3005" t="s">
        <v>5196</v>
      </c>
      <c r="C3005" t="s">
        <v>270</v>
      </c>
      <c r="D3005">
        <v>2.5299999999999998</v>
      </c>
      <c r="E3005">
        <v>810</v>
      </c>
      <c r="F3005" t="str">
        <f>HYPERLINK("https://www.google.com/maps/search/?api=1&amp;query=23.99106189,47.12034669", "View Map")</f>
        <v>View Map</v>
      </c>
      <c r="G3005" s="2">
        <v>0.52532400588792905</v>
      </c>
    </row>
    <row r="3006" spans="1:7" x14ac:dyDescent="0.3">
      <c r="A3006" t="s">
        <v>5197</v>
      </c>
      <c r="B3006" t="s">
        <v>5198</v>
      </c>
      <c r="C3006" t="s">
        <v>214</v>
      </c>
      <c r="D3006">
        <v>2.5259999999999998</v>
      </c>
      <c r="E3006">
        <v>808</v>
      </c>
      <c r="F3006" t="str">
        <f>HYPERLINK("https://www.google.com/maps/search/?api=1&amp;query=26.49082644,45.34158362", "View Map")</f>
        <v>View Map</v>
      </c>
      <c r="G3006" s="2">
        <v>0.63006795998065135</v>
      </c>
    </row>
    <row r="3007" spans="1:7" x14ac:dyDescent="0.3">
      <c r="A3007" t="s">
        <v>5199</v>
      </c>
      <c r="B3007" t="s">
        <v>5200</v>
      </c>
      <c r="C3007" t="s">
        <v>8</v>
      </c>
      <c r="D3007">
        <v>2.5249999999999999</v>
      </c>
      <c r="E3007">
        <v>808</v>
      </c>
      <c r="F3007" t="str">
        <f>HYPERLINK("https://www.google.com/maps/search/?api=1&amp;query=24.80553914,46.77298316", "View Map")</f>
        <v>View Map</v>
      </c>
    </row>
    <row r="3008" spans="1:7" x14ac:dyDescent="0.3">
      <c r="A3008" t="s">
        <v>5201</v>
      </c>
      <c r="B3008" t="s">
        <v>5202</v>
      </c>
      <c r="C3008" t="s">
        <v>8</v>
      </c>
      <c r="D3008">
        <v>2.5249999999999999</v>
      </c>
      <c r="E3008">
        <v>808</v>
      </c>
      <c r="F3008" t="str">
        <f>HYPERLINK("https://www.google.com/maps/search/?api=1&amp;query=24.62950581,46.67881737", "View Map")</f>
        <v>View Map</v>
      </c>
    </row>
    <row r="3009" spans="1:7" x14ac:dyDescent="0.3">
      <c r="A3009" t="s">
        <v>3735</v>
      </c>
      <c r="B3009" t="s">
        <v>5203</v>
      </c>
      <c r="C3009" t="s">
        <v>255</v>
      </c>
      <c r="D3009">
        <v>2.5249999999999999</v>
      </c>
      <c r="E3009">
        <v>808</v>
      </c>
      <c r="F3009" t="str">
        <f>HYPERLINK("https://www.google.com/maps/search/?api=1&amp;query=25.20501397,44.59849397", "View Map")</f>
        <v>View Map</v>
      </c>
      <c r="G3009" s="2">
        <v>0.64188902180176788</v>
      </c>
    </row>
    <row r="3010" spans="1:7" x14ac:dyDescent="0.3">
      <c r="A3010" t="s">
        <v>5204</v>
      </c>
      <c r="B3010" t="s">
        <v>5205</v>
      </c>
      <c r="C3010" t="s">
        <v>8</v>
      </c>
      <c r="D3010">
        <v>2.5249999999999999</v>
      </c>
      <c r="E3010">
        <v>808</v>
      </c>
      <c r="F3010" t="str">
        <f>HYPERLINK("https://www.google.com/maps/search/?api=1&amp;query=24.77104745,46.7581445", "View Map")</f>
        <v>View Map</v>
      </c>
    </row>
    <row r="3011" spans="1:7" x14ac:dyDescent="0.3">
      <c r="A3011" t="s">
        <v>28</v>
      </c>
      <c r="B3011" t="s">
        <v>5206</v>
      </c>
      <c r="C3011" t="s">
        <v>270</v>
      </c>
      <c r="D3011">
        <v>2.524</v>
      </c>
      <c r="E3011">
        <v>808</v>
      </c>
      <c r="F3011" t="str">
        <f>HYPERLINK("https://www.google.com/maps/search/?api=1&amp;query=23.62063024,47.08950687", "View Map")</f>
        <v>View Map</v>
      </c>
      <c r="G3011" s="2">
        <v>0.48615872037887348</v>
      </c>
    </row>
    <row r="3012" spans="1:7" x14ac:dyDescent="0.3">
      <c r="A3012" t="s">
        <v>5207</v>
      </c>
      <c r="B3012" t="s">
        <v>5208</v>
      </c>
      <c r="C3012" t="s">
        <v>291</v>
      </c>
      <c r="D3012">
        <v>2.524</v>
      </c>
      <c r="E3012">
        <v>808</v>
      </c>
      <c r="F3012" t="str">
        <f>HYPERLINK("https://www.google.com/maps/search/?api=1&amp;query=24.35503457,45.84461351", "View Map")</f>
        <v>View Map</v>
      </c>
      <c r="G3012" s="2">
        <v>0.38673187010664589</v>
      </c>
    </row>
    <row r="3013" spans="1:7" x14ac:dyDescent="0.3">
      <c r="A3013" t="s">
        <v>678</v>
      </c>
      <c r="B3013" t="s">
        <v>5209</v>
      </c>
      <c r="C3013" t="s">
        <v>21</v>
      </c>
      <c r="D3013">
        <v>2.524</v>
      </c>
      <c r="E3013">
        <v>808</v>
      </c>
      <c r="F3013" t="str">
        <f>HYPERLINK("https://www.google.com/maps/search/?api=1&amp;query=26.34373775,44.79157212", "View Map")</f>
        <v>View Map</v>
      </c>
      <c r="G3013" s="2">
        <v>0.71940370657967234</v>
      </c>
    </row>
    <row r="3014" spans="1:7" x14ac:dyDescent="0.3">
      <c r="A3014" t="s">
        <v>46</v>
      </c>
      <c r="B3014" t="s">
        <v>5210</v>
      </c>
      <c r="C3014" t="s">
        <v>8</v>
      </c>
      <c r="D3014">
        <v>2.5230000000000001</v>
      </c>
      <c r="E3014">
        <v>807</v>
      </c>
      <c r="F3014" t="str">
        <f>HYPERLINK("https://www.google.com/maps/search/?api=1&amp;query=24.622656,46.52221324", "View Map")</f>
        <v>View Map</v>
      </c>
    </row>
    <row r="3015" spans="1:7" x14ac:dyDescent="0.3">
      <c r="A3015" t="s">
        <v>5211</v>
      </c>
      <c r="B3015" t="s">
        <v>5212</v>
      </c>
      <c r="C3015" t="s">
        <v>8</v>
      </c>
      <c r="D3015">
        <v>2.5230000000000001</v>
      </c>
      <c r="E3015">
        <v>807</v>
      </c>
      <c r="F3015" t="str">
        <f>HYPERLINK("https://www.google.com/maps/search/?api=1&amp;query=24.74200107,46.81140417", "View Map")</f>
        <v>View Map</v>
      </c>
    </row>
    <row r="3016" spans="1:7" x14ac:dyDescent="0.3">
      <c r="A3016" t="s">
        <v>46</v>
      </c>
      <c r="B3016" t="s">
        <v>5213</v>
      </c>
      <c r="C3016" t="s">
        <v>820</v>
      </c>
      <c r="D3016">
        <v>2.5230000000000001</v>
      </c>
      <c r="E3016">
        <v>807</v>
      </c>
      <c r="F3016" t="str">
        <f>HYPERLINK("https://www.google.com/maps/search/?api=1&amp;query=0.0,0.0", "View Map")</f>
        <v>View Map</v>
      </c>
    </row>
    <row r="3017" spans="1:7" x14ac:dyDescent="0.3">
      <c r="A3017" t="s">
        <v>1002</v>
      </c>
      <c r="B3017" t="s">
        <v>5214</v>
      </c>
      <c r="C3017" t="s">
        <v>820</v>
      </c>
      <c r="D3017">
        <v>2.5209999999999999</v>
      </c>
      <c r="E3017">
        <v>807</v>
      </c>
      <c r="F3017" t="str">
        <f>HYPERLINK("https://www.google.com/maps/search/?api=1&amp;query=0.0,0.0", "View Map")</f>
        <v>View Map</v>
      </c>
      <c r="G3017" s="2">
        <v>0.52290954546806301</v>
      </c>
    </row>
    <row r="3018" spans="1:7" x14ac:dyDescent="0.3">
      <c r="A3018" t="s">
        <v>5215</v>
      </c>
      <c r="B3018" t="s">
        <v>5216</v>
      </c>
      <c r="C3018" t="s">
        <v>8</v>
      </c>
      <c r="D3018">
        <v>2.52</v>
      </c>
      <c r="E3018">
        <v>806</v>
      </c>
      <c r="F3018" t="str">
        <f>HYPERLINK("https://www.google.com/maps/search/?api=1&amp;query=24.61904927,46.71494535", "View Map")</f>
        <v>View Map</v>
      </c>
    </row>
    <row r="3019" spans="1:7" x14ac:dyDescent="0.3">
      <c r="A3019" t="s">
        <v>5217</v>
      </c>
      <c r="B3019" t="s">
        <v>5218</v>
      </c>
      <c r="C3019" t="s">
        <v>8</v>
      </c>
      <c r="D3019">
        <v>2.52</v>
      </c>
      <c r="E3019">
        <v>806</v>
      </c>
      <c r="F3019" t="str">
        <f>HYPERLINK("https://www.google.com/maps/search/?api=1&amp;query=24.61851502,46.72959314", "View Map")</f>
        <v>View Map</v>
      </c>
    </row>
    <row r="3020" spans="1:7" x14ac:dyDescent="0.3">
      <c r="A3020" t="s">
        <v>5219</v>
      </c>
      <c r="B3020" t="s">
        <v>5220</v>
      </c>
      <c r="C3020" t="s">
        <v>255</v>
      </c>
      <c r="D3020">
        <v>2.5190000000000001</v>
      </c>
      <c r="E3020">
        <v>806</v>
      </c>
      <c r="F3020" t="str">
        <f>HYPERLINK("https://www.google.com/maps/search/?api=1&amp;query=24.98558652,44.7264751", "View Map")</f>
        <v>View Map</v>
      </c>
      <c r="G3020" s="2">
        <v>0.68709645554429177</v>
      </c>
    </row>
    <row r="3021" spans="1:7" x14ac:dyDescent="0.3">
      <c r="A3021" t="s">
        <v>678</v>
      </c>
      <c r="B3021" t="s">
        <v>5221</v>
      </c>
      <c r="C3021" t="s">
        <v>21</v>
      </c>
      <c r="D3021">
        <v>2.5179999999999998</v>
      </c>
      <c r="E3021">
        <v>806</v>
      </c>
      <c r="F3021" t="str">
        <f>HYPERLINK("https://www.google.com/maps/search/?api=1&amp;query=26.32287771,44.80793044", "View Map")</f>
        <v>View Map</v>
      </c>
      <c r="G3021" s="2">
        <v>0.66563253109565157</v>
      </c>
    </row>
    <row r="3022" spans="1:7" x14ac:dyDescent="0.3">
      <c r="A3022" t="s">
        <v>5222</v>
      </c>
      <c r="B3022" t="s">
        <v>5223</v>
      </c>
      <c r="C3022" t="s">
        <v>8</v>
      </c>
      <c r="D3022">
        <v>2.5179999999999998</v>
      </c>
      <c r="E3022">
        <v>806</v>
      </c>
      <c r="F3022" t="str">
        <f>HYPERLINK("https://www.google.com/maps/search/?api=1&amp;query=24.818616,46.88765731", "View Map")</f>
        <v>View Map</v>
      </c>
    </row>
    <row r="3023" spans="1:7" x14ac:dyDescent="0.3">
      <c r="A3023" t="s">
        <v>5224</v>
      </c>
      <c r="B3023" t="s">
        <v>5225</v>
      </c>
      <c r="C3023" t="s">
        <v>286</v>
      </c>
      <c r="D3023">
        <v>2.5179999999999998</v>
      </c>
      <c r="E3023">
        <v>806</v>
      </c>
      <c r="F3023" t="str">
        <f>HYPERLINK("https://www.google.com/maps/search/?api=1&amp;query=25.24704357,45.25112327", "View Map")</f>
        <v>View Map</v>
      </c>
    </row>
    <row r="3024" spans="1:7" x14ac:dyDescent="0.3">
      <c r="A3024" t="s">
        <v>5226</v>
      </c>
      <c r="B3024" t="s">
        <v>5227</v>
      </c>
      <c r="C3024" t="s">
        <v>8</v>
      </c>
      <c r="D3024">
        <v>2.5169999999999999</v>
      </c>
      <c r="E3024">
        <v>806</v>
      </c>
      <c r="F3024" t="str">
        <f>HYPERLINK("https://www.google.com/maps/search/?api=1&amp;query=24.60662201,46.6698177", "View Map")</f>
        <v>View Map</v>
      </c>
      <c r="G3024" s="2">
        <v>0.3392332025712349</v>
      </c>
    </row>
    <row r="3025" spans="1:7" x14ac:dyDescent="0.3">
      <c r="A3025" t="s">
        <v>5228</v>
      </c>
      <c r="B3025" t="s">
        <v>5229</v>
      </c>
      <c r="C3025" t="s">
        <v>8</v>
      </c>
      <c r="D3025">
        <v>2.5169999999999999</v>
      </c>
      <c r="E3025">
        <v>805</v>
      </c>
      <c r="F3025" t="str">
        <f>HYPERLINK("https://www.google.com/maps/search/?api=1&amp;query=24.80381167,46.79835328", "View Map")</f>
        <v>View Map</v>
      </c>
    </row>
    <row r="3026" spans="1:7" x14ac:dyDescent="0.3">
      <c r="A3026" t="s">
        <v>5230</v>
      </c>
      <c r="B3026" t="s">
        <v>5231</v>
      </c>
      <c r="C3026" t="s">
        <v>8</v>
      </c>
      <c r="D3026">
        <v>2.516</v>
      </c>
      <c r="E3026">
        <v>805</v>
      </c>
      <c r="F3026" t="str">
        <f>HYPERLINK("https://www.google.com/maps/search/?api=1&amp;query=24.57908343,46.59316279", "View Map")</f>
        <v>View Map</v>
      </c>
    </row>
    <row r="3027" spans="1:7" x14ac:dyDescent="0.3">
      <c r="A3027" t="s">
        <v>5232</v>
      </c>
      <c r="B3027" t="s">
        <v>5233</v>
      </c>
      <c r="C3027" t="s">
        <v>8</v>
      </c>
      <c r="D3027">
        <v>2.516</v>
      </c>
      <c r="E3027">
        <v>805</v>
      </c>
      <c r="F3027" t="str">
        <f>HYPERLINK("https://www.google.com/maps/search/?api=1&amp;query=24.69070115,46.8532452", "View Map")</f>
        <v>View Map</v>
      </c>
    </row>
    <row r="3028" spans="1:7" x14ac:dyDescent="0.3">
      <c r="A3028" t="s">
        <v>5234</v>
      </c>
      <c r="B3028" t="s">
        <v>5235</v>
      </c>
      <c r="C3028" t="s">
        <v>8</v>
      </c>
      <c r="D3028">
        <v>2.516</v>
      </c>
      <c r="E3028">
        <v>805</v>
      </c>
      <c r="F3028" t="str">
        <f>HYPERLINK("https://www.google.com/maps/search/?api=1&amp;query=24.78637907,46.77580592", "View Map")</f>
        <v>View Map</v>
      </c>
      <c r="G3028" s="2">
        <v>0.43604180437134971</v>
      </c>
    </row>
    <row r="3029" spans="1:7" x14ac:dyDescent="0.3">
      <c r="A3029" t="s">
        <v>5236</v>
      </c>
      <c r="B3029" t="s">
        <v>5237</v>
      </c>
      <c r="C3029" t="s">
        <v>255</v>
      </c>
      <c r="D3029">
        <v>2.5150000000000001</v>
      </c>
      <c r="E3029">
        <v>805</v>
      </c>
      <c r="F3029" t="str">
        <f>HYPERLINK("https://www.google.com/maps/search/?api=1&amp;query=25.19333282,44.59811952", "View Map")</f>
        <v>View Map</v>
      </c>
      <c r="G3029" s="2">
        <v>0.52933099135267325</v>
      </c>
    </row>
    <row r="3030" spans="1:7" x14ac:dyDescent="0.3">
      <c r="A3030" t="s">
        <v>5238</v>
      </c>
      <c r="B3030" t="s">
        <v>5239</v>
      </c>
      <c r="C3030" t="s">
        <v>8</v>
      </c>
      <c r="D3030">
        <v>2.5150000000000001</v>
      </c>
      <c r="E3030">
        <v>805</v>
      </c>
      <c r="F3030" t="str">
        <f>HYPERLINK("https://www.google.com/maps/search/?api=1&amp;query=24.62607858,46.84918722", "View Map")</f>
        <v>View Map</v>
      </c>
    </row>
    <row r="3031" spans="1:7" x14ac:dyDescent="0.3">
      <c r="A3031" t="s">
        <v>5240</v>
      </c>
      <c r="B3031" t="s">
        <v>5241</v>
      </c>
      <c r="C3031" t="s">
        <v>8</v>
      </c>
      <c r="D3031">
        <v>2.5139999999999998</v>
      </c>
      <c r="E3031">
        <v>805</v>
      </c>
      <c r="F3031" t="str">
        <f>HYPERLINK("https://www.google.com/maps/search/?api=1&amp;query=24.5756853,46.76371107", "View Map")</f>
        <v>View Map</v>
      </c>
    </row>
    <row r="3032" spans="1:7" x14ac:dyDescent="0.3">
      <c r="A3032" t="s">
        <v>5242</v>
      </c>
      <c r="B3032" t="s">
        <v>5243</v>
      </c>
      <c r="C3032" t="s">
        <v>77</v>
      </c>
      <c r="D3032">
        <v>2.512</v>
      </c>
      <c r="E3032">
        <v>804</v>
      </c>
      <c r="F3032" t="str">
        <f>HYPERLINK("https://www.google.com/maps/search/?api=1&amp;query=22.22316475,46.77134222", "View Map")</f>
        <v>View Map</v>
      </c>
      <c r="G3032" s="2">
        <v>0.6761232984812855</v>
      </c>
    </row>
    <row r="3033" spans="1:7" x14ac:dyDescent="0.3">
      <c r="A3033" t="s">
        <v>5244</v>
      </c>
      <c r="B3033" t="s">
        <v>5245</v>
      </c>
      <c r="C3033" t="s">
        <v>255</v>
      </c>
      <c r="D3033">
        <v>2.512</v>
      </c>
      <c r="E3033">
        <v>804</v>
      </c>
      <c r="F3033" t="str">
        <f>HYPERLINK("https://www.google.com/maps/search/?api=1&amp;query=24.37638097,43.68690951", "View Map")</f>
        <v>View Map</v>
      </c>
      <c r="G3033" s="2">
        <v>0.8416221340165283</v>
      </c>
    </row>
    <row r="3034" spans="1:7" x14ac:dyDescent="0.3">
      <c r="A3034" t="s">
        <v>5246</v>
      </c>
      <c r="B3034" t="s">
        <v>5247</v>
      </c>
      <c r="C3034" t="s">
        <v>442</v>
      </c>
      <c r="D3034">
        <v>2.5110000000000001</v>
      </c>
      <c r="E3034">
        <v>804</v>
      </c>
      <c r="F3034" t="str">
        <f>HYPERLINK("https://www.google.com/maps/search/?api=1&amp;query=23.62166231,46.51655548", "View Map")</f>
        <v>View Map</v>
      </c>
    </row>
    <row r="3035" spans="1:7" x14ac:dyDescent="0.3">
      <c r="A3035" t="s">
        <v>46</v>
      </c>
      <c r="B3035" t="s">
        <v>5248</v>
      </c>
      <c r="C3035" t="s">
        <v>8</v>
      </c>
      <c r="D3035">
        <v>2.5099999999999998</v>
      </c>
      <c r="E3035">
        <v>803</v>
      </c>
      <c r="F3035" t="str">
        <f>HYPERLINK("https://www.google.com/maps/search/?api=1&amp;query=24.71896658,46.66461713", "View Map")</f>
        <v>View Map</v>
      </c>
    </row>
    <row r="3036" spans="1:7" x14ac:dyDescent="0.3">
      <c r="A3036" t="s">
        <v>5249</v>
      </c>
      <c r="B3036" t="s">
        <v>5250</v>
      </c>
      <c r="C3036" t="s">
        <v>8</v>
      </c>
      <c r="D3036">
        <v>2.5099999999999998</v>
      </c>
      <c r="E3036">
        <v>803</v>
      </c>
      <c r="F3036" t="str">
        <f>HYPERLINK("https://www.google.com/maps/search/?api=1&amp;query=24.56298908,46.5635717", "View Map")</f>
        <v>View Map</v>
      </c>
    </row>
    <row r="3037" spans="1:7" x14ac:dyDescent="0.3">
      <c r="A3037" t="s">
        <v>5251</v>
      </c>
      <c r="B3037" t="s">
        <v>5252</v>
      </c>
      <c r="C3037" t="s">
        <v>21</v>
      </c>
      <c r="D3037">
        <v>2.5089999999999999</v>
      </c>
      <c r="E3037">
        <v>803</v>
      </c>
      <c r="F3037" t="str">
        <f>HYPERLINK("https://www.google.com/maps/search/?api=1&amp;query=26.29031212,44.8347721", "View Map")</f>
        <v>View Map</v>
      </c>
      <c r="G3037" s="2">
        <v>0.59270770920303351</v>
      </c>
    </row>
    <row r="3038" spans="1:7" x14ac:dyDescent="0.3">
      <c r="A3038" t="s">
        <v>5253</v>
      </c>
      <c r="B3038" t="s">
        <v>5254</v>
      </c>
      <c r="C3038" t="s">
        <v>8</v>
      </c>
      <c r="D3038">
        <v>2.5089999999999999</v>
      </c>
      <c r="E3038">
        <v>803</v>
      </c>
      <c r="F3038" t="str">
        <f>HYPERLINK("https://www.google.com/maps/search/?api=1&amp;query=24.55374905,46.88931426", "View Map")</f>
        <v>View Map</v>
      </c>
    </row>
    <row r="3039" spans="1:7" x14ac:dyDescent="0.3">
      <c r="A3039" t="s">
        <v>4222</v>
      </c>
      <c r="B3039" t="s">
        <v>5255</v>
      </c>
      <c r="C3039" t="s">
        <v>8</v>
      </c>
      <c r="D3039">
        <v>2.5089999999999999</v>
      </c>
      <c r="E3039">
        <v>803</v>
      </c>
      <c r="F3039" t="str">
        <f>HYPERLINK("https://www.google.com/maps/search/?api=1&amp;query=24.58300865,46.68434332", "View Map")</f>
        <v>View Map</v>
      </c>
    </row>
    <row r="3040" spans="1:7" x14ac:dyDescent="0.3">
      <c r="A3040" t="s">
        <v>5256</v>
      </c>
      <c r="B3040" t="s">
        <v>5257</v>
      </c>
      <c r="C3040" t="s">
        <v>8</v>
      </c>
      <c r="D3040">
        <v>2.5089999999999999</v>
      </c>
      <c r="E3040">
        <v>803</v>
      </c>
      <c r="F3040" t="str">
        <f>HYPERLINK("https://www.google.com/maps/search/?api=1&amp;query=24.82283934,46.74173806", "View Map")</f>
        <v>View Map</v>
      </c>
    </row>
    <row r="3041" spans="1:7" x14ac:dyDescent="0.3">
      <c r="A3041" t="s">
        <v>5258</v>
      </c>
      <c r="B3041" t="s">
        <v>5259</v>
      </c>
      <c r="C3041" t="s">
        <v>883</v>
      </c>
      <c r="D3041">
        <v>2.5089999999999999</v>
      </c>
      <c r="E3041">
        <v>803</v>
      </c>
      <c r="F3041" t="str">
        <f>HYPERLINK("https://www.google.com/maps/search/?api=1&amp;query=25.56067806,47.15759085", "View Map")</f>
        <v>View Map</v>
      </c>
    </row>
    <row r="3042" spans="1:7" x14ac:dyDescent="0.3">
      <c r="A3042" t="s">
        <v>5260</v>
      </c>
      <c r="B3042" t="s">
        <v>5261</v>
      </c>
      <c r="C3042" t="s">
        <v>55</v>
      </c>
      <c r="D3042">
        <v>2.5089999999999999</v>
      </c>
      <c r="E3042">
        <v>803</v>
      </c>
      <c r="F3042" t="str">
        <f>HYPERLINK("https://www.google.com/maps/search/?api=1&amp;query=24.75799778,46.56479366", "View Map")</f>
        <v>View Map</v>
      </c>
    </row>
    <row r="3043" spans="1:7" x14ac:dyDescent="0.3">
      <c r="A3043" t="s">
        <v>5262</v>
      </c>
      <c r="B3043" t="s">
        <v>5263</v>
      </c>
      <c r="C3043" t="s">
        <v>8</v>
      </c>
      <c r="D3043">
        <v>2.5059999999999998</v>
      </c>
      <c r="E3043">
        <v>802</v>
      </c>
      <c r="F3043" t="str">
        <f>HYPERLINK("https://www.google.com/maps/search/?api=1&amp;query=24.58096773,46.68390103", "View Map")</f>
        <v>View Map</v>
      </c>
    </row>
    <row r="3044" spans="1:7" x14ac:dyDescent="0.3">
      <c r="A3044" t="s">
        <v>4564</v>
      </c>
      <c r="B3044" t="s">
        <v>5264</v>
      </c>
      <c r="C3044" t="s">
        <v>8</v>
      </c>
      <c r="D3044">
        <v>2.5019999999999998</v>
      </c>
      <c r="E3044">
        <v>800</v>
      </c>
      <c r="F3044" t="str">
        <f>HYPERLINK("https://www.google.com/maps/search/?api=1&amp;query=24.54020845,46.70759082", "View Map")</f>
        <v>View Map</v>
      </c>
      <c r="G3044" s="2">
        <v>0.35301359889610812</v>
      </c>
    </row>
    <row r="3045" spans="1:7" x14ac:dyDescent="0.3">
      <c r="A3045" t="s">
        <v>5265</v>
      </c>
      <c r="B3045" t="s">
        <v>5266</v>
      </c>
      <c r="C3045" t="s">
        <v>8</v>
      </c>
      <c r="D3045">
        <v>2.5009999999999999</v>
      </c>
      <c r="E3045">
        <v>800</v>
      </c>
      <c r="F3045" t="str">
        <f>HYPERLINK("https://www.google.com/maps/search/?api=1&amp;query=24.5376302,46.64505804", "View Map")</f>
        <v>View Map</v>
      </c>
    </row>
    <row r="3046" spans="1:7" x14ac:dyDescent="0.3">
      <c r="A3046" t="s">
        <v>5267</v>
      </c>
      <c r="B3046" t="s">
        <v>5268</v>
      </c>
      <c r="C3046" t="s">
        <v>30</v>
      </c>
      <c r="D3046">
        <v>2.4990000000000001</v>
      </c>
      <c r="E3046">
        <v>800</v>
      </c>
      <c r="F3046" t="str">
        <f>HYPERLINK("https://www.google.com/maps/search/?api=1&amp;query=24.15405288,47.36583522", "View Map")</f>
        <v>View Map</v>
      </c>
    </row>
    <row r="3047" spans="1:7" x14ac:dyDescent="0.3">
      <c r="A3047" t="s">
        <v>881</v>
      </c>
      <c r="B3047" t="s">
        <v>5269</v>
      </c>
      <c r="C3047" t="s">
        <v>214</v>
      </c>
      <c r="D3047">
        <v>2.4990000000000001</v>
      </c>
      <c r="E3047">
        <v>800</v>
      </c>
      <c r="F3047" t="str">
        <f>HYPERLINK("https://www.google.com/maps/search/?api=1&amp;query=26.05560399,45.34903847", "View Map")</f>
        <v>View Map</v>
      </c>
    </row>
    <row r="3048" spans="1:7" x14ac:dyDescent="0.3">
      <c r="A3048" t="s">
        <v>5270</v>
      </c>
      <c r="B3048" t="s">
        <v>5271</v>
      </c>
      <c r="C3048" t="s">
        <v>393</v>
      </c>
      <c r="D3048">
        <v>2.4990000000000001</v>
      </c>
      <c r="E3048">
        <v>800</v>
      </c>
      <c r="F3048" t="str">
        <f>HYPERLINK("https://www.google.com/maps/search/?api=1&amp;query=22.48780746,44.5087281", "View Map")</f>
        <v>View Map</v>
      </c>
      <c r="G3048" s="2">
        <v>0.67319428878588028</v>
      </c>
    </row>
    <row r="3049" spans="1:7" x14ac:dyDescent="0.3">
      <c r="A3049" t="s">
        <v>5272</v>
      </c>
      <c r="B3049" t="s">
        <v>5273</v>
      </c>
      <c r="C3049" t="s">
        <v>8</v>
      </c>
      <c r="D3049">
        <v>2.4980000000000002</v>
      </c>
      <c r="E3049">
        <v>799</v>
      </c>
      <c r="F3049" t="str">
        <f>HYPERLINK("https://www.google.com/maps/search/?api=1&amp;query=24.74024189,46.81734478", "View Map")</f>
        <v>View Map</v>
      </c>
    </row>
    <row r="3050" spans="1:7" x14ac:dyDescent="0.3">
      <c r="A3050" t="s">
        <v>5274</v>
      </c>
      <c r="B3050" t="s">
        <v>5275</v>
      </c>
      <c r="C3050" t="s">
        <v>8</v>
      </c>
      <c r="D3050">
        <v>2.4980000000000002</v>
      </c>
      <c r="E3050">
        <v>799</v>
      </c>
      <c r="F3050" t="str">
        <f>HYPERLINK("https://www.google.com/maps/search/?api=1&amp;query=24.6969955,46.66022881", "View Map")</f>
        <v>View Map</v>
      </c>
      <c r="G3050" s="2">
        <v>0.2305497670780938</v>
      </c>
    </row>
    <row r="3051" spans="1:7" x14ac:dyDescent="0.3">
      <c r="A3051" t="s">
        <v>5276</v>
      </c>
      <c r="B3051" t="s">
        <v>5277</v>
      </c>
      <c r="C3051" t="s">
        <v>738</v>
      </c>
      <c r="D3051">
        <v>2.4980000000000002</v>
      </c>
      <c r="E3051">
        <v>799</v>
      </c>
      <c r="F3051" t="str">
        <f>HYPERLINK("https://www.google.com/maps/search/?api=1&amp;query=25.16544064,46.3237207", "View Map")</f>
        <v>View Map</v>
      </c>
      <c r="G3051" s="2">
        <v>0.5714913950054118</v>
      </c>
    </row>
    <row r="3052" spans="1:7" x14ac:dyDescent="0.3">
      <c r="A3052" t="s">
        <v>46</v>
      </c>
      <c r="B3052" t="s">
        <v>5278</v>
      </c>
      <c r="C3052" t="s">
        <v>8</v>
      </c>
      <c r="D3052">
        <v>2.4969999999999999</v>
      </c>
      <c r="E3052">
        <v>799</v>
      </c>
      <c r="F3052" t="str">
        <f>HYPERLINK("https://www.google.com/maps/search/?api=1&amp;query=24.64422334,46.71817887", "View Map")</f>
        <v>View Map</v>
      </c>
      <c r="G3052" s="2">
        <v>0.44079012047380173</v>
      </c>
    </row>
    <row r="3053" spans="1:7" x14ac:dyDescent="0.3">
      <c r="A3053" t="s">
        <v>5279</v>
      </c>
      <c r="B3053" t="s">
        <v>5280</v>
      </c>
      <c r="C3053" t="s">
        <v>8</v>
      </c>
      <c r="D3053">
        <v>2.496</v>
      </c>
      <c r="E3053">
        <v>799</v>
      </c>
      <c r="F3053" t="str">
        <f>HYPERLINK("https://www.google.com/maps/search/?api=1&amp;query=24.59711476,46.78066055", "View Map")</f>
        <v>View Map</v>
      </c>
    </row>
    <row r="3054" spans="1:7" x14ac:dyDescent="0.3">
      <c r="A3054" t="s">
        <v>5281</v>
      </c>
      <c r="B3054" t="s">
        <v>5282</v>
      </c>
      <c r="C3054" t="s">
        <v>214</v>
      </c>
      <c r="D3054">
        <v>2.4940000000000002</v>
      </c>
      <c r="E3054">
        <v>798</v>
      </c>
      <c r="F3054" t="str">
        <f>HYPERLINK("https://www.google.com/maps/search/?api=1&amp;query=25.60174848,45.62442469", "View Map")</f>
        <v>View Map</v>
      </c>
      <c r="G3054" s="2">
        <v>0.5111644460433068</v>
      </c>
    </row>
    <row r="3055" spans="1:7" x14ac:dyDescent="0.3">
      <c r="A3055" t="s">
        <v>5283</v>
      </c>
      <c r="B3055" t="s">
        <v>5284</v>
      </c>
      <c r="C3055" t="s">
        <v>30</v>
      </c>
      <c r="D3055">
        <v>2.4940000000000002</v>
      </c>
      <c r="E3055">
        <v>798</v>
      </c>
      <c r="F3055" t="str">
        <f>HYPERLINK("https://www.google.com/maps/search/?api=1&amp;query=24.17326,47.22405", "View Map")</f>
        <v>View Map</v>
      </c>
      <c r="G3055" s="2">
        <v>0.42788805855668288</v>
      </c>
    </row>
    <row r="3056" spans="1:7" x14ac:dyDescent="0.3">
      <c r="A3056" t="s">
        <v>5285</v>
      </c>
      <c r="B3056" t="s">
        <v>5286</v>
      </c>
      <c r="C3056" t="s">
        <v>21</v>
      </c>
      <c r="D3056">
        <v>2.4940000000000002</v>
      </c>
      <c r="E3056">
        <v>798</v>
      </c>
      <c r="F3056" t="str">
        <f>HYPERLINK("https://www.google.com/maps/search/?api=1&amp;query=26.32741072,44.81452407", "View Map")</f>
        <v>View Map</v>
      </c>
      <c r="G3056" s="2">
        <v>0.58613783224878335</v>
      </c>
    </row>
    <row r="3057" spans="1:7" x14ac:dyDescent="0.3">
      <c r="A3057" t="s">
        <v>2867</v>
      </c>
      <c r="B3057" t="s">
        <v>5287</v>
      </c>
      <c r="C3057" t="s">
        <v>21</v>
      </c>
      <c r="D3057">
        <v>2.4929999999999999</v>
      </c>
      <c r="E3057">
        <v>798</v>
      </c>
      <c r="F3057" t="str">
        <f>HYPERLINK("https://www.google.com/maps/search/?api=1&amp;query=26.30961583,44.79611759", "View Map")</f>
        <v>View Map</v>
      </c>
      <c r="G3057" s="2">
        <v>0.36123847229429018</v>
      </c>
    </row>
    <row r="3058" spans="1:7" x14ac:dyDescent="0.3">
      <c r="A3058" t="s">
        <v>5288</v>
      </c>
      <c r="B3058" t="s">
        <v>5289</v>
      </c>
      <c r="C3058" t="s">
        <v>30</v>
      </c>
      <c r="D3058">
        <v>2.4929999999999999</v>
      </c>
      <c r="E3058">
        <v>798</v>
      </c>
      <c r="F3058" t="str">
        <f>HYPERLINK("https://www.google.com/maps/search/?api=1&amp;query=24.15109138,47.36192047", "View Map")</f>
        <v>View Map</v>
      </c>
      <c r="G3058" s="2">
        <v>0.49545390257980421</v>
      </c>
    </row>
    <row r="3059" spans="1:7" x14ac:dyDescent="0.3">
      <c r="A3059" t="s">
        <v>5234</v>
      </c>
      <c r="B3059" t="s">
        <v>5290</v>
      </c>
      <c r="C3059" t="s">
        <v>8</v>
      </c>
      <c r="D3059">
        <v>2.492</v>
      </c>
      <c r="E3059">
        <v>797</v>
      </c>
      <c r="F3059" t="str">
        <f>HYPERLINK("https://www.google.com/maps/search/?api=1&amp;query=24.78637157,46.77580972", "View Map")</f>
        <v>View Map</v>
      </c>
    </row>
    <row r="3060" spans="1:7" x14ac:dyDescent="0.3">
      <c r="A3060" t="s">
        <v>5291</v>
      </c>
      <c r="B3060" t="s">
        <v>5292</v>
      </c>
      <c r="C3060" t="s">
        <v>8</v>
      </c>
      <c r="D3060">
        <v>2.492</v>
      </c>
      <c r="E3060">
        <v>798</v>
      </c>
      <c r="F3060" t="str">
        <f>HYPERLINK("https://www.google.com/maps/search/?api=1&amp;query=24.74301698,46.70647905", "View Map")</f>
        <v>View Map</v>
      </c>
    </row>
    <row r="3061" spans="1:7" x14ac:dyDescent="0.3">
      <c r="A3061" t="s">
        <v>5293</v>
      </c>
      <c r="B3061" t="s">
        <v>5294</v>
      </c>
      <c r="C3061" t="s">
        <v>8</v>
      </c>
      <c r="D3061">
        <v>2.4900000000000002</v>
      </c>
      <c r="E3061">
        <v>797</v>
      </c>
      <c r="F3061" t="str">
        <f>HYPERLINK("https://www.google.com/maps/search/?api=1&amp;query=24.61763462,46.72421066", "View Map")</f>
        <v>View Map</v>
      </c>
    </row>
    <row r="3062" spans="1:7" x14ac:dyDescent="0.3">
      <c r="A3062" t="s">
        <v>2281</v>
      </c>
      <c r="B3062" t="s">
        <v>5295</v>
      </c>
      <c r="C3062" t="s">
        <v>8</v>
      </c>
      <c r="D3062">
        <v>2.488</v>
      </c>
      <c r="E3062">
        <v>796</v>
      </c>
      <c r="F3062" t="str">
        <f>HYPERLINK("https://www.google.com/maps/search/?api=1&amp;query=24.70929126,46.81763592", "View Map")</f>
        <v>View Map</v>
      </c>
    </row>
    <row r="3063" spans="1:7" x14ac:dyDescent="0.3">
      <c r="A3063" t="s">
        <v>5296</v>
      </c>
      <c r="B3063" t="s">
        <v>5297</v>
      </c>
      <c r="C3063" t="s">
        <v>8</v>
      </c>
      <c r="D3063">
        <v>2.4870000000000001</v>
      </c>
      <c r="E3063">
        <v>796</v>
      </c>
      <c r="F3063" t="str">
        <f>HYPERLINK("https://www.google.com/maps/search/?api=1&amp;query=24.6044,46.6058", "View Map")</f>
        <v>View Map</v>
      </c>
    </row>
    <row r="3064" spans="1:7" x14ac:dyDescent="0.3">
      <c r="A3064" t="s">
        <v>5298</v>
      </c>
      <c r="B3064" t="s">
        <v>5299</v>
      </c>
      <c r="C3064" t="s">
        <v>646</v>
      </c>
      <c r="D3064">
        <v>2.4860000000000002</v>
      </c>
      <c r="E3064">
        <v>796</v>
      </c>
      <c r="F3064" t="str">
        <f>HYPERLINK("https://www.google.com/maps/search/?api=1&amp;query=20.46884037,45.58252076", "View Map")</f>
        <v>View Map</v>
      </c>
    </row>
    <row r="3065" spans="1:7" x14ac:dyDescent="0.3">
      <c r="A3065" t="s">
        <v>46</v>
      </c>
      <c r="B3065" t="s">
        <v>5300</v>
      </c>
      <c r="C3065" t="s">
        <v>8</v>
      </c>
      <c r="D3065">
        <v>2.4849999999999999</v>
      </c>
      <c r="E3065">
        <v>795</v>
      </c>
      <c r="F3065" t="str">
        <f>HYPERLINK("https://www.google.com/maps/search/?api=1&amp;query=24.68676273,46.76851796", "View Map")</f>
        <v>View Map</v>
      </c>
    </row>
    <row r="3066" spans="1:7" x14ac:dyDescent="0.3">
      <c r="A3066" t="s">
        <v>5301</v>
      </c>
      <c r="B3066" t="s">
        <v>5302</v>
      </c>
      <c r="C3066" t="s">
        <v>8</v>
      </c>
      <c r="D3066">
        <v>2.484</v>
      </c>
      <c r="E3066">
        <v>795</v>
      </c>
      <c r="F3066" t="str">
        <f>HYPERLINK("https://www.google.com/maps/search/?api=1&amp;query=24.56846012,46.76360115", "View Map")</f>
        <v>View Map</v>
      </c>
    </row>
    <row r="3067" spans="1:7" x14ac:dyDescent="0.3">
      <c r="A3067" t="s">
        <v>5303</v>
      </c>
      <c r="B3067" t="s">
        <v>5304</v>
      </c>
      <c r="C3067" t="s">
        <v>8</v>
      </c>
      <c r="D3067">
        <v>2.4830000000000001</v>
      </c>
      <c r="E3067">
        <v>795</v>
      </c>
      <c r="F3067" t="str">
        <f>HYPERLINK("https://www.google.com/maps/search/?api=1&amp;query=24.58059401,46.62829623", "View Map")</f>
        <v>View Map</v>
      </c>
    </row>
    <row r="3068" spans="1:7" x14ac:dyDescent="0.3">
      <c r="A3068" t="s">
        <v>5305</v>
      </c>
      <c r="B3068" t="s">
        <v>5306</v>
      </c>
      <c r="C3068" t="s">
        <v>8</v>
      </c>
      <c r="D3068">
        <v>2.4820000000000002</v>
      </c>
      <c r="E3068">
        <v>794</v>
      </c>
      <c r="F3068" t="str">
        <f>HYPERLINK("https://www.google.com/maps/search/?api=1&amp;query=24.64328185,46.57308951", "View Map")</f>
        <v>View Map</v>
      </c>
    </row>
    <row r="3069" spans="1:7" x14ac:dyDescent="0.3">
      <c r="A3069" t="s">
        <v>5307</v>
      </c>
      <c r="B3069" t="s">
        <v>5308</v>
      </c>
      <c r="C3069" t="s">
        <v>8</v>
      </c>
      <c r="D3069">
        <v>2.4809999999999999</v>
      </c>
      <c r="E3069">
        <v>794</v>
      </c>
      <c r="F3069" t="str">
        <f>HYPERLINK("https://www.google.com/maps/search/?api=1&amp;query=24.60960461,46.67700999", "View Map")</f>
        <v>View Map</v>
      </c>
      <c r="G3069" s="2">
        <v>0.8668661555505115</v>
      </c>
    </row>
    <row r="3070" spans="1:7" x14ac:dyDescent="0.3">
      <c r="A3070" t="s">
        <v>5309</v>
      </c>
      <c r="B3070" t="s">
        <v>5310</v>
      </c>
      <c r="C3070" t="s">
        <v>8</v>
      </c>
      <c r="D3070">
        <v>2.4809999999999999</v>
      </c>
      <c r="E3070">
        <v>794</v>
      </c>
      <c r="F3070" t="str">
        <f>HYPERLINK("https://www.google.com/maps/search/?api=1&amp;query=24.63341338,46.68545423", "View Map")</f>
        <v>View Map</v>
      </c>
      <c r="G3070" s="2">
        <v>0.40135606475791102</v>
      </c>
    </row>
    <row r="3071" spans="1:7" x14ac:dyDescent="0.3">
      <c r="A3071" t="s">
        <v>5311</v>
      </c>
      <c r="B3071" t="s">
        <v>5312</v>
      </c>
      <c r="C3071" t="s">
        <v>214</v>
      </c>
      <c r="D3071">
        <v>2.4809999999999999</v>
      </c>
      <c r="E3071">
        <v>794</v>
      </c>
      <c r="F3071" t="str">
        <f>HYPERLINK("https://www.google.com/maps/search/?api=1&amp;query=26.51188925,45.34240108", "View Map")</f>
        <v>View Map</v>
      </c>
      <c r="G3071" s="2">
        <v>0.38951934494702939</v>
      </c>
    </row>
    <row r="3072" spans="1:7" x14ac:dyDescent="0.3">
      <c r="A3072" t="s">
        <v>5313</v>
      </c>
      <c r="B3072" t="s">
        <v>5314</v>
      </c>
      <c r="C3072" t="s">
        <v>30</v>
      </c>
      <c r="D3072">
        <v>2.4809999999999999</v>
      </c>
      <c r="E3072">
        <v>794</v>
      </c>
      <c r="F3072" t="str">
        <f>HYPERLINK("https://www.google.com/maps/search/?api=1&amp;query=24.13782953,47.29136503", "View Map")</f>
        <v>View Map</v>
      </c>
    </row>
    <row r="3073" spans="1:7" x14ac:dyDescent="0.3">
      <c r="A3073" t="s">
        <v>5315</v>
      </c>
      <c r="B3073" t="s">
        <v>5316</v>
      </c>
      <c r="C3073" t="s">
        <v>291</v>
      </c>
      <c r="D3073">
        <v>2.4790000000000001</v>
      </c>
      <c r="E3073">
        <v>793</v>
      </c>
      <c r="F3073" t="str">
        <f>HYPERLINK("https://www.google.com/maps/search/?api=1&amp;query=24.26961945,45.88241433", "View Map")</f>
        <v>View Map</v>
      </c>
      <c r="G3073" s="2">
        <v>0.76510399152761854</v>
      </c>
    </row>
    <row r="3074" spans="1:7" x14ac:dyDescent="0.3">
      <c r="A3074" t="s">
        <v>464</v>
      </c>
      <c r="B3074" t="s">
        <v>5317</v>
      </c>
      <c r="C3074" t="s">
        <v>466</v>
      </c>
      <c r="D3074">
        <v>2.4780000000000002</v>
      </c>
      <c r="E3074">
        <v>793</v>
      </c>
      <c r="F3074" t="str">
        <f>HYPERLINK("https://www.google.com/maps/search/?api=1&amp;query=24.59026995,46.156218", "View Map")</f>
        <v>View Map</v>
      </c>
      <c r="G3074" s="2">
        <v>0.40675969060182532</v>
      </c>
    </row>
    <row r="3075" spans="1:7" x14ac:dyDescent="0.3">
      <c r="A3075" t="s">
        <v>5318</v>
      </c>
      <c r="B3075" t="s">
        <v>5319</v>
      </c>
      <c r="C3075" t="s">
        <v>8</v>
      </c>
      <c r="D3075">
        <v>2.4780000000000002</v>
      </c>
      <c r="E3075">
        <v>793</v>
      </c>
      <c r="F3075" t="str">
        <f>HYPERLINK("https://www.google.com/maps/search/?api=1&amp;query=24.66087039,46.82038991", "View Map")</f>
        <v>View Map</v>
      </c>
    </row>
    <row r="3076" spans="1:7" x14ac:dyDescent="0.3">
      <c r="A3076" t="s">
        <v>5320</v>
      </c>
      <c r="B3076" t="s">
        <v>5321</v>
      </c>
      <c r="C3076" t="s">
        <v>8</v>
      </c>
      <c r="D3076">
        <v>2.4780000000000002</v>
      </c>
      <c r="E3076">
        <v>793</v>
      </c>
      <c r="F3076" t="str">
        <f>HYPERLINK("https://www.google.com/maps/search/?api=1&amp;query=24.60225149,46.68457105", "View Map")</f>
        <v>View Map</v>
      </c>
    </row>
    <row r="3077" spans="1:7" x14ac:dyDescent="0.3">
      <c r="A3077" t="s">
        <v>464</v>
      </c>
      <c r="B3077" t="s">
        <v>5322</v>
      </c>
      <c r="C3077" t="s">
        <v>738</v>
      </c>
      <c r="D3077">
        <v>2.4750000000000001</v>
      </c>
      <c r="E3077">
        <v>792</v>
      </c>
      <c r="F3077" t="str">
        <f>HYPERLINK("https://www.google.com/maps/search/?api=1&amp;query=24.91160346,45.86362158", "View Map")</f>
        <v>View Map</v>
      </c>
    </row>
    <row r="3078" spans="1:7" x14ac:dyDescent="0.3">
      <c r="A3078" t="s">
        <v>5323</v>
      </c>
      <c r="B3078" t="s">
        <v>5324</v>
      </c>
      <c r="C3078" t="s">
        <v>8</v>
      </c>
      <c r="D3078">
        <v>2.4740000000000002</v>
      </c>
      <c r="E3078">
        <v>792</v>
      </c>
      <c r="F3078" t="str">
        <f>HYPERLINK("https://www.google.com/maps/search/?api=1&amp;query=24.82071432,46.65063474", "View Map")</f>
        <v>View Map</v>
      </c>
    </row>
    <row r="3079" spans="1:7" x14ac:dyDescent="0.3">
      <c r="A3079" t="s">
        <v>1273</v>
      </c>
      <c r="B3079" t="s">
        <v>5325</v>
      </c>
      <c r="C3079" t="s">
        <v>241</v>
      </c>
      <c r="D3079">
        <v>2.4740000000000002</v>
      </c>
      <c r="E3079">
        <v>792</v>
      </c>
      <c r="F3079" t="str">
        <f>HYPERLINK("https://www.google.com/maps/search/?api=1&amp;query=20.49194098,44.77486086", "View Map")</f>
        <v>View Map</v>
      </c>
      <c r="G3079" s="2">
        <v>0.73353168480881559</v>
      </c>
    </row>
    <row r="3080" spans="1:7" x14ac:dyDescent="0.3">
      <c r="A3080" t="s">
        <v>46</v>
      </c>
      <c r="B3080" t="s">
        <v>5326</v>
      </c>
      <c r="C3080" t="s">
        <v>8</v>
      </c>
      <c r="D3080">
        <v>2.4740000000000002</v>
      </c>
      <c r="E3080">
        <v>792</v>
      </c>
      <c r="F3080" t="str">
        <f>HYPERLINK("https://www.google.com/maps/search/?api=1&amp;query=24.8446098,46.76920555", "View Map")</f>
        <v>View Map</v>
      </c>
      <c r="G3080" s="2">
        <v>0.1197338596030969</v>
      </c>
    </row>
    <row r="3081" spans="1:7" x14ac:dyDescent="0.3">
      <c r="A3081" t="s">
        <v>46</v>
      </c>
      <c r="B3081" t="s">
        <v>5327</v>
      </c>
      <c r="C3081" t="s">
        <v>8</v>
      </c>
      <c r="D3081">
        <v>2.4729999999999999</v>
      </c>
      <c r="E3081">
        <v>791</v>
      </c>
      <c r="F3081" t="str">
        <f>HYPERLINK("https://www.google.com/maps/search/?api=1&amp;query=24.64917485,46.83991769", "View Map")</f>
        <v>View Map</v>
      </c>
    </row>
    <row r="3082" spans="1:7" x14ac:dyDescent="0.3">
      <c r="A3082" t="s">
        <v>5328</v>
      </c>
      <c r="B3082" t="s">
        <v>5329</v>
      </c>
      <c r="C3082" t="s">
        <v>291</v>
      </c>
      <c r="D3082">
        <v>2.4729999999999999</v>
      </c>
      <c r="E3082">
        <v>791</v>
      </c>
      <c r="F3082" t="str">
        <f>HYPERLINK("https://www.google.com/maps/search/?api=1&amp;query=24.22366552,44.90031108", "View Map")</f>
        <v>View Map</v>
      </c>
      <c r="G3082" s="2">
        <v>0.60370122219837585</v>
      </c>
    </row>
    <row r="3083" spans="1:7" x14ac:dyDescent="0.3">
      <c r="A3083" t="s">
        <v>1790</v>
      </c>
      <c r="B3083" t="s">
        <v>5330</v>
      </c>
      <c r="C3083" t="s">
        <v>8</v>
      </c>
      <c r="D3083">
        <v>2.472</v>
      </c>
      <c r="E3083">
        <v>791</v>
      </c>
      <c r="F3083" t="str">
        <f>HYPERLINK("https://www.google.com/maps/search/?api=1&amp;query=24.71151969,46.81877496", "View Map")</f>
        <v>View Map</v>
      </c>
    </row>
    <row r="3084" spans="1:7" x14ac:dyDescent="0.3">
      <c r="A3084" t="s">
        <v>5331</v>
      </c>
      <c r="B3084" t="s">
        <v>5332</v>
      </c>
      <c r="C3084" t="s">
        <v>30</v>
      </c>
      <c r="D3084">
        <v>2.4710000000000001</v>
      </c>
      <c r="E3084">
        <v>791</v>
      </c>
      <c r="F3084" t="str">
        <f>HYPERLINK("https://www.google.com/maps/search/?api=1&amp;query=24.23869314,47.24295775", "View Map")</f>
        <v>View Map</v>
      </c>
      <c r="G3084" s="2">
        <v>0.37343067351056919</v>
      </c>
    </row>
    <row r="3085" spans="1:7" x14ac:dyDescent="0.3">
      <c r="A3085" t="s">
        <v>46</v>
      </c>
      <c r="B3085" t="s">
        <v>5333</v>
      </c>
      <c r="C3085" t="s">
        <v>8</v>
      </c>
      <c r="D3085">
        <v>2.4710000000000001</v>
      </c>
      <c r="E3085">
        <v>791</v>
      </c>
      <c r="F3085" t="str">
        <f>HYPERLINK("https://www.google.com/maps/search/?api=1&amp;query=24.81806154,46.83045765", "View Map")</f>
        <v>View Map</v>
      </c>
    </row>
    <row r="3086" spans="1:7" x14ac:dyDescent="0.3">
      <c r="A3086" t="s">
        <v>73</v>
      </c>
      <c r="B3086" t="s">
        <v>5334</v>
      </c>
      <c r="C3086" t="s">
        <v>8</v>
      </c>
      <c r="D3086">
        <v>2.4710000000000001</v>
      </c>
      <c r="E3086">
        <v>791</v>
      </c>
      <c r="F3086" t="str">
        <f>HYPERLINK("https://www.google.com/maps/search/?api=1&amp;query=24.82283085,46.59988485", "View Map")</f>
        <v>View Map</v>
      </c>
    </row>
    <row r="3087" spans="1:7" x14ac:dyDescent="0.3">
      <c r="A3087" t="s">
        <v>405</v>
      </c>
      <c r="B3087" t="s">
        <v>5335</v>
      </c>
      <c r="C3087" t="s">
        <v>8</v>
      </c>
      <c r="D3087">
        <v>2.4710000000000001</v>
      </c>
      <c r="E3087">
        <v>791</v>
      </c>
      <c r="F3087" t="str">
        <f>HYPERLINK("https://www.google.com/maps/search/?api=1&amp;query=24.67224447,46.58588125", "View Map")</f>
        <v>View Map</v>
      </c>
    </row>
    <row r="3088" spans="1:7" x14ac:dyDescent="0.3">
      <c r="A3088" t="s">
        <v>5336</v>
      </c>
      <c r="B3088" t="s">
        <v>5337</v>
      </c>
      <c r="C3088" t="s">
        <v>137</v>
      </c>
      <c r="D3088">
        <v>2.4700000000000002</v>
      </c>
      <c r="E3088">
        <v>790</v>
      </c>
      <c r="F3088" t="str">
        <f>HYPERLINK("https://www.google.com/maps/search/?api=1&amp;query=23.21718743,46.49033124", "View Map")</f>
        <v>View Map</v>
      </c>
      <c r="G3088" s="2">
        <v>0.61127394928588707</v>
      </c>
    </row>
    <row r="3089" spans="1:7" x14ac:dyDescent="0.3">
      <c r="A3089" t="s">
        <v>5338</v>
      </c>
      <c r="B3089" t="s">
        <v>5339</v>
      </c>
      <c r="C3089" t="s">
        <v>77</v>
      </c>
      <c r="D3089">
        <v>2.4700000000000002</v>
      </c>
      <c r="E3089">
        <v>790</v>
      </c>
      <c r="F3089" t="str">
        <f>HYPERLINK("https://www.google.com/maps/search/?api=1&amp;query=22.35268259,46.66879953", "View Map")</f>
        <v>View Map</v>
      </c>
      <c r="G3089" s="2">
        <v>0.53246353972930127</v>
      </c>
    </row>
    <row r="3090" spans="1:7" x14ac:dyDescent="0.3">
      <c r="A3090" t="s">
        <v>46</v>
      </c>
      <c r="B3090" t="s">
        <v>5340</v>
      </c>
      <c r="C3090" t="s">
        <v>8</v>
      </c>
      <c r="D3090">
        <v>2.468</v>
      </c>
      <c r="E3090">
        <v>790</v>
      </c>
      <c r="F3090" t="str">
        <f>HYPERLINK("https://www.google.com/maps/search/?api=1&amp;query=24.55736,46.78215", "View Map")</f>
        <v>View Map</v>
      </c>
    </row>
    <row r="3091" spans="1:7" x14ac:dyDescent="0.3">
      <c r="A3091" t="s">
        <v>5341</v>
      </c>
      <c r="B3091" t="s">
        <v>5342</v>
      </c>
      <c r="C3091" t="s">
        <v>8</v>
      </c>
      <c r="D3091">
        <v>2.468</v>
      </c>
      <c r="E3091">
        <v>790</v>
      </c>
      <c r="F3091" t="str">
        <f>HYPERLINK("https://www.google.com/maps/search/?api=1&amp;query=24.49685005,46.62403187", "View Map")</f>
        <v>View Map</v>
      </c>
      <c r="G3091" s="2">
        <v>0.51408257933385781</v>
      </c>
    </row>
    <row r="3092" spans="1:7" x14ac:dyDescent="0.3">
      <c r="A3092" t="s">
        <v>5343</v>
      </c>
      <c r="B3092" t="s">
        <v>5344</v>
      </c>
      <c r="C3092" t="s">
        <v>8</v>
      </c>
      <c r="D3092">
        <v>2.4670000000000001</v>
      </c>
      <c r="E3092">
        <v>790</v>
      </c>
      <c r="F3092" t="str">
        <f>HYPERLINK("https://www.google.com/maps/search/?api=1&amp;query=24.81847379,46.81534706", "View Map")</f>
        <v>View Map</v>
      </c>
    </row>
    <row r="3093" spans="1:7" x14ac:dyDescent="0.3">
      <c r="A3093" t="s">
        <v>5345</v>
      </c>
      <c r="B3093" t="s">
        <v>5346</v>
      </c>
      <c r="C3093" t="s">
        <v>270</v>
      </c>
      <c r="D3093">
        <v>2.4670000000000001</v>
      </c>
      <c r="E3093">
        <v>790</v>
      </c>
      <c r="F3093" t="str">
        <f>HYPERLINK("https://www.google.com/maps/search/?api=1&amp;query=24.01173015,47.12913811", "View Map")</f>
        <v>View Map</v>
      </c>
    </row>
    <row r="3094" spans="1:7" x14ac:dyDescent="0.3">
      <c r="A3094" t="s">
        <v>5347</v>
      </c>
      <c r="B3094" t="s">
        <v>5348</v>
      </c>
      <c r="C3094" t="s">
        <v>466</v>
      </c>
      <c r="D3094">
        <v>2.4670000000000001</v>
      </c>
      <c r="E3094">
        <v>789</v>
      </c>
      <c r="F3094" t="str">
        <f>HYPERLINK("https://www.google.com/maps/search/?api=1&amp;query=24.61397403,46.10444194", "View Map")</f>
        <v>View Map</v>
      </c>
      <c r="G3094" s="2">
        <v>0.37120364361816</v>
      </c>
    </row>
    <row r="3095" spans="1:7" x14ac:dyDescent="0.3">
      <c r="A3095" t="s">
        <v>5349</v>
      </c>
      <c r="B3095" t="s">
        <v>5350</v>
      </c>
      <c r="C3095" t="s">
        <v>30</v>
      </c>
      <c r="D3095">
        <v>2.4670000000000001</v>
      </c>
      <c r="E3095">
        <v>789</v>
      </c>
      <c r="F3095" t="str">
        <f>HYPERLINK("https://www.google.com/maps/search/?api=1&amp;query=24.15109138,47.36192047", "View Map")</f>
        <v>View Map</v>
      </c>
      <c r="G3095" s="2">
        <v>0.48522617732663598</v>
      </c>
    </row>
    <row r="3096" spans="1:7" x14ac:dyDescent="0.3">
      <c r="A3096" t="s">
        <v>196</v>
      </c>
      <c r="B3096" t="s">
        <v>5351</v>
      </c>
      <c r="C3096" t="s">
        <v>8</v>
      </c>
      <c r="D3096">
        <v>2.4660000000000002</v>
      </c>
      <c r="E3096">
        <v>789</v>
      </c>
      <c r="F3096" t="str">
        <f>HYPERLINK("https://www.google.com/maps/search/?api=1&amp;query=24.65276525,46.79890963", "View Map")</f>
        <v>View Map</v>
      </c>
    </row>
    <row r="3097" spans="1:7" x14ac:dyDescent="0.3">
      <c r="A3097" t="s">
        <v>5352</v>
      </c>
      <c r="B3097" t="s">
        <v>5353</v>
      </c>
      <c r="C3097" t="s">
        <v>270</v>
      </c>
      <c r="D3097">
        <v>2.4660000000000002</v>
      </c>
      <c r="E3097">
        <v>789</v>
      </c>
      <c r="F3097" t="str">
        <f>HYPERLINK("https://www.google.com/maps/search/?api=1&amp;query=23.99436462,47.1318983", "View Map")</f>
        <v>View Map</v>
      </c>
    </row>
    <row r="3098" spans="1:7" x14ac:dyDescent="0.3">
      <c r="A3098" t="s">
        <v>1273</v>
      </c>
      <c r="B3098" t="s">
        <v>5354</v>
      </c>
      <c r="C3098" t="s">
        <v>241</v>
      </c>
      <c r="D3098">
        <v>2.4649999999999999</v>
      </c>
      <c r="E3098">
        <v>789</v>
      </c>
      <c r="F3098" t="str">
        <f>HYPERLINK("https://www.google.com/maps/search/?api=1&amp;query=20.4496296,44.88394527", "View Map")</f>
        <v>View Map</v>
      </c>
      <c r="G3098" s="2">
        <v>0.76755064823304375</v>
      </c>
    </row>
    <row r="3099" spans="1:7" x14ac:dyDescent="0.3">
      <c r="A3099" t="s">
        <v>5355</v>
      </c>
      <c r="B3099" t="s">
        <v>5356</v>
      </c>
      <c r="C3099" t="s">
        <v>255</v>
      </c>
      <c r="D3099">
        <v>2.464</v>
      </c>
      <c r="E3099">
        <v>789</v>
      </c>
      <c r="F3099" t="str">
        <f>HYPERLINK("https://www.google.com/maps/search/?api=1&amp;query=24.51872033,44.41876975", "View Map")</f>
        <v>View Map</v>
      </c>
    </row>
    <row r="3100" spans="1:7" x14ac:dyDescent="0.3">
      <c r="A3100" t="s">
        <v>5357</v>
      </c>
      <c r="B3100" t="s">
        <v>5358</v>
      </c>
      <c r="C3100" t="s">
        <v>4447</v>
      </c>
      <c r="D3100">
        <v>2.4630000000000001</v>
      </c>
      <c r="E3100">
        <v>788</v>
      </c>
      <c r="F3100" t="str">
        <f>HYPERLINK("https://www.google.com/maps/search/?api=1&amp;query=24.20984616,41.97424905", "View Map")</f>
        <v>View Map</v>
      </c>
      <c r="G3100" s="2">
        <v>0.89906655550431891</v>
      </c>
    </row>
    <row r="3101" spans="1:7" x14ac:dyDescent="0.3">
      <c r="A3101" t="s">
        <v>5359</v>
      </c>
      <c r="B3101" t="s">
        <v>5360</v>
      </c>
      <c r="C3101" t="s">
        <v>8</v>
      </c>
      <c r="D3101">
        <v>2.4609999999999999</v>
      </c>
      <c r="E3101">
        <v>788</v>
      </c>
      <c r="F3101" t="str">
        <f>HYPERLINK("https://www.google.com/maps/search/?api=1&amp;query=24.78343952,46.73346747", "View Map")</f>
        <v>View Map</v>
      </c>
    </row>
    <row r="3102" spans="1:7" x14ac:dyDescent="0.3">
      <c r="A3102" t="s">
        <v>5361</v>
      </c>
      <c r="B3102" t="s">
        <v>5362</v>
      </c>
      <c r="C3102" t="s">
        <v>16</v>
      </c>
      <c r="D3102">
        <v>2.46</v>
      </c>
      <c r="E3102">
        <v>787</v>
      </c>
      <c r="F3102" t="str">
        <f>HYPERLINK("https://www.google.com/maps/search/?api=1&amp;query=24.2193365,42.84112807", "View Map")</f>
        <v>View Map</v>
      </c>
      <c r="G3102" s="2">
        <v>0.71668256768661531</v>
      </c>
    </row>
    <row r="3103" spans="1:7" x14ac:dyDescent="0.3">
      <c r="A3103" t="s">
        <v>5363</v>
      </c>
      <c r="B3103" t="s">
        <v>5364</v>
      </c>
      <c r="C3103" t="s">
        <v>8</v>
      </c>
      <c r="D3103">
        <v>2.46</v>
      </c>
      <c r="E3103">
        <v>787</v>
      </c>
      <c r="F3103" t="str">
        <f>HYPERLINK("https://www.google.com/maps/search/?api=1&amp;query=24.5558777,46.79015483", "View Map")</f>
        <v>View Map</v>
      </c>
    </row>
    <row r="3104" spans="1:7" x14ac:dyDescent="0.3">
      <c r="A3104" t="s">
        <v>5365</v>
      </c>
      <c r="B3104" t="s">
        <v>5366</v>
      </c>
      <c r="C3104" t="s">
        <v>8</v>
      </c>
      <c r="D3104">
        <v>2.46</v>
      </c>
      <c r="E3104">
        <v>787</v>
      </c>
      <c r="F3104" t="str">
        <f>HYPERLINK("https://www.google.com/maps/search/?api=1&amp;query=24.66986897,46.74473075", "View Map")</f>
        <v>View Map</v>
      </c>
    </row>
    <row r="3105" spans="1:7" x14ac:dyDescent="0.3">
      <c r="A3105" t="s">
        <v>5367</v>
      </c>
      <c r="B3105" t="s">
        <v>5368</v>
      </c>
      <c r="C3105" t="s">
        <v>21</v>
      </c>
      <c r="D3105">
        <v>2.4590000000000001</v>
      </c>
      <c r="E3105">
        <v>787</v>
      </c>
      <c r="F3105" t="str">
        <f>HYPERLINK("https://www.google.com/maps/search/?api=1&amp;query=26.30356816,44.83177173", "View Map")</f>
        <v>View Map</v>
      </c>
      <c r="G3105" s="2">
        <v>0.61299111859358069</v>
      </c>
    </row>
    <row r="3106" spans="1:7" x14ac:dyDescent="0.3">
      <c r="A3106" t="s">
        <v>46</v>
      </c>
      <c r="B3106" t="s">
        <v>5369</v>
      </c>
      <c r="C3106" t="s">
        <v>55</v>
      </c>
      <c r="D3106">
        <v>2.4580000000000002</v>
      </c>
      <c r="E3106">
        <v>787</v>
      </c>
      <c r="F3106" t="str">
        <f>HYPERLINK("https://www.google.com/maps/search/?api=1&amp;query=24.77776089,46.56402386", "View Map")</f>
        <v>View Map</v>
      </c>
      <c r="G3106" s="2">
        <v>0.67457497323114279</v>
      </c>
    </row>
    <row r="3107" spans="1:7" x14ac:dyDescent="0.3">
      <c r="A3107" t="s">
        <v>150</v>
      </c>
      <c r="B3107" t="s">
        <v>5370</v>
      </c>
      <c r="C3107" t="s">
        <v>8</v>
      </c>
      <c r="D3107">
        <v>2.4569999999999999</v>
      </c>
      <c r="E3107">
        <v>786</v>
      </c>
      <c r="F3107" t="str">
        <f>HYPERLINK("https://www.google.com/maps/search/?api=1&amp;query=24.65120375,46.58584585", "View Map")</f>
        <v>View Map</v>
      </c>
    </row>
    <row r="3108" spans="1:7" x14ac:dyDescent="0.3">
      <c r="A3108" t="s">
        <v>411</v>
      </c>
      <c r="B3108" t="s">
        <v>5371</v>
      </c>
      <c r="C3108" t="s">
        <v>77</v>
      </c>
      <c r="D3108">
        <v>2.4569999999999999</v>
      </c>
      <c r="E3108">
        <v>786</v>
      </c>
      <c r="F3108" t="str">
        <f>HYPERLINK("https://www.google.com/maps/search/?api=1&amp;query=22.32286141,46.71604193", "View Map")</f>
        <v>View Map</v>
      </c>
      <c r="G3108" s="2">
        <v>0.55152459557139433</v>
      </c>
    </row>
    <row r="3109" spans="1:7" x14ac:dyDescent="0.3">
      <c r="A3109" t="s">
        <v>5372</v>
      </c>
      <c r="B3109" t="s">
        <v>5373</v>
      </c>
      <c r="C3109" t="s">
        <v>8</v>
      </c>
      <c r="D3109">
        <v>2.4569999999999999</v>
      </c>
      <c r="E3109">
        <v>786</v>
      </c>
      <c r="F3109" t="str">
        <f>HYPERLINK("https://www.google.com/maps/search/?api=1&amp;query=24.68299597,46.81687795", "View Map")</f>
        <v>View Map</v>
      </c>
    </row>
    <row r="3110" spans="1:7" x14ac:dyDescent="0.3">
      <c r="A3110" t="s">
        <v>576</v>
      </c>
      <c r="B3110" t="s">
        <v>5374</v>
      </c>
      <c r="C3110" t="s">
        <v>8</v>
      </c>
      <c r="D3110">
        <v>2.456</v>
      </c>
      <c r="E3110">
        <v>786</v>
      </c>
      <c r="F3110" t="str">
        <f>HYPERLINK("https://www.google.com/maps/search/?api=1&amp;query=24.57384886,46.71337917", "View Map")</f>
        <v>View Map</v>
      </c>
    </row>
    <row r="3111" spans="1:7" x14ac:dyDescent="0.3">
      <c r="A3111" t="s">
        <v>5375</v>
      </c>
      <c r="B3111" t="s">
        <v>5376</v>
      </c>
      <c r="C3111" t="s">
        <v>646</v>
      </c>
      <c r="D3111">
        <v>2.456</v>
      </c>
      <c r="E3111">
        <v>786</v>
      </c>
      <c r="F3111" t="str">
        <f>HYPERLINK("https://www.google.com/maps/search/?api=1&amp;query=20.44646981,45.58570272", "View Map")</f>
        <v>View Map</v>
      </c>
    </row>
    <row r="3112" spans="1:7" x14ac:dyDescent="0.3">
      <c r="A3112" t="s">
        <v>196</v>
      </c>
      <c r="B3112" t="s">
        <v>5377</v>
      </c>
      <c r="C3112" t="s">
        <v>8</v>
      </c>
      <c r="D3112">
        <v>2.456</v>
      </c>
      <c r="E3112">
        <v>786</v>
      </c>
      <c r="F3112" t="str">
        <f>HYPERLINK("https://www.google.com/maps/search/?api=1&amp;query=24.7685038,46.77489772", "View Map")</f>
        <v>View Map</v>
      </c>
    </row>
    <row r="3113" spans="1:7" x14ac:dyDescent="0.3">
      <c r="A3113" t="s">
        <v>5378</v>
      </c>
      <c r="B3113" t="s">
        <v>5379</v>
      </c>
      <c r="C3113" t="s">
        <v>77</v>
      </c>
      <c r="D3113">
        <v>2.456</v>
      </c>
      <c r="E3113">
        <v>786</v>
      </c>
      <c r="F3113" t="str">
        <f>HYPERLINK("https://www.google.com/maps/search/?api=1&amp;query=22.2836513,46.73014606", "View Map")</f>
        <v>View Map</v>
      </c>
    </row>
    <row r="3114" spans="1:7" x14ac:dyDescent="0.3">
      <c r="A3114" t="s">
        <v>5380</v>
      </c>
      <c r="B3114" t="s">
        <v>5381</v>
      </c>
      <c r="C3114" t="s">
        <v>255</v>
      </c>
      <c r="D3114">
        <v>2.4550000000000001</v>
      </c>
      <c r="E3114">
        <v>786</v>
      </c>
      <c r="F3114" t="str">
        <f>HYPERLINK("https://www.google.com/maps/search/?api=1&amp;query=24.49331024,44.36183798", "View Map")</f>
        <v>View Map</v>
      </c>
    </row>
    <row r="3115" spans="1:7" x14ac:dyDescent="0.3">
      <c r="A3115" t="s">
        <v>5382</v>
      </c>
      <c r="B3115" t="s">
        <v>5383</v>
      </c>
      <c r="C3115" t="s">
        <v>8</v>
      </c>
      <c r="D3115">
        <v>2.4540000000000002</v>
      </c>
      <c r="E3115">
        <v>785</v>
      </c>
      <c r="F3115" t="str">
        <f>HYPERLINK("https://www.google.com/maps/search/?api=1&amp;query=24.6546478,46.74515324", "View Map")</f>
        <v>View Map</v>
      </c>
      <c r="G3115" s="2">
        <v>0.64285130350621822</v>
      </c>
    </row>
    <row r="3116" spans="1:7" x14ac:dyDescent="0.3">
      <c r="A3116" t="s">
        <v>5384</v>
      </c>
      <c r="B3116" t="s">
        <v>5385</v>
      </c>
      <c r="C3116" t="s">
        <v>241</v>
      </c>
      <c r="D3116">
        <v>2.4540000000000002</v>
      </c>
      <c r="E3116">
        <v>785</v>
      </c>
      <c r="F3116" t="str">
        <f>HYPERLINK("https://www.google.com/maps/search/?api=1&amp;query=20.46050833,44.82278857", "View Map")</f>
        <v>View Map</v>
      </c>
      <c r="G3116" s="2">
        <v>0.38488668250134178</v>
      </c>
    </row>
    <row r="3117" spans="1:7" x14ac:dyDescent="0.3">
      <c r="A3117" t="s">
        <v>5386</v>
      </c>
      <c r="B3117" t="s">
        <v>5387</v>
      </c>
      <c r="C3117" t="s">
        <v>8</v>
      </c>
      <c r="D3117">
        <v>2.4540000000000002</v>
      </c>
      <c r="E3117">
        <v>785</v>
      </c>
      <c r="F3117" t="str">
        <f>HYPERLINK("https://www.google.com/maps/search/?api=1&amp;query=24.55760724,46.6878584", "View Map")</f>
        <v>View Map</v>
      </c>
    </row>
    <row r="3118" spans="1:7" x14ac:dyDescent="0.3">
      <c r="A3118" t="s">
        <v>5388</v>
      </c>
      <c r="B3118" t="s">
        <v>5389</v>
      </c>
      <c r="C3118" t="s">
        <v>30</v>
      </c>
      <c r="D3118">
        <v>2.4529999999999998</v>
      </c>
      <c r="E3118">
        <v>785</v>
      </c>
      <c r="F3118" t="str">
        <f>HYPERLINK("https://www.google.com/maps/search/?api=1&amp;query=24.11815144,47.27439878", "View Map")</f>
        <v>View Map</v>
      </c>
      <c r="G3118" s="2">
        <v>0.38115380471501992</v>
      </c>
    </row>
    <row r="3119" spans="1:7" x14ac:dyDescent="0.3">
      <c r="A3119" t="s">
        <v>5390</v>
      </c>
      <c r="B3119" t="s">
        <v>5391</v>
      </c>
      <c r="C3119" t="s">
        <v>8</v>
      </c>
      <c r="D3119">
        <v>2.452</v>
      </c>
      <c r="E3119">
        <v>785</v>
      </c>
      <c r="F3119" t="str">
        <f>HYPERLINK("https://www.google.com/maps/search/?api=1&amp;query=24.57100564,46.54200447", "View Map")</f>
        <v>View Map</v>
      </c>
    </row>
    <row r="3120" spans="1:7" x14ac:dyDescent="0.3">
      <c r="A3120" t="s">
        <v>5392</v>
      </c>
      <c r="B3120" t="s">
        <v>5393</v>
      </c>
      <c r="C3120" t="s">
        <v>8</v>
      </c>
      <c r="D3120">
        <v>2.452</v>
      </c>
      <c r="E3120">
        <v>785</v>
      </c>
      <c r="F3120" t="str">
        <f>HYPERLINK("https://www.google.com/maps/search/?api=1&amp;query=24.72007056,46.77612613", "View Map")</f>
        <v>View Map</v>
      </c>
    </row>
    <row r="3121" spans="1:7" x14ac:dyDescent="0.3">
      <c r="A3121" t="s">
        <v>5394</v>
      </c>
      <c r="B3121" t="s">
        <v>5395</v>
      </c>
      <c r="C3121" t="s">
        <v>8</v>
      </c>
      <c r="D3121">
        <v>2.452</v>
      </c>
      <c r="E3121">
        <v>785</v>
      </c>
      <c r="F3121" t="str">
        <f>HYPERLINK("https://www.google.com/maps/search/?api=1&amp;query=24.54930022,46.65408903", "View Map")</f>
        <v>View Map</v>
      </c>
      <c r="G3121" s="2">
        <v>0.39152585831563302</v>
      </c>
    </row>
    <row r="3122" spans="1:7" x14ac:dyDescent="0.3">
      <c r="A3122" t="s">
        <v>46</v>
      </c>
      <c r="B3122" t="s">
        <v>5396</v>
      </c>
      <c r="C3122" t="s">
        <v>8</v>
      </c>
      <c r="D3122">
        <v>2.4510000000000001</v>
      </c>
      <c r="E3122">
        <v>784</v>
      </c>
      <c r="F3122" t="str">
        <f>HYPERLINK("https://www.google.com/maps/search/?api=1&amp;query=24.8034611,46.84307362", "View Map")</f>
        <v>View Map</v>
      </c>
    </row>
    <row r="3123" spans="1:7" x14ac:dyDescent="0.3">
      <c r="A3123" t="s">
        <v>5397</v>
      </c>
      <c r="B3123" t="s">
        <v>5398</v>
      </c>
      <c r="C3123" t="s">
        <v>8</v>
      </c>
      <c r="D3123">
        <v>2.4510000000000001</v>
      </c>
      <c r="E3123">
        <v>784</v>
      </c>
      <c r="F3123" t="str">
        <f>HYPERLINK("https://www.google.com/maps/search/?api=1&amp;query=24.77990345,46.77837668", "View Map")</f>
        <v>View Map</v>
      </c>
    </row>
    <row r="3124" spans="1:7" x14ac:dyDescent="0.3">
      <c r="A3124" t="s">
        <v>4031</v>
      </c>
      <c r="B3124" t="s">
        <v>5399</v>
      </c>
      <c r="C3124" t="s">
        <v>8</v>
      </c>
      <c r="D3124">
        <v>2.4510000000000001</v>
      </c>
      <c r="E3124">
        <v>784</v>
      </c>
      <c r="F3124" t="str">
        <f>HYPERLINK("https://www.google.com/maps/search/?api=1&amp;query=24.52815283,46.66129411", "View Map")</f>
        <v>View Map</v>
      </c>
    </row>
    <row r="3125" spans="1:7" x14ac:dyDescent="0.3">
      <c r="A3125" t="s">
        <v>661</v>
      </c>
      <c r="B3125" t="s">
        <v>5400</v>
      </c>
      <c r="C3125" t="s">
        <v>214</v>
      </c>
      <c r="D3125">
        <v>2.4489999999999998</v>
      </c>
      <c r="E3125">
        <v>784</v>
      </c>
      <c r="F3125" t="str">
        <f>HYPERLINK("https://www.google.com/maps/search/?api=1&amp;query=25.70534008,45.47195997", "View Map")</f>
        <v>View Map</v>
      </c>
      <c r="G3125" s="2">
        <v>0.69668450098592838</v>
      </c>
    </row>
    <row r="3126" spans="1:7" x14ac:dyDescent="0.3">
      <c r="A3126" t="s">
        <v>5401</v>
      </c>
      <c r="B3126" t="s">
        <v>5402</v>
      </c>
      <c r="C3126" t="s">
        <v>8</v>
      </c>
      <c r="D3126">
        <v>2.4489999999999998</v>
      </c>
      <c r="E3126">
        <v>784</v>
      </c>
      <c r="F3126" t="str">
        <f>HYPERLINK("https://www.google.com/maps/search/?api=1&amp;query=24.56457099,46.69482586", "View Map")</f>
        <v>View Map</v>
      </c>
    </row>
    <row r="3127" spans="1:7" x14ac:dyDescent="0.3">
      <c r="A3127" t="s">
        <v>2707</v>
      </c>
      <c r="B3127" t="s">
        <v>5403</v>
      </c>
      <c r="C3127" t="s">
        <v>8</v>
      </c>
      <c r="D3127">
        <v>2.4489999999999998</v>
      </c>
      <c r="E3127">
        <v>784</v>
      </c>
      <c r="F3127" t="str">
        <f>HYPERLINK("https://www.google.com/maps/search/?api=1&amp;query=24.78118915,46.81058625", "View Map")</f>
        <v>View Map</v>
      </c>
    </row>
    <row r="3128" spans="1:7" x14ac:dyDescent="0.3">
      <c r="A3128" t="s">
        <v>2867</v>
      </c>
      <c r="B3128" t="s">
        <v>5404</v>
      </c>
      <c r="C3128" t="s">
        <v>8</v>
      </c>
      <c r="D3128">
        <v>2.448</v>
      </c>
      <c r="E3128">
        <v>783</v>
      </c>
      <c r="F3128" t="str">
        <f>HYPERLINK("https://www.google.com/maps/search/?api=1&amp;query=24.65559527,46.72915864", "View Map")</f>
        <v>View Map</v>
      </c>
    </row>
    <row r="3129" spans="1:7" x14ac:dyDescent="0.3">
      <c r="A3129" t="s">
        <v>5405</v>
      </c>
      <c r="B3129" t="s">
        <v>5406</v>
      </c>
      <c r="C3129" t="s">
        <v>738</v>
      </c>
      <c r="D3129">
        <v>2.448</v>
      </c>
      <c r="E3129">
        <v>784</v>
      </c>
      <c r="F3129" t="str">
        <f>HYPERLINK("https://www.google.com/maps/search/?api=1&amp;query=25.17378225,46.34209125", "View Map")</f>
        <v>View Map</v>
      </c>
      <c r="G3129" s="2">
        <v>0.77590084747363397</v>
      </c>
    </row>
    <row r="3130" spans="1:7" x14ac:dyDescent="0.3">
      <c r="A3130" t="s">
        <v>1077</v>
      </c>
      <c r="B3130" t="s">
        <v>5407</v>
      </c>
      <c r="C3130" t="s">
        <v>8</v>
      </c>
      <c r="D3130">
        <v>2.448</v>
      </c>
      <c r="E3130">
        <v>783</v>
      </c>
      <c r="F3130" t="str">
        <f>HYPERLINK("https://www.google.com/maps/search/?api=1&amp;query=24.55603292,46.769141", "View Map")</f>
        <v>View Map</v>
      </c>
    </row>
    <row r="3131" spans="1:7" x14ac:dyDescent="0.3">
      <c r="A3131" t="s">
        <v>5408</v>
      </c>
      <c r="B3131" t="s">
        <v>5409</v>
      </c>
      <c r="C3131" t="s">
        <v>296</v>
      </c>
      <c r="D3131">
        <v>2.448</v>
      </c>
      <c r="E3131">
        <v>783</v>
      </c>
      <c r="F3131" t="str">
        <f>HYPERLINK("https://www.google.com/maps/search/?api=1&amp;query=24.48846769,46.27214842", "View Map")</f>
        <v>View Map</v>
      </c>
      <c r="G3131" s="2">
        <v>0.45266054160436608</v>
      </c>
    </row>
    <row r="3132" spans="1:7" x14ac:dyDescent="0.3">
      <c r="A3132" t="s">
        <v>5410</v>
      </c>
      <c r="B3132" t="s">
        <v>5411</v>
      </c>
      <c r="C3132" t="s">
        <v>8</v>
      </c>
      <c r="D3132">
        <v>2.4460000000000002</v>
      </c>
      <c r="E3132">
        <v>783</v>
      </c>
      <c r="F3132" t="str">
        <f>HYPERLINK("https://www.google.com/maps/search/?api=1&amp;query=24.6671534,46.74067112", "View Map")</f>
        <v>View Map</v>
      </c>
    </row>
    <row r="3133" spans="1:7" x14ac:dyDescent="0.3">
      <c r="A3133" t="s">
        <v>5412</v>
      </c>
      <c r="B3133" t="s">
        <v>5413</v>
      </c>
      <c r="C3133" t="s">
        <v>137</v>
      </c>
      <c r="D3133">
        <v>2.4460000000000002</v>
      </c>
      <c r="E3133">
        <v>783</v>
      </c>
      <c r="F3133" t="str">
        <f>HYPERLINK("https://www.google.com/maps/search/?api=1&amp;query=23.49982028,46.88758414", "View Map")</f>
        <v>View Map</v>
      </c>
      <c r="G3133" s="2">
        <v>0.59023904624523282</v>
      </c>
    </row>
    <row r="3134" spans="1:7" x14ac:dyDescent="0.3">
      <c r="A3134" t="s">
        <v>717</v>
      </c>
      <c r="B3134" t="s">
        <v>5414</v>
      </c>
      <c r="C3134" t="s">
        <v>255</v>
      </c>
      <c r="D3134">
        <v>2.444</v>
      </c>
      <c r="E3134">
        <v>782</v>
      </c>
      <c r="F3134" t="str">
        <f>HYPERLINK("https://www.google.com/maps/search/?api=1&amp;query=24.55348115,44.45065467", "View Map")</f>
        <v>View Map</v>
      </c>
      <c r="G3134" s="2">
        <v>0.37960288538512771</v>
      </c>
    </row>
    <row r="3135" spans="1:7" x14ac:dyDescent="0.3">
      <c r="A3135" t="s">
        <v>5415</v>
      </c>
      <c r="B3135" t="s">
        <v>5416</v>
      </c>
      <c r="C3135" t="s">
        <v>8</v>
      </c>
      <c r="D3135">
        <v>2.444</v>
      </c>
      <c r="E3135">
        <v>782</v>
      </c>
      <c r="F3135" t="str">
        <f>HYPERLINK("https://www.google.com/maps/search/?api=1&amp;query=24.72781865,46.85025775", "View Map")</f>
        <v>View Map</v>
      </c>
    </row>
    <row r="3136" spans="1:7" x14ac:dyDescent="0.3">
      <c r="A3136" t="s">
        <v>122</v>
      </c>
      <c r="B3136" t="s">
        <v>5417</v>
      </c>
      <c r="C3136" t="s">
        <v>442</v>
      </c>
      <c r="D3136">
        <v>2.444</v>
      </c>
      <c r="E3136">
        <v>782</v>
      </c>
      <c r="F3136" t="str">
        <f>HYPERLINK("https://www.google.com/maps/search/?api=1&amp;query=23.60732967,46.51164826", "View Map")</f>
        <v>View Map</v>
      </c>
      <c r="G3136" s="2">
        <v>0.39097246508274469</v>
      </c>
    </row>
    <row r="3137" spans="1:7" x14ac:dyDescent="0.3">
      <c r="A3137" t="s">
        <v>5418</v>
      </c>
      <c r="B3137" t="s">
        <v>5419</v>
      </c>
      <c r="C3137" t="s">
        <v>8</v>
      </c>
      <c r="D3137">
        <v>2.4430000000000001</v>
      </c>
      <c r="E3137">
        <v>782</v>
      </c>
      <c r="F3137" t="str">
        <f>HYPERLINK("https://www.google.com/maps/search/?api=1&amp;query=24.59015362,46.66312236", "View Map")</f>
        <v>View Map</v>
      </c>
    </row>
    <row r="3138" spans="1:7" x14ac:dyDescent="0.3">
      <c r="A3138" t="s">
        <v>5420</v>
      </c>
      <c r="B3138" t="s">
        <v>5421</v>
      </c>
      <c r="C3138" t="s">
        <v>291</v>
      </c>
      <c r="D3138">
        <v>2.4430000000000001</v>
      </c>
      <c r="E3138">
        <v>782</v>
      </c>
      <c r="F3138" t="str">
        <f>HYPERLINK("https://www.google.com/maps/search/?api=1&amp;query=24.33329118,45.78963676", "View Map")</f>
        <v>View Map</v>
      </c>
      <c r="G3138" s="2">
        <v>0.67775625595977995</v>
      </c>
    </row>
    <row r="3139" spans="1:7" x14ac:dyDescent="0.3">
      <c r="A3139" t="s">
        <v>385</v>
      </c>
      <c r="B3139" t="s">
        <v>5422</v>
      </c>
      <c r="C3139" t="s">
        <v>255</v>
      </c>
      <c r="D3139">
        <v>2.44</v>
      </c>
      <c r="E3139">
        <v>781</v>
      </c>
      <c r="F3139" t="str">
        <f>HYPERLINK("https://www.google.com/maps/search/?api=1&amp;query=24.5272251,44.39335204", "View Map")</f>
        <v>View Map</v>
      </c>
    </row>
    <row r="3140" spans="1:7" x14ac:dyDescent="0.3">
      <c r="A3140" t="s">
        <v>5423</v>
      </c>
      <c r="B3140" t="s">
        <v>5424</v>
      </c>
      <c r="C3140" t="s">
        <v>8</v>
      </c>
      <c r="D3140">
        <v>2.4390000000000001</v>
      </c>
      <c r="E3140">
        <v>781</v>
      </c>
      <c r="F3140" t="str">
        <f>HYPERLINK("https://www.google.com/maps/search/?api=1&amp;query=24.77643803,46.74750749", "View Map")</f>
        <v>View Map</v>
      </c>
    </row>
    <row r="3141" spans="1:7" x14ac:dyDescent="0.3">
      <c r="A3141" t="s">
        <v>5425</v>
      </c>
      <c r="B3141" t="s">
        <v>5426</v>
      </c>
      <c r="C3141" t="s">
        <v>8</v>
      </c>
      <c r="D3141">
        <v>2.4390000000000001</v>
      </c>
      <c r="E3141">
        <v>780</v>
      </c>
      <c r="F3141" t="str">
        <f>HYPERLINK("https://www.google.com/maps/search/?api=1&amp;query=24.68685741,46.85477145", "View Map")</f>
        <v>View Map</v>
      </c>
    </row>
    <row r="3142" spans="1:7" x14ac:dyDescent="0.3">
      <c r="A3142" t="s">
        <v>5427</v>
      </c>
      <c r="B3142" t="s">
        <v>5428</v>
      </c>
      <c r="C3142" t="s">
        <v>30</v>
      </c>
      <c r="D3142">
        <v>2.4390000000000001</v>
      </c>
      <c r="E3142">
        <v>781</v>
      </c>
      <c r="F3142" t="str">
        <f>HYPERLINK("https://www.google.com/maps/search/?api=1&amp;query=24.19345316,47.26475986", "View Map")</f>
        <v>View Map</v>
      </c>
      <c r="G3142" s="2">
        <v>0.40420970404956791</v>
      </c>
    </row>
    <row r="3143" spans="1:7" x14ac:dyDescent="0.3">
      <c r="A3143" t="s">
        <v>5429</v>
      </c>
      <c r="B3143" t="s">
        <v>5430</v>
      </c>
      <c r="C3143" t="s">
        <v>8</v>
      </c>
      <c r="D3143">
        <v>2.4380000000000002</v>
      </c>
      <c r="E3143">
        <v>780</v>
      </c>
      <c r="F3143" t="str">
        <f>HYPERLINK("https://www.google.com/maps/search/?api=1&amp;query=24.80040579,46.71023779", "View Map")</f>
        <v>View Map</v>
      </c>
    </row>
    <row r="3144" spans="1:7" x14ac:dyDescent="0.3">
      <c r="A3144" t="s">
        <v>28</v>
      </c>
      <c r="B3144" t="s">
        <v>5431</v>
      </c>
      <c r="C3144" t="s">
        <v>30</v>
      </c>
      <c r="D3144">
        <v>2.4380000000000002</v>
      </c>
      <c r="E3144">
        <v>780</v>
      </c>
      <c r="F3144" t="str">
        <f>HYPERLINK("https://www.google.com/maps/search/?api=1&amp;query=24.0945035,47.27503035", "View Map")</f>
        <v>View Map</v>
      </c>
      <c r="G3144" s="2">
        <v>0.36614148580060518</v>
      </c>
    </row>
    <row r="3145" spans="1:7" x14ac:dyDescent="0.3">
      <c r="A3145" t="s">
        <v>5432</v>
      </c>
      <c r="B3145" t="s">
        <v>5433</v>
      </c>
      <c r="C3145" t="s">
        <v>291</v>
      </c>
      <c r="D3145">
        <v>2.4380000000000002</v>
      </c>
      <c r="E3145">
        <v>780</v>
      </c>
      <c r="F3145" t="str">
        <f>HYPERLINK("https://www.google.com/maps/search/?api=1&amp;query=23.46329998,44.32734468", "View Map")</f>
        <v>View Map</v>
      </c>
      <c r="G3145" s="2">
        <v>0.75179467667555055</v>
      </c>
    </row>
    <row r="3146" spans="1:7" x14ac:dyDescent="0.3">
      <c r="A3146" t="s">
        <v>706</v>
      </c>
      <c r="B3146" t="s">
        <v>5434</v>
      </c>
      <c r="C3146" t="s">
        <v>8</v>
      </c>
      <c r="D3146">
        <v>2.4369999999999998</v>
      </c>
      <c r="E3146">
        <v>780</v>
      </c>
      <c r="F3146" t="str">
        <f>HYPERLINK("https://www.google.com/maps/search/?api=1&amp;query=24.51929804,46.66862652", "View Map")</f>
        <v>View Map</v>
      </c>
    </row>
    <row r="3147" spans="1:7" x14ac:dyDescent="0.3">
      <c r="A3147" t="s">
        <v>5435</v>
      </c>
      <c r="B3147" t="s">
        <v>5436</v>
      </c>
      <c r="C3147" t="s">
        <v>30</v>
      </c>
      <c r="D3147">
        <v>2.4369999999999998</v>
      </c>
      <c r="E3147">
        <v>780</v>
      </c>
      <c r="F3147" t="str">
        <f>HYPERLINK("https://www.google.com/maps/search/?api=1&amp;query=24.12786959,47.27723517", "View Map")</f>
        <v>View Map</v>
      </c>
    </row>
    <row r="3148" spans="1:7" x14ac:dyDescent="0.3">
      <c r="A3148" t="s">
        <v>5437</v>
      </c>
      <c r="B3148" t="s">
        <v>5438</v>
      </c>
      <c r="C3148" t="s">
        <v>21</v>
      </c>
      <c r="D3148">
        <v>2.4359999999999999</v>
      </c>
      <c r="E3148">
        <v>779</v>
      </c>
      <c r="F3148" t="str">
        <f>HYPERLINK("https://www.google.com/maps/search/?api=1&amp;query=26.28943424,44.84078183", "View Map")</f>
        <v>View Map</v>
      </c>
      <c r="G3148" s="2">
        <v>0.5307447244372786</v>
      </c>
    </row>
    <row r="3149" spans="1:7" x14ac:dyDescent="0.3">
      <c r="A3149" t="s">
        <v>5439</v>
      </c>
      <c r="B3149" t="s">
        <v>5440</v>
      </c>
      <c r="C3149" t="s">
        <v>8</v>
      </c>
      <c r="D3149">
        <v>2.4359999999999999</v>
      </c>
      <c r="E3149">
        <v>779</v>
      </c>
      <c r="F3149" t="str">
        <f>HYPERLINK("https://www.google.com/maps/search/?api=1&amp;query=24.74483487,46.81639811", "View Map")</f>
        <v>View Map</v>
      </c>
    </row>
    <row r="3150" spans="1:7" x14ac:dyDescent="0.3">
      <c r="A3150" t="s">
        <v>5441</v>
      </c>
      <c r="B3150" t="s">
        <v>5442</v>
      </c>
      <c r="C3150" t="s">
        <v>255</v>
      </c>
      <c r="D3150">
        <v>2.4350000000000001</v>
      </c>
      <c r="E3150">
        <v>779</v>
      </c>
      <c r="F3150" t="str">
        <f>HYPERLINK("https://www.google.com/maps/search/?api=1&amp;query=25.01407724,43.82604146", "View Map")</f>
        <v>View Map</v>
      </c>
      <c r="G3150" s="2">
        <v>0.42192237333968508</v>
      </c>
    </row>
    <row r="3151" spans="1:7" x14ac:dyDescent="0.3">
      <c r="A3151" t="s">
        <v>869</v>
      </c>
      <c r="B3151" t="s">
        <v>5443</v>
      </c>
      <c r="C3151" t="s">
        <v>8</v>
      </c>
      <c r="D3151">
        <v>2.4350000000000001</v>
      </c>
      <c r="E3151">
        <v>779</v>
      </c>
      <c r="F3151" t="str">
        <f>HYPERLINK("https://www.google.com/maps/search/?api=1&amp;query=24.56840849,46.78635256", "View Map")</f>
        <v>View Map</v>
      </c>
    </row>
    <row r="3152" spans="1:7" x14ac:dyDescent="0.3">
      <c r="A3152" t="s">
        <v>5444</v>
      </c>
      <c r="B3152" t="s">
        <v>5445</v>
      </c>
      <c r="C3152" t="s">
        <v>8</v>
      </c>
      <c r="D3152">
        <v>2.4350000000000001</v>
      </c>
      <c r="E3152">
        <v>779</v>
      </c>
      <c r="F3152" t="str">
        <f>HYPERLINK("https://www.google.com/maps/search/?api=1&amp;query=24.56071232,46.73629541", "View Map")</f>
        <v>View Map</v>
      </c>
      <c r="G3152" s="2">
        <v>0.33208542490360121</v>
      </c>
    </row>
    <row r="3153" spans="1:7" x14ac:dyDescent="0.3">
      <c r="A3153" t="s">
        <v>46</v>
      </c>
      <c r="B3153" t="s">
        <v>5446</v>
      </c>
      <c r="C3153" t="s">
        <v>55</v>
      </c>
      <c r="D3153">
        <v>2.4329999999999998</v>
      </c>
      <c r="E3153">
        <v>778</v>
      </c>
      <c r="F3153" t="str">
        <f>HYPERLINK("https://www.google.com/maps/search/?api=1&amp;query=24.90313982,46.37321847", "View Map")</f>
        <v>View Map</v>
      </c>
    </row>
    <row r="3154" spans="1:7" x14ac:dyDescent="0.3">
      <c r="A3154" t="s">
        <v>5447</v>
      </c>
      <c r="B3154" t="s">
        <v>5448</v>
      </c>
      <c r="C3154" t="s">
        <v>8</v>
      </c>
      <c r="D3154">
        <v>2.4319999999999999</v>
      </c>
      <c r="E3154">
        <v>778</v>
      </c>
      <c r="F3154" t="str">
        <f>HYPERLINK("https://www.google.com/maps/search/?api=1&amp;query=24.60990773,46.70333873", "View Map")</f>
        <v>View Map</v>
      </c>
    </row>
    <row r="3155" spans="1:7" x14ac:dyDescent="0.3">
      <c r="A3155" t="s">
        <v>5449</v>
      </c>
      <c r="B3155" t="s">
        <v>5450</v>
      </c>
      <c r="C3155" t="s">
        <v>883</v>
      </c>
      <c r="D3155">
        <v>2.4319999999999999</v>
      </c>
      <c r="E3155">
        <v>778</v>
      </c>
      <c r="F3155" t="str">
        <f>HYPERLINK("https://www.google.com/maps/search/?api=1&amp;query=25.57391493,46.97979039", "View Map")</f>
        <v>View Map</v>
      </c>
      <c r="G3155" s="2">
        <v>0.7665801267406378</v>
      </c>
    </row>
    <row r="3156" spans="1:7" x14ac:dyDescent="0.3">
      <c r="A3156" t="s">
        <v>5451</v>
      </c>
      <c r="B3156" t="s">
        <v>5452</v>
      </c>
      <c r="C3156" t="s">
        <v>8</v>
      </c>
      <c r="D3156">
        <v>2.4319999999999999</v>
      </c>
      <c r="E3156">
        <v>778</v>
      </c>
      <c r="F3156" t="str">
        <f>HYPERLINK("https://www.google.com/maps/search/?api=1&amp;query=24.59383383,46.60623607", "View Map")</f>
        <v>View Map</v>
      </c>
    </row>
    <row r="3157" spans="1:7" x14ac:dyDescent="0.3">
      <c r="A3157" t="s">
        <v>5453</v>
      </c>
      <c r="B3157" t="s">
        <v>5454</v>
      </c>
      <c r="C3157" t="s">
        <v>883</v>
      </c>
      <c r="D3157">
        <v>2.4319999999999999</v>
      </c>
      <c r="E3157">
        <v>778</v>
      </c>
      <c r="F3157" t="str">
        <f>HYPERLINK("https://www.google.com/maps/search/?api=1&amp;query=25.5634901,47.14837413", "View Map")</f>
        <v>View Map</v>
      </c>
    </row>
    <row r="3158" spans="1:7" x14ac:dyDescent="0.3">
      <c r="A3158" t="s">
        <v>5296</v>
      </c>
      <c r="B3158" t="s">
        <v>5455</v>
      </c>
      <c r="C3158" t="s">
        <v>8</v>
      </c>
      <c r="D3158">
        <v>2.4319999999999999</v>
      </c>
      <c r="E3158">
        <v>778</v>
      </c>
      <c r="F3158" t="str">
        <f>HYPERLINK("https://www.google.com/maps/search/?api=1&amp;query=24.5863228,46.58387494", "View Map")</f>
        <v>View Map</v>
      </c>
    </row>
    <row r="3159" spans="1:7" x14ac:dyDescent="0.3">
      <c r="A3159" t="s">
        <v>5456</v>
      </c>
      <c r="B3159" t="s">
        <v>5457</v>
      </c>
      <c r="C3159" t="s">
        <v>8</v>
      </c>
      <c r="D3159">
        <v>2.431</v>
      </c>
      <c r="E3159">
        <v>778</v>
      </c>
      <c r="F3159" t="str">
        <f>HYPERLINK("https://www.google.com/maps/search/?api=1&amp;query=24.48664965,46.60303987", "View Map")</f>
        <v>View Map</v>
      </c>
      <c r="G3159" s="2">
        <v>0.35559862779263091</v>
      </c>
    </row>
    <row r="3160" spans="1:7" x14ac:dyDescent="0.3">
      <c r="A3160" t="s">
        <v>464</v>
      </c>
      <c r="B3160" t="s">
        <v>5458</v>
      </c>
      <c r="C3160" t="s">
        <v>466</v>
      </c>
      <c r="D3160">
        <v>2.431</v>
      </c>
      <c r="E3160">
        <v>778</v>
      </c>
      <c r="F3160" t="str">
        <f>HYPERLINK("https://www.google.com/maps/search/?api=1&amp;query=24.58928307,46.13889233", "View Map")</f>
        <v>View Map</v>
      </c>
      <c r="G3160" s="2">
        <v>0.5336559491200541</v>
      </c>
    </row>
    <row r="3161" spans="1:7" x14ac:dyDescent="0.3">
      <c r="A3161" t="s">
        <v>146</v>
      </c>
      <c r="B3161" t="s">
        <v>5459</v>
      </c>
      <c r="C3161" t="s">
        <v>8</v>
      </c>
      <c r="D3161">
        <v>2.4289999999999998</v>
      </c>
      <c r="E3161">
        <v>777</v>
      </c>
      <c r="F3161" t="str">
        <f>HYPERLINK("https://www.google.com/maps/search/?api=1&amp;query=24.52690324,46.65844168", "View Map")</f>
        <v>View Map</v>
      </c>
    </row>
    <row r="3162" spans="1:7" x14ac:dyDescent="0.3">
      <c r="A3162" t="s">
        <v>5460</v>
      </c>
      <c r="B3162" t="s">
        <v>5461</v>
      </c>
      <c r="C3162" t="s">
        <v>21</v>
      </c>
      <c r="D3162">
        <v>2.4289999999999998</v>
      </c>
      <c r="E3162">
        <v>777</v>
      </c>
      <c r="F3162" t="str">
        <f>HYPERLINK("https://www.google.com/maps/search/?api=1&amp;query=26.34964155,44.79082618", "View Map")</f>
        <v>View Map</v>
      </c>
      <c r="G3162" s="2">
        <v>0.49953717669443759</v>
      </c>
    </row>
    <row r="3163" spans="1:7" x14ac:dyDescent="0.3">
      <c r="A3163" t="s">
        <v>362</v>
      </c>
      <c r="B3163" t="s">
        <v>5462</v>
      </c>
      <c r="C3163" t="s">
        <v>364</v>
      </c>
      <c r="D3163">
        <v>2.4279999999999999</v>
      </c>
      <c r="E3163">
        <v>777</v>
      </c>
      <c r="F3163" t="str">
        <f>HYPERLINK("https://www.google.com/maps/search/?api=1&amp;query=25.23249072,45.87836293", "View Map")</f>
        <v>View Map</v>
      </c>
      <c r="G3163" s="2">
        <v>0.48359203401548151</v>
      </c>
    </row>
    <row r="3164" spans="1:7" x14ac:dyDescent="0.3">
      <c r="A3164" t="s">
        <v>5463</v>
      </c>
      <c r="B3164" t="s">
        <v>5464</v>
      </c>
      <c r="C3164" t="s">
        <v>8</v>
      </c>
      <c r="D3164">
        <v>2.427</v>
      </c>
      <c r="E3164">
        <v>777</v>
      </c>
      <c r="F3164" t="str">
        <f>HYPERLINK("https://www.google.com/maps/search/?api=1&amp;query=24.81176894,46.59821957", "View Map")</f>
        <v>View Map</v>
      </c>
    </row>
    <row r="3165" spans="1:7" x14ac:dyDescent="0.3">
      <c r="A3165" t="s">
        <v>5465</v>
      </c>
      <c r="B3165" t="s">
        <v>5466</v>
      </c>
      <c r="C3165" t="s">
        <v>214</v>
      </c>
      <c r="D3165">
        <v>2.427</v>
      </c>
      <c r="E3165">
        <v>777</v>
      </c>
      <c r="F3165" t="str">
        <f>HYPERLINK("https://www.google.com/maps/search/?api=1&amp;query=25.69513,45.89959", "View Map")</f>
        <v>View Map</v>
      </c>
      <c r="G3165" s="2">
        <v>0.49629373330940718</v>
      </c>
    </row>
    <row r="3166" spans="1:7" x14ac:dyDescent="0.3">
      <c r="A3166" t="s">
        <v>46</v>
      </c>
      <c r="B3166" t="s">
        <v>5467</v>
      </c>
      <c r="C3166" t="s">
        <v>8</v>
      </c>
      <c r="D3166">
        <v>2.427</v>
      </c>
      <c r="E3166">
        <v>777</v>
      </c>
      <c r="F3166" t="str">
        <f>HYPERLINK("https://www.google.com/maps/search/?api=1&amp;query=24.83222163,46.88963968", "View Map")</f>
        <v>View Map</v>
      </c>
    </row>
    <row r="3167" spans="1:7" x14ac:dyDescent="0.3">
      <c r="A3167" t="s">
        <v>5468</v>
      </c>
      <c r="B3167" t="s">
        <v>5469</v>
      </c>
      <c r="C3167" t="s">
        <v>8</v>
      </c>
      <c r="D3167">
        <v>2.4249999999999998</v>
      </c>
      <c r="E3167">
        <v>776</v>
      </c>
      <c r="F3167" t="str">
        <f>HYPERLINK("https://www.google.com/maps/search/?api=1&amp;query=24.73249627,46.84929082", "View Map")</f>
        <v>View Map</v>
      </c>
    </row>
    <row r="3168" spans="1:7" x14ac:dyDescent="0.3">
      <c r="A3168" t="s">
        <v>5470</v>
      </c>
      <c r="B3168" t="s">
        <v>5471</v>
      </c>
      <c r="C3168" t="s">
        <v>8</v>
      </c>
      <c r="D3168">
        <v>2.4249999999999998</v>
      </c>
      <c r="E3168">
        <v>776</v>
      </c>
      <c r="F3168" t="str">
        <f>HYPERLINK("https://www.google.com/maps/search/?api=1&amp;query=24.61319567,46.52029142", "View Map")</f>
        <v>View Map</v>
      </c>
    </row>
    <row r="3169" spans="1:7" x14ac:dyDescent="0.3">
      <c r="A3169" t="s">
        <v>5472</v>
      </c>
      <c r="B3169" t="s">
        <v>5473</v>
      </c>
      <c r="C3169" t="s">
        <v>8</v>
      </c>
      <c r="D3169">
        <v>2.4249999999999998</v>
      </c>
      <c r="E3169">
        <v>776</v>
      </c>
      <c r="F3169" t="str">
        <f>HYPERLINK("https://www.google.com/maps/search/?api=1&amp;query=24.63877396,46.73021688", "View Map")</f>
        <v>View Map</v>
      </c>
      <c r="G3169" s="2">
        <v>0.35775784660797411</v>
      </c>
    </row>
    <row r="3170" spans="1:7" x14ac:dyDescent="0.3">
      <c r="A3170" t="s">
        <v>5474</v>
      </c>
      <c r="B3170" t="s">
        <v>5475</v>
      </c>
      <c r="C3170" t="s">
        <v>214</v>
      </c>
      <c r="D3170">
        <v>2.4209999999999998</v>
      </c>
      <c r="E3170">
        <v>775</v>
      </c>
      <c r="F3170" t="str">
        <f>HYPERLINK("https://www.google.com/maps/search/?api=1&amp;query=26.49899477,45.34078412", "View Map")</f>
        <v>View Map</v>
      </c>
      <c r="G3170" s="2">
        <v>0.71439745813696443</v>
      </c>
    </row>
    <row r="3171" spans="1:7" x14ac:dyDescent="0.3">
      <c r="A3171" t="s">
        <v>5476</v>
      </c>
      <c r="B3171" t="s">
        <v>5477</v>
      </c>
      <c r="C3171" t="s">
        <v>214</v>
      </c>
      <c r="D3171">
        <v>2.4209999999999998</v>
      </c>
      <c r="E3171">
        <v>775</v>
      </c>
      <c r="F3171" t="str">
        <f>HYPERLINK("https://www.google.com/maps/search/?api=1&amp;query=26.88146375,45.31585587", "View Map")</f>
        <v>View Map</v>
      </c>
      <c r="G3171" s="2">
        <v>0.35250881129271439</v>
      </c>
    </row>
    <row r="3172" spans="1:7" x14ac:dyDescent="0.3">
      <c r="A3172" t="s">
        <v>1391</v>
      </c>
      <c r="B3172" t="s">
        <v>5478</v>
      </c>
      <c r="C3172" t="s">
        <v>8</v>
      </c>
      <c r="D3172">
        <v>2.4209999999999998</v>
      </c>
      <c r="E3172">
        <v>775</v>
      </c>
      <c r="F3172" t="str">
        <f>HYPERLINK("https://www.google.com/maps/search/?api=1&amp;query=24.7343666,46.8383035", "View Map")</f>
        <v>View Map</v>
      </c>
    </row>
    <row r="3173" spans="1:7" x14ac:dyDescent="0.3">
      <c r="A3173" t="s">
        <v>5479</v>
      </c>
      <c r="B3173" t="s">
        <v>5480</v>
      </c>
      <c r="C3173" t="s">
        <v>214</v>
      </c>
      <c r="D3173">
        <v>2.4209999999999998</v>
      </c>
      <c r="E3173">
        <v>775</v>
      </c>
      <c r="F3173" t="str">
        <f>HYPERLINK("https://www.google.com/maps/search/?api=1&amp;query=25.62788131,45.580624", "View Map")</f>
        <v>View Map</v>
      </c>
      <c r="G3173" s="2">
        <v>0.47766289634233561</v>
      </c>
    </row>
    <row r="3174" spans="1:7" x14ac:dyDescent="0.3">
      <c r="A3174" t="s">
        <v>5481</v>
      </c>
      <c r="B3174" t="s">
        <v>5482</v>
      </c>
      <c r="C3174" t="s">
        <v>1112</v>
      </c>
      <c r="D3174">
        <v>2.42</v>
      </c>
      <c r="E3174">
        <v>774</v>
      </c>
      <c r="F3174" t="str">
        <f>HYPERLINK("https://www.google.com/maps/search/?api=1&amp;query=26.02051471,44.94877729", "View Map")</f>
        <v>View Map</v>
      </c>
      <c r="G3174" s="2">
        <v>0.5713470459963309</v>
      </c>
    </row>
    <row r="3175" spans="1:7" x14ac:dyDescent="0.3">
      <c r="A3175" t="s">
        <v>5483</v>
      </c>
      <c r="B3175" t="s">
        <v>5484</v>
      </c>
      <c r="C3175" t="s">
        <v>8</v>
      </c>
      <c r="D3175">
        <v>2.42</v>
      </c>
      <c r="E3175">
        <v>774</v>
      </c>
      <c r="F3175" t="str">
        <f>HYPERLINK("https://www.google.com/maps/search/?api=1&amp;query=24.75299068,46.80209584", "View Map")</f>
        <v>View Map</v>
      </c>
    </row>
    <row r="3176" spans="1:7" x14ac:dyDescent="0.3">
      <c r="A3176" t="s">
        <v>5485</v>
      </c>
      <c r="B3176" t="s">
        <v>5486</v>
      </c>
      <c r="C3176" t="s">
        <v>16</v>
      </c>
      <c r="D3176">
        <v>2.419</v>
      </c>
      <c r="E3176">
        <v>774</v>
      </c>
      <c r="F3176" t="str">
        <f>HYPERLINK("https://www.google.com/maps/search/?api=1&amp;query=23.913949,42.92772947", "View Map")</f>
        <v>View Map</v>
      </c>
    </row>
    <row r="3177" spans="1:7" x14ac:dyDescent="0.3">
      <c r="A3177" t="s">
        <v>5487</v>
      </c>
      <c r="B3177" t="s">
        <v>5488</v>
      </c>
      <c r="C3177" t="s">
        <v>291</v>
      </c>
      <c r="D3177">
        <v>2.4180000000000001</v>
      </c>
      <c r="E3177">
        <v>774</v>
      </c>
      <c r="F3177" t="str">
        <f>HYPERLINK("https://www.google.com/maps/search/?api=1&amp;query=24.5205376,45.59900369", "View Map")</f>
        <v>View Map</v>
      </c>
      <c r="G3177" s="2">
        <v>0.45371710332496828</v>
      </c>
    </row>
    <row r="3178" spans="1:7" x14ac:dyDescent="0.3">
      <c r="A3178" t="s">
        <v>5489</v>
      </c>
      <c r="B3178" t="s">
        <v>5490</v>
      </c>
      <c r="C3178" t="s">
        <v>8</v>
      </c>
      <c r="D3178">
        <v>2.4180000000000001</v>
      </c>
      <c r="E3178">
        <v>774</v>
      </c>
      <c r="F3178" t="str">
        <f>HYPERLINK("https://www.google.com/maps/search/?api=1&amp;query=24.83185183,46.75088176", "View Map")</f>
        <v>View Map</v>
      </c>
    </row>
    <row r="3179" spans="1:7" x14ac:dyDescent="0.3">
      <c r="A3179" t="s">
        <v>46</v>
      </c>
      <c r="B3179" t="s">
        <v>5491</v>
      </c>
      <c r="C3179" t="s">
        <v>8</v>
      </c>
      <c r="D3179">
        <v>2.4180000000000001</v>
      </c>
      <c r="E3179">
        <v>774</v>
      </c>
      <c r="F3179" t="str">
        <f>HYPERLINK("https://www.google.com/maps/search/?api=1&amp;query=24.92525789,46.82341566", "View Map")</f>
        <v>View Map</v>
      </c>
    </row>
    <row r="3180" spans="1:7" x14ac:dyDescent="0.3">
      <c r="A3180" t="s">
        <v>46</v>
      </c>
      <c r="B3180" t="s">
        <v>5492</v>
      </c>
      <c r="C3180" t="s">
        <v>55</v>
      </c>
      <c r="D3180">
        <v>2.4180000000000001</v>
      </c>
      <c r="E3180">
        <v>774</v>
      </c>
      <c r="F3180" t="str">
        <f>HYPERLINK("https://www.google.com/maps/search/?api=1&amp;query=24.77772577,46.56393009", "View Map")</f>
        <v>View Map</v>
      </c>
      <c r="G3180" s="2">
        <v>0.74919535059220665</v>
      </c>
    </row>
    <row r="3181" spans="1:7" x14ac:dyDescent="0.3">
      <c r="A3181" t="s">
        <v>5493</v>
      </c>
      <c r="B3181" t="s">
        <v>5494</v>
      </c>
      <c r="C3181" t="s">
        <v>241</v>
      </c>
      <c r="D3181">
        <v>2.4169999999999998</v>
      </c>
      <c r="E3181">
        <v>773</v>
      </c>
      <c r="F3181" t="str">
        <f>HYPERLINK("https://www.google.com/maps/search/?api=1&amp;query=20.45416838,44.84432456", "View Map")</f>
        <v>View Map</v>
      </c>
      <c r="G3181" s="2">
        <v>0.41364695910150451</v>
      </c>
    </row>
    <row r="3182" spans="1:7" x14ac:dyDescent="0.3">
      <c r="A3182" t="s">
        <v>5495</v>
      </c>
      <c r="B3182" t="s">
        <v>5496</v>
      </c>
      <c r="C3182" t="s">
        <v>8</v>
      </c>
      <c r="D3182">
        <v>2.4159999999999999</v>
      </c>
      <c r="E3182">
        <v>773</v>
      </c>
      <c r="F3182" t="str">
        <f>HYPERLINK("https://www.google.com/maps/search/?api=1&amp;query=24.58108402,46.56850134", "View Map")</f>
        <v>View Map</v>
      </c>
    </row>
    <row r="3183" spans="1:7" x14ac:dyDescent="0.3">
      <c r="A3183" t="s">
        <v>46</v>
      </c>
      <c r="B3183" t="s">
        <v>5497</v>
      </c>
      <c r="C3183" t="s">
        <v>8</v>
      </c>
      <c r="D3183">
        <v>2.415</v>
      </c>
      <c r="E3183">
        <v>773</v>
      </c>
      <c r="F3183" t="str">
        <f>HYPERLINK("https://www.google.com/maps/search/?api=1&amp;query=24.60545481,46.74189987", "View Map")</f>
        <v>View Map</v>
      </c>
    </row>
    <row r="3184" spans="1:7" x14ac:dyDescent="0.3">
      <c r="A3184" t="s">
        <v>5498</v>
      </c>
      <c r="B3184" t="s">
        <v>5499</v>
      </c>
      <c r="C3184" t="s">
        <v>393</v>
      </c>
      <c r="D3184">
        <v>2.415</v>
      </c>
      <c r="E3184">
        <v>773</v>
      </c>
      <c r="F3184" t="str">
        <f>HYPERLINK("https://www.google.com/maps/search/?api=1&amp;query=22.69860935,44.87472916", "View Map")</f>
        <v>View Map</v>
      </c>
      <c r="G3184" s="2">
        <v>0.51404542362643546</v>
      </c>
    </row>
    <row r="3185" spans="1:7" x14ac:dyDescent="0.3">
      <c r="A3185" t="s">
        <v>5500</v>
      </c>
      <c r="B3185" t="s">
        <v>5501</v>
      </c>
      <c r="C3185" t="s">
        <v>8</v>
      </c>
      <c r="D3185">
        <v>2.4129999999999998</v>
      </c>
      <c r="E3185">
        <v>772</v>
      </c>
      <c r="F3185" t="str">
        <f>HYPERLINK("https://www.google.com/maps/search/?api=1&amp;query=24.71906934,46.69130671", "View Map")</f>
        <v>View Map</v>
      </c>
      <c r="G3185" s="2">
        <v>0.44270339658981361</v>
      </c>
    </row>
    <row r="3186" spans="1:7" x14ac:dyDescent="0.3">
      <c r="A3186" t="s">
        <v>46</v>
      </c>
      <c r="B3186" t="s">
        <v>5502</v>
      </c>
      <c r="C3186" t="s">
        <v>8</v>
      </c>
      <c r="D3186">
        <v>2.4129999999999998</v>
      </c>
      <c r="E3186">
        <v>772</v>
      </c>
      <c r="F3186" t="str">
        <f>HYPERLINK("https://www.google.com/maps/search/?api=1&amp;query=24.80508487,46.67411866", "View Map")</f>
        <v>View Map</v>
      </c>
    </row>
    <row r="3187" spans="1:7" x14ac:dyDescent="0.3">
      <c r="A3187" t="s">
        <v>5503</v>
      </c>
      <c r="B3187" t="s">
        <v>5504</v>
      </c>
      <c r="C3187" t="s">
        <v>255</v>
      </c>
      <c r="D3187">
        <v>2.4129999999999998</v>
      </c>
      <c r="E3187">
        <v>772</v>
      </c>
      <c r="F3187" t="str">
        <f>HYPERLINK("https://www.google.com/maps/search/?api=1&amp;query=24.54456886,44.43271592", "View Map")</f>
        <v>View Map</v>
      </c>
      <c r="G3187" s="2">
        <v>0.39888936543131243</v>
      </c>
    </row>
    <row r="3188" spans="1:7" x14ac:dyDescent="0.3">
      <c r="A3188" t="s">
        <v>5505</v>
      </c>
      <c r="B3188" t="s">
        <v>5506</v>
      </c>
      <c r="C3188" t="s">
        <v>77</v>
      </c>
      <c r="D3188">
        <v>2.4119999999999999</v>
      </c>
      <c r="E3188">
        <v>772</v>
      </c>
      <c r="F3188" t="str">
        <f>HYPERLINK("https://www.google.com/maps/search/?api=1&amp;query=22.31126363,46.69619102", "View Map")</f>
        <v>View Map</v>
      </c>
      <c r="G3188" s="2">
        <v>0.4973687513659128</v>
      </c>
    </row>
    <row r="3189" spans="1:7" x14ac:dyDescent="0.3">
      <c r="A3189" t="s">
        <v>5507</v>
      </c>
      <c r="B3189" t="s">
        <v>5508</v>
      </c>
      <c r="C3189" t="s">
        <v>8</v>
      </c>
      <c r="D3189">
        <v>2.411</v>
      </c>
      <c r="E3189">
        <v>772</v>
      </c>
      <c r="F3189" t="str">
        <f>HYPERLINK("https://www.google.com/maps/search/?api=1&amp;query=24.64145838,46.72166231", "View Map")</f>
        <v>View Map</v>
      </c>
    </row>
    <row r="3190" spans="1:7" x14ac:dyDescent="0.3">
      <c r="A3190" t="s">
        <v>5509</v>
      </c>
      <c r="B3190" t="s">
        <v>5510</v>
      </c>
      <c r="C3190" t="s">
        <v>214</v>
      </c>
      <c r="D3190">
        <v>2.411</v>
      </c>
      <c r="E3190">
        <v>772</v>
      </c>
      <c r="F3190" t="str">
        <f>HYPERLINK("https://www.google.com/maps/search/?api=1&amp;query=25.90163736,45.33691919", "View Map")</f>
        <v>View Map</v>
      </c>
      <c r="G3190" s="2">
        <v>0.39186981756124722</v>
      </c>
    </row>
    <row r="3191" spans="1:7" x14ac:dyDescent="0.3">
      <c r="A3191" t="s">
        <v>5511</v>
      </c>
      <c r="B3191" t="s">
        <v>5512</v>
      </c>
      <c r="C3191" t="s">
        <v>8</v>
      </c>
      <c r="D3191">
        <v>2.41</v>
      </c>
      <c r="E3191">
        <v>771</v>
      </c>
      <c r="F3191" t="str">
        <f>HYPERLINK("https://www.google.com/maps/search/?api=1&amp;query=24.6174008,46.53902272", "View Map")</f>
        <v>View Map</v>
      </c>
    </row>
    <row r="3192" spans="1:7" x14ac:dyDescent="0.3">
      <c r="A3192" t="s">
        <v>5513</v>
      </c>
      <c r="B3192" t="s">
        <v>5514</v>
      </c>
      <c r="C3192" t="s">
        <v>30</v>
      </c>
      <c r="D3192">
        <v>2.41</v>
      </c>
      <c r="E3192">
        <v>771</v>
      </c>
      <c r="F3192" t="str">
        <f>HYPERLINK("https://www.google.com/maps/search/?api=1&amp;query=24.14393459,47.35432189", "View Map")</f>
        <v>View Map</v>
      </c>
      <c r="G3192" s="2">
        <v>0.42381154151747341</v>
      </c>
    </row>
    <row r="3193" spans="1:7" x14ac:dyDescent="0.3">
      <c r="A3193" t="s">
        <v>5515</v>
      </c>
      <c r="B3193" t="s">
        <v>5516</v>
      </c>
      <c r="C3193" t="s">
        <v>8</v>
      </c>
      <c r="D3193">
        <v>2.41</v>
      </c>
      <c r="E3193">
        <v>771</v>
      </c>
      <c r="F3193" t="str">
        <f>HYPERLINK("https://www.google.com/maps/search/?api=1&amp;query=24.59691053,46.70225699", "View Map")</f>
        <v>View Map</v>
      </c>
    </row>
    <row r="3194" spans="1:7" x14ac:dyDescent="0.3">
      <c r="A3194" t="s">
        <v>1594</v>
      </c>
      <c r="B3194" t="s">
        <v>5517</v>
      </c>
      <c r="C3194" t="s">
        <v>296</v>
      </c>
      <c r="D3194">
        <v>2.4089999999999998</v>
      </c>
      <c r="E3194">
        <v>771</v>
      </c>
      <c r="F3194" t="str">
        <f>HYPERLINK("https://www.google.com/maps/search/?api=1&amp;query=24.16165495,46.1939479", "View Map")</f>
        <v>View Map</v>
      </c>
      <c r="G3194" s="2">
        <v>0.59038817958817558</v>
      </c>
    </row>
    <row r="3195" spans="1:7" x14ac:dyDescent="0.3">
      <c r="A3195" t="s">
        <v>5518</v>
      </c>
      <c r="B3195" t="s">
        <v>5519</v>
      </c>
      <c r="C3195" t="s">
        <v>8</v>
      </c>
      <c r="D3195">
        <v>2.4089999999999998</v>
      </c>
      <c r="E3195">
        <v>771</v>
      </c>
      <c r="F3195" t="str">
        <f>HYPERLINK("https://www.google.com/maps/search/?api=1&amp;query=24.61379686,46.64277521", "View Map")</f>
        <v>View Map</v>
      </c>
    </row>
    <row r="3196" spans="1:7" x14ac:dyDescent="0.3">
      <c r="A3196" t="s">
        <v>5520</v>
      </c>
      <c r="B3196" t="s">
        <v>5521</v>
      </c>
      <c r="C3196" t="s">
        <v>291</v>
      </c>
      <c r="D3196">
        <v>2.4079999999999999</v>
      </c>
      <c r="E3196">
        <v>770</v>
      </c>
      <c r="F3196" t="str">
        <f>HYPERLINK("https://www.google.com/maps/search/?api=1&amp;query=23.6103233,44.4867038", "View Map")</f>
        <v>View Map</v>
      </c>
      <c r="G3196" s="2">
        <v>0.74631557008723715</v>
      </c>
    </row>
    <row r="3197" spans="1:7" x14ac:dyDescent="0.3">
      <c r="A3197" t="s">
        <v>5522</v>
      </c>
      <c r="B3197" t="s">
        <v>5523</v>
      </c>
      <c r="C3197" t="s">
        <v>214</v>
      </c>
      <c r="D3197">
        <v>2.407</v>
      </c>
      <c r="E3197">
        <v>770</v>
      </c>
      <c r="F3197" t="str">
        <f>HYPERLINK("https://www.google.com/maps/search/?api=1&amp;query=25.71164862,45.86088172", "View Map")</f>
        <v>View Map</v>
      </c>
      <c r="G3197" s="2">
        <v>0.56584141467893767</v>
      </c>
    </row>
    <row r="3198" spans="1:7" x14ac:dyDescent="0.3">
      <c r="A3198" t="s">
        <v>5524</v>
      </c>
      <c r="B3198" t="s">
        <v>5525</v>
      </c>
      <c r="C3198" t="s">
        <v>8</v>
      </c>
      <c r="D3198">
        <v>2.407</v>
      </c>
      <c r="E3198">
        <v>770</v>
      </c>
      <c r="F3198" t="str">
        <f>HYPERLINK("https://www.google.com/maps/search/?api=1&amp;query=24.55040043,46.69219289", "View Map")</f>
        <v>View Map</v>
      </c>
    </row>
    <row r="3199" spans="1:7" x14ac:dyDescent="0.3">
      <c r="A3199" t="s">
        <v>5526</v>
      </c>
      <c r="B3199" t="s">
        <v>5527</v>
      </c>
      <c r="C3199" t="s">
        <v>8</v>
      </c>
      <c r="D3199">
        <v>2.4060000000000001</v>
      </c>
      <c r="E3199">
        <v>770</v>
      </c>
      <c r="F3199" t="str">
        <f>HYPERLINK("https://www.google.com/maps/search/?api=1&amp;query=24.8092,46.63193", "View Map")</f>
        <v>View Map</v>
      </c>
      <c r="G3199" s="2">
        <v>0.1247524989903992</v>
      </c>
    </row>
    <row r="3200" spans="1:7" x14ac:dyDescent="0.3">
      <c r="A3200" t="s">
        <v>5528</v>
      </c>
      <c r="B3200" t="s">
        <v>5529</v>
      </c>
      <c r="C3200" t="s">
        <v>8</v>
      </c>
      <c r="D3200">
        <v>2.4049999999999998</v>
      </c>
      <c r="E3200">
        <v>770</v>
      </c>
      <c r="F3200" t="str">
        <f>HYPERLINK("https://www.google.com/maps/search/?api=1&amp;query=24.61522647,46.68536534", "View Map")</f>
        <v>View Map</v>
      </c>
    </row>
    <row r="3201" spans="1:7" x14ac:dyDescent="0.3">
      <c r="A3201" t="s">
        <v>5530</v>
      </c>
      <c r="B3201" t="s">
        <v>5531</v>
      </c>
      <c r="C3201" t="s">
        <v>8</v>
      </c>
      <c r="D3201">
        <v>2.4039999999999999</v>
      </c>
      <c r="E3201">
        <v>769</v>
      </c>
      <c r="F3201" t="str">
        <f>HYPERLINK("https://www.google.com/maps/search/?api=1&amp;query=24.6818563,46.76009502", "View Map")</f>
        <v>View Map</v>
      </c>
    </row>
    <row r="3202" spans="1:7" x14ac:dyDescent="0.3">
      <c r="A3202" t="s">
        <v>2867</v>
      </c>
      <c r="B3202" t="s">
        <v>5532</v>
      </c>
      <c r="C3202" t="s">
        <v>8</v>
      </c>
      <c r="D3202">
        <v>2.403</v>
      </c>
      <c r="E3202">
        <v>769</v>
      </c>
      <c r="F3202" t="str">
        <f>HYPERLINK("https://www.google.com/maps/search/?api=1&amp;query=24.79867649,46.75141039", "View Map")</f>
        <v>View Map</v>
      </c>
    </row>
    <row r="3203" spans="1:7" x14ac:dyDescent="0.3">
      <c r="A3203" t="s">
        <v>5533</v>
      </c>
      <c r="B3203" t="s">
        <v>5534</v>
      </c>
      <c r="C3203" t="s">
        <v>8</v>
      </c>
      <c r="D3203">
        <v>2.403</v>
      </c>
      <c r="E3203">
        <v>769</v>
      </c>
      <c r="F3203" t="str">
        <f>HYPERLINK("https://www.google.com/maps/search/?api=1&amp;query=24.70761085,46.81183148", "View Map")</f>
        <v>View Map</v>
      </c>
    </row>
    <row r="3204" spans="1:7" x14ac:dyDescent="0.3">
      <c r="A3204" t="s">
        <v>5535</v>
      </c>
      <c r="B3204" t="s">
        <v>5536</v>
      </c>
      <c r="C3204" t="s">
        <v>8</v>
      </c>
      <c r="D3204">
        <v>2.403</v>
      </c>
      <c r="E3204">
        <v>769</v>
      </c>
      <c r="F3204" t="str">
        <f>HYPERLINK("https://www.google.com/maps/search/?api=1&amp;query=24.61239995,46.63845061", "View Map")</f>
        <v>View Map</v>
      </c>
    </row>
    <row r="3205" spans="1:7" x14ac:dyDescent="0.3">
      <c r="A3205" t="s">
        <v>678</v>
      </c>
      <c r="B3205" t="s">
        <v>5537</v>
      </c>
      <c r="C3205" t="s">
        <v>21</v>
      </c>
      <c r="D3205">
        <v>2.4009999999999998</v>
      </c>
      <c r="E3205">
        <v>768</v>
      </c>
      <c r="F3205" t="str">
        <f>HYPERLINK("https://www.google.com/maps/search/?api=1&amp;query=26.27471351,44.83758967", "View Map")</f>
        <v>View Map</v>
      </c>
      <c r="G3205" s="2">
        <v>0.55215950888126897</v>
      </c>
    </row>
    <row r="3206" spans="1:7" x14ac:dyDescent="0.3">
      <c r="A3206" t="s">
        <v>46</v>
      </c>
      <c r="B3206" t="s">
        <v>5538</v>
      </c>
      <c r="C3206" t="s">
        <v>8</v>
      </c>
      <c r="D3206">
        <v>2.4009999999999998</v>
      </c>
      <c r="E3206">
        <v>768</v>
      </c>
      <c r="F3206" t="str">
        <f>HYPERLINK("https://www.google.com/maps/search/?api=1&amp;query=24.60732311,46.50291254", "View Map")</f>
        <v>View Map</v>
      </c>
    </row>
    <row r="3207" spans="1:7" x14ac:dyDescent="0.3">
      <c r="A3207" t="s">
        <v>46</v>
      </c>
      <c r="B3207" t="s">
        <v>5539</v>
      </c>
      <c r="C3207" t="s">
        <v>8</v>
      </c>
      <c r="D3207">
        <v>2.4</v>
      </c>
      <c r="E3207">
        <v>768</v>
      </c>
      <c r="F3207" t="str">
        <f>HYPERLINK("https://www.google.com/maps/search/?api=1&amp;query=24.92525789,46.82341566", "View Map")</f>
        <v>View Map</v>
      </c>
      <c r="G3207" s="2">
        <v>0.35262741459948638</v>
      </c>
    </row>
    <row r="3208" spans="1:7" x14ac:dyDescent="0.3">
      <c r="A3208" t="s">
        <v>2421</v>
      </c>
      <c r="B3208" t="s">
        <v>5540</v>
      </c>
      <c r="C3208" t="s">
        <v>8</v>
      </c>
      <c r="D3208">
        <v>2.4</v>
      </c>
      <c r="E3208">
        <v>768</v>
      </c>
      <c r="F3208" t="str">
        <f>HYPERLINK("https://www.google.com/maps/search/?api=1&amp;query=24.77913844,46.74614845", "View Map")</f>
        <v>View Map</v>
      </c>
      <c r="G3208" s="2">
        <v>0.38051505528350449</v>
      </c>
    </row>
    <row r="3209" spans="1:7" x14ac:dyDescent="0.3">
      <c r="A3209" t="s">
        <v>5541</v>
      </c>
      <c r="B3209" t="s">
        <v>5542</v>
      </c>
      <c r="C3209" t="s">
        <v>646</v>
      </c>
      <c r="D3209">
        <v>2.399</v>
      </c>
      <c r="E3209">
        <v>768</v>
      </c>
      <c r="F3209" t="str">
        <f>HYPERLINK("https://www.google.com/maps/search/?api=1&amp;query=20.55834359,45.7333506", "View Map")</f>
        <v>View Map</v>
      </c>
      <c r="G3209" s="2">
        <v>0.98655453037268392</v>
      </c>
    </row>
    <row r="3210" spans="1:7" x14ac:dyDescent="0.3">
      <c r="A3210" t="s">
        <v>5543</v>
      </c>
      <c r="B3210" t="s">
        <v>5544</v>
      </c>
      <c r="C3210" t="s">
        <v>77</v>
      </c>
      <c r="D3210">
        <v>2.399</v>
      </c>
      <c r="E3210">
        <v>768</v>
      </c>
      <c r="F3210" t="str">
        <f>HYPERLINK("https://www.google.com/maps/search/?api=1&amp;query=22.29620549,46.71709825", "View Map")</f>
        <v>View Map</v>
      </c>
    </row>
    <row r="3211" spans="1:7" x14ac:dyDescent="0.3">
      <c r="A3211" t="s">
        <v>5545</v>
      </c>
      <c r="B3211" t="s">
        <v>5546</v>
      </c>
      <c r="C3211" t="s">
        <v>393</v>
      </c>
      <c r="D3211">
        <v>2.3980000000000001</v>
      </c>
      <c r="E3211">
        <v>767</v>
      </c>
      <c r="F3211" t="str">
        <f>HYPERLINK("https://www.google.com/maps/search/?api=1&amp;query=23.34714357,45.24884866", "View Map")</f>
        <v>View Map</v>
      </c>
      <c r="G3211" s="2">
        <v>0.7578477970038523</v>
      </c>
    </row>
    <row r="3212" spans="1:7" x14ac:dyDescent="0.3">
      <c r="A3212" t="s">
        <v>5547</v>
      </c>
      <c r="B3212" t="s">
        <v>5548</v>
      </c>
      <c r="C3212" t="s">
        <v>255</v>
      </c>
      <c r="D3212">
        <v>2.3969999999999998</v>
      </c>
      <c r="E3212">
        <v>767</v>
      </c>
      <c r="F3212" t="str">
        <f>HYPERLINK("https://www.google.com/maps/search/?api=1&amp;query=24.5440669,44.4306552", "View Map")</f>
        <v>View Map</v>
      </c>
      <c r="G3212" s="2">
        <v>0.53937771640941068</v>
      </c>
    </row>
    <row r="3213" spans="1:7" x14ac:dyDescent="0.3">
      <c r="A3213" t="s">
        <v>5549</v>
      </c>
      <c r="B3213" t="s">
        <v>5550</v>
      </c>
      <c r="C3213" t="s">
        <v>8</v>
      </c>
      <c r="D3213">
        <v>2.3969999999999998</v>
      </c>
      <c r="E3213">
        <v>767</v>
      </c>
      <c r="F3213" t="str">
        <f>HYPERLINK("https://www.google.com/maps/search/?api=1&amp;query=24.56641178,46.84331573", "View Map")</f>
        <v>View Map</v>
      </c>
      <c r="G3213" s="2">
        <v>0.38347204463101908</v>
      </c>
    </row>
    <row r="3214" spans="1:7" x14ac:dyDescent="0.3">
      <c r="A3214" t="s">
        <v>5551</v>
      </c>
      <c r="B3214" t="s">
        <v>5552</v>
      </c>
      <c r="C3214" t="s">
        <v>393</v>
      </c>
      <c r="D3214">
        <v>2.395</v>
      </c>
      <c r="E3214">
        <v>766</v>
      </c>
      <c r="F3214" t="str">
        <f>HYPERLINK("https://www.google.com/maps/search/?api=1&amp;query=23.6174349,45.86836702", "View Map")</f>
        <v>View Map</v>
      </c>
      <c r="G3214" s="2">
        <v>0.67914485301866845</v>
      </c>
    </row>
    <row r="3215" spans="1:7" x14ac:dyDescent="0.3">
      <c r="A3215" t="s">
        <v>5553</v>
      </c>
      <c r="B3215" t="s">
        <v>5554</v>
      </c>
      <c r="C3215" t="s">
        <v>8</v>
      </c>
      <c r="D3215">
        <v>2.395</v>
      </c>
      <c r="E3215">
        <v>766</v>
      </c>
      <c r="F3215" t="str">
        <f>HYPERLINK("https://www.google.com/maps/search/?api=1&amp;query=24.79740407,46.80360029", "View Map")</f>
        <v>View Map</v>
      </c>
    </row>
    <row r="3216" spans="1:7" x14ac:dyDescent="0.3">
      <c r="A3216" t="s">
        <v>5555</v>
      </c>
      <c r="B3216" t="s">
        <v>5556</v>
      </c>
      <c r="C3216" t="s">
        <v>8</v>
      </c>
      <c r="D3216">
        <v>2.395</v>
      </c>
      <c r="E3216">
        <v>766</v>
      </c>
      <c r="F3216" t="str">
        <f>HYPERLINK("https://www.google.com/maps/search/?api=1&amp;query=24.75253842,46.77390533", "View Map")</f>
        <v>View Map</v>
      </c>
    </row>
    <row r="3217" spans="1:7" x14ac:dyDescent="0.3">
      <c r="A3217" t="s">
        <v>46</v>
      </c>
      <c r="B3217" t="s">
        <v>5557</v>
      </c>
      <c r="C3217" t="s">
        <v>8</v>
      </c>
      <c r="D3217">
        <v>2.395</v>
      </c>
      <c r="E3217">
        <v>767</v>
      </c>
      <c r="F3217" t="str">
        <f>HYPERLINK("https://www.google.com/maps/search/?api=1&amp;query=24.85394456,46.83470267", "View Map")</f>
        <v>View Map</v>
      </c>
    </row>
    <row r="3218" spans="1:7" x14ac:dyDescent="0.3">
      <c r="A3218" t="s">
        <v>5558</v>
      </c>
      <c r="B3218" t="s">
        <v>5559</v>
      </c>
      <c r="C3218" t="s">
        <v>8</v>
      </c>
      <c r="D3218">
        <v>2.3940000000000001</v>
      </c>
      <c r="E3218">
        <v>766</v>
      </c>
      <c r="F3218" t="str">
        <f>HYPERLINK("https://www.google.com/maps/search/?api=1&amp;query=24.53334819,46.71084819", "View Map")</f>
        <v>View Map</v>
      </c>
    </row>
    <row r="3219" spans="1:7" x14ac:dyDescent="0.3">
      <c r="A3219" t="s">
        <v>46</v>
      </c>
      <c r="B3219" t="s">
        <v>5560</v>
      </c>
      <c r="C3219" t="s">
        <v>8</v>
      </c>
      <c r="D3219">
        <v>2.3940000000000001</v>
      </c>
      <c r="E3219">
        <v>766</v>
      </c>
      <c r="F3219" t="str">
        <f>HYPERLINK("https://www.google.com/maps/search/?api=1&amp;query=24.864137,46.625524", "View Map")</f>
        <v>View Map</v>
      </c>
    </row>
    <row r="3220" spans="1:7" x14ac:dyDescent="0.3">
      <c r="A3220" t="s">
        <v>5561</v>
      </c>
      <c r="B3220" t="s">
        <v>5562</v>
      </c>
      <c r="C3220" t="s">
        <v>8</v>
      </c>
      <c r="D3220">
        <v>2.3919999999999999</v>
      </c>
      <c r="E3220">
        <v>765</v>
      </c>
      <c r="F3220" t="str">
        <f>HYPERLINK("https://www.google.com/maps/search/?api=1&amp;query=24.73463634,46.77801906", "View Map")</f>
        <v>View Map</v>
      </c>
      <c r="G3220" s="2">
        <v>0.63561642374533966</v>
      </c>
    </row>
    <row r="3221" spans="1:7" x14ac:dyDescent="0.3">
      <c r="A3221" t="s">
        <v>5563</v>
      </c>
      <c r="B3221" t="s">
        <v>5564</v>
      </c>
      <c r="C3221" t="s">
        <v>214</v>
      </c>
      <c r="D3221">
        <v>2.391</v>
      </c>
      <c r="E3221">
        <v>765</v>
      </c>
      <c r="F3221" t="str">
        <f>HYPERLINK("https://www.google.com/maps/search/?api=1&amp;query=25.69696571,45.8817406", "View Map")</f>
        <v>View Map</v>
      </c>
      <c r="G3221" s="2">
        <v>0.64516121599788245</v>
      </c>
    </row>
    <row r="3222" spans="1:7" x14ac:dyDescent="0.3">
      <c r="A3222" t="s">
        <v>5565</v>
      </c>
      <c r="B3222" t="s">
        <v>5566</v>
      </c>
      <c r="C3222" t="s">
        <v>30</v>
      </c>
      <c r="D3222">
        <v>2.391</v>
      </c>
      <c r="E3222">
        <v>765</v>
      </c>
      <c r="F3222" t="str">
        <f>HYPERLINK("https://www.google.com/maps/search/?api=1&amp;query=24.17869167,47.36518279", "View Map")</f>
        <v>View Map</v>
      </c>
    </row>
    <row r="3223" spans="1:7" x14ac:dyDescent="0.3">
      <c r="A3223" t="s">
        <v>5567</v>
      </c>
      <c r="B3223" t="s">
        <v>5568</v>
      </c>
      <c r="C3223" t="s">
        <v>8</v>
      </c>
      <c r="D3223">
        <v>2.3889999999999998</v>
      </c>
      <c r="E3223">
        <v>765</v>
      </c>
      <c r="F3223" t="str">
        <f>HYPERLINK("https://www.google.com/maps/search/?api=1&amp;query=24.53241447,46.65107593", "View Map")</f>
        <v>View Map</v>
      </c>
    </row>
    <row r="3224" spans="1:7" x14ac:dyDescent="0.3">
      <c r="A3224" t="s">
        <v>5569</v>
      </c>
      <c r="B3224" t="s">
        <v>5570</v>
      </c>
      <c r="C3224" t="s">
        <v>8</v>
      </c>
      <c r="D3224">
        <v>2.3879999999999999</v>
      </c>
      <c r="E3224">
        <v>764</v>
      </c>
      <c r="F3224" t="str">
        <f>HYPERLINK("https://www.google.com/maps/search/?api=1&amp;query=24.63814052,46.55946536", "View Map")</f>
        <v>View Map</v>
      </c>
      <c r="G3224" s="2">
        <v>0.28581179741638418</v>
      </c>
    </row>
    <row r="3225" spans="1:7" x14ac:dyDescent="0.3">
      <c r="A3225" t="s">
        <v>5571</v>
      </c>
      <c r="B3225" t="s">
        <v>5572</v>
      </c>
      <c r="C3225" t="s">
        <v>8</v>
      </c>
      <c r="D3225">
        <v>2.3879999999999999</v>
      </c>
      <c r="E3225">
        <v>764</v>
      </c>
      <c r="F3225" t="str">
        <f>HYPERLINK("https://www.google.com/maps/search/?api=1&amp;query=24.54116997,46.69164533", "View Map")</f>
        <v>View Map</v>
      </c>
    </row>
    <row r="3226" spans="1:7" x14ac:dyDescent="0.3">
      <c r="A3226" t="s">
        <v>5573</v>
      </c>
      <c r="B3226" t="s">
        <v>5574</v>
      </c>
      <c r="C3226" t="s">
        <v>8</v>
      </c>
      <c r="D3226">
        <v>2.3879999999999999</v>
      </c>
      <c r="E3226">
        <v>764</v>
      </c>
      <c r="F3226" t="str">
        <f>HYPERLINK("https://www.google.com/maps/search/?api=1&amp;query=24.63930419,46.71990735", "View Map")</f>
        <v>View Map</v>
      </c>
      <c r="G3226" s="2">
        <v>0.41436053895756292</v>
      </c>
    </row>
    <row r="3227" spans="1:7" x14ac:dyDescent="0.3">
      <c r="A3227" t="s">
        <v>5575</v>
      </c>
      <c r="B3227" t="s">
        <v>5576</v>
      </c>
      <c r="C3227" t="s">
        <v>646</v>
      </c>
      <c r="D3227">
        <v>2.3879999999999999</v>
      </c>
      <c r="E3227">
        <v>764</v>
      </c>
      <c r="F3227" t="str">
        <f>HYPERLINK("https://www.google.com/maps/search/?api=1&amp;query=20.46439667,45.59393835", "View Map")</f>
        <v>View Map</v>
      </c>
      <c r="G3227" s="2">
        <v>0.40664306331620909</v>
      </c>
    </row>
    <row r="3228" spans="1:7" x14ac:dyDescent="0.3">
      <c r="A3228" t="s">
        <v>5577</v>
      </c>
      <c r="B3228" t="s">
        <v>5578</v>
      </c>
      <c r="C3228" t="s">
        <v>286</v>
      </c>
      <c r="D3228">
        <v>2.387</v>
      </c>
      <c r="E3228">
        <v>764</v>
      </c>
      <c r="F3228" t="str">
        <f>HYPERLINK("https://www.google.com/maps/search/?api=1&amp;query=25.34861061,45.16985348", "View Map")</f>
        <v>View Map</v>
      </c>
      <c r="G3228" s="2">
        <v>0.53693893905435475</v>
      </c>
    </row>
    <row r="3229" spans="1:7" x14ac:dyDescent="0.3">
      <c r="A3229" t="s">
        <v>5579</v>
      </c>
      <c r="B3229" t="s">
        <v>5580</v>
      </c>
      <c r="C3229" t="s">
        <v>8</v>
      </c>
      <c r="D3229">
        <v>2.387</v>
      </c>
      <c r="E3229">
        <v>764</v>
      </c>
      <c r="F3229" t="str">
        <f>HYPERLINK("https://www.google.com/maps/search/?api=1&amp;query=24.6094,46.7206", "View Map")</f>
        <v>View Map</v>
      </c>
    </row>
    <row r="3230" spans="1:7" x14ac:dyDescent="0.3">
      <c r="A3230" t="s">
        <v>5581</v>
      </c>
      <c r="B3230" t="s">
        <v>5582</v>
      </c>
      <c r="C3230" t="s">
        <v>30</v>
      </c>
      <c r="D3230">
        <v>2.3860000000000001</v>
      </c>
      <c r="E3230">
        <v>764</v>
      </c>
      <c r="F3230" t="str">
        <f>HYPERLINK("https://www.google.com/maps/search/?api=1&amp;query=24.15619718,47.33334623", "View Map")</f>
        <v>View Map</v>
      </c>
      <c r="G3230" s="2">
        <v>0.45561635691027452</v>
      </c>
    </row>
    <row r="3231" spans="1:7" x14ac:dyDescent="0.3">
      <c r="A3231" t="s">
        <v>5583</v>
      </c>
      <c r="B3231" t="s">
        <v>5584</v>
      </c>
      <c r="C3231" t="s">
        <v>8</v>
      </c>
      <c r="D3231">
        <v>2.3860000000000001</v>
      </c>
      <c r="E3231">
        <v>764</v>
      </c>
      <c r="F3231" t="str">
        <f>HYPERLINK("https://www.google.com/maps/search/?api=1&amp;query=24.64455057,46.6869071", "View Map")</f>
        <v>View Map</v>
      </c>
    </row>
    <row r="3232" spans="1:7" x14ac:dyDescent="0.3">
      <c r="A3232" t="s">
        <v>5585</v>
      </c>
      <c r="B3232" t="s">
        <v>5586</v>
      </c>
      <c r="C3232" t="s">
        <v>214</v>
      </c>
      <c r="D3232">
        <v>2.3860000000000001</v>
      </c>
      <c r="E3232">
        <v>763</v>
      </c>
      <c r="F3232" t="str">
        <f>HYPERLINK("https://www.google.com/maps/search/?api=1&amp;query=25.90401363,45.36998863", "View Map")</f>
        <v>View Map</v>
      </c>
    </row>
    <row r="3233" spans="1:7" x14ac:dyDescent="0.3">
      <c r="A3233" t="s">
        <v>5587</v>
      </c>
      <c r="B3233" t="s">
        <v>5588</v>
      </c>
      <c r="C3233" t="s">
        <v>8</v>
      </c>
      <c r="D3233">
        <v>2.3849999999999998</v>
      </c>
      <c r="E3233">
        <v>763</v>
      </c>
      <c r="F3233" t="str">
        <f>HYPERLINK("https://www.google.com/maps/search/?api=1&amp;query=24.71843199,46.85317115", "View Map")</f>
        <v>View Map</v>
      </c>
    </row>
    <row r="3234" spans="1:7" x14ac:dyDescent="0.3">
      <c r="A3234" t="s">
        <v>5589</v>
      </c>
      <c r="B3234" t="s">
        <v>5590</v>
      </c>
      <c r="C3234" t="s">
        <v>214</v>
      </c>
      <c r="D3234">
        <v>2.3839999999999999</v>
      </c>
      <c r="E3234">
        <v>763</v>
      </c>
      <c r="F3234" t="str">
        <f>HYPERLINK("https://www.google.com/maps/search/?api=1&amp;query=25.5925548,45.79608624", "View Map")</f>
        <v>View Map</v>
      </c>
      <c r="G3234" s="2">
        <v>0.34823390040460112</v>
      </c>
    </row>
    <row r="3235" spans="1:7" x14ac:dyDescent="0.3">
      <c r="A3235" t="s">
        <v>5591</v>
      </c>
      <c r="B3235" t="s">
        <v>5592</v>
      </c>
      <c r="C3235" t="s">
        <v>286</v>
      </c>
      <c r="D3235">
        <v>2.3839999999999999</v>
      </c>
      <c r="E3235">
        <v>763</v>
      </c>
      <c r="F3235" t="str">
        <f>HYPERLINK("https://www.google.com/maps/search/?api=1&amp;query=25.23529417,45.24566151", "View Map")</f>
        <v>View Map</v>
      </c>
      <c r="G3235" s="2">
        <v>0.78051972471848619</v>
      </c>
    </row>
    <row r="3236" spans="1:7" x14ac:dyDescent="0.3">
      <c r="A3236" t="s">
        <v>5593</v>
      </c>
      <c r="B3236" t="s">
        <v>5594</v>
      </c>
      <c r="C3236" t="s">
        <v>8</v>
      </c>
      <c r="D3236">
        <v>2.3839999999999999</v>
      </c>
      <c r="E3236">
        <v>763</v>
      </c>
      <c r="F3236" t="str">
        <f>HYPERLINK("https://www.google.com/maps/search/?api=1&amp;query=24.73236371,46.77075358", "View Map")</f>
        <v>View Map</v>
      </c>
    </row>
    <row r="3237" spans="1:7" x14ac:dyDescent="0.3">
      <c r="A3237" t="s">
        <v>5595</v>
      </c>
      <c r="B3237" t="s">
        <v>5596</v>
      </c>
      <c r="C3237" t="s">
        <v>214</v>
      </c>
      <c r="D3237">
        <v>2.383</v>
      </c>
      <c r="E3237">
        <v>763</v>
      </c>
      <c r="F3237" t="str">
        <f>HYPERLINK("https://www.google.com/maps/search/?api=1&amp;query=25.69664192,45.88027634", "View Map")</f>
        <v>View Map</v>
      </c>
      <c r="G3237" s="2">
        <v>0.69287860560453463</v>
      </c>
    </row>
    <row r="3238" spans="1:7" x14ac:dyDescent="0.3">
      <c r="A3238" t="s">
        <v>5597</v>
      </c>
      <c r="B3238" t="s">
        <v>5598</v>
      </c>
      <c r="C3238" t="s">
        <v>16</v>
      </c>
      <c r="D3238">
        <v>2.383</v>
      </c>
      <c r="E3238">
        <v>763</v>
      </c>
      <c r="F3238" t="str">
        <f>HYPERLINK("https://www.google.com/maps/search/?api=1&amp;query=23.86725652,42.70127491", "View Map")</f>
        <v>View Map</v>
      </c>
      <c r="G3238" s="2">
        <v>0.61217362992156232</v>
      </c>
    </row>
    <row r="3239" spans="1:7" x14ac:dyDescent="0.3">
      <c r="A3239" t="s">
        <v>5599</v>
      </c>
      <c r="B3239" t="s">
        <v>5600</v>
      </c>
      <c r="C3239" t="s">
        <v>8</v>
      </c>
      <c r="D3239">
        <v>2.3820000000000001</v>
      </c>
      <c r="E3239">
        <v>762</v>
      </c>
      <c r="F3239" t="str">
        <f>HYPERLINK("https://www.google.com/maps/search/?api=1&amp;query=24.74849,46.63606", "View Map")</f>
        <v>View Map</v>
      </c>
    </row>
    <row r="3240" spans="1:7" x14ac:dyDescent="0.3">
      <c r="A3240" t="s">
        <v>5601</v>
      </c>
      <c r="B3240" t="s">
        <v>5602</v>
      </c>
      <c r="C3240" t="s">
        <v>8</v>
      </c>
      <c r="D3240">
        <v>2.3820000000000001</v>
      </c>
      <c r="E3240">
        <v>762</v>
      </c>
      <c r="F3240" t="str">
        <f>HYPERLINK("https://www.google.com/maps/search/?api=1&amp;query=24.58247189,46.69210319", "View Map")</f>
        <v>View Map</v>
      </c>
    </row>
    <row r="3241" spans="1:7" x14ac:dyDescent="0.3">
      <c r="A3241" t="s">
        <v>5603</v>
      </c>
      <c r="B3241" t="s">
        <v>5604</v>
      </c>
      <c r="C3241" t="s">
        <v>8</v>
      </c>
      <c r="D3241">
        <v>2.3809999999999998</v>
      </c>
      <c r="E3241">
        <v>762</v>
      </c>
      <c r="F3241" t="str">
        <f>HYPERLINK("https://www.google.com/maps/search/?api=1&amp;query=24.58740203,46.56905075", "View Map")</f>
        <v>View Map</v>
      </c>
    </row>
    <row r="3242" spans="1:7" x14ac:dyDescent="0.3">
      <c r="A3242" t="s">
        <v>46</v>
      </c>
      <c r="B3242" t="s">
        <v>5605</v>
      </c>
      <c r="C3242" t="s">
        <v>8</v>
      </c>
      <c r="D3242">
        <v>2.38</v>
      </c>
      <c r="E3242">
        <v>762</v>
      </c>
      <c r="F3242" t="str">
        <f>HYPERLINK("https://www.google.com/maps/search/?api=1&amp;query=24.8822,46.6197", "View Map")</f>
        <v>View Map</v>
      </c>
    </row>
    <row r="3243" spans="1:7" x14ac:dyDescent="0.3">
      <c r="A3243" t="s">
        <v>5606</v>
      </c>
      <c r="B3243" t="s">
        <v>5607</v>
      </c>
      <c r="C3243" t="s">
        <v>241</v>
      </c>
      <c r="D3243">
        <v>2.379</v>
      </c>
      <c r="E3243">
        <v>761</v>
      </c>
      <c r="F3243" t="str">
        <f>HYPERLINK("https://www.google.com/maps/search/?api=1&amp;query=20.46397203,44.7873135", "View Map")</f>
        <v>View Map</v>
      </c>
    </row>
    <row r="3244" spans="1:7" x14ac:dyDescent="0.3">
      <c r="A3244" t="s">
        <v>5608</v>
      </c>
      <c r="B3244" t="s">
        <v>5609</v>
      </c>
      <c r="C3244" t="s">
        <v>137</v>
      </c>
      <c r="D3244">
        <v>2.3769999999999998</v>
      </c>
      <c r="E3244">
        <v>761</v>
      </c>
      <c r="F3244" t="str">
        <f>HYPERLINK("https://www.google.com/maps/search/?api=1&amp;query=23.23286403,46.63406168", "View Map")</f>
        <v>View Map</v>
      </c>
      <c r="G3244" s="2">
        <v>0.49273186846140998</v>
      </c>
    </row>
    <row r="3245" spans="1:7" x14ac:dyDescent="0.3">
      <c r="A3245" t="s">
        <v>5610</v>
      </c>
      <c r="B3245" t="s">
        <v>5611</v>
      </c>
      <c r="C3245" t="s">
        <v>8</v>
      </c>
      <c r="D3245">
        <v>2.3759999999999999</v>
      </c>
      <c r="E3245">
        <v>760</v>
      </c>
      <c r="F3245" t="str">
        <f>HYPERLINK("https://www.google.com/maps/search/?api=1&amp;query=24.73916575,46.76853328", "View Map")</f>
        <v>View Map</v>
      </c>
    </row>
    <row r="3246" spans="1:7" x14ac:dyDescent="0.3">
      <c r="A3246" t="s">
        <v>5612</v>
      </c>
      <c r="B3246" t="s">
        <v>5613</v>
      </c>
      <c r="C3246" t="s">
        <v>4447</v>
      </c>
      <c r="D3246">
        <v>2.375</v>
      </c>
      <c r="E3246">
        <v>760</v>
      </c>
      <c r="F3246" t="str">
        <f>HYPERLINK("https://www.google.com/maps/search/?api=1&amp;query=24.23117298,41.73661888", "View Map")</f>
        <v>View Map</v>
      </c>
    </row>
    <row r="3247" spans="1:7" x14ac:dyDescent="0.3">
      <c r="A3247" t="s">
        <v>242</v>
      </c>
      <c r="B3247" t="s">
        <v>5614</v>
      </c>
      <c r="C3247" t="s">
        <v>8</v>
      </c>
      <c r="D3247">
        <v>2.375</v>
      </c>
      <c r="E3247">
        <v>760</v>
      </c>
      <c r="F3247" t="str">
        <f>HYPERLINK("https://www.google.com/maps/search/?api=1&amp;query=24.76882926,46.79507954", "View Map")</f>
        <v>View Map</v>
      </c>
    </row>
    <row r="3248" spans="1:7" x14ac:dyDescent="0.3">
      <c r="A3248" t="s">
        <v>46</v>
      </c>
      <c r="B3248" t="s">
        <v>5615</v>
      </c>
      <c r="C3248" t="s">
        <v>8</v>
      </c>
      <c r="D3248">
        <v>2.375</v>
      </c>
      <c r="E3248">
        <v>760</v>
      </c>
      <c r="F3248" t="str">
        <f>HYPERLINK("https://www.google.com/maps/search/?api=1&amp;query=24.92334319,46.82037301", "View Map")</f>
        <v>View Map</v>
      </c>
    </row>
    <row r="3249" spans="1:7" x14ac:dyDescent="0.3">
      <c r="A3249" t="s">
        <v>5616</v>
      </c>
      <c r="B3249" t="s">
        <v>5617</v>
      </c>
      <c r="C3249" t="s">
        <v>8</v>
      </c>
      <c r="D3249">
        <v>2.375</v>
      </c>
      <c r="E3249">
        <v>760</v>
      </c>
      <c r="F3249" t="str">
        <f>HYPERLINK("https://www.google.com/maps/search/?api=1&amp;query=24.7216869,46.67750572", "View Map")</f>
        <v>View Map</v>
      </c>
    </row>
    <row r="3250" spans="1:7" x14ac:dyDescent="0.3">
      <c r="A3250" t="s">
        <v>5618</v>
      </c>
      <c r="B3250" t="s">
        <v>5619</v>
      </c>
      <c r="C3250" t="s">
        <v>8</v>
      </c>
      <c r="D3250">
        <v>2.3740000000000001</v>
      </c>
      <c r="E3250">
        <v>760</v>
      </c>
      <c r="F3250" t="str">
        <f>HYPERLINK("https://www.google.com/maps/search/?api=1&amp;query=24.56659899,46.78240361", "View Map")</f>
        <v>View Map</v>
      </c>
    </row>
    <row r="3251" spans="1:7" x14ac:dyDescent="0.3">
      <c r="A3251" t="s">
        <v>5620</v>
      </c>
      <c r="B3251" t="s">
        <v>5621</v>
      </c>
      <c r="C3251" t="s">
        <v>8</v>
      </c>
      <c r="D3251">
        <v>2.3740000000000001</v>
      </c>
      <c r="E3251">
        <v>760</v>
      </c>
      <c r="F3251" t="str">
        <f>HYPERLINK("https://www.google.com/maps/search/?api=1&amp;query=24.5552839,46.71997436", "View Map")</f>
        <v>View Map</v>
      </c>
    </row>
    <row r="3252" spans="1:7" x14ac:dyDescent="0.3">
      <c r="A3252" t="s">
        <v>5622</v>
      </c>
      <c r="B3252" t="s">
        <v>5623</v>
      </c>
      <c r="C3252" t="s">
        <v>8</v>
      </c>
      <c r="D3252">
        <v>2.3730000000000002</v>
      </c>
      <c r="E3252">
        <v>759</v>
      </c>
      <c r="F3252" t="str">
        <f>HYPERLINK("https://www.google.com/maps/search/?api=1&amp;query=24.5496813,46.72383562", "View Map")</f>
        <v>View Map</v>
      </c>
    </row>
    <row r="3253" spans="1:7" x14ac:dyDescent="0.3">
      <c r="A3253" t="s">
        <v>5624</v>
      </c>
      <c r="B3253" t="s">
        <v>5625</v>
      </c>
      <c r="C3253" t="s">
        <v>442</v>
      </c>
      <c r="D3253">
        <v>2.3730000000000002</v>
      </c>
      <c r="E3253">
        <v>759</v>
      </c>
      <c r="F3253" t="str">
        <f>HYPERLINK("https://www.google.com/maps/search/?api=1&amp;query=23.63769166,46.5003744", "View Map")</f>
        <v>View Map</v>
      </c>
    </row>
    <row r="3254" spans="1:7" x14ac:dyDescent="0.3">
      <c r="A3254" t="s">
        <v>5626</v>
      </c>
      <c r="B3254" t="s">
        <v>5627</v>
      </c>
      <c r="C3254" t="s">
        <v>393</v>
      </c>
      <c r="D3254">
        <v>2.3730000000000002</v>
      </c>
      <c r="E3254">
        <v>759</v>
      </c>
      <c r="F3254" t="str">
        <f>HYPERLINK("https://www.google.com/maps/search/?api=1&amp;query=23.63565897,45.36229877", "View Map")</f>
        <v>View Map</v>
      </c>
      <c r="G3254" s="2">
        <v>0.54124768444491023</v>
      </c>
    </row>
    <row r="3255" spans="1:7" x14ac:dyDescent="0.3">
      <c r="A3255" t="s">
        <v>73</v>
      </c>
      <c r="B3255" t="s">
        <v>5628</v>
      </c>
      <c r="C3255" t="s">
        <v>55</v>
      </c>
      <c r="D3255">
        <v>2.3730000000000002</v>
      </c>
      <c r="E3255">
        <v>759</v>
      </c>
      <c r="F3255" t="str">
        <f>HYPERLINK("https://www.google.com/maps/search/?api=1&amp;query=24.7731,46.5667", "View Map")</f>
        <v>View Map</v>
      </c>
    </row>
    <row r="3256" spans="1:7" x14ac:dyDescent="0.3">
      <c r="A3256" t="s">
        <v>5629</v>
      </c>
      <c r="B3256" t="s">
        <v>5630</v>
      </c>
      <c r="C3256" t="s">
        <v>8</v>
      </c>
      <c r="D3256">
        <v>2.3719999999999999</v>
      </c>
      <c r="E3256">
        <v>759</v>
      </c>
      <c r="F3256" t="str">
        <f>HYPERLINK("https://www.google.com/maps/search/?api=1&amp;query=24.53908772,46.70975259", "View Map")</f>
        <v>View Map</v>
      </c>
    </row>
    <row r="3257" spans="1:7" x14ac:dyDescent="0.3">
      <c r="A3257" t="s">
        <v>5631</v>
      </c>
      <c r="B3257" t="s">
        <v>5632</v>
      </c>
      <c r="C3257" t="s">
        <v>442</v>
      </c>
      <c r="D3257">
        <v>2.3719999999999999</v>
      </c>
      <c r="E3257">
        <v>759</v>
      </c>
      <c r="F3257" t="str">
        <f>HYPERLINK("https://www.google.com/maps/search/?api=1&amp;query=23.62779385,46.50253246", "View Map")</f>
        <v>View Map</v>
      </c>
      <c r="G3257" s="2">
        <v>0.37917917663265349</v>
      </c>
    </row>
    <row r="3258" spans="1:7" x14ac:dyDescent="0.3">
      <c r="A3258" t="s">
        <v>635</v>
      </c>
      <c r="B3258" t="s">
        <v>5633</v>
      </c>
      <c r="C3258" t="s">
        <v>8</v>
      </c>
      <c r="D3258">
        <v>2.371</v>
      </c>
      <c r="E3258">
        <v>759</v>
      </c>
      <c r="F3258" t="str">
        <f>HYPERLINK("https://www.google.com/maps/search/?api=1&amp;query=24.80921546,46.80558422", "View Map")</f>
        <v>View Map</v>
      </c>
    </row>
    <row r="3259" spans="1:7" x14ac:dyDescent="0.3">
      <c r="A3259" t="s">
        <v>5634</v>
      </c>
      <c r="B3259" t="s">
        <v>5635</v>
      </c>
      <c r="C3259" t="s">
        <v>255</v>
      </c>
      <c r="D3259">
        <v>2.37</v>
      </c>
      <c r="E3259">
        <v>758</v>
      </c>
      <c r="F3259" t="str">
        <f>HYPERLINK("https://www.google.com/maps/search/?api=1&amp;query=24.50703751,44.39278844", "View Map")</f>
        <v>View Map</v>
      </c>
    </row>
    <row r="3260" spans="1:7" x14ac:dyDescent="0.3">
      <c r="A3260" t="s">
        <v>5636</v>
      </c>
      <c r="B3260" t="s">
        <v>5637</v>
      </c>
      <c r="C3260" t="s">
        <v>8</v>
      </c>
      <c r="D3260">
        <v>2.37</v>
      </c>
      <c r="E3260">
        <v>758</v>
      </c>
      <c r="F3260" t="str">
        <f>HYPERLINK("https://www.google.com/maps/search/?api=1&amp;query=24.65627271,46.73709355", "View Map")</f>
        <v>View Map</v>
      </c>
    </row>
    <row r="3261" spans="1:7" x14ac:dyDescent="0.3">
      <c r="A3261" t="s">
        <v>5638</v>
      </c>
      <c r="B3261" t="s">
        <v>5639</v>
      </c>
      <c r="C3261" t="s">
        <v>8</v>
      </c>
      <c r="D3261">
        <v>2.37</v>
      </c>
      <c r="E3261">
        <v>758</v>
      </c>
      <c r="F3261" t="str">
        <f>HYPERLINK("https://www.google.com/maps/search/?api=1&amp;query=24.78142229,46.71765395", "View Map")</f>
        <v>View Map</v>
      </c>
    </row>
    <row r="3262" spans="1:7" x14ac:dyDescent="0.3">
      <c r="A3262" t="s">
        <v>5640</v>
      </c>
      <c r="B3262" t="s">
        <v>5641</v>
      </c>
      <c r="C3262" t="s">
        <v>738</v>
      </c>
      <c r="D3262">
        <v>2.3690000000000002</v>
      </c>
      <c r="E3262">
        <v>758</v>
      </c>
      <c r="F3262" t="str">
        <f>HYPERLINK("https://www.google.com/maps/search/?api=1&amp;query=24.91144866,45.86340598", "View Map")</f>
        <v>View Map</v>
      </c>
      <c r="G3262" s="2">
        <v>0.63960646961239009</v>
      </c>
    </row>
    <row r="3263" spans="1:7" x14ac:dyDescent="0.3">
      <c r="A3263" t="s">
        <v>5642</v>
      </c>
      <c r="B3263" t="s">
        <v>5643</v>
      </c>
      <c r="C3263" t="s">
        <v>214</v>
      </c>
      <c r="D3263">
        <v>2.3690000000000002</v>
      </c>
      <c r="E3263">
        <v>758</v>
      </c>
      <c r="F3263" t="str">
        <f>HYPERLINK("https://www.google.com/maps/search/?api=1&amp;query=26.85964369,45.24185265", "View Map")</f>
        <v>View Map</v>
      </c>
      <c r="G3263" s="2">
        <v>0.56182632786851294</v>
      </c>
    </row>
    <row r="3264" spans="1:7" x14ac:dyDescent="0.3">
      <c r="A3264" t="s">
        <v>411</v>
      </c>
      <c r="B3264" t="s">
        <v>5644</v>
      </c>
      <c r="C3264" t="s">
        <v>77</v>
      </c>
      <c r="D3264">
        <v>2.3679999999999999</v>
      </c>
      <c r="E3264">
        <v>758</v>
      </c>
      <c r="F3264" t="str">
        <f>HYPERLINK("https://www.google.com/maps/search/?api=1&amp;query=22.32944272,46.71955435", "View Map")</f>
        <v>View Map</v>
      </c>
      <c r="G3264" s="2">
        <v>0.55492092581943286</v>
      </c>
    </row>
    <row r="3265" spans="1:7" x14ac:dyDescent="0.3">
      <c r="A3265" t="s">
        <v>881</v>
      </c>
      <c r="B3265" t="s">
        <v>5645</v>
      </c>
      <c r="C3265" t="s">
        <v>883</v>
      </c>
      <c r="D3265">
        <v>2.3679999999999999</v>
      </c>
      <c r="E3265">
        <v>758</v>
      </c>
      <c r="F3265" t="str">
        <f>HYPERLINK("https://www.google.com/maps/search/?api=1&amp;query=25.54421506,47.160024", "View Map")</f>
        <v>View Map</v>
      </c>
      <c r="G3265" s="2">
        <v>0.74387712263177264</v>
      </c>
    </row>
    <row r="3266" spans="1:7" x14ac:dyDescent="0.3">
      <c r="A3266" t="s">
        <v>46</v>
      </c>
      <c r="B3266" t="s">
        <v>5646</v>
      </c>
      <c r="C3266" t="s">
        <v>8</v>
      </c>
      <c r="D3266">
        <v>2.367</v>
      </c>
      <c r="E3266">
        <v>757</v>
      </c>
      <c r="F3266" t="str">
        <f>HYPERLINK("https://www.google.com/maps/search/?api=1&amp;query=24.62806686,46.54779038", "View Map")</f>
        <v>View Map</v>
      </c>
    </row>
    <row r="3267" spans="1:7" x14ac:dyDescent="0.3">
      <c r="A3267" t="s">
        <v>5647</v>
      </c>
      <c r="B3267" t="s">
        <v>5648</v>
      </c>
      <c r="C3267" t="s">
        <v>8</v>
      </c>
      <c r="D3267">
        <v>2.367</v>
      </c>
      <c r="E3267">
        <v>757</v>
      </c>
      <c r="F3267" t="str">
        <f>HYPERLINK("https://www.google.com/maps/search/?api=1&amp;query=24.82123323,46.63923618", "View Map")</f>
        <v>View Map</v>
      </c>
      <c r="G3267" s="2">
        <v>0.51949262007698671</v>
      </c>
    </row>
    <row r="3268" spans="1:7" x14ac:dyDescent="0.3">
      <c r="A3268" t="s">
        <v>5649</v>
      </c>
      <c r="B3268" t="s">
        <v>5650</v>
      </c>
      <c r="C3268" t="s">
        <v>8</v>
      </c>
      <c r="D3268">
        <v>2.3660000000000001</v>
      </c>
      <c r="E3268">
        <v>757</v>
      </c>
      <c r="F3268" t="str">
        <f>HYPERLINK("https://www.google.com/maps/search/?api=1&amp;query=24.56246162,46.76567181", "View Map")</f>
        <v>View Map</v>
      </c>
      <c r="G3268" s="2">
        <v>0.62912834610541846</v>
      </c>
    </row>
    <row r="3269" spans="1:7" x14ac:dyDescent="0.3">
      <c r="A3269" t="s">
        <v>5651</v>
      </c>
      <c r="B3269" t="s">
        <v>5652</v>
      </c>
      <c r="C3269" t="s">
        <v>8</v>
      </c>
      <c r="D3269">
        <v>2.3650000000000002</v>
      </c>
      <c r="E3269">
        <v>757</v>
      </c>
      <c r="F3269" t="str">
        <f>HYPERLINK("https://www.google.com/maps/search/?api=1&amp;query=24.50237325,46.62671845", "View Map")</f>
        <v>View Map</v>
      </c>
    </row>
    <row r="3270" spans="1:7" x14ac:dyDescent="0.3">
      <c r="A3270" t="s">
        <v>5653</v>
      </c>
      <c r="B3270" t="s">
        <v>5654</v>
      </c>
      <c r="C3270" t="s">
        <v>241</v>
      </c>
      <c r="D3270">
        <v>2.3650000000000002</v>
      </c>
      <c r="E3270">
        <v>757</v>
      </c>
      <c r="F3270" t="str">
        <f>HYPERLINK("https://www.google.com/maps/search/?api=1&amp;query=20.42867407,45.04177089", "View Map")</f>
        <v>View Map</v>
      </c>
      <c r="G3270" s="2">
        <v>0.69984005303211339</v>
      </c>
    </row>
    <row r="3271" spans="1:7" x14ac:dyDescent="0.3">
      <c r="A3271" t="s">
        <v>5447</v>
      </c>
      <c r="B3271" t="s">
        <v>5655</v>
      </c>
      <c r="C3271" t="s">
        <v>8</v>
      </c>
      <c r="D3271">
        <v>2.3650000000000002</v>
      </c>
      <c r="E3271">
        <v>757</v>
      </c>
      <c r="F3271" t="str">
        <f>HYPERLINK("https://www.google.com/maps/search/?api=1&amp;query=24.6098255,46.69984917", "View Map")</f>
        <v>View Map</v>
      </c>
    </row>
    <row r="3272" spans="1:7" x14ac:dyDescent="0.3">
      <c r="A3272" t="s">
        <v>5656</v>
      </c>
      <c r="B3272" t="s">
        <v>5657</v>
      </c>
      <c r="C3272" t="s">
        <v>30</v>
      </c>
      <c r="D3272">
        <v>2.363</v>
      </c>
      <c r="E3272">
        <v>756</v>
      </c>
      <c r="F3272" t="str">
        <f>HYPERLINK("https://www.google.com/maps/search/?api=1&amp;query=24.13346,47.24654", "View Map")</f>
        <v>View Map</v>
      </c>
      <c r="G3272" s="2">
        <v>0.39450172536134048</v>
      </c>
    </row>
    <row r="3273" spans="1:7" x14ac:dyDescent="0.3">
      <c r="A3273" t="s">
        <v>5658</v>
      </c>
      <c r="B3273" t="s">
        <v>5659</v>
      </c>
      <c r="C3273" t="s">
        <v>8</v>
      </c>
      <c r="D3273">
        <v>2.3620000000000001</v>
      </c>
      <c r="E3273">
        <v>756</v>
      </c>
      <c r="F3273" t="str">
        <f>HYPERLINK("https://www.google.com/maps/search/?api=1&amp;query=24.6075,46.6644", "View Map")</f>
        <v>View Map</v>
      </c>
    </row>
    <row r="3274" spans="1:7" x14ac:dyDescent="0.3">
      <c r="A3274" t="s">
        <v>146</v>
      </c>
      <c r="B3274" t="s">
        <v>5660</v>
      </c>
      <c r="C3274" t="s">
        <v>8</v>
      </c>
      <c r="D3274">
        <v>2.3620000000000001</v>
      </c>
      <c r="E3274">
        <v>756</v>
      </c>
      <c r="F3274" t="str">
        <f>HYPERLINK("https://www.google.com/maps/search/?api=1&amp;query=24.51596552,46.67479028", "View Map")</f>
        <v>View Map</v>
      </c>
    </row>
    <row r="3275" spans="1:7" x14ac:dyDescent="0.3">
      <c r="A3275" t="s">
        <v>5661</v>
      </c>
      <c r="B3275" t="s">
        <v>5662</v>
      </c>
      <c r="C3275" t="s">
        <v>16</v>
      </c>
      <c r="D3275">
        <v>2.3610000000000002</v>
      </c>
      <c r="E3275">
        <v>755</v>
      </c>
      <c r="F3275" t="str">
        <f>HYPERLINK("https://www.google.com/maps/search/?api=1&amp;query=23.89351698,42.90800342", "View Map")</f>
        <v>View Map</v>
      </c>
    </row>
    <row r="3276" spans="1:7" x14ac:dyDescent="0.3">
      <c r="A3276" t="s">
        <v>5663</v>
      </c>
      <c r="B3276" t="s">
        <v>5664</v>
      </c>
      <c r="C3276" t="s">
        <v>8</v>
      </c>
      <c r="D3276">
        <v>2.3610000000000002</v>
      </c>
      <c r="E3276">
        <v>755</v>
      </c>
      <c r="F3276" t="str">
        <f>HYPERLINK("https://www.google.com/maps/search/?api=1&amp;query=24.5987296,46.79995374", "View Map")</f>
        <v>View Map</v>
      </c>
    </row>
    <row r="3277" spans="1:7" x14ac:dyDescent="0.3">
      <c r="A3277" t="s">
        <v>479</v>
      </c>
      <c r="B3277" t="s">
        <v>5665</v>
      </c>
      <c r="C3277" t="s">
        <v>738</v>
      </c>
      <c r="D3277">
        <v>2.36</v>
      </c>
      <c r="E3277">
        <v>755</v>
      </c>
      <c r="F3277" t="str">
        <f>HYPERLINK("https://www.google.com/maps/search/?api=1&amp;query=25.12031365,46.08007253", "View Map")</f>
        <v>View Map</v>
      </c>
      <c r="G3277" s="2">
        <v>0.60550164163812048</v>
      </c>
    </row>
    <row r="3278" spans="1:7" x14ac:dyDescent="0.3">
      <c r="A3278" t="s">
        <v>5666</v>
      </c>
      <c r="B3278" t="s">
        <v>5667</v>
      </c>
      <c r="C3278" t="s">
        <v>214</v>
      </c>
      <c r="D3278">
        <v>2.36</v>
      </c>
      <c r="E3278">
        <v>755</v>
      </c>
      <c r="F3278" t="str">
        <f>HYPERLINK("https://www.google.com/maps/search/?api=1&amp;query=25.70170102,45.8733683", "View Map")</f>
        <v>View Map</v>
      </c>
      <c r="G3278" s="2">
        <v>0.29294515680778432</v>
      </c>
    </row>
    <row r="3279" spans="1:7" x14ac:dyDescent="0.3">
      <c r="A3279" t="s">
        <v>28</v>
      </c>
      <c r="B3279" t="s">
        <v>5668</v>
      </c>
      <c r="C3279" t="s">
        <v>30</v>
      </c>
      <c r="D3279">
        <v>2.36</v>
      </c>
      <c r="E3279">
        <v>755</v>
      </c>
      <c r="F3279" t="str">
        <f>HYPERLINK("https://www.google.com/maps/search/?api=1&amp;query=24.19379252,47.29725278", "View Map")</f>
        <v>View Map</v>
      </c>
      <c r="G3279" s="2">
        <v>0.37171907522717329</v>
      </c>
    </row>
    <row r="3280" spans="1:7" x14ac:dyDescent="0.3">
      <c r="A3280" t="s">
        <v>5669</v>
      </c>
      <c r="B3280" t="s">
        <v>5670</v>
      </c>
      <c r="C3280" t="s">
        <v>8</v>
      </c>
      <c r="D3280">
        <v>2.36</v>
      </c>
      <c r="E3280">
        <v>755</v>
      </c>
      <c r="F3280" t="str">
        <f>HYPERLINK("https://www.google.com/maps/search/?api=1&amp;query=24.60749038,46.74804161", "View Map")</f>
        <v>View Map</v>
      </c>
    </row>
    <row r="3281" spans="1:7" x14ac:dyDescent="0.3">
      <c r="A3281" t="s">
        <v>5671</v>
      </c>
      <c r="B3281" t="s">
        <v>5672</v>
      </c>
      <c r="C3281" t="s">
        <v>8</v>
      </c>
      <c r="D3281">
        <v>2.359</v>
      </c>
      <c r="E3281">
        <v>755</v>
      </c>
      <c r="F3281" t="str">
        <f>HYPERLINK("https://www.google.com/maps/search/?api=1&amp;query=24.6148259,46.74424522", "View Map")</f>
        <v>View Map</v>
      </c>
    </row>
    <row r="3282" spans="1:7" x14ac:dyDescent="0.3">
      <c r="A3282" t="s">
        <v>5673</v>
      </c>
      <c r="B3282" t="s">
        <v>5674</v>
      </c>
      <c r="C3282" t="s">
        <v>8</v>
      </c>
      <c r="D3282">
        <v>2.3580000000000001</v>
      </c>
      <c r="E3282">
        <v>755</v>
      </c>
      <c r="F3282" t="str">
        <f>HYPERLINK("https://www.google.com/maps/search/?api=1&amp;query=24.79984265,46.80466108", "View Map")</f>
        <v>View Map</v>
      </c>
    </row>
    <row r="3283" spans="1:7" x14ac:dyDescent="0.3">
      <c r="A3283" t="s">
        <v>5675</v>
      </c>
      <c r="B3283" t="s">
        <v>5676</v>
      </c>
      <c r="C3283" t="s">
        <v>8</v>
      </c>
      <c r="D3283">
        <v>2.3570000000000002</v>
      </c>
      <c r="E3283">
        <v>754</v>
      </c>
      <c r="F3283" t="str">
        <f>HYPERLINK("https://www.google.com/maps/search/?api=1&amp;query=24.82602806,46.88518644", "View Map")</f>
        <v>View Map</v>
      </c>
    </row>
    <row r="3284" spans="1:7" x14ac:dyDescent="0.3">
      <c r="A3284" t="s">
        <v>5677</v>
      </c>
      <c r="B3284" t="s">
        <v>5678</v>
      </c>
      <c r="C3284" t="s">
        <v>30</v>
      </c>
      <c r="D3284">
        <v>2.355</v>
      </c>
      <c r="E3284">
        <v>754</v>
      </c>
      <c r="F3284" t="str">
        <f>HYPERLINK("https://www.google.com/maps/search/?api=1&amp;query=24.20134994,47.28801865", "View Map")</f>
        <v>View Map</v>
      </c>
    </row>
    <row r="3285" spans="1:7" x14ac:dyDescent="0.3">
      <c r="A3285" t="s">
        <v>5679</v>
      </c>
      <c r="B3285" t="s">
        <v>5680</v>
      </c>
      <c r="C3285" t="s">
        <v>8</v>
      </c>
      <c r="D3285">
        <v>2.3540000000000001</v>
      </c>
      <c r="E3285">
        <v>753</v>
      </c>
      <c r="F3285" t="str">
        <f>HYPERLINK("https://www.google.com/maps/search/?api=1&amp;query=24.77313,46.68023", "View Map")</f>
        <v>View Map</v>
      </c>
    </row>
    <row r="3286" spans="1:7" x14ac:dyDescent="0.3">
      <c r="A3286" t="s">
        <v>5681</v>
      </c>
      <c r="B3286" t="s">
        <v>5682</v>
      </c>
      <c r="C3286" t="s">
        <v>8</v>
      </c>
      <c r="D3286">
        <v>2.3540000000000001</v>
      </c>
      <c r="E3286">
        <v>753</v>
      </c>
      <c r="F3286" t="str">
        <f>HYPERLINK("https://www.google.com/maps/search/?api=1&amp;query=24.57820219,46.58912509", "View Map")</f>
        <v>View Map</v>
      </c>
    </row>
    <row r="3287" spans="1:7" x14ac:dyDescent="0.3">
      <c r="A3287" t="s">
        <v>5683</v>
      </c>
      <c r="B3287" t="s">
        <v>5684</v>
      </c>
      <c r="C3287" t="s">
        <v>8</v>
      </c>
      <c r="D3287">
        <v>2.3519999999999999</v>
      </c>
      <c r="E3287">
        <v>753</v>
      </c>
      <c r="F3287" t="str">
        <f>HYPERLINK("https://www.google.com/maps/search/?api=1&amp;query=24.615,46.7242", "View Map")</f>
        <v>View Map</v>
      </c>
    </row>
    <row r="3288" spans="1:7" x14ac:dyDescent="0.3">
      <c r="A3288" t="s">
        <v>5685</v>
      </c>
      <c r="B3288" t="s">
        <v>5686</v>
      </c>
      <c r="C3288" t="s">
        <v>8</v>
      </c>
      <c r="D3288">
        <v>2.3519999999999999</v>
      </c>
      <c r="E3288">
        <v>753</v>
      </c>
      <c r="F3288" t="str">
        <f>HYPERLINK("https://www.google.com/maps/search/?api=1&amp;query=24.82127642,46.80905241", "View Map")</f>
        <v>View Map</v>
      </c>
    </row>
    <row r="3289" spans="1:7" x14ac:dyDescent="0.3">
      <c r="A3289" t="s">
        <v>5687</v>
      </c>
      <c r="B3289" t="s">
        <v>5688</v>
      </c>
      <c r="C3289" t="s">
        <v>137</v>
      </c>
      <c r="D3289">
        <v>2.35</v>
      </c>
      <c r="E3289">
        <v>752</v>
      </c>
      <c r="F3289" t="str">
        <f>HYPERLINK("https://www.google.com/maps/search/?api=1&amp;query=22.85962119,46.03347503", "View Map")</f>
        <v>View Map</v>
      </c>
      <c r="G3289" s="2">
        <v>0.61308134072871912</v>
      </c>
    </row>
    <row r="3290" spans="1:7" x14ac:dyDescent="0.3">
      <c r="A3290" t="s">
        <v>5689</v>
      </c>
      <c r="B3290" t="s">
        <v>5690</v>
      </c>
      <c r="C3290" t="s">
        <v>21</v>
      </c>
      <c r="D3290">
        <v>2.35</v>
      </c>
      <c r="E3290">
        <v>752</v>
      </c>
      <c r="F3290" t="str">
        <f>HYPERLINK("https://www.google.com/maps/search/?api=1&amp;query=26.28957921,44.81276338", "View Map")</f>
        <v>View Map</v>
      </c>
      <c r="G3290" s="2">
        <v>0.53714218886009346</v>
      </c>
    </row>
    <row r="3291" spans="1:7" x14ac:dyDescent="0.3">
      <c r="A3291" t="s">
        <v>5691</v>
      </c>
      <c r="B3291" t="s">
        <v>5692</v>
      </c>
      <c r="C3291" t="s">
        <v>8</v>
      </c>
      <c r="D3291">
        <v>2.3490000000000002</v>
      </c>
      <c r="E3291">
        <v>752</v>
      </c>
      <c r="F3291" t="str">
        <f>HYPERLINK("https://www.google.com/maps/search/?api=1&amp;query=24.67488462,46.72215458", "View Map")</f>
        <v>View Map</v>
      </c>
      <c r="G3291" s="2">
        <v>0.43618619294218042</v>
      </c>
    </row>
    <row r="3292" spans="1:7" x14ac:dyDescent="0.3">
      <c r="A3292" t="s">
        <v>5693</v>
      </c>
      <c r="B3292" t="s">
        <v>5694</v>
      </c>
      <c r="C3292" t="s">
        <v>8</v>
      </c>
      <c r="D3292">
        <v>2.3479999999999999</v>
      </c>
      <c r="E3292">
        <v>751</v>
      </c>
      <c r="F3292" t="str">
        <f>HYPERLINK("https://www.google.com/maps/search/?api=1&amp;query=24.63484656,46.73278558", "View Map")</f>
        <v>View Map</v>
      </c>
    </row>
    <row r="3293" spans="1:7" x14ac:dyDescent="0.3">
      <c r="A3293" t="s">
        <v>5695</v>
      </c>
      <c r="B3293" t="s">
        <v>5696</v>
      </c>
      <c r="C3293" t="s">
        <v>1112</v>
      </c>
      <c r="D3293">
        <v>2.347</v>
      </c>
      <c r="E3293">
        <v>751</v>
      </c>
      <c r="F3293" t="str">
        <f>HYPERLINK("https://www.google.com/maps/search/?api=1&amp;query=26.02134552,44.94439691", "View Map")</f>
        <v>View Map</v>
      </c>
      <c r="G3293" s="2">
        <v>0.72174539081087341</v>
      </c>
    </row>
    <row r="3294" spans="1:7" x14ac:dyDescent="0.3">
      <c r="A3294" t="s">
        <v>46</v>
      </c>
      <c r="B3294" t="s">
        <v>5697</v>
      </c>
      <c r="C3294" t="s">
        <v>8</v>
      </c>
      <c r="D3294">
        <v>2.3460000000000001</v>
      </c>
      <c r="E3294">
        <v>751</v>
      </c>
      <c r="F3294" t="str">
        <f>HYPERLINK("https://www.google.com/maps/search/?api=1&amp;query=24.83323989,46.77611144", "View Map")</f>
        <v>View Map</v>
      </c>
    </row>
    <row r="3295" spans="1:7" x14ac:dyDescent="0.3">
      <c r="A3295" t="s">
        <v>5698</v>
      </c>
      <c r="B3295" t="s">
        <v>5699</v>
      </c>
      <c r="C3295" t="s">
        <v>8</v>
      </c>
      <c r="D3295">
        <v>2.3450000000000002</v>
      </c>
      <c r="E3295">
        <v>750</v>
      </c>
      <c r="F3295" t="str">
        <f>HYPERLINK("https://www.google.com/maps/search/?api=1&amp;query=24.55738036,46.76371096", "View Map")</f>
        <v>View Map</v>
      </c>
    </row>
    <row r="3296" spans="1:7" x14ac:dyDescent="0.3">
      <c r="A3296" t="s">
        <v>5700</v>
      </c>
      <c r="B3296" t="s">
        <v>5701</v>
      </c>
      <c r="C3296" t="s">
        <v>55</v>
      </c>
      <c r="D3296">
        <v>2.3450000000000002</v>
      </c>
      <c r="E3296">
        <v>751</v>
      </c>
      <c r="F3296" t="str">
        <f>HYPERLINK("https://www.google.com/maps/search/?api=1&amp;query=24.74352549,46.57230921", "View Map")</f>
        <v>View Map</v>
      </c>
    </row>
    <row r="3297" spans="1:7" x14ac:dyDescent="0.3">
      <c r="A3297" t="s">
        <v>5702</v>
      </c>
      <c r="B3297" t="s">
        <v>5703</v>
      </c>
      <c r="C3297" t="s">
        <v>8</v>
      </c>
      <c r="D3297">
        <v>2.3439999999999999</v>
      </c>
      <c r="E3297">
        <v>750</v>
      </c>
      <c r="F3297" t="str">
        <f>HYPERLINK("https://www.google.com/maps/search/?api=1&amp;query=24.59104233,46.5864018", "View Map")</f>
        <v>View Map</v>
      </c>
    </row>
    <row r="3298" spans="1:7" x14ac:dyDescent="0.3">
      <c r="A3298" t="s">
        <v>5704</v>
      </c>
      <c r="B3298" t="s">
        <v>5705</v>
      </c>
      <c r="C3298" t="s">
        <v>8</v>
      </c>
      <c r="D3298">
        <v>2.3439999999999999</v>
      </c>
      <c r="E3298">
        <v>750</v>
      </c>
      <c r="F3298" t="str">
        <f>HYPERLINK("https://www.google.com/maps/search/?api=1&amp;query=24.76462182,46.76403247", "View Map")</f>
        <v>View Map</v>
      </c>
    </row>
    <row r="3299" spans="1:7" x14ac:dyDescent="0.3">
      <c r="A3299" t="s">
        <v>5706</v>
      </c>
      <c r="B3299" t="s">
        <v>5707</v>
      </c>
      <c r="C3299" t="s">
        <v>8</v>
      </c>
      <c r="D3299">
        <v>2.343</v>
      </c>
      <c r="E3299">
        <v>750</v>
      </c>
      <c r="F3299" t="str">
        <f>HYPERLINK("https://www.google.com/maps/search/?api=1&amp;query=24.75260202,46.63650499", "View Map")</f>
        <v>View Map</v>
      </c>
    </row>
    <row r="3300" spans="1:7" x14ac:dyDescent="0.3">
      <c r="A3300" t="s">
        <v>5708</v>
      </c>
      <c r="B3300" t="s">
        <v>5709</v>
      </c>
      <c r="C3300" t="s">
        <v>8</v>
      </c>
      <c r="D3300">
        <v>2.343</v>
      </c>
      <c r="E3300">
        <v>750</v>
      </c>
      <c r="F3300" t="str">
        <f>HYPERLINK("https://www.google.com/maps/search/?api=1&amp;query=24.62557207,46.73534343", "View Map")</f>
        <v>View Map</v>
      </c>
    </row>
    <row r="3301" spans="1:7" x14ac:dyDescent="0.3">
      <c r="A3301" t="s">
        <v>5710</v>
      </c>
      <c r="B3301" t="s">
        <v>5711</v>
      </c>
      <c r="C3301" t="s">
        <v>8</v>
      </c>
      <c r="D3301">
        <v>2.339</v>
      </c>
      <c r="E3301">
        <v>749</v>
      </c>
      <c r="F3301" t="str">
        <f>HYPERLINK("https://www.google.com/maps/search/?api=1&amp;query=24.70567047,46.797484", "View Map")</f>
        <v>View Map</v>
      </c>
    </row>
    <row r="3302" spans="1:7" x14ac:dyDescent="0.3">
      <c r="A3302" t="s">
        <v>5712</v>
      </c>
      <c r="B3302" t="s">
        <v>5713</v>
      </c>
      <c r="C3302" t="s">
        <v>8</v>
      </c>
      <c r="D3302">
        <v>2.339</v>
      </c>
      <c r="E3302">
        <v>749</v>
      </c>
      <c r="F3302" t="str">
        <f>HYPERLINK("https://www.google.com/maps/search/?api=1&amp;query=24.62678108,46.69682321", "View Map")</f>
        <v>View Map</v>
      </c>
    </row>
    <row r="3303" spans="1:7" x14ac:dyDescent="0.3">
      <c r="A3303" t="s">
        <v>5714</v>
      </c>
      <c r="B3303" t="s">
        <v>5715</v>
      </c>
      <c r="C3303" t="s">
        <v>738</v>
      </c>
      <c r="D3303">
        <v>2.339</v>
      </c>
      <c r="E3303">
        <v>748</v>
      </c>
      <c r="F3303" t="str">
        <f>HYPERLINK("https://www.google.com/maps/search/?api=1&amp;query=25.16750577,46.32772719", "View Map")</f>
        <v>View Map</v>
      </c>
      <c r="G3303" s="2">
        <v>0.26358788281095819</v>
      </c>
    </row>
    <row r="3304" spans="1:7" x14ac:dyDescent="0.3">
      <c r="A3304" t="s">
        <v>5716</v>
      </c>
      <c r="B3304" t="s">
        <v>5717</v>
      </c>
      <c r="C3304" t="s">
        <v>8</v>
      </c>
      <c r="D3304">
        <v>2.3380000000000001</v>
      </c>
      <c r="E3304">
        <v>748</v>
      </c>
      <c r="F3304" t="str">
        <f>HYPERLINK("https://www.google.com/maps/search/?api=1&amp;query=24.54167953,46.73054959", "View Map")</f>
        <v>View Map</v>
      </c>
    </row>
    <row r="3305" spans="1:7" x14ac:dyDescent="0.3">
      <c r="A3305" t="s">
        <v>46</v>
      </c>
      <c r="B3305" t="s">
        <v>5718</v>
      </c>
      <c r="C3305" t="s">
        <v>8</v>
      </c>
      <c r="D3305">
        <v>2.3380000000000001</v>
      </c>
      <c r="E3305">
        <v>748</v>
      </c>
      <c r="F3305" t="str">
        <f>HYPERLINK("https://www.google.com/maps/search/?api=1&amp;query=24.80672,46.68404", "View Map")</f>
        <v>View Map</v>
      </c>
    </row>
    <row r="3306" spans="1:7" x14ac:dyDescent="0.3">
      <c r="A3306" t="s">
        <v>963</v>
      </c>
      <c r="B3306" t="s">
        <v>5719</v>
      </c>
      <c r="C3306" t="s">
        <v>241</v>
      </c>
      <c r="D3306">
        <v>2.3380000000000001</v>
      </c>
      <c r="E3306">
        <v>748</v>
      </c>
      <c r="F3306" t="str">
        <f>HYPERLINK("https://www.google.com/maps/search/?api=1&amp;query=20.45170448,44.84871395", "View Map")</f>
        <v>View Map</v>
      </c>
    </row>
    <row r="3307" spans="1:7" x14ac:dyDescent="0.3">
      <c r="A3307" t="s">
        <v>28</v>
      </c>
      <c r="B3307" t="s">
        <v>5720</v>
      </c>
      <c r="C3307" t="s">
        <v>30</v>
      </c>
      <c r="D3307">
        <v>2.3370000000000002</v>
      </c>
      <c r="E3307">
        <v>748</v>
      </c>
      <c r="F3307" t="str">
        <f>HYPERLINK("https://www.google.com/maps/search/?api=1&amp;query=24.0945035,47.27503035", "View Map")</f>
        <v>View Map</v>
      </c>
      <c r="G3307" s="2">
        <v>0.40492174353525101</v>
      </c>
    </row>
    <row r="3308" spans="1:7" x14ac:dyDescent="0.3">
      <c r="A3308" t="s">
        <v>150</v>
      </c>
      <c r="B3308" t="s">
        <v>5721</v>
      </c>
      <c r="C3308" t="s">
        <v>8</v>
      </c>
      <c r="D3308">
        <v>2.3370000000000002</v>
      </c>
      <c r="E3308">
        <v>748</v>
      </c>
      <c r="F3308" t="str">
        <f>HYPERLINK("https://www.google.com/maps/search/?api=1&amp;query=24.82987639,46.75374211", "View Map")</f>
        <v>View Map</v>
      </c>
    </row>
    <row r="3309" spans="1:7" x14ac:dyDescent="0.3">
      <c r="A3309" t="s">
        <v>46</v>
      </c>
      <c r="B3309" t="s">
        <v>5722</v>
      </c>
      <c r="C3309" t="s">
        <v>8</v>
      </c>
      <c r="D3309">
        <v>2.3370000000000002</v>
      </c>
      <c r="E3309">
        <v>748</v>
      </c>
      <c r="F3309" t="str">
        <f>HYPERLINK("https://www.google.com/maps/search/?api=1&amp;query=24.79526866,46.61667302", "View Map")</f>
        <v>View Map</v>
      </c>
      <c r="G3309" s="2">
        <v>0.73919367412862025</v>
      </c>
    </row>
    <row r="3310" spans="1:7" x14ac:dyDescent="0.3">
      <c r="A3310" t="s">
        <v>5723</v>
      </c>
      <c r="B3310" t="s">
        <v>5724</v>
      </c>
      <c r="C3310" t="s">
        <v>291</v>
      </c>
      <c r="D3310">
        <v>2.3370000000000002</v>
      </c>
      <c r="E3310">
        <v>748</v>
      </c>
      <c r="F3310" t="str">
        <f>HYPERLINK("https://www.google.com/maps/search/?api=1&amp;query=23.8114714,44.83836985", "View Map")</f>
        <v>View Map</v>
      </c>
      <c r="G3310" s="2">
        <v>0.73357060603343061</v>
      </c>
    </row>
    <row r="3311" spans="1:7" x14ac:dyDescent="0.3">
      <c r="A3311" t="s">
        <v>5725</v>
      </c>
      <c r="B3311" t="s">
        <v>5726</v>
      </c>
      <c r="C3311" t="s">
        <v>8</v>
      </c>
      <c r="D3311">
        <v>2.3359999999999999</v>
      </c>
      <c r="E3311">
        <v>748</v>
      </c>
      <c r="F3311" t="str">
        <f>HYPERLINK("https://www.google.com/maps/search/?api=1&amp;query=24.76033643,46.75424267", "View Map")</f>
        <v>View Map</v>
      </c>
    </row>
    <row r="3312" spans="1:7" x14ac:dyDescent="0.3">
      <c r="A3312" t="s">
        <v>5727</v>
      </c>
      <c r="B3312" t="s">
        <v>5728</v>
      </c>
      <c r="C3312" t="s">
        <v>8</v>
      </c>
      <c r="D3312">
        <v>2.3359999999999999</v>
      </c>
      <c r="E3312">
        <v>748</v>
      </c>
      <c r="F3312" t="str">
        <f>HYPERLINK("https://www.google.com/maps/search/?api=1&amp;query=24.59826043,46.58311059", "View Map")</f>
        <v>View Map</v>
      </c>
    </row>
    <row r="3313" spans="1:7" x14ac:dyDescent="0.3">
      <c r="A3313" t="s">
        <v>5729</v>
      </c>
      <c r="B3313" t="s">
        <v>5730</v>
      </c>
      <c r="C3313" t="s">
        <v>255</v>
      </c>
      <c r="D3313">
        <v>2.335</v>
      </c>
      <c r="E3313">
        <v>747</v>
      </c>
      <c r="F3313" t="str">
        <f>HYPERLINK("https://www.google.com/maps/search/?api=1&amp;query=25.10946853,44.68382297", "View Map")</f>
        <v>View Map</v>
      </c>
      <c r="G3313" s="2">
        <v>0.41180833188420612</v>
      </c>
    </row>
    <row r="3314" spans="1:7" x14ac:dyDescent="0.3">
      <c r="A3314" t="s">
        <v>5320</v>
      </c>
      <c r="B3314" t="s">
        <v>5731</v>
      </c>
      <c r="C3314" t="s">
        <v>8</v>
      </c>
      <c r="D3314">
        <v>2.335</v>
      </c>
      <c r="E3314">
        <v>747</v>
      </c>
      <c r="F3314" t="str">
        <f>HYPERLINK("https://www.google.com/maps/search/?api=1&amp;query=24.59628553,46.68027523", "View Map")</f>
        <v>View Map</v>
      </c>
    </row>
    <row r="3315" spans="1:7" x14ac:dyDescent="0.3">
      <c r="A3315" t="s">
        <v>5732</v>
      </c>
      <c r="B3315" t="s">
        <v>5733</v>
      </c>
      <c r="C3315" t="s">
        <v>8</v>
      </c>
      <c r="D3315">
        <v>2.335</v>
      </c>
      <c r="E3315">
        <v>747</v>
      </c>
      <c r="F3315" t="str">
        <f>HYPERLINK("https://www.google.com/maps/search/?api=1&amp;query=24.57216007,46.68666906", "View Map")</f>
        <v>View Map</v>
      </c>
      <c r="G3315" s="2">
        <v>0.41873672419698388</v>
      </c>
    </row>
    <row r="3316" spans="1:7" x14ac:dyDescent="0.3">
      <c r="A3316" t="s">
        <v>5734</v>
      </c>
      <c r="B3316" t="s">
        <v>5735</v>
      </c>
      <c r="C3316" t="s">
        <v>214</v>
      </c>
      <c r="D3316">
        <v>2.335</v>
      </c>
      <c r="E3316">
        <v>747</v>
      </c>
      <c r="F3316" t="str">
        <f>HYPERLINK("https://www.google.com/maps/search/?api=1&amp;query=25.90223651,45.36848509", "View Map")</f>
        <v>View Map</v>
      </c>
      <c r="G3316" s="2">
        <v>0.43540828020825101</v>
      </c>
    </row>
    <row r="3317" spans="1:7" x14ac:dyDescent="0.3">
      <c r="A3317" t="s">
        <v>46</v>
      </c>
      <c r="B3317" t="s">
        <v>5736</v>
      </c>
      <c r="C3317" t="s">
        <v>8</v>
      </c>
      <c r="D3317">
        <v>2.335</v>
      </c>
      <c r="E3317">
        <v>747</v>
      </c>
      <c r="F3317" t="str">
        <f>HYPERLINK("https://www.google.com/maps/search/?api=1&amp;query=24.60634539,46.76231214", "View Map")</f>
        <v>View Map</v>
      </c>
    </row>
    <row r="3318" spans="1:7" x14ac:dyDescent="0.3">
      <c r="A3318" t="s">
        <v>5737</v>
      </c>
      <c r="B3318" t="s">
        <v>5738</v>
      </c>
      <c r="C3318" t="s">
        <v>393</v>
      </c>
      <c r="D3318">
        <v>2.3340000000000001</v>
      </c>
      <c r="E3318">
        <v>747</v>
      </c>
      <c r="F3318" t="str">
        <f>HYPERLINK("https://www.google.com/maps/search/?api=1&amp;query=23.56557354,45.44692007", "View Map")</f>
        <v>View Map</v>
      </c>
      <c r="G3318" s="2">
        <v>0.79042448170046109</v>
      </c>
    </row>
    <row r="3319" spans="1:7" x14ac:dyDescent="0.3">
      <c r="A3319" t="s">
        <v>5739</v>
      </c>
      <c r="B3319" t="s">
        <v>5740</v>
      </c>
      <c r="C3319" t="s">
        <v>214</v>
      </c>
      <c r="D3319">
        <v>2.3319999999999999</v>
      </c>
      <c r="E3319">
        <v>746</v>
      </c>
      <c r="F3319" t="str">
        <f>HYPERLINK("https://www.google.com/maps/search/?api=1&amp;query=26.59463987,45.12177485", "View Map")</f>
        <v>View Map</v>
      </c>
      <c r="G3319" s="2">
        <v>0.57290544183380265</v>
      </c>
    </row>
    <row r="3320" spans="1:7" x14ac:dyDescent="0.3">
      <c r="A3320" t="s">
        <v>5741</v>
      </c>
      <c r="B3320" t="s">
        <v>5742</v>
      </c>
      <c r="C3320" t="s">
        <v>393</v>
      </c>
      <c r="D3320">
        <v>2.331</v>
      </c>
      <c r="E3320">
        <v>746</v>
      </c>
      <c r="F3320" t="str">
        <f>HYPERLINK("https://www.google.com/maps/search/?api=1&amp;query=22.76548877,45.26076219", "View Map")</f>
        <v>View Map</v>
      </c>
      <c r="G3320" s="2">
        <v>0.82627620171610738</v>
      </c>
    </row>
    <row r="3321" spans="1:7" x14ac:dyDescent="0.3">
      <c r="A3321" t="s">
        <v>5743</v>
      </c>
      <c r="B3321" t="s">
        <v>5744</v>
      </c>
      <c r="C3321" t="s">
        <v>393</v>
      </c>
      <c r="D3321">
        <v>2.331</v>
      </c>
      <c r="E3321">
        <v>746</v>
      </c>
      <c r="F3321" t="str">
        <f>HYPERLINK("https://www.google.com/maps/search/?api=1&amp;query=22.61770891,45.07420906", "View Map")</f>
        <v>View Map</v>
      </c>
      <c r="G3321" s="2">
        <v>0.84722816322713113</v>
      </c>
    </row>
    <row r="3322" spans="1:7" x14ac:dyDescent="0.3">
      <c r="A3322" t="s">
        <v>661</v>
      </c>
      <c r="B3322" t="s">
        <v>5745</v>
      </c>
      <c r="C3322" t="s">
        <v>214</v>
      </c>
      <c r="D3322">
        <v>2.331</v>
      </c>
      <c r="E3322">
        <v>746</v>
      </c>
      <c r="F3322" t="str">
        <f>HYPERLINK("https://www.google.com/maps/search/?api=1&amp;query=25.58479302,45.69087555", "View Map")</f>
        <v>View Map</v>
      </c>
      <c r="G3322" s="2">
        <v>0.70452158488561323</v>
      </c>
    </row>
    <row r="3323" spans="1:7" x14ac:dyDescent="0.3">
      <c r="A3323" t="s">
        <v>5746</v>
      </c>
      <c r="B3323" t="s">
        <v>5747</v>
      </c>
      <c r="C3323" t="s">
        <v>21</v>
      </c>
      <c r="D3323">
        <v>2.33</v>
      </c>
      <c r="E3323">
        <v>745</v>
      </c>
      <c r="F3323" t="str">
        <f>HYPERLINK("https://www.google.com/maps/search/?api=1&amp;query=26.17024604,44.84871994", "View Map")</f>
        <v>View Map</v>
      </c>
      <c r="G3323" s="2">
        <v>0.64899112994214636</v>
      </c>
    </row>
    <row r="3324" spans="1:7" x14ac:dyDescent="0.3">
      <c r="A3324" t="s">
        <v>1234</v>
      </c>
      <c r="B3324" t="s">
        <v>5748</v>
      </c>
      <c r="C3324" t="s">
        <v>8</v>
      </c>
      <c r="D3324">
        <v>2.3290000000000002</v>
      </c>
      <c r="E3324">
        <v>745</v>
      </c>
      <c r="F3324" t="str">
        <f>HYPERLINK("https://www.google.com/maps/search/?api=1&amp;query=24.81508246,46.88640375", "View Map")</f>
        <v>View Map</v>
      </c>
    </row>
    <row r="3325" spans="1:7" x14ac:dyDescent="0.3">
      <c r="A3325" t="s">
        <v>170</v>
      </c>
      <c r="B3325" t="s">
        <v>5749</v>
      </c>
      <c r="C3325" t="s">
        <v>8</v>
      </c>
      <c r="D3325">
        <v>2.3279999999999998</v>
      </c>
      <c r="E3325">
        <v>745</v>
      </c>
      <c r="F3325" t="str">
        <f>HYPERLINK("https://www.google.com/maps/search/?api=1&amp;query=24.76231613,46.6706648", "View Map")</f>
        <v>View Map</v>
      </c>
    </row>
    <row r="3326" spans="1:7" x14ac:dyDescent="0.3">
      <c r="A3326" t="s">
        <v>5750</v>
      </c>
      <c r="B3326" t="s">
        <v>5751</v>
      </c>
      <c r="C3326" t="s">
        <v>296</v>
      </c>
      <c r="D3326">
        <v>2.3260000000000001</v>
      </c>
      <c r="E3326">
        <v>744</v>
      </c>
      <c r="F3326" t="str">
        <f>HYPERLINK("https://www.google.com/maps/search/?api=1&amp;query=24.02331819,46.29400738", "View Map")</f>
        <v>View Map</v>
      </c>
      <c r="G3326" s="2">
        <v>0.71483168504053918</v>
      </c>
    </row>
    <row r="3327" spans="1:7" x14ac:dyDescent="0.3">
      <c r="A3327" t="s">
        <v>5752</v>
      </c>
      <c r="B3327" t="s">
        <v>5753</v>
      </c>
      <c r="C3327" t="s">
        <v>214</v>
      </c>
      <c r="D3327">
        <v>2.3260000000000001</v>
      </c>
      <c r="E3327">
        <v>744</v>
      </c>
      <c r="F3327" t="str">
        <f>HYPERLINK("https://www.google.com/maps/search/?api=1&amp;query=25.60037279,45.7971732", "View Map")</f>
        <v>View Map</v>
      </c>
      <c r="G3327" s="2">
        <v>0.5661816668941293</v>
      </c>
    </row>
    <row r="3328" spans="1:7" x14ac:dyDescent="0.3">
      <c r="A3328" t="s">
        <v>5754</v>
      </c>
      <c r="B3328" t="s">
        <v>5755</v>
      </c>
      <c r="C3328" t="s">
        <v>21</v>
      </c>
      <c r="D3328">
        <v>2.3260000000000001</v>
      </c>
      <c r="E3328">
        <v>744</v>
      </c>
      <c r="F3328" t="str">
        <f>HYPERLINK("https://www.google.com/maps/search/?api=1&amp;query=26.28987005,44.82689857", "View Map")</f>
        <v>View Map</v>
      </c>
      <c r="G3328" s="2">
        <v>0.7288689943714235</v>
      </c>
    </row>
    <row r="3329" spans="1:7" x14ac:dyDescent="0.3">
      <c r="A3329" t="s">
        <v>5756</v>
      </c>
      <c r="B3329" t="s">
        <v>5757</v>
      </c>
      <c r="C3329" t="s">
        <v>21</v>
      </c>
      <c r="D3329">
        <v>2.3250000000000002</v>
      </c>
      <c r="E3329">
        <v>744</v>
      </c>
      <c r="F3329" t="str">
        <f>HYPERLINK("https://www.google.com/maps/search/?api=1&amp;query=26.28938709,44.81911629", "View Map")</f>
        <v>View Map</v>
      </c>
      <c r="G3329" s="2">
        <v>0.54810980682133281</v>
      </c>
    </row>
    <row r="3330" spans="1:7" x14ac:dyDescent="0.3">
      <c r="A3330" t="s">
        <v>5758</v>
      </c>
      <c r="B3330" t="s">
        <v>5759</v>
      </c>
      <c r="C3330" t="s">
        <v>296</v>
      </c>
      <c r="D3330">
        <v>2.3239999999999998</v>
      </c>
      <c r="E3330">
        <v>744</v>
      </c>
      <c r="F3330" t="str">
        <f>HYPERLINK("https://www.google.com/maps/search/?api=1&amp;query=24.4423682,46.11276034", "View Map")</f>
        <v>View Map</v>
      </c>
    </row>
    <row r="3331" spans="1:7" x14ac:dyDescent="0.3">
      <c r="A3331" t="s">
        <v>5760</v>
      </c>
      <c r="B3331" t="s">
        <v>5761</v>
      </c>
      <c r="C3331" t="s">
        <v>8</v>
      </c>
      <c r="D3331">
        <v>2.3239999999999998</v>
      </c>
      <c r="E3331">
        <v>744</v>
      </c>
      <c r="F3331" t="str">
        <f>HYPERLINK("https://www.google.com/maps/search/?api=1&amp;query=24.70083532,46.76946321", "View Map")</f>
        <v>View Map</v>
      </c>
    </row>
    <row r="3332" spans="1:7" x14ac:dyDescent="0.3">
      <c r="A3332" t="s">
        <v>5762</v>
      </c>
      <c r="B3332" t="s">
        <v>5763</v>
      </c>
      <c r="C3332" t="s">
        <v>8</v>
      </c>
      <c r="D3332">
        <v>2.3239999999999998</v>
      </c>
      <c r="E3332">
        <v>744</v>
      </c>
      <c r="F3332" t="str">
        <f>HYPERLINK("https://www.google.com/maps/search/?api=1&amp;query=24.61948373,46.73849298", "View Map")</f>
        <v>View Map</v>
      </c>
    </row>
    <row r="3333" spans="1:7" x14ac:dyDescent="0.3">
      <c r="A3333" t="s">
        <v>5764</v>
      </c>
      <c r="B3333" t="s">
        <v>5765</v>
      </c>
      <c r="C3333" t="s">
        <v>291</v>
      </c>
      <c r="D3333">
        <v>2.323</v>
      </c>
      <c r="E3333">
        <v>743</v>
      </c>
      <c r="F3333" t="str">
        <f>HYPERLINK("https://www.google.com/maps/search/?api=1&amp;query=24.30419788,45.82768897", "View Map")</f>
        <v>View Map</v>
      </c>
      <c r="G3333" s="2">
        <v>0.82090760465362589</v>
      </c>
    </row>
    <row r="3334" spans="1:7" x14ac:dyDescent="0.3">
      <c r="A3334" t="s">
        <v>5766</v>
      </c>
      <c r="B3334" t="s">
        <v>5767</v>
      </c>
      <c r="C3334" t="s">
        <v>8</v>
      </c>
      <c r="D3334">
        <v>2.323</v>
      </c>
      <c r="E3334">
        <v>743</v>
      </c>
      <c r="F3334" t="str">
        <f>HYPERLINK("https://www.google.com/maps/search/?api=1&amp;query=24.59448072,46.70934964", "View Map")</f>
        <v>View Map</v>
      </c>
    </row>
    <row r="3335" spans="1:7" x14ac:dyDescent="0.3">
      <c r="A3335" t="s">
        <v>5768</v>
      </c>
      <c r="B3335" t="s">
        <v>5769</v>
      </c>
      <c r="C3335" t="s">
        <v>466</v>
      </c>
      <c r="D3335">
        <v>2.3220000000000001</v>
      </c>
      <c r="E3335">
        <v>743</v>
      </c>
      <c r="F3335" t="str">
        <f>HYPERLINK("https://www.google.com/maps/search/?api=1&amp;query=24.68171638,46.00471098", "View Map")</f>
        <v>View Map</v>
      </c>
      <c r="G3335" s="2">
        <v>0.37849808334086171</v>
      </c>
    </row>
    <row r="3336" spans="1:7" x14ac:dyDescent="0.3">
      <c r="A3336" t="s">
        <v>5770</v>
      </c>
      <c r="B3336" t="s">
        <v>5771</v>
      </c>
      <c r="C3336" t="s">
        <v>393</v>
      </c>
      <c r="D3336">
        <v>2.3220000000000001</v>
      </c>
      <c r="E3336">
        <v>743</v>
      </c>
      <c r="F3336" t="str">
        <f>HYPERLINK("https://www.google.com/maps/search/?api=1&amp;query=22.80815776,44.78236435", "View Map")</f>
        <v>View Map</v>
      </c>
      <c r="G3336" s="2">
        <v>0.67582694627055862</v>
      </c>
    </row>
    <row r="3337" spans="1:7" x14ac:dyDescent="0.3">
      <c r="A3337" t="s">
        <v>22</v>
      </c>
      <c r="B3337" t="s">
        <v>5772</v>
      </c>
      <c r="C3337" t="s">
        <v>8</v>
      </c>
      <c r="D3337">
        <v>2.3210000000000002</v>
      </c>
      <c r="E3337">
        <v>743</v>
      </c>
      <c r="F3337" t="str">
        <f>HYPERLINK("https://www.google.com/maps/search/?api=1&amp;query=24.62634079,46.55282724", "View Map")</f>
        <v>View Map</v>
      </c>
    </row>
    <row r="3338" spans="1:7" x14ac:dyDescent="0.3">
      <c r="A3338" t="s">
        <v>5773</v>
      </c>
      <c r="B3338" t="s">
        <v>5774</v>
      </c>
      <c r="C3338" t="s">
        <v>241</v>
      </c>
      <c r="D3338">
        <v>2.3199999999999998</v>
      </c>
      <c r="E3338">
        <v>742</v>
      </c>
      <c r="F3338" t="str">
        <f>HYPERLINK("https://www.google.com/maps/search/?api=1&amp;query=20.46818392,45.13275226", "View Map")</f>
        <v>View Map</v>
      </c>
      <c r="G3338" s="2">
        <v>0.75955054377470566</v>
      </c>
    </row>
    <row r="3339" spans="1:7" x14ac:dyDescent="0.3">
      <c r="A3339" t="s">
        <v>5775</v>
      </c>
      <c r="B3339" t="s">
        <v>5776</v>
      </c>
      <c r="C3339" t="s">
        <v>30</v>
      </c>
      <c r="D3339">
        <v>2.3199999999999998</v>
      </c>
      <c r="E3339">
        <v>742</v>
      </c>
      <c r="F3339" t="str">
        <f>HYPERLINK("https://www.google.com/maps/search/?api=1&amp;query=24.14508221,47.35307324", "View Map")</f>
        <v>View Map</v>
      </c>
      <c r="G3339" s="2">
        <v>0.62975316091396694</v>
      </c>
    </row>
    <row r="3340" spans="1:7" x14ac:dyDescent="0.3">
      <c r="A3340" t="s">
        <v>5603</v>
      </c>
      <c r="B3340" t="s">
        <v>5777</v>
      </c>
      <c r="C3340" t="s">
        <v>8</v>
      </c>
      <c r="D3340">
        <v>2.319</v>
      </c>
      <c r="E3340">
        <v>742</v>
      </c>
      <c r="F3340" t="str">
        <f>HYPERLINK("https://www.google.com/maps/search/?api=1&amp;query=24.60484884,46.61958417", "View Map")</f>
        <v>View Map</v>
      </c>
    </row>
    <row r="3341" spans="1:7" x14ac:dyDescent="0.3">
      <c r="A3341" t="s">
        <v>31</v>
      </c>
      <c r="B3341" t="s">
        <v>5778</v>
      </c>
      <c r="C3341" t="s">
        <v>8</v>
      </c>
      <c r="D3341">
        <v>2.3180000000000001</v>
      </c>
      <c r="E3341">
        <v>742</v>
      </c>
      <c r="F3341" t="str">
        <f>HYPERLINK("https://www.google.com/maps/search/?api=1&amp;query=24.55182071,46.76246338", "View Map")</f>
        <v>View Map</v>
      </c>
      <c r="G3341" s="2">
        <v>0.58537662694595494</v>
      </c>
    </row>
    <row r="3342" spans="1:7" x14ac:dyDescent="0.3">
      <c r="A3342" t="s">
        <v>5779</v>
      </c>
      <c r="B3342" t="s">
        <v>5780</v>
      </c>
      <c r="C3342" t="s">
        <v>8</v>
      </c>
      <c r="D3342">
        <v>2.3180000000000001</v>
      </c>
      <c r="E3342">
        <v>742</v>
      </c>
      <c r="F3342" t="str">
        <f>HYPERLINK("https://www.google.com/maps/search/?api=1&amp;query=24.70693913,46.81537689", "View Map")</f>
        <v>View Map</v>
      </c>
    </row>
    <row r="3343" spans="1:7" x14ac:dyDescent="0.3">
      <c r="A3343" t="s">
        <v>289</v>
      </c>
      <c r="B3343" t="s">
        <v>5781</v>
      </c>
      <c r="C3343" t="s">
        <v>393</v>
      </c>
      <c r="D3343">
        <v>2.3180000000000001</v>
      </c>
      <c r="E3343">
        <v>742</v>
      </c>
      <c r="F3343" t="str">
        <f>HYPERLINK("https://www.google.com/maps/search/?api=1&amp;query=22.61735234,45.07455042", "View Map")</f>
        <v>View Map</v>
      </c>
      <c r="G3343" s="2">
        <v>0.88821206355831672</v>
      </c>
    </row>
    <row r="3344" spans="1:7" x14ac:dyDescent="0.3">
      <c r="A3344" t="s">
        <v>46</v>
      </c>
      <c r="B3344" t="s">
        <v>5782</v>
      </c>
      <c r="C3344" t="s">
        <v>8</v>
      </c>
      <c r="D3344">
        <v>2.3170000000000002</v>
      </c>
      <c r="E3344">
        <v>742</v>
      </c>
      <c r="F3344" t="str">
        <f>HYPERLINK("https://www.google.com/maps/search/?api=1&amp;query=24.84282029,46.80261087", "View Map")</f>
        <v>View Map</v>
      </c>
    </row>
    <row r="3345" spans="1:7" x14ac:dyDescent="0.3">
      <c r="A3345" t="s">
        <v>5783</v>
      </c>
      <c r="B3345" t="s">
        <v>5784</v>
      </c>
      <c r="C3345" t="s">
        <v>8</v>
      </c>
      <c r="D3345">
        <v>2.3170000000000002</v>
      </c>
      <c r="E3345">
        <v>741</v>
      </c>
      <c r="F3345" t="str">
        <f>HYPERLINK("https://www.google.com/maps/search/?api=1&amp;query=24.6065563,46.72695161", "View Map")</f>
        <v>View Map</v>
      </c>
    </row>
    <row r="3346" spans="1:7" x14ac:dyDescent="0.3">
      <c r="A3346" t="s">
        <v>5785</v>
      </c>
      <c r="B3346" t="s">
        <v>5786</v>
      </c>
      <c r="C3346" t="s">
        <v>8</v>
      </c>
      <c r="D3346">
        <v>2.3159999999999998</v>
      </c>
      <c r="E3346">
        <v>741</v>
      </c>
      <c r="F3346" t="str">
        <f>HYPERLINK("https://www.google.com/maps/search/?api=1&amp;query=24.58943306,46.60147551", "View Map")</f>
        <v>View Map</v>
      </c>
    </row>
    <row r="3347" spans="1:7" x14ac:dyDescent="0.3">
      <c r="A3347" t="s">
        <v>5787</v>
      </c>
      <c r="B3347" t="s">
        <v>5788</v>
      </c>
      <c r="C3347" t="s">
        <v>270</v>
      </c>
      <c r="D3347">
        <v>2.3159999999999998</v>
      </c>
      <c r="E3347">
        <v>741</v>
      </c>
      <c r="F3347" t="str">
        <f>HYPERLINK("https://www.google.com/maps/search/?api=1&amp;query=24.02968773,47.15379807", "View Map")</f>
        <v>View Map</v>
      </c>
      <c r="G3347" s="2">
        <v>0.57352305517651403</v>
      </c>
    </row>
    <row r="3348" spans="1:7" x14ac:dyDescent="0.3">
      <c r="A3348" t="s">
        <v>150</v>
      </c>
      <c r="B3348" t="s">
        <v>5789</v>
      </c>
      <c r="C3348" t="s">
        <v>8</v>
      </c>
      <c r="D3348">
        <v>2.3159999999999998</v>
      </c>
      <c r="E3348">
        <v>741</v>
      </c>
      <c r="F3348" t="str">
        <f>HYPERLINK("https://www.google.com/maps/search/?api=1&amp;query=24.76382962,46.82501521", "View Map")</f>
        <v>View Map</v>
      </c>
    </row>
    <row r="3349" spans="1:7" x14ac:dyDescent="0.3">
      <c r="A3349" t="s">
        <v>5790</v>
      </c>
      <c r="B3349" t="s">
        <v>5791</v>
      </c>
      <c r="C3349" t="s">
        <v>21</v>
      </c>
      <c r="D3349">
        <v>2.3149999999999999</v>
      </c>
      <c r="E3349">
        <v>741</v>
      </c>
      <c r="F3349" t="str">
        <f>HYPERLINK("https://www.google.com/maps/search/?api=1&amp;query=26.30493717,44.81553019", "View Map")</f>
        <v>View Map</v>
      </c>
    </row>
    <row r="3350" spans="1:7" x14ac:dyDescent="0.3">
      <c r="A3350" t="s">
        <v>5792</v>
      </c>
      <c r="B3350" t="s">
        <v>5793</v>
      </c>
      <c r="C3350" t="s">
        <v>214</v>
      </c>
      <c r="D3350">
        <v>2.3149999999999999</v>
      </c>
      <c r="E3350">
        <v>741</v>
      </c>
      <c r="F3350" t="str">
        <f>HYPERLINK("https://www.google.com/maps/search/?api=1&amp;query=25.90891683,45.36534775", "View Map")</f>
        <v>View Map</v>
      </c>
      <c r="G3350" s="2">
        <v>0.4205480240399842</v>
      </c>
    </row>
    <row r="3351" spans="1:7" x14ac:dyDescent="0.3">
      <c r="A3351" t="s">
        <v>5794</v>
      </c>
      <c r="B3351" t="s">
        <v>5795</v>
      </c>
      <c r="C3351" t="s">
        <v>21</v>
      </c>
      <c r="D3351">
        <v>2.3140000000000001</v>
      </c>
      <c r="E3351">
        <v>740</v>
      </c>
      <c r="F3351" t="str">
        <f>HYPERLINK("https://www.google.com/maps/search/?api=1&amp;query=26.30724029,44.79918085", "View Map")</f>
        <v>View Map</v>
      </c>
      <c r="G3351" s="2">
        <v>0.4688167597576729</v>
      </c>
    </row>
    <row r="3352" spans="1:7" x14ac:dyDescent="0.3">
      <c r="A3352" t="s">
        <v>5796</v>
      </c>
      <c r="B3352" t="s">
        <v>5797</v>
      </c>
      <c r="C3352" t="s">
        <v>646</v>
      </c>
      <c r="D3352">
        <v>2.3119999999999998</v>
      </c>
      <c r="E3352">
        <v>740</v>
      </c>
      <c r="F3352" t="str">
        <f>HYPERLINK("https://www.google.com/maps/search/?api=1&amp;query=20.44957499,45.58179312", "View Map")</f>
        <v>View Map</v>
      </c>
      <c r="G3352" s="2">
        <v>0.3875782322478622</v>
      </c>
    </row>
    <row r="3353" spans="1:7" x14ac:dyDescent="0.3">
      <c r="A3353" t="s">
        <v>1275</v>
      </c>
      <c r="B3353" t="s">
        <v>5798</v>
      </c>
      <c r="C3353" t="s">
        <v>8</v>
      </c>
      <c r="D3353">
        <v>2.3119999999999998</v>
      </c>
      <c r="E3353">
        <v>740</v>
      </c>
      <c r="F3353" t="str">
        <f>HYPERLINK("https://www.google.com/maps/search/?api=1&amp;query=24.73308272,46.79633338", "View Map")</f>
        <v>View Map</v>
      </c>
    </row>
    <row r="3354" spans="1:7" x14ac:dyDescent="0.3">
      <c r="A3354" t="s">
        <v>150</v>
      </c>
      <c r="B3354" t="s">
        <v>5799</v>
      </c>
      <c r="C3354" t="s">
        <v>8</v>
      </c>
      <c r="D3354">
        <v>2.3109999999999999</v>
      </c>
      <c r="E3354">
        <v>740</v>
      </c>
      <c r="F3354" t="str">
        <f>HYPERLINK("https://www.google.com/maps/search/?api=1&amp;query=24.81624839,46.8341442", "View Map")</f>
        <v>View Map</v>
      </c>
    </row>
    <row r="3355" spans="1:7" x14ac:dyDescent="0.3">
      <c r="A3355" t="s">
        <v>5800</v>
      </c>
      <c r="B3355" t="s">
        <v>5801</v>
      </c>
      <c r="C3355" t="s">
        <v>8</v>
      </c>
      <c r="D3355">
        <v>2.31</v>
      </c>
      <c r="E3355">
        <v>739</v>
      </c>
      <c r="F3355" t="str">
        <f>HYPERLINK("https://www.google.com/maps/search/?api=1&amp;query=24.74764861,46.83726737", "View Map")</f>
        <v>View Map</v>
      </c>
    </row>
    <row r="3356" spans="1:7" x14ac:dyDescent="0.3">
      <c r="A3356" t="s">
        <v>5802</v>
      </c>
      <c r="B3356" t="s">
        <v>5803</v>
      </c>
      <c r="C3356" t="s">
        <v>364</v>
      </c>
      <c r="D3356">
        <v>2.31</v>
      </c>
      <c r="E3356">
        <v>739</v>
      </c>
      <c r="F3356" t="str">
        <f>HYPERLINK("https://www.google.com/maps/search/?api=1&amp;query=25.17208609,45.80203158", "View Map")</f>
        <v>View Map</v>
      </c>
    </row>
    <row r="3357" spans="1:7" x14ac:dyDescent="0.3">
      <c r="A3357" t="s">
        <v>150</v>
      </c>
      <c r="B3357" t="s">
        <v>5804</v>
      </c>
      <c r="C3357" t="s">
        <v>8</v>
      </c>
      <c r="D3357">
        <v>2.3090000000000002</v>
      </c>
      <c r="E3357">
        <v>739</v>
      </c>
      <c r="F3357" t="str">
        <f>HYPERLINK("https://www.google.com/maps/search/?api=1&amp;query=24.81753844,46.8770442", "View Map")</f>
        <v>View Map</v>
      </c>
    </row>
    <row r="3358" spans="1:7" x14ac:dyDescent="0.3">
      <c r="A3358" t="s">
        <v>5805</v>
      </c>
      <c r="B3358" t="s">
        <v>5806</v>
      </c>
      <c r="C3358" t="s">
        <v>8</v>
      </c>
      <c r="D3358">
        <v>2.3079999999999998</v>
      </c>
      <c r="E3358">
        <v>739</v>
      </c>
      <c r="F3358" t="str">
        <f>HYPERLINK("https://www.google.com/maps/search/?api=1&amp;query=24.74180542,46.67161672", "View Map")</f>
        <v>View Map</v>
      </c>
    </row>
    <row r="3359" spans="1:7" x14ac:dyDescent="0.3">
      <c r="A3359" t="s">
        <v>73</v>
      </c>
      <c r="B3359" t="s">
        <v>5807</v>
      </c>
      <c r="C3359" t="s">
        <v>8</v>
      </c>
      <c r="D3359">
        <v>2.3079999999999998</v>
      </c>
      <c r="E3359">
        <v>739</v>
      </c>
      <c r="F3359" t="str">
        <f>HYPERLINK("https://www.google.com/maps/search/?api=1&amp;query=24.81767629,46.65090162", "View Map")</f>
        <v>View Map</v>
      </c>
    </row>
    <row r="3360" spans="1:7" x14ac:dyDescent="0.3">
      <c r="A3360" t="s">
        <v>5808</v>
      </c>
      <c r="B3360" t="s">
        <v>5809</v>
      </c>
      <c r="C3360" t="s">
        <v>8</v>
      </c>
      <c r="D3360">
        <v>2.3069999999999999</v>
      </c>
      <c r="E3360">
        <v>738</v>
      </c>
      <c r="F3360" t="str">
        <f>HYPERLINK("https://www.google.com/maps/search/?api=1&amp;query=24.57211209,46.63986071", "View Map")</f>
        <v>View Map</v>
      </c>
    </row>
    <row r="3361" spans="1:7" x14ac:dyDescent="0.3">
      <c r="A3361" t="s">
        <v>5810</v>
      </c>
      <c r="B3361" t="s">
        <v>5811</v>
      </c>
      <c r="C3361" t="s">
        <v>214</v>
      </c>
      <c r="D3361">
        <v>2.306</v>
      </c>
      <c r="E3361">
        <v>738</v>
      </c>
      <c r="F3361" t="str">
        <f>HYPERLINK("https://www.google.com/maps/search/?api=1&amp;query=25.90596836,45.36872831", "View Map")</f>
        <v>View Map</v>
      </c>
      <c r="G3361" s="2">
        <v>0.61722410483064116</v>
      </c>
    </row>
    <row r="3362" spans="1:7" x14ac:dyDescent="0.3">
      <c r="A3362" t="s">
        <v>5812</v>
      </c>
      <c r="B3362" t="s">
        <v>5813</v>
      </c>
      <c r="C3362" t="s">
        <v>8</v>
      </c>
      <c r="D3362">
        <v>2.3050000000000002</v>
      </c>
      <c r="E3362">
        <v>738</v>
      </c>
      <c r="F3362" t="str">
        <f>HYPERLINK("https://www.google.com/maps/search/?api=1&amp;query=24.74558011,46.76686643", "View Map")</f>
        <v>View Map</v>
      </c>
    </row>
    <row r="3363" spans="1:7" x14ac:dyDescent="0.3">
      <c r="A3363" t="s">
        <v>5814</v>
      </c>
      <c r="B3363" t="s">
        <v>5815</v>
      </c>
      <c r="C3363" t="s">
        <v>8</v>
      </c>
      <c r="D3363">
        <v>2.3050000000000002</v>
      </c>
      <c r="E3363">
        <v>738</v>
      </c>
      <c r="F3363" t="str">
        <f>HYPERLINK("https://www.google.com/maps/search/?api=1&amp;query=24.6993,46.6504", "View Map")</f>
        <v>View Map</v>
      </c>
    </row>
    <row r="3364" spans="1:7" x14ac:dyDescent="0.3">
      <c r="A3364" t="s">
        <v>5816</v>
      </c>
      <c r="B3364" t="s">
        <v>5817</v>
      </c>
      <c r="C3364" t="s">
        <v>8</v>
      </c>
      <c r="D3364">
        <v>2.3029999999999999</v>
      </c>
      <c r="E3364">
        <v>737</v>
      </c>
      <c r="F3364" t="str">
        <f>HYPERLINK("https://www.google.com/maps/search/?api=1&amp;query=24.62184641,46.67882586", "View Map")</f>
        <v>View Map</v>
      </c>
      <c r="G3364" s="2">
        <v>0.2821299244602814</v>
      </c>
    </row>
    <row r="3365" spans="1:7" x14ac:dyDescent="0.3">
      <c r="A3365" t="s">
        <v>2485</v>
      </c>
      <c r="B3365" t="s">
        <v>5818</v>
      </c>
      <c r="C3365" t="s">
        <v>255</v>
      </c>
      <c r="D3365">
        <v>2.302</v>
      </c>
      <c r="E3365">
        <v>737</v>
      </c>
      <c r="F3365" t="str">
        <f>HYPERLINK("https://www.google.com/maps/search/?api=1&amp;query=24.65249333,43.497965", "View Map")</f>
        <v>View Map</v>
      </c>
      <c r="G3365" s="2">
        <v>0.68442983141870017</v>
      </c>
    </row>
    <row r="3366" spans="1:7" x14ac:dyDescent="0.3">
      <c r="A3366" t="s">
        <v>5819</v>
      </c>
      <c r="B3366" t="s">
        <v>5820</v>
      </c>
      <c r="C3366" t="s">
        <v>291</v>
      </c>
      <c r="D3366">
        <v>2.302</v>
      </c>
      <c r="E3366">
        <v>737</v>
      </c>
      <c r="F3366" t="str">
        <f>HYPERLINK("https://www.google.com/maps/search/?api=1&amp;query=24.3970045,45.32037439", "View Map")</f>
        <v>View Map</v>
      </c>
      <c r="G3366" s="2">
        <v>0.46945099643785498</v>
      </c>
    </row>
    <row r="3367" spans="1:7" x14ac:dyDescent="0.3">
      <c r="A3367" t="s">
        <v>385</v>
      </c>
      <c r="B3367" t="s">
        <v>5821</v>
      </c>
      <c r="C3367" t="s">
        <v>255</v>
      </c>
      <c r="D3367">
        <v>2.302</v>
      </c>
      <c r="E3367">
        <v>737</v>
      </c>
      <c r="F3367" t="str">
        <f>HYPERLINK("https://www.google.com/maps/search/?api=1&amp;query=24.54225559,44.40253415", "View Map")</f>
        <v>View Map</v>
      </c>
      <c r="G3367" s="2">
        <v>0.44548017390531419</v>
      </c>
    </row>
    <row r="3368" spans="1:7" x14ac:dyDescent="0.3">
      <c r="A3368" t="s">
        <v>5822</v>
      </c>
      <c r="B3368" t="s">
        <v>5823</v>
      </c>
      <c r="C3368" t="s">
        <v>255</v>
      </c>
      <c r="D3368">
        <v>2.3010000000000002</v>
      </c>
      <c r="E3368">
        <v>736</v>
      </c>
      <c r="F3368" t="str">
        <f>HYPERLINK("https://www.google.com/maps/search/?api=1&amp;query=25.3767129,44.50719616", "View Map")</f>
        <v>View Map</v>
      </c>
      <c r="G3368" s="2">
        <v>0.37369738011957432</v>
      </c>
    </row>
    <row r="3369" spans="1:7" x14ac:dyDescent="0.3">
      <c r="A3369" t="s">
        <v>5824</v>
      </c>
      <c r="B3369" t="s">
        <v>5825</v>
      </c>
      <c r="C3369" t="s">
        <v>286</v>
      </c>
      <c r="D3369">
        <v>2.2999999999999998</v>
      </c>
      <c r="E3369">
        <v>736</v>
      </c>
      <c r="F3369" t="str">
        <f>HYPERLINK("https://www.google.com/maps/search/?api=1&amp;query=25.2287203,45.25805777", "View Map")</f>
        <v>View Map</v>
      </c>
      <c r="G3369" s="2">
        <v>0.55072532594787027</v>
      </c>
    </row>
    <row r="3370" spans="1:7" x14ac:dyDescent="0.3">
      <c r="A3370" t="s">
        <v>300</v>
      </c>
      <c r="B3370" t="s">
        <v>5826</v>
      </c>
      <c r="C3370" t="s">
        <v>8</v>
      </c>
      <c r="D3370">
        <v>2.2989999999999999</v>
      </c>
      <c r="E3370">
        <v>736</v>
      </c>
      <c r="F3370" t="str">
        <f>HYPERLINK("https://www.google.com/maps/search/?api=1&amp;query=24.78332153,46.69001095", "View Map")</f>
        <v>View Map</v>
      </c>
    </row>
    <row r="3371" spans="1:7" x14ac:dyDescent="0.3">
      <c r="A3371" t="s">
        <v>5827</v>
      </c>
      <c r="B3371" t="s">
        <v>5828</v>
      </c>
      <c r="C3371" t="s">
        <v>8</v>
      </c>
      <c r="D3371">
        <v>2.2989999999999999</v>
      </c>
      <c r="E3371">
        <v>736</v>
      </c>
      <c r="F3371" t="str">
        <f>HYPERLINK("https://www.google.com/maps/search/?api=1&amp;query=24.62398434,46.67861971", "View Map")</f>
        <v>View Map</v>
      </c>
    </row>
    <row r="3372" spans="1:7" x14ac:dyDescent="0.3">
      <c r="A3372" t="s">
        <v>5829</v>
      </c>
      <c r="B3372" t="s">
        <v>5830</v>
      </c>
      <c r="C3372" t="s">
        <v>8</v>
      </c>
      <c r="D3372">
        <v>2.2989999999999999</v>
      </c>
      <c r="E3372">
        <v>736</v>
      </c>
      <c r="F3372" t="str">
        <f>HYPERLINK("https://www.google.com/maps/search/?api=1&amp;query=24.69382021,46.78216422", "View Map")</f>
        <v>View Map</v>
      </c>
    </row>
    <row r="3373" spans="1:7" x14ac:dyDescent="0.3">
      <c r="A3373" t="s">
        <v>5831</v>
      </c>
      <c r="B3373" t="s">
        <v>5832</v>
      </c>
      <c r="C3373" t="s">
        <v>214</v>
      </c>
      <c r="D3373">
        <v>2.298</v>
      </c>
      <c r="E3373">
        <v>735</v>
      </c>
      <c r="F3373" t="str">
        <f>HYPERLINK("https://www.google.com/maps/search/?api=1&amp;query=25.91211118,45.39332884", "View Map")</f>
        <v>View Map</v>
      </c>
      <c r="G3373" s="2">
        <v>0.4286618487407361</v>
      </c>
    </row>
    <row r="3374" spans="1:7" x14ac:dyDescent="0.3">
      <c r="A3374" t="s">
        <v>5833</v>
      </c>
      <c r="B3374" t="s">
        <v>5834</v>
      </c>
      <c r="C3374" t="s">
        <v>393</v>
      </c>
      <c r="D3374">
        <v>2.298</v>
      </c>
      <c r="E3374">
        <v>735</v>
      </c>
      <c r="F3374" t="str">
        <f>HYPERLINK("https://www.google.com/maps/search/?api=1&amp;query=22.5225554,45.08737836", "View Map")</f>
        <v>View Map</v>
      </c>
      <c r="G3374" s="2">
        <v>0.79674306127876382</v>
      </c>
    </row>
    <row r="3375" spans="1:7" x14ac:dyDescent="0.3">
      <c r="A3375" t="s">
        <v>2485</v>
      </c>
      <c r="B3375" t="s">
        <v>5835</v>
      </c>
      <c r="C3375" t="s">
        <v>255</v>
      </c>
      <c r="D3375">
        <v>2.2970000000000002</v>
      </c>
      <c r="E3375">
        <v>735</v>
      </c>
      <c r="F3375" t="str">
        <f>HYPERLINK("https://www.google.com/maps/search/?api=1&amp;query=24.69517765,43.70745903", "View Map")</f>
        <v>View Map</v>
      </c>
      <c r="G3375" s="2">
        <v>0.62591676988250244</v>
      </c>
    </row>
    <row r="3376" spans="1:7" x14ac:dyDescent="0.3">
      <c r="A3376" t="s">
        <v>5836</v>
      </c>
      <c r="B3376" t="s">
        <v>5837</v>
      </c>
      <c r="C3376" t="s">
        <v>8</v>
      </c>
      <c r="D3376">
        <v>2.2970000000000002</v>
      </c>
      <c r="E3376">
        <v>735</v>
      </c>
      <c r="F3376" t="str">
        <f>HYPERLINK("https://www.google.com/maps/search/?api=1&amp;query=24.54760624,46.67194083", "View Map")</f>
        <v>View Map</v>
      </c>
    </row>
    <row r="3377" spans="1:7" x14ac:dyDescent="0.3">
      <c r="A3377" t="s">
        <v>46</v>
      </c>
      <c r="B3377" t="s">
        <v>5838</v>
      </c>
      <c r="C3377" t="s">
        <v>8</v>
      </c>
      <c r="D3377">
        <v>2.2959999999999998</v>
      </c>
      <c r="E3377">
        <v>735</v>
      </c>
      <c r="F3377" t="str">
        <f>HYPERLINK("https://www.google.com/maps/search/?api=1&amp;query=24.88221777,46.8624745", "View Map")</f>
        <v>View Map</v>
      </c>
    </row>
    <row r="3378" spans="1:7" x14ac:dyDescent="0.3">
      <c r="A3378" t="s">
        <v>5839</v>
      </c>
      <c r="B3378" t="s">
        <v>5840</v>
      </c>
      <c r="C3378" t="s">
        <v>255</v>
      </c>
      <c r="D3378">
        <v>2.2949999999999999</v>
      </c>
      <c r="E3378">
        <v>734</v>
      </c>
      <c r="F3378" t="str">
        <f>HYPERLINK("https://www.google.com/maps/search/?api=1&amp;query=24.30458833,43.75688667", "View Map")</f>
        <v>View Map</v>
      </c>
    </row>
    <row r="3379" spans="1:7" x14ac:dyDescent="0.3">
      <c r="A3379" t="s">
        <v>46</v>
      </c>
      <c r="B3379" t="s">
        <v>5841</v>
      </c>
      <c r="C3379" t="s">
        <v>820</v>
      </c>
      <c r="D3379">
        <v>2.294</v>
      </c>
      <c r="E3379">
        <v>734</v>
      </c>
      <c r="F3379" t="str">
        <f>HYPERLINK("https://www.google.com/maps/search/?api=1&amp;query=0.0,0.0", "View Map")</f>
        <v>View Map</v>
      </c>
    </row>
    <row r="3380" spans="1:7" x14ac:dyDescent="0.3">
      <c r="A3380" t="s">
        <v>5842</v>
      </c>
      <c r="B3380" t="s">
        <v>5843</v>
      </c>
      <c r="C3380" t="s">
        <v>291</v>
      </c>
      <c r="D3380">
        <v>2.294</v>
      </c>
      <c r="E3380">
        <v>734</v>
      </c>
      <c r="F3380" t="str">
        <f>HYPERLINK("https://www.google.com/maps/search/?api=1&amp;query=24.50084414,45.76082736", "View Map")</f>
        <v>View Map</v>
      </c>
      <c r="G3380" s="2">
        <v>0.59804354703837115</v>
      </c>
    </row>
    <row r="3381" spans="1:7" x14ac:dyDescent="0.3">
      <c r="A3381" t="s">
        <v>5844</v>
      </c>
      <c r="B3381" t="s">
        <v>5845</v>
      </c>
      <c r="C3381" t="s">
        <v>241</v>
      </c>
      <c r="D3381">
        <v>2.294</v>
      </c>
      <c r="E3381">
        <v>734</v>
      </c>
      <c r="F3381" t="str">
        <f>HYPERLINK("https://www.google.com/maps/search/?api=1&amp;query=20.45351763,44.78330188", "View Map")</f>
        <v>View Map</v>
      </c>
    </row>
    <row r="3382" spans="1:7" x14ac:dyDescent="0.3">
      <c r="A3382" t="s">
        <v>5846</v>
      </c>
      <c r="B3382" t="s">
        <v>5847</v>
      </c>
      <c r="C3382" t="s">
        <v>8</v>
      </c>
      <c r="D3382">
        <v>2.294</v>
      </c>
      <c r="E3382">
        <v>734</v>
      </c>
      <c r="F3382" t="str">
        <f>HYPERLINK("https://www.google.com/maps/search/?api=1&amp;query=24.77143772,46.74776391", "View Map")</f>
        <v>View Map</v>
      </c>
    </row>
    <row r="3383" spans="1:7" x14ac:dyDescent="0.3">
      <c r="A3383" t="s">
        <v>1273</v>
      </c>
      <c r="B3383" t="s">
        <v>5848</v>
      </c>
      <c r="C3383" t="s">
        <v>241</v>
      </c>
      <c r="D3383">
        <v>2.294</v>
      </c>
      <c r="E3383">
        <v>734</v>
      </c>
      <c r="F3383" t="str">
        <f>HYPERLINK("https://www.google.com/maps/search/?api=1&amp;query=20.45935227,44.75663044", "View Map")</f>
        <v>View Map</v>
      </c>
      <c r="G3383" s="2">
        <v>0.37313211741436159</v>
      </c>
    </row>
    <row r="3384" spans="1:7" x14ac:dyDescent="0.3">
      <c r="A3384" t="s">
        <v>5849</v>
      </c>
      <c r="B3384" t="s">
        <v>5850</v>
      </c>
      <c r="C3384" t="s">
        <v>8</v>
      </c>
      <c r="D3384">
        <v>2.294</v>
      </c>
      <c r="E3384">
        <v>734</v>
      </c>
      <c r="F3384" t="str">
        <f>HYPERLINK("https://www.google.com/maps/search/?api=1&amp;query=24.7059,46.70366", "View Map")</f>
        <v>View Map</v>
      </c>
    </row>
    <row r="3385" spans="1:7" x14ac:dyDescent="0.3">
      <c r="A3385" t="s">
        <v>1275</v>
      </c>
      <c r="B3385" t="s">
        <v>5851</v>
      </c>
      <c r="C3385" t="s">
        <v>8</v>
      </c>
      <c r="D3385">
        <v>2.294</v>
      </c>
      <c r="E3385">
        <v>734</v>
      </c>
      <c r="F3385" t="str">
        <f>HYPERLINK("https://www.google.com/maps/search/?api=1&amp;query=24.72214895,46.79708419", "View Map")</f>
        <v>View Map</v>
      </c>
    </row>
    <row r="3386" spans="1:7" x14ac:dyDescent="0.3">
      <c r="A3386" t="s">
        <v>5852</v>
      </c>
      <c r="B3386" t="s">
        <v>5853</v>
      </c>
      <c r="C3386" t="s">
        <v>21</v>
      </c>
      <c r="D3386">
        <v>2.2919999999999998</v>
      </c>
      <c r="E3386">
        <v>733</v>
      </c>
      <c r="F3386" t="str">
        <f>HYPERLINK("https://www.google.com/maps/search/?api=1&amp;query=26.28497677,44.83485852", "View Map")</f>
        <v>View Map</v>
      </c>
      <c r="G3386" s="2">
        <v>0.53990040329842082</v>
      </c>
    </row>
    <row r="3387" spans="1:7" x14ac:dyDescent="0.3">
      <c r="A3387" t="s">
        <v>5854</v>
      </c>
      <c r="B3387" t="s">
        <v>5855</v>
      </c>
      <c r="C3387" t="s">
        <v>364</v>
      </c>
      <c r="D3387">
        <v>2.2909999999999999</v>
      </c>
      <c r="E3387">
        <v>733</v>
      </c>
      <c r="F3387" t="str">
        <f>HYPERLINK("https://www.google.com/maps/search/?api=1&amp;query=25.25897869,45.86708908", "View Map")</f>
        <v>View Map</v>
      </c>
      <c r="G3387" s="2">
        <v>0.42744034500289052</v>
      </c>
    </row>
    <row r="3388" spans="1:7" x14ac:dyDescent="0.3">
      <c r="A3388" t="s">
        <v>150</v>
      </c>
      <c r="B3388" t="s">
        <v>5856</v>
      </c>
      <c r="C3388" t="s">
        <v>8</v>
      </c>
      <c r="D3388">
        <v>2.2909999999999999</v>
      </c>
      <c r="E3388">
        <v>733</v>
      </c>
      <c r="F3388" t="str">
        <f>HYPERLINK("https://www.google.com/maps/search/?api=1&amp;query=24.82020088,46.81169296", "View Map")</f>
        <v>View Map</v>
      </c>
    </row>
    <row r="3389" spans="1:7" x14ac:dyDescent="0.3">
      <c r="A3389" t="s">
        <v>5857</v>
      </c>
      <c r="B3389" t="s">
        <v>5858</v>
      </c>
      <c r="C3389" t="s">
        <v>8</v>
      </c>
      <c r="D3389">
        <v>2.29</v>
      </c>
      <c r="E3389">
        <v>733</v>
      </c>
      <c r="F3389" t="str">
        <f>HYPERLINK("https://www.google.com/maps/search/?api=1&amp;query=24.69921059,46.85217229", "View Map")</f>
        <v>View Map</v>
      </c>
    </row>
    <row r="3390" spans="1:7" x14ac:dyDescent="0.3">
      <c r="A3390" t="s">
        <v>5859</v>
      </c>
      <c r="B3390" t="s">
        <v>5860</v>
      </c>
      <c r="C3390" t="s">
        <v>21</v>
      </c>
      <c r="D3390">
        <v>2.29</v>
      </c>
      <c r="E3390">
        <v>733</v>
      </c>
      <c r="F3390" t="str">
        <f>HYPERLINK("https://www.google.com/maps/search/?api=1&amp;query=26.30971246,44.87224981", "View Map")</f>
        <v>View Map</v>
      </c>
      <c r="G3390" s="2">
        <v>0.40585082153347068</v>
      </c>
    </row>
    <row r="3391" spans="1:7" x14ac:dyDescent="0.3">
      <c r="A3391" t="s">
        <v>5861</v>
      </c>
      <c r="B3391" t="s">
        <v>5862</v>
      </c>
      <c r="C3391" t="s">
        <v>8</v>
      </c>
      <c r="D3391">
        <v>2.2879999999999998</v>
      </c>
      <c r="E3391">
        <v>732</v>
      </c>
      <c r="F3391" t="str">
        <f>HYPERLINK("https://www.google.com/maps/search/?api=1&amp;query=24.8840013,46.64287334", "View Map")</f>
        <v>View Map</v>
      </c>
    </row>
    <row r="3392" spans="1:7" x14ac:dyDescent="0.3">
      <c r="A3392" t="s">
        <v>644</v>
      </c>
      <c r="B3392" t="s">
        <v>5863</v>
      </c>
      <c r="C3392" t="s">
        <v>646</v>
      </c>
      <c r="D3392">
        <v>2.2869999999999999</v>
      </c>
      <c r="E3392">
        <v>732</v>
      </c>
      <c r="F3392" t="str">
        <f>HYPERLINK("https://www.google.com/maps/search/?api=1&amp;query=20.48708513,45.57296269", "View Map")</f>
        <v>View Map</v>
      </c>
    </row>
    <row r="3393" spans="1:7" x14ac:dyDescent="0.3">
      <c r="A3393" t="s">
        <v>5864</v>
      </c>
      <c r="B3393" t="s">
        <v>5865</v>
      </c>
      <c r="C3393" t="s">
        <v>8</v>
      </c>
      <c r="D3393">
        <v>2.286</v>
      </c>
      <c r="E3393">
        <v>732</v>
      </c>
      <c r="F3393" t="str">
        <f>HYPERLINK("https://www.google.com/maps/search/?api=1&amp;query=24.68548369,46.79857043", "View Map")</f>
        <v>View Map</v>
      </c>
    </row>
    <row r="3394" spans="1:7" x14ac:dyDescent="0.3">
      <c r="A3394" t="s">
        <v>5866</v>
      </c>
      <c r="B3394" t="s">
        <v>5867</v>
      </c>
      <c r="C3394" t="s">
        <v>8</v>
      </c>
      <c r="D3394">
        <v>2.286</v>
      </c>
      <c r="E3394">
        <v>731</v>
      </c>
      <c r="F3394" t="str">
        <f>HYPERLINK("https://www.google.com/maps/search/?api=1&amp;query=24.58173059,46.66104574", "View Map")</f>
        <v>View Map</v>
      </c>
    </row>
    <row r="3395" spans="1:7" x14ac:dyDescent="0.3">
      <c r="A3395" t="s">
        <v>5868</v>
      </c>
      <c r="B3395" t="s">
        <v>5869</v>
      </c>
      <c r="C3395" t="s">
        <v>8</v>
      </c>
      <c r="D3395">
        <v>2.286</v>
      </c>
      <c r="E3395">
        <v>732</v>
      </c>
      <c r="F3395" t="str">
        <f>HYPERLINK("https://www.google.com/maps/search/?api=1&amp;query=24.6969462,46.73807151", "View Map")</f>
        <v>View Map</v>
      </c>
    </row>
    <row r="3396" spans="1:7" x14ac:dyDescent="0.3">
      <c r="A3396" t="s">
        <v>5870</v>
      </c>
      <c r="B3396" t="s">
        <v>5871</v>
      </c>
      <c r="C3396" t="s">
        <v>30</v>
      </c>
      <c r="D3396">
        <v>2.2850000000000001</v>
      </c>
      <c r="E3396">
        <v>731</v>
      </c>
      <c r="F3396" t="str">
        <f>HYPERLINK("https://www.google.com/maps/search/?api=1&amp;query=24.1477051,47.29705276", "View Map")</f>
        <v>View Map</v>
      </c>
    </row>
    <row r="3397" spans="1:7" x14ac:dyDescent="0.3">
      <c r="A3397" t="s">
        <v>5872</v>
      </c>
      <c r="B3397" t="s">
        <v>5873</v>
      </c>
      <c r="C3397" t="s">
        <v>214</v>
      </c>
      <c r="D3397">
        <v>2.2850000000000001</v>
      </c>
      <c r="E3397">
        <v>731</v>
      </c>
      <c r="F3397" t="str">
        <f>HYPERLINK("https://www.google.com/maps/search/?api=1&amp;query=25.94345715,45.36492035", "View Map")</f>
        <v>View Map</v>
      </c>
      <c r="G3397" s="2">
        <v>0.47790538703501972</v>
      </c>
    </row>
    <row r="3398" spans="1:7" x14ac:dyDescent="0.3">
      <c r="A3398" t="s">
        <v>5874</v>
      </c>
      <c r="B3398" t="s">
        <v>5875</v>
      </c>
      <c r="C3398" t="s">
        <v>393</v>
      </c>
      <c r="D3398">
        <v>2.2839999999999998</v>
      </c>
      <c r="E3398">
        <v>731</v>
      </c>
      <c r="F3398" t="str">
        <f>HYPERLINK("https://www.google.com/maps/search/?api=1&amp;query=22.98002353,45.44134153", "View Map")</f>
        <v>View Map</v>
      </c>
      <c r="G3398" s="2">
        <v>0.67159647327281402</v>
      </c>
    </row>
    <row r="3399" spans="1:7" x14ac:dyDescent="0.3">
      <c r="A3399" t="s">
        <v>5876</v>
      </c>
      <c r="B3399" t="s">
        <v>5877</v>
      </c>
      <c r="C3399" t="s">
        <v>8</v>
      </c>
      <c r="D3399">
        <v>2.2839999999999998</v>
      </c>
      <c r="E3399">
        <v>731</v>
      </c>
      <c r="F3399" t="str">
        <f>HYPERLINK("https://www.google.com/maps/search/?api=1&amp;query=24.79144062,46.90331246", "View Map")</f>
        <v>View Map</v>
      </c>
    </row>
    <row r="3400" spans="1:7" x14ac:dyDescent="0.3">
      <c r="A3400" t="s">
        <v>5878</v>
      </c>
      <c r="B3400" t="s">
        <v>5879</v>
      </c>
      <c r="C3400" t="s">
        <v>8</v>
      </c>
      <c r="D3400">
        <v>2.282</v>
      </c>
      <c r="E3400">
        <v>730</v>
      </c>
      <c r="F3400" t="str">
        <f>HYPERLINK("https://www.google.com/maps/search/?api=1&amp;query=24.753966,46.67009436", "View Map")</f>
        <v>View Map</v>
      </c>
    </row>
    <row r="3401" spans="1:7" x14ac:dyDescent="0.3">
      <c r="A3401" t="s">
        <v>5880</v>
      </c>
      <c r="B3401" t="s">
        <v>5881</v>
      </c>
      <c r="C3401" t="s">
        <v>21</v>
      </c>
      <c r="D3401">
        <v>2.282</v>
      </c>
      <c r="E3401">
        <v>730</v>
      </c>
      <c r="F3401" t="str">
        <f>HYPERLINK("https://www.google.com/maps/search/?api=1&amp;query=26.29933219,44.83434989", "View Map")</f>
        <v>View Map</v>
      </c>
    </row>
    <row r="3402" spans="1:7" x14ac:dyDescent="0.3">
      <c r="A3402" t="s">
        <v>5882</v>
      </c>
      <c r="B3402" t="s">
        <v>5883</v>
      </c>
      <c r="C3402" t="s">
        <v>8</v>
      </c>
      <c r="D3402">
        <v>2.282</v>
      </c>
      <c r="E3402">
        <v>730</v>
      </c>
      <c r="F3402" t="str">
        <f>HYPERLINK("https://www.google.com/maps/search/?api=1&amp;query=24.59708604,46.67724313", "View Map")</f>
        <v>View Map</v>
      </c>
    </row>
    <row r="3403" spans="1:7" x14ac:dyDescent="0.3">
      <c r="A3403" t="s">
        <v>5884</v>
      </c>
      <c r="B3403" t="s">
        <v>5885</v>
      </c>
      <c r="C3403" t="s">
        <v>255</v>
      </c>
      <c r="D3403">
        <v>2.2810000000000001</v>
      </c>
      <c r="E3403">
        <v>730</v>
      </c>
      <c r="F3403" t="str">
        <f>HYPERLINK("https://www.google.com/maps/search/?api=1&amp;query=25.16692583,44.58236343", "View Map")</f>
        <v>View Map</v>
      </c>
      <c r="G3403" s="2">
        <v>0.67189170649225427</v>
      </c>
    </row>
    <row r="3404" spans="1:7" x14ac:dyDescent="0.3">
      <c r="A3404" t="s">
        <v>5886</v>
      </c>
      <c r="B3404" t="s">
        <v>5887</v>
      </c>
      <c r="C3404" t="s">
        <v>8</v>
      </c>
      <c r="D3404">
        <v>2.2810000000000001</v>
      </c>
      <c r="E3404">
        <v>730</v>
      </c>
      <c r="F3404" t="str">
        <f>HYPERLINK("https://www.google.com/maps/search/?api=1&amp;query=24.61547752,46.7062525", "View Map")</f>
        <v>View Map</v>
      </c>
    </row>
    <row r="3405" spans="1:7" x14ac:dyDescent="0.3">
      <c r="A3405" t="s">
        <v>5888</v>
      </c>
      <c r="B3405" t="s">
        <v>5889</v>
      </c>
      <c r="C3405" t="s">
        <v>8</v>
      </c>
      <c r="D3405">
        <v>2.2799999999999998</v>
      </c>
      <c r="E3405">
        <v>730</v>
      </c>
      <c r="F3405" t="str">
        <f>HYPERLINK("https://www.google.com/maps/search/?api=1&amp;query=24.7575076,46.72357512", "View Map")</f>
        <v>View Map</v>
      </c>
    </row>
    <row r="3406" spans="1:7" x14ac:dyDescent="0.3">
      <c r="A3406" t="s">
        <v>5890</v>
      </c>
      <c r="B3406" t="s">
        <v>5891</v>
      </c>
      <c r="C3406" t="s">
        <v>393</v>
      </c>
      <c r="D3406">
        <v>2.2799999999999998</v>
      </c>
      <c r="E3406">
        <v>730</v>
      </c>
      <c r="F3406" t="str">
        <f>HYPERLINK("https://www.google.com/maps/search/?api=1&amp;query=22.51801633,44.94757355", "View Map")</f>
        <v>View Map</v>
      </c>
      <c r="G3406" s="2">
        <v>0.57879415119716582</v>
      </c>
    </row>
    <row r="3407" spans="1:7" x14ac:dyDescent="0.3">
      <c r="A3407" t="s">
        <v>5892</v>
      </c>
      <c r="B3407" t="s">
        <v>5893</v>
      </c>
      <c r="C3407" t="s">
        <v>8</v>
      </c>
      <c r="D3407">
        <v>2.2799999999999998</v>
      </c>
      <c r="E3407">
        <v>730</v>
      </c>
      <c r="F3407" t="str">
        <f>HYPERLINK("https://www.google.com/maps/search/?api=1&amp;query=24.80239001,46.85367524", "View Map")</f>
        <v>View Map</v>
      </c>
    </row>
    <row r="3408" spans="1:7" x14ac:dyDescent="0.3">
      <c r="A3408" t="s">
        <v>5894</v>
      </c>
      <c r="B3408" t="s">
        <v>5895</v>
      </c>
      <c r="C3408" t="s">
        <v>8</v>
      </c>
      <c r="D3408">
        <v>2.2789999999999999</v>
      </c>
      <c r="E3408">
        <v>729</v>
      </c>
      <c r="F3408" t="str">
        <f>HYPERLINK("https://www.google.com/maps/search/?api=1&amp;query=24.6054738,46.65457095", "View Map")</f>
        <v>View Map</v>
      </c>
    </row>
    <row r="3409" spans="1:7" x14ac:dyDescent="0.3">
      <c r="A3409" t="s">
        <v>2076</v>
      </c>
      <c r="B3409" t="s">
        <v>5896</v>
      </c>
      <c r="C3409" t="s">
        <v>8</v>
      </c>
      <c r="D3409">
        <v>2.278</v>
      </c>
      <c r="E3409">
        <v>729</v>
      </c>
      <c r="F3409" t="str">
        <f>HYPERLINK("https://www.google.com/maps/search/?api=1&amp;query=24.5652924,46.70181754", "View Map")</f>
        <v>View Map</v>
      </c>
    </row>
    <row r="3410" spans="1:7" x14ac:dyDescent="0.3">
      <c r="A3410" t="s">
        <v>73</v>
      </c>
      <c r="B3410" t="s">
        <v>5897</v>
      </c>
      <c r="C3410" t="s">
        <v>8</v>
      </c>
      <c r="D3410">
        <v>2.278</v>
      </c>
      <c r="E3410">
        <v>729</v>
      </c>
      <c r="F3410" t="str">
        <f>HYPERLINK("https://www.google.com/maps/search/?api=1&amp;query=24.78219735,46.70454254", "View Map")</f>
        <v>View Map</v>
      </c>
    </row>
    <row r="3411" spans="1:7" x14ac:dyDescent="0.3">
      <c r="A3411" t="s">
        <v>5898</v>
      </c>
      <c r="B3411" t="s">
        <v>5899</v>
      </c>
      <c r="C3411" t="s">
        <v>8</v>
      </c>
      <c r="D3411">
        <v>2.2759999999999998</v>
      </c>
      <c r="E3411">
        <v>728</v>
      </c>
      <c r="F3411" t="str">
        <f>HYPERLINK("https://www.google.com/maps/search/?api=1&amp;query=24.57768278,46.56258624", "View Map")</f>
        <v>View Map</v>
      </c>
      <c r="G3411" s="2">
        <v>0.36930112288129052</v>
      </c>
    </row>
    <row r="3412" spans="1:7" x14ac:dyDescent="0.3">
      <c r="A3412" t="s">
        <v>5900</v>
      </c>
      <c r="B3412" t="s">
        <v>5901</v>
      </c>
      <c r="C3412" t="s">
        <v>30</v>
      </c>
      <c r="D3412">
        <v>2.2749999999999999</v>
      </c>
      <c r="E3412">
        <v>728</v>
      </c>
      <c r="F3412" t="str">
        <f>HYPERLINK("https://www.google.com/maps/search/?api=1&amp;query=24.12599,47.22558", "View Map")</f>
        <v>View Map</v>
      </c>
      <c r="G3412" s="2">
        <v>0.58843696267477974</v>
      </c>
    </row>
    <row r="3413" spans="1:7" x14ac:dyDescent="0.3">
      <c r="A3413" t="s">
        <v>678</v>
      </c>
      <c r="B3413" t="s">
        <v>5902</v>
      </c>
      <c r="C3413" t="s">
        <v>21</v>
      </c>
      <c r="D3413">
        <v>2.274</v>
      </c>
      <c r="E3413">
        <v>728</v>
      </c>
      <c r="F3413" t="str">
        <f>HYPERLINK("https://www.google.com/maps/search/?api=1&amp;query=26.28423123,44.86882723", "View Map")</f>
        <v>View Map</v>
      </c>
      <c r="G3413" s="2">
        <v>0.52954466716881954</v>
      </c>
    </row>
    <row r="3414" spans="1:7" x14ac:dyDescent="0.3">
      <c r="A3414" t="s">
        <v>5903</v>
      </c>
      <c r="B3414" t="s">
        <v>5904</v>
      </c>
      <c r="C3414" t="s">
        <v>214</v>
      </c>
      <c r="D3414">
        <v>2.274</v>
      </c>
      <c r="E3414">
        <v>728</v>
      </c>
      <c r="F3414" t="str">
        <f>HYPERLINK("https://www.google.com/maps/search/?api=1&amp;query=25.82612768,45.80816858", "View Map")</f>
        <v>View Map</v>
      </c>
      <c r="G3414" s="2">
        <v>0.64389856781738741</v>
      </c>
    </row>
    <row r="3415" spans="1:7" x14ac:dyDescent="0.3">
      <c r="A3415" t="s">
        <v>5905</v>
      </c>
      <c r="B3415" t="s">
        <v>5906</v>
      </c>
      <c r="C3415" t="s">
        <v>393</v>
      </c>
      <c r="D3415">
        <v>2.2730000000000001</v>
      </c>
      <c r="E3415">
        <v>727</v>
      </c>
      <c r="F3415" t="str">
        <f>HYPERLINK("https://www.google.com/maps/search/?api=1&amp;query=23.46339127,45.79299603", "View Map")</f>
        <v>View Map</v>
      </c>
      <c r="G3415" s="2">
        <v>0.60580611955301777</v>
      </c>
    </row>
    <row r="3416" spans="1:7" x14ac:dyDescent="0.3">
      <c r="A3416" t="s">
        <v>5907</v>
      </c>
      <c r="B3416" t="s">
        <v>5908</v>
      </c>
      <c r="C3416" t="s">
        <v>8</v>
      </c>
      <c r="D3416">
        <v>2.2730000000000001</v>
      </c>
      <c r="E3416">
        <v>727</v>
      </c>
      <c r="F3416" t="str">
        <f>HYPERLINK("https://www.google.com/maps/search/?api=1&amp;query=24.656609,46.70982143", "View Map")</f>
        <v>View Map</v>
      </c>
    </row>
    <row r="3417" spans="1:7" x14ac:dyDescent="0.3">
      <c r="A3417" t="s">
        <v>28</v>
      </c>
      <c r="B3417" t="s">
        <v>5909</v>
      </c>
      <c r="C3417" t="s">
        <v>30</v>
      </c>
      <c r="D3417">
        <v>2.2730000000000001</v>
      </c>
      <c r="E3417">
        <v>727</v>
      </c>
      <c r="F3417" t="str">
        <f>HYPERLINK("https://www.google.com/maps/search/?api=1&amp;query=24.15939421,47.26748192", "View Map")</f>
        <v>View Map</v>
      </c>
      <c r="G3417" s="2">
        <v>0.3375507317332927</v>
      </c>
    </row>
    <row r="3418" spans="1:7" x14ac:dyDescent="0.3">
      <c r="A3418" t="s">
        <v>5910</v>
      </c>
      <c r="B3418" t="s">
        <v>5911</v>
      </c>
      <c r="C3418" t="s">
        <v>21</v>
      </c>
      <c r="D3418">
        <v>2.2719999999999998</v>
      </c>
      <c r="E3418">
        <v>727</v>
      </c>
      <c r="F3418" t="str">
        <f>HYPERLINK("https://www.google.com/maps/search/?api=1&amp;query=26.30855288,44.82436063", "View Map")</f>
        <v>View Map</v>
      </c>
      <c r="G3418" s="2">
        <v>0.37000666552402511</v>
      </c>
    </row>
    <row r="3419" spans="1:7" x14ac:dyDescent="0.3">
      <c r="A3419" t="s">
        <v>5912</v>
      </c>
      <c r="B3419" t="s">
        <v>5913</v>
      </c>
      <c r="C3419" t="s">
        <v>8</v>
      </c>
      <c r="D3419">
        <v>2.2719999999999998</v>
      </c>
      <c r="E3419">
        <v>727</v>
      </c>
      <c r="F3419" t="str">
        <f>HYPERLINK("https://www.google.com/maps/search/?api=1&amp;query=24.65496873,46.57665986", "View Map")</f>
        <v>View Map</v>
      </c>
    </row>
    <row r="3420" spans="1:7" x14ac:dyDescent="0.3">
      <c r="A3420" t="s">
        <v>5914</v>
      </c>
      <c r="B3420" t="s">
        <v>5915</v>
      </c>
      <c r="C3420" t="s">
        <v>8</v>
      </c>
      <c r="D3420">
        <v>2.2719999999999998</v>
      </c>
      <c r="E3420">
        <v>727</v>
      </c>
      <c r="F3420" t="str">
        <f>HYPERLINK("https://www.google.com/maps/search/?api=1&amp;query=24.67632908,46.79872813", "View Map")</f>
        <v>View Map</v>
      </c>
    </row>
    <row r="3421" spans="1:7" x14ac:dyDescent="0.3">
      <c r="A3421" t="s">
        <v>46</v>
      </c>
      <c r="B3421" t="s">
        <v>5916</v>
      </c>
      <c r="C3421" t="s">
        <v>8</v>
      </c>
      <c r="D3421">
        <v>2.2719999999999998</v>
      </c>
      <c r="E3421">
        <v>727</v>
      </c>
      <c r="F3421" t="str">
        <f>HYPERLINK("https://www.google.com/maps/search/?api=1&amp;query=24.80816634,46.81859988", "View Map")</f>
        <v>View Map</v>
      </c>
    </row>
    <row r="3422" spans="1:7" x14ac:dyDescent="0.3">
      <c r="A3422" t="s">
        <v>5917</v>
      </c>
      <c r="B3422" t="s">
        <v>5918</v>
      </c>
      <c r="C3422" t="s">
        <v>291</v>
      </c>
      <c r="D3422">
        <v>2.2709999999999999</v>
      </c>
      <c r="E3422">
        <v>727</v>
      </c>
      <c r="F3422" t="str">
        <f>HYPERLINK("https://www.google.com/maps/search/?api=1&amp;query=23.82978216,45.64601368", "View Map")</f>
        <v>View Map</v>
      </c>
      <c r="G3422" s="2">
        <v>0.83300718209190738</v>
      </c>
    </row>
    <row r="3423" spans="1:7" x14ac:dyDescent="0.3">
      <c r="A3423" t="s">
        <v>150</v>
      </c>
      <c r="B3423" t="s">
        <v>5919</v>
      </c>
      <c r="C3423" t="s">
        <v>8</v>
      </c>
      <c r="D3423">
        <v>2.2709999999999999</v>
      </c>
      <c r="E3423">
        <v>727</v>
      </c>
      <c r="F3423" t="str">
        <f>HYPERLINK("https://www.google.com/maps/search/?api=1&amp;query=24.80479585,46.79033581", "View Map")</f>
        <v>View Map</v>
      </c>
    </row>
    <row r="3424" spans="1:7" x14ac:dyDescent="0.3">
      <c r="A3424" t="s">
        <v>5920</v>
      </c>
      <c r="B3424" t="s">
        <v>5921</v>
      </c>
      <c r="C3424" t="s">
        <v>8</v>
      </c>
      <c r="D3424">
        <v>2.2709999999999999</v>
      </c>
      <c r="E3424">
        <v>727</v>
      </c>
      <c r="F3424" t="str">
        <f>HYPERLINK("https://www.google.com/maps/search/?api=1&amp;query=24.80018822,46.65807042", "View Map")</f>
        <v>View Map</v>
      </c>
    </row>
    <row r="3425" spans="1:7" x14ac:dyDescent="0.3">
      <c r="A3425" t="s">
        <v>5922</v>
      </c>
      <c r="B3425" t="s">
        <v>5923</v>
      </c>
      <c r="C3425" t="s">
        <v>8</v>
      </c>
      <c r="D3425">
        <v>2.2690000000000001</v>
      </c>
      <c r="E3425">
        <v>726</v>
      </c>
      <c r="F3425" t="str">
        <f>HYPERLINK("https://www.google.com/maps/search/?api=1&amp;query=24.59506565,46.70733893", "View Map")</f>
        <v>View Map</v>
      </c>
    </row>
    <row r="3426" spans="1:7" x14ac:dyDescent="0.3">
      <c r="A3426" t="s">
        <v>5924</v>
      </c>
      <c r="B3426" t="s">
        <v>5925</v>
      </c>
      <c r="C3426" t="s">
        <v>8</v>
      </c>
      <c r="D3426">
        <v>2.2679999999999998</v>
      </c>
      <c r="E3426">
        <v>726</v>
      </c>
      <c r="F3426" t="str">
        <f>HYPERLINK("https://www.google.com/maps/search/?api=1&amp;query=24.77589205,46.80915846", "View Map")</f>
        <v>View Map</v>
      </c>
    </row>
    <row r="3427" spans="1:7" x14ac:dyDescent="0.3">
      <c r="A3427" t="s">
        <v>5926</v>
      </c>
      <c r="B3427" t="s">
        <v>5927</v>
      </c>
      <c r="C3427" t="s">
        <v>8</v>
      </c>
      <c r="D3427">
        <v>2.2679999999999998</v>
      </c>
      <c r="E3427">
        <v>726</v>
      </c>
      <c r="F3427" t="str">
        <f>HYPERLINK("https://www.google.com/maps/search/?api=1&amp;query=24.72924778,46.74156178", "View Map")</f>
        <v>View Map</v>
      </c>
    </row>
    <row r="3428" spans="1:7" x14ac:dyDescent="0.3">
      <c r="A3428" t="s">
        <v>73</v>
      </c>
      <c r="B3428" t="s">
        <v>5928</v>
      </c>
      <c r="C3428" t="s">
        <v>8</v>
      </c>
      <c r="D3428">
        <v>2.2679999999999998</v>
      </c>
      <c r="E3428">
        <v>726</v>
      </c>
      <c r="F3428" t="str">
        <f>HYPERLINK("https://www.google.com/maps/search/?api=1&amp;query=24.68268129,46.56311181", "View Map")</f>
        <v>View Map</v>
      </c>
    </row>
    <row r="3429" spans="1:7" x14ac:dyDescent="0.3">
      <c r="A3429" t="s">
        <v>146</v>
      </c>
      <c r="B3429" t="s">
        <v>5929</v>
      </c>
      <c r="C3429" t="s">
        <v>8</v>
      </c>
      <c r="D3429">
        <v>2.2669999999999999</v>
      </c>
      <c r="E3429">
        <v>725</v>
      </c>
      <c r="F3429" t="str">
        <f>HYPERLINK("https://www.google.com/maps/search/?api=1&amp;query=24.55509541,46.50754359", "View Map")</f>
        <v>View Map</v>
      </c>
      <c r="G3429" s="2">
        <v>0.35304614770431608</v>
      </c>
    </row>
    <row r="3430" spans="1:7" x14ac:dyDescent="0.3">
      <c r="A3430" t="s">
        <v>46</v>
      </c>
      <c r="B3430" t="s">
        <v>5930</v>
      </c>
      <c r="C3430" t="s">
        <v>8</v>
      </c>
      <c r="D3430">
        <v>2.2669999999999999</v>
      </c>
      <c r="E3430">
        <v>725</v>
      </c>
      <c r="F3430" t="str">
        <f>HYPERLINK("https://www.google.com/maps/search/?api=1&amp;query=24.85989178,46.65345324", "View Map")</f>
        <v>View Map</v>
      </c>
      <c r="G3430" s="2">
        <v>0.2080326226759274</v>
      </c>
    </row>
    <row r="3431" spans="1:7" x14ac:dyDescent="0.3">
      <c r="A3431" t="s">
        <v>46</v>
      </c>
      <c r="B3431" t="s">
        <v>5931</v>
      </c>
      <c r="C3431" t="s">
        <v>8</v>
      </c>
      <c r="D3431">
        <v>2.2650000000000001</v>
      </c>
      <c r="E3431">
        <v>725</v>
      </c>
      <c r="F3431" t="str">
        <f>HYPERLINK("https://www.google.com/maps/search/?api=1&amp;query=24.7851743,46.90611436", "View Map")</f>
        <v>View Map</v>
      </c>
    </row>
    <row r="3432" spans="1:7" x14ac:dyDescent="0.3">
      <c r="A3432" t="s">
        <v>5932</v>
      </c>
      <c r="B3432" t="s">
        <v>5933</v>
      </c>
      <c r="C3432" t="s">
        <v>8</v>
      </c>
      <c r="D3432">
        <v>2.262</v>
      </c>
      <c r="E3432">
        <v>724</v>
      </c>
      <c r="F3432" t="str">
        <f>HYPERLINK("https://www.google.com/maps/search/?api=1&amp;query=24.57122094,46.69226542", "View Map")</f>
        <v>View Map</v>
      </c>
    </row>
    <row r="3433" spans="1:7" x14ac:dyDescent="0.3">
      <c r="A3433" t="s">
        <v>5934</v>
      </c>
      <c r="B3433" t="s">
        <v>5935</v>
      </c>
      <c r="C3433" t="s">
        <v>291</v>
      </c>
      <c r="D3433">
        <v>2.262</v>
      </c>
      <c r="E3433">
        <v>724</v>
      </c>
      <c r="F3433" t="str">
        <f>HYPERLINK("https://www.google.com/maps/search/?api=1&amp;query=23.71268304,44.5949604", "View Map")</f>
        <v>View Map</v>
      </c>
      <c r="G3433" s="2">
        <v>0.49735493704938571</v>
      </c>
    </row>
    <row r="3434" spans="1:7" x14ac:dyDescent="0.3">
      <c r="A3434" t="s">
        <v>5936</v>
      </c>
      <c r="B3434" t="s">
        <v>5937</v>
      </c>
      <c r="C3434" t="s">
        <v>255</v>
      </c>
      <c r="D3434">
        <v>2.2610000000000001</v>
      </c>
      <c r="E3434">
        <v>723</v>
      </c>
      <c r="F3434" t="str">
        <f>HYPERLINK("https://www.google.com/maps/search/?api=1&amp;query=25.09031,43.52543889", "View Map")</f>
        <v>View Map</v>
      </c>
      <c r="G3434" s="2">
        <v>0.46103299568749367</v>
      </c>
    </row>
    <row r="3435" spans="1:7" x14ac:dyDescent="0.3">
      <c r="A3435" t="s">
        <v>5938</v>
      </c>
      <c r="B3435" t="s">
        <v>5939</v>
      </c>
      <c r="C3435" t="s">
        <v>55</v>
      </c>
      <c r="D3435">
        <v>2.2599999999999998</v>
      </c>
      <c r="E3435">
        <v>723</v>
      </c>
      <c r="F3435" t="str">
        <f>HYPERLINK("https://www.google.com/maps/search/?api=1&amp;query=24.73045235,46.60210809", "View Map")</f>
        <v>View Map</v>
      </c>
    </row>
    <row r="3436" spans="1:7" x14ac:dyDescent="0.3">
      <c r="A3436" t="s">
        <v>5940</v>
      </c>
      <c r="B3436" t="s">
        <v>5941</v>
      </c>
      <c r="C3436" t="s">
        <v>738</v>
      </c>
      <c r="D3436">
        <v>2.2599999999999998</v>
      </c>
      <c r="E3436">
        <v>723</v>
      </c>
      <c r="F3436" t="str">
        <f>HYPERLINK("https://www.google.com/maps/search/?api=1&amp;query=25.10882325,46.10666799", "View Map")</f>
        <v>View Map</v>
      </c>
      <c r="G3436" s="2">
        <v>0.54628059826165787</v>
      </c>
    </row>
    <row r="3437" spans="1:7" x14ac:dyDescent="0.3">
      <c r="A3437" t="s">
        <v>4220</v>
      </c>
      <c r="B3437" t="s">
        <v>5942</v>
      </c>
      <c r="C3437" t="s">
        <v>214</v>
      </c>
      <c r="D3437">
        <v>2.2589999999999999</v>
      </c>
      <c r="E3437">
        <v>723</v>
      </c>
      <c r="F3437" t="str">
        <f>HYPERLINK("https://www.google.com/maps/search/?api=1&amp;query=25.69932125,45.89378701", "View Map")</f>
        <v>View Map</v>
      </c>
      <c r="G3437" s="2">
        <v>0.52717621800853331</v>
      </c>
    </row>
    <row r="3438" spans="1:7" x14ac:dyDescent="0.3">
      <c r="A3438" t="s">
        <v>4564</v>
      </c>
      <c r="B3438" t="s">
        <v>5943</v>
      </c>
      <c r="C3438" t="s">
        <v>8</v>
      </c>
      <c r="D3438">
        <v>2.258</v>
      </c>
      <c r="E3438">
        <v>723</v>
      </c>
      <c r="F3438" t="str">
        <f>HYPERLINK("https://www.google.com/maps/search/?api=1&amp;query=24.54186146,46.69824246", "View Map")</f>
        <v>View Map</v>
      </c>
    </row>
    <row r="3439" spans="1:7" x14ac:dyDescent="0.3">
      <c r="A3439" t="s">
        <v>5944</v>
      </c>
      <c r="B3439" t="s">
        <v>5945</v>
      </c>
      <c r="C3439" t="s">
        <v>4447</v>
      </c>
      <c r="D3439">
        <v>2.2570000000000001</v>
      </c>
      <c r="E3439">
        <v>722</v>
      </c>
      <c r="F3439" t="str">
        <f>HYPERLINK("https://www.google.com/maps/search/?api=1&amp;query=24.38615749,41.99920011", "View Map")</f>
        <v>View Map</v>
      </c>
      <c r="G3439" s="2">
        <v>0.90642874404470974</v>
      </c>
    </row>
    <row r="3440" spans="1:7" x14ac:dyDescent="0.3">
      <c r="A3440" t="s">
        <v>5946</v>
      </c>
      <c r="B3440" t="s">
        <v>5947</v>
      </c>
      <c r="C3440" t="s">
        <v>8</v>
      </c>
      <c r="D3440">
        <v>2.2570000000000001</v>
      </c>
      <c r="E3440">
        <v>722</v>
      </c>
      <c r="F3440" t="str">
        <f>HYPERLINK("https://www.google.com/maps/search/?api=1&amp;query=24.75665385,46.75256631", "View Map")</f>
        <v>View Map</v>
      </c>
    </row>
    <row r="3441" spans="1:7" x14ac:dyDescent="0.3">
      <c r="A3441" t="s">
        <v>5948</v>
      </c>
      <c r="B3441" t="s">
        <v>5949</v>
      </c>
      <c r="C3441" t="s">
        <v>296</v>
      </c>
      <c r="D3441">
        <v>2.2559999999999998</v>
      </c>
      <c r="E3441">
        <v>722</v>
      </c>
      <c r="F3441" t="str">
        <f>HYPERLINK("https://www.google.com/maps/search/?api=1&amp;query=24.46051,46.27504", "View Map")</f>
        <v>View Map</v>
      </c>
      <c r="G3441" s="2">
        <v>0.61036658257729171</v>
      </c>
    </row>
    <row r="3442" spans="1:7" x14ac:dyDescent="0.3">
      <c r="A3442" t="s">
        <v>5950</v>
      </c>
      <c r="B3442" t="s">
        <v>5951</v>
      </c>
      <c r="C3442" t="s">
        <v>466</v>
      </c>
      <c r="D3442">
        <v>2.2549999999999999</v>
      </c>
      <c r="E3442">
        <v>722</v>
      </c>
      <c r="F3442" t="str">
        <f>HYPERLINK("https://www.google.com/maps/search/?api=1&amp;query=24.49360153,46.1677013", "View Map")</f>
        <v>View Map</v>
      </c>
      <c r="G3442" s="2">
        <v>0.34571796521564491</v>
      </c>
    </row>
    <row r="3443" spans="1:7" x14ac:dyDescent="0.3">
      <c r="A3443" t="s">
        <v>5952</v>
      </c>
      <c r="B3443" t="s">
        <v>5953</v>
      </c>
      <c r="C3443" t="s">
        <v>8</v>
      </c>
      <c r="D3443">
        <v>2.254</v>
      </c>
      <c r="E3443">
        <v>721</v>
      </c>
      <c r="F3443" t="str">
        <f>HYPERLINK("https://www.google.com/maps/search/?api=1&amp;query=24.78376069,46.64279419", "View Map")</f>
        <v>View Map</v>
      </c>
    </row>
    <row r="3444" spans="1:7" x14ac:dyDescent="0.3">
      <c r="A3444" t="s">
        <v>5954</v>
      </c>
      <c r="B3444" t="s">
        <v>5955</v>
      </c>
      <c r="C3444" t="s">
        <v>255</v>
      </c>
      <c r="D3444">
        <v>2.254</v>
      </c>
      <c r="E3444">
        <v>721</v>
      </c>
      <c r="F3444" t="str">
        <f>HYPERLINK("https://www.google.com/maps/search/?api=1&amp;query=24.51532606,44.3985597", "View Map")</f>
        <v>View Map</v>
      </c>
      <c r="G3444" s="2">
        <v>0.57906358783095302</v>
      </c>
    </row>
    <row r="3445" spans="1:7" x14ac:dyDescent="0.3">
      <c r="A3445" t="s">
        <v>5956</v>
      </c>
      <c r="B3445" t="s">
        <v>5957</v>
      </c>
      <c r="C3445" t="s">
        <v>270</v>
      </c>
      <c r="D3445">
        <v>2.2530000000000001</v>
      </c>
      <c r="E3445">
        <v>721</v>
      </c>
      <c r="F3445" t="str">
        <f>HYPERLINK("https://www.google.com/maps/search/?api=1&amp;query=24.02249393,47.13873849", "View Map")</f>
        <v>View Map</v>
      </c>
      <c r="G3445" s="2">
        <v>0.83950841811857368</v>
      </c>
    </row>
    <row r="3446" spans="1:7" x14ac:dyDescent="0.3">
      <c r="A3446" t="s">
        <v>5958</v>
      </c>
      <c r="B3446" t="s">
        <v>5959</v>
      </c>
      <c r="C3446" t="s">
        <v>214</v>
      </c>
      <c r="D3446">
        <v>2.2530000000000001</v>
      </c>
      <c r="E3446">
        <v>721</v>
      </c>
      <c r="F3446" t="str">
        <f>HYPERLINK("https://www.google.com/maps/search/?api=1&amp;query=25.68372201,45.44842025", "View Map")</f>
        <v>View Map</v>
      </c>
      <c r="G3446" s="2">
        <v>0.68673669669069615</v>
      </c>
    </row>
    <row r="3447" spans="1:7" x14ac:dyDescent="0.3">
      <c r="A3447" t="s">
        <v>5960</v>
      </c>
      <c r="B3447" t="s">
        <v>5961</v>
      </c>
      <c r="C3447" t="s">
        <v>286</v>
      </c>
      <c r="D3447">
        <v>2.2530000000000001</v>
      </c>
      <c r="E3447">
        <v>721</v>
      </c>
      <c r="F3447" t="str">
        <f>HYPERLINK("https://www.google.com/maps/search/?api=1&amp;query=25.5691383,45.27959986", "View Map")</f>
        <v>View Map</v>
      </c>
      <c r="G3447" s="2">
        <v>0.63549686041594178</v>
      </c>
    </row>
    <row r="3448" spans="1:7" x14ac:dyDescent="0.3">
      <c r="A3448" t="s">
        <v>5962</v>
      </c>
      <c r="B3448" t="s">
        <v>5963</v>
      </c>
      <c r="C3448" t="s">
        <v>738</v>
      </c>
      <c r="D3448">
        <v>2.2530000000000001</v>
      </c>
      <c r="E3448">
        <v>721</v>
      </c>
      <c r="F3448" t="str">
        <f>HYPERLINK("https://www.google.com/maps/search/?api=1&amp;query=25.11986064,46.09102111", "View Map")</f>
        <v>View Map</v>
      </c>
      <c r="G3448" s="2">
        <v>0.52993169750529123</v>
      </c>
    </row>
    <row r="3449" spans="1:7" x14ac:dyDescent="0.3">
      <c r="A3449" t="s">
        <v>5964</v>
      </c>
      <c r="B3449" t="s">
        <v>5965</v>
      </c>
      <c r="C3449" t="s">
        <v>8</v>
      </c>
      <c r="D3449">
        <v>2.2530000000000001</v>
      </c>
      <c r="E3449">
        <v>721</v>
      </c>
      <c r="F3449" t="str">
        <f>HYPERLINK("https://www.google.com/maps/search/?api=1&amp;query=24.62506497,46.71437349", "View Map")</f>
        <v>View Map</v>
      </c>
    </row>
    <row r="3450" spans="1:7" x14ac:dyDescent="0.3">
      <c r="A3450" t="s">
        <v>5966</v>
      </c>
      <c r="B3450" t="s">
        <v>5967</v>
      </c>
      <c r="C3450" t="s">
        <v>21</v>
      </c>
      <c r="D3450">
        <v>2.2530000000000001</v>
      </c>
      <c r="E3450">
        <v>721</v>
      </c>
      <c r="F3450" t="str">
        <f>HYPERLINK("https://www.google.com/maps/search/?api=1&amp;query=26.307408,44.81225835", "View Map")</f>
        <v>View Map</v>
      </c>
      <c r="G3450" s="2">
        <v>0.37921841815804569</v>
      </c>
    </row>
    <row r="3451" spans="1:7" x14ac:dyDescent="0.3">
      <c r="A3451" t="s">
        <v>1232</v>
      </c>
      <c r="B3451" t="s">
        <v>5968</v>
      </c>
      <c r="C3451" t="s">
        <v>8</v>
      </c>
      <c r="D3451">
        <v>2.2519999999999998</v>
      </c>
      <c r="E3451">
        <v>721</v>
      </c>
      <c r="F3451" t="str">
        <f>HYPERLINK("https://www.google.com/maps/search/?api=1&amp;query=24.72150666,46.67409428", "View Map")</f>
        <v>View Map</v>
      </c>
    </row>
    <row r="3452" spans="1:7" x14ac:dyDescent="0.3">
      <c r="A3452" t="s">
        <v>5969</v>
      </c>
      <c r="B3452" t="s">
        <v>5970</v>
      </c>
      <c r="C3452" t="s">
        <v>8</v>
      </c>
      <c r="D3452">
        <v>2.2519999999999998</v>
      </c>
      <c r="E3452">
        <v>721</v>
      </c>
      <c r="F3452" t="str">
        <f>HYPERLINK("https://www.google.com/maps/search/?api=1&amp;query=24.6347,46.5964", "View Map")</f>
        <v>View Map</v>
      </c>
    </row>
    <row r="3453" spans="1:7" x14ac:dyDescent="0.3">
      <c r="A3453" t="s">
        <v>5971</v>
      </c>
      <c r="B3453" t="s">
        <v>5972</v>
      </c>
      <c r="C3453" t="s">
        <v>8</v>
      </c>
      <c r="D3453">
        <v>2.2509999999999999</v>
      </c>
      <c r="E3453">
        <v>720</v>
      </c>
      <c r="F3453" t="str">
        <f>HYPERLINK("https://www.google.com/maps/search/?api=1&amp;query=24.80401256,46.75477008", "View Map")</f>
        <v>View Map</v>
      </c>
    </row>
    <row r="3454" spans="1:7" x14ac:dyDescent="0.3">
      <c r="A3454" t="s">
        <v>5973</v>
      </c>
      <c r="B3454" t="s">
        <v>5974</v>
      </c>
      <c r="C3454" t="s">
        <v>8</v>
      </c>
      <c r="D3454">
        <v>2.2480000000000002</v>
      </c>
      <c r="E3454">
        <v>719</v>
      </c>
      <c r="F3454" t="str">
        <f>HYPERLINK("https://www.google.com/maps/search/?api=1&amp;query=24.67759762,46.70784145", "View Map")</f>
        <v>View Map</v>
      </c>
    </row>
    <row r="3455" spans="1:7" x14ac:dyDescent="0.3">
      <c r="A3455" t="s">
        <v>5975</v>
      </c>
      <c r="B3455" t="s">
        <v>5976</v>
      </c>
      <c r="C3455" t="s">
        <v>8</v>
      </c>
      <c r="D3455">
        <v>2.2469999999999999</v>
      </c>
      <c r="E3455">
        <v>719</v>
      </c>
      <c r="F3455" t="str">
        <f>HYPERLINK("https://www.google.com/maps/search/?api=1&amp;query=24.58646029,46.63881093", "View Map")</f>
        <v>View Map</v>
      </c>
    </row>
    <row r="3456" spans="1:7" x14ac:dyDescent="0.3">
      <c r="A3456" t="s">
        <v>479</v>
      </c>
      <c r="B3456" t="s">
        <v>5977</v>
      </c>
      <c r="C3456" t="s">
        <v>738</v>
      </c>
      <c r="D3456">
        <v>2.2450000000000001</v>
      </c>
      <c r="E3456">
        <v>719</v>
      </c>
      <c r="F3456" t="str">
        <f>HYPERLINK("https://www.google.com/maps/search/?api=1&amp;query=25.10476386,46.20401121", "View Map")</f>
        <v>View Map</v>
      </c>
      <c r="G3456" s="2">
        <v>0.53934879635530819</v>
      </c>
    </row>
    <row r="3457" spans="1:7" x14ac:dyDescent="0.3">
      <c r="A3457" t="s">
        <v>5978</v>
      </c>
      <c r="B3457" t="s">
        <v>5979</v>
      </c>
      <c r="C3457" t="s">
        <v>8</v>
      </c>
      <c r="D3457">
        <v>2.2429999999999999</v>
      </c>
      <c r="E3457">
        <v>718</v>
      </c>
      <c r="F3457" t="str">
        <f>HYPERLINK("https://www.google.com/maps/search/?api=1&amp;query=24.79706673,46.77418713", "View Map")</f>
        <v>View Map</v>
      </c>
    </row>
    <row r="3458" spans="1:7" x14ac:dyDescent="0.3">
      <c r="A3458" t="s">
        <v>5980</v>
      </c>
      <c r="B3458" t="s">
        <v>5981</v>
      </c>
      <c r="C3458" t="s">
        <v>8</v>
      </c>
      <c r="D3458">
        <v>2.2429999999999999</v>
      </c>
      <c r="E3458">
        <v>718</v>
      </c>
      <c r="F3458" t="str">
        <f>HYPERLINK("https://www.google.com/maps/search/?api=1&amp;query=24.56478475,46.64908738", "View Map")</f>
        <v>View Map</v>
      </c>
    </row>
    <row r="3459" spans="1:7" x14ac:dyDescent="0.3">
      <c r="A3459" t="s">
        <v>789</v>
      </c>
      <c r="B3459" t="s">
        <v>5982</v>
      </c>
      <c r="C3459" t="s">
        <v>8</v>
      </c>
      <c r="D3459">
        <v>2.2429999999999999</v>
      </c>
      <c r="E3459">
        <v>718</v>
      </c>
      <c r="F3459" t="str">
        <f>HYPERLINK("https://www.google.com/maps/search/?api=1&amp;query=24.79240461,46.7713202", "View Map")</f>
        <v>View Map</v>
      </c>
    </row>
    <row r="3460" spans="1:7" x14ac:dyDescent="0.3">
      <c r="A3460" t="s">
        <v>5983</v>
      </c>
      <c r="B3460" t="s">
        <v>5984</v>
      </c>
      <c r="C3460" t="s">
        <v>8</v>
      </c>
      <c r="D3460">
        <v>2.242</v>
      </c>
      <c r="E3460">
        <v>717</v>
      </c>
      <c r="F3460" t="str">
        <f>HYPERLINK("https://www.google.com/maps/search/?api=1&amp;query=24.65159728,46.67097827", "View Map")</f>
        <v>View Map</v>
      </c>
    </row>
    <row r="3461" spans="1:7" x14ac:dyDescent="0.3">
      <c r="A3461" t="s">
        <v>5985</v>
      </c>
      <c r="B3461" t="s">
        <v>5986</v>
      </c>
      <c r="C3461" t="s">
        <v>8</v>
      </c>
      <c r="D3461">
        <v>2.242</v>
      </c>
      <c r="E3461">
        <v>717</v>
      </c>
      <c r="F3461" t="str">
        <f>HYPERLINK("https://www.google.com/maps/search/?api=1&amp;query=24.75719664,46.80775008", "View Map")</f>
        <v>View Map</v>
      </c>
    </row>
    <row r="3462" spans="1:7" x14ac:dyDescent="0.3">
      <c r="A3462" t="s">
        <v>5987</v>
      </c>
      <c r="B3462" t="s">
        <v>5988</v>
      </c>
      <c r="C3462" t="s">
        <v>214</v>
      </c>
      <c r="D3462">
        <v>2.242</v>
      </c>
      <c r="E3462">
        <v>718</v>
      </c>
      <c r="F3462" t="str">
        <f>HYPERLINK("https://www.google.com/maps/search/?api=1&amp;query=25.59545893,45.61000721", "View Map")</f>
        <v>View Map</v>
      </c>
      <c r="G3462" s="2">
        <v>0.79002198262660983</v>
      </c>
    </row>
    <row r="3463" spans="1:7" x14ac:dyDescent="0.3">
      <c r="A3463" t="s">
        <v>5989</v>
      </c>
      <c r="B3463" t="s">
        <v>5990</v>
      </c>
      <c r="C3463" t="s">
        <v>8</v>
      </c>
      <c r="D3463">
        <v>2.242</v>
      </c>
      <c r="E3463">
        <v>717</v>
      </c>
      <c r="F3463" t="str">
        <f>HYPERLINK("https://www.google.com/maps/search/?api=1&amp;query=24.58693637,46.76576371", "View Map")</f>
        <v>View Map</v>
      </c>
    </row>
    <row r="3464" spans="1:7" x14ac:dyDescent="0.3">
      <c r="A3464" t="s">
        <v>5991</v>
      </c>
      <c r="B3464" t="s">
        <v>5992</v>
      </c>
      <c r="C3464" t="s">
        <v>77</v>
      </c>
      <c r="D3464">
        <v>2.242</v>
      </c>
      <c r="E3464">
        <v>717</v>
      </c>
      <c r="F3464" t="str">
        <f>HYPERLINK("https://www.google.com/maps/search/?api=1&amp;query=22.02968794,46.56459496", "View Map")</f>
        <v>View Map</v>
      </c>
      <c r="G3464" s="2">
        <v>0.53930932447803404</v>
      </c>
    </row>
    <row r="3465" spans="1:7" x14ac:dyDescent="0.3">
      <c r="A3465" t="s">
        <v>5993</v>
      </c>
      <c r="B3465" t="s">
        <v>5994</v>
      </c>
      <c r="C3465" t="s">
        <v>291</v>
      </c>
      <c r="D3465">
        <v>2.242</v>
      </c>
      <c r="E3465">
        <v>717</v>
      </c>
      <c r="F3465" t="str">
        <f>HYPERLINK("https://www.google.com/maps/search/?api=1&amp;query=24.05429017,44.94011753", "View Map")</f>
        <v>View Map</v>
      </c>
      <c r="G3465" s="2">
        <v>0.77381159065446425</v>
      </c>
    </row>
    <row r="3466" spans="1:7" x14ac:dyDescent="0.3">
      <c r="A3466" t="s">
        <v>5995</v>
      </c>
      <c r="B3466" t="s">
        <v>5996</v>
      </c>
      <c r="C3466" t="s">
        <v>21</v>
      </c>
      <c r="D3466">
        <v>2.2410000000000001</v>
      </c>
      <c r="E3466">
        <v>717</v>
      </c>
      <c r="F3466" t="str">
        <f>HYPERLINK("https://www.google.com/maps/search/?api=1&amp;query=26.31362596,44.83180766", "View Map")</f>
        <v>View Map</v>
      </c>
      <c r="G3466" s="2">
        <v>0.43450744399630342</v>
      </c>
    </row>
    <row r="3467" spans="1:7" x14ac:dyDescent="0.3">
      <c r="A3467" t="s">
        <v>5997</v>
      </c>
      <c r="B3467" t="s">
        <v>5998</v>
      </c>
      <c r="C3467" t="s">
        <v>1112</v>
      </c>
      <c r="D3467">
        <v>2.2410000000000001</v>
      </c>
      <c r="E3467">
        <v>717</v>
      </c>
      <c r="F3467" t="str">
        <f>HYPERLINK("https://www.google.com/maps/search/?api=1&amp;query=26.02780234,44.94282068", "View Map")</f>
        <v>View Map</v>
      </c>
      <c r="G3467" s="2">
        <v>0.61761572832089862</v>
      </c>
    </row>
    <row r="3468" spans="1:7" x14ac:dyDescent="0.3">
      <c r="A3468" t="s">
        <v>5999</v>
      </c>
      <c r="B3468" t="s">
        <v>6000</v>
      </c>
      <c r="C3468" t="s">
        <v>8</v>
      </c>
      <c r="D3468">
        <v>2.2410000000000001</v>
      </c>
      <c r="E3468">
        <v>717</v>
      </c>
      <c r="F3468" t="str">
        <f>HYPERLINK("https://www.google.com/maps/search/?api=1&amp;query=24.56640818,46.78645152", "View Map")</f>
        <v>View Map</v>
      </c>
    </row>
    <row r="3469" spans="1:7" x14ac:dyDescent="0.3">
      <c r="A3469" t="s">
        <v>706</v>
      </c>
      <c r="B3469" t="s">
        <v>6001</v>
      </c>
      <c r="C3469" t="s">
        <v>8</v>
      </c>
      <c r="D3469">
        <v>2.2400000000000002</v>
      </c>
      <c r="E3469">
        <v>717</v>
      </c>
      <c r="F3469" t="str">
        <f>HYPERLINK("https://www.google.com/maps/search/?api=1&amp;query=24.56103337,46.56076701", "View Map")</f>
        <v>View Map</v>
      </c>
    </row>
    <row r="3470" spans="1:7" x14ac:dyDescent="0.3">
      <c r="A3470" t="s">
        <v>6002</v>
      </c>
      <c r="B3470" t="s">
        <v>6003</v>
      </c>
      <c r="C3470" t="s">
        <v>8</v>
      </c>
      <c r="D3470">
        <v>2.2400000000000002</v>
      </c>
      <c r="E3470">
        <v>717</v>
      </c>
      <c r="F3470" t="str">
        <f>HYPERLINK("https://www.google.com/maps/search/?api=1&amp;query=24.73598191,46.70973848", "View Map")</f>
        <v>View Map</v>
      </c>
    </row>
    <row r="3471" spans="1:7" x14ac:dyDescent="0.3">
      <c r="A3471" t="s">
        <v>6004</v>
      </c>
      <c r="B3471" t="s">
        <v>6005</v>
      </c>
      <c r="C3471" t="s">
        <v>214</v>
      </c>
      <c r="D3471">
        <v>2.2400000000000002</v>
      </c>
      <c r="E3471">
        <v>717</v>
      </c>
      <c r="F3471" t="str">
        <f>HYPERLINK("https://www.google.com/maps/search/?api=1&amp;query=25.63169,45.5849", "View Map")</f>
        <v>View Map</v>
      </c>
      <c r="G3471" s="2">
        <v>0.42691345413272702</v>
      </c>
    </row>
    <row r="3472" spans="1:7" x14ac:dyDescent="0.3">
      <c r="A3472" t="s">
        <v>6006</v>
      </c>
      <c r="B3472" t="s">
        <v>6007</v>
      </c>
      <c r="C3472" t="s">
        <v>8</v>
      </c>
      <c r="D3472">
        <v>2.2400000000000002</v>
      </c>
      <c r="E3472">
        <v>717</v>
      </c>
      <c r="F3472" t="str">
        <f>HYPERLINK("https://www.google.com/maps/search/?api=1&amp;query=24.77238612,46.83123379", "View Map")</f>
        <v>View Map</v>
      </c>
    </row>
    <row r="3473" spans="1:7" x14ac:dyDescent="0.3">
      <c r="A3473" t="s">
        <v>6008</v>
      </c>
      <c r="B3473" t="s">
        <v>6009</v>
      </c>
      <c r="C3473" t="s">
        <v>137</v>
      </c>
      <c r="D3473">
        <v>2.2389999999999999</v>
      </c>
      <c r="E3473">
        <v>717</v>
      </c>
      <c r="F3473" t="str">
        <f>HYPERLINK("https://www.google.com/maps/search/?api=1&amp;query=23.4914,46.8797", "View Map")</f>
        <v>View Map</v>
      </c>
    </row>
    <row r="3474" spans="1:7" x14ac:dyDescent="0.3">
      <c r="A3474" t="s">
        <v>6010</v>
      </c>
      <c r="B3474" t="s">
        <v>6011</v>
      </c>
      <c r="C3474" t="s">
        <v>8</v>
      </c>
      <c r="D3474">
        <v>2.2370000000000001</v>
      </c>
      <c r="E3474">
        <v>716</v>
      </c>
      <c r="F3474" t="str">
        <f>HYPERLINK("https://www.google.com/maps/search/?api=1&amp;query=24.60861776,46.75208462", "View Map")</f>
        <v>View Map</v>
      </c>
    </row>
    <row r="3475" spans="1:7" x14ac:dyDescent="0.3">
      <c r="A3475" t="s">
        <v>2076</v>
      </c>
      <c r="B3475" t="s">
        <v>6012</v>
      </c>
      <c r="C3475" t="s">
        <v>8</v>
      </c>
      <c r="D3475">
        <v>2.2360000000000002</v>
      </c>
      <c r="E3475">
        <v>716</v>
      </c>
      <c r="F3475" t="str">
        <f>HYPERLINK("https://www.google.com/maps/search/?api=1&amp;query=24.56388862,46.71046769", "View Map")</f>
        <v>View Map</v>
      </c>
    </row>
    <row r="3476" spans="1:7" x14ac:dyDescent="0.3">
      <c r="A3476" t="s">
        <v>6013</v>
      </c>
      <c r="B3476" t="s">
        <v>6014</v>
      </c>
      <c r="C3476" t="s">
        <v>8</v>
      </c>
      <c r="D3476">
        <v>2.2349999999999999</v>
      </c>
      <c r="E3476">
        <v>715</v>
      </c>
      <c r="F3476" t="str">
        <f>HYPERLINK("https://www.google.com/maps/search/?api=1&amp;query=24.77458959,46.68340349", "View Map")</f>
        <v>View Map</v>
      </c>
    </row>
    <row r="3477" spans="1:7" x14ac:dyDescent="0.3">
      <c r="A3477" t="s">
        <v>380</v>
      </c>
      <c r="B3477" t="s">
        <v>6015</v>
      </c>
      <c r="C3477" t="s">
        <v>214</v>
      </c>
      <c r="D3477">
        <v>2.2349999999999999</v>
      </c>
      <c r="E3477">
        <v>715</v>
      </c>
      <c r="F3477" t="str">
        <f>HYPERLINK("https://www.google.com/maps/search/?api=1&amp;query=25.71852347,45.85190797", "View Map")</f>
        <v>View Map</v>
      </c>
      <c r="G3477" s="2">
        <v>0.63958836548306019</v>
      </c>
    </row>
    <row r="3478" spans="1:7" x14ac:dyDescent="0.3">
      <c r="A3478" t="s">
        <v>6016</v>
      </c>
      <c r="B3478" t="s">
        <v>6017</v>
      </c>
      <c r="C3478" t="s">
        <v>214</v>
      </c>
      <c r="D3478">
        <v>2.2349999999999999</v>
      </c>
      <c r="E3478">
        <v>715</v>
      </c>
      <c r="F3478" t="str">
        <f>HYPERLINK("https://www.google.com/maps/search/?api=1&amp;query=25.69664192,45.88027634", "View Map")</f>
        <v>View Map</v>
      </c>
      <c r="G3478" s="2">
        <v>0.44601222002526347</v>
      </c>
    </row>
    <row r="3479" spans="1:7" x14ac:dyDescent="0.3">
      <c r="A3479" t="s">
        <v>433</v>
      </c>
      <c r="B3479" t="s">
        <v>6018</v>
      </c>
      <c r="C3479" t="s">
        <v>137</v>
      </c>
      <c r="D3479">
        <v>2.2349999999999999</v>
      </c>
      <c r="E3479">
        <v>715</v>
      </c>
      <c r="F3479" t="str">
        <f>HYPERLINK("https://www.google.com/maps/search/?api=1&amp;query=23.26836693,46.66897558", "View Map")</f>
        <v>View Map</v>
      </c>
      <c r="G3479" s="2">
        <v>0.78060785752396322</v>
      </c>
    </row>
    <row r="3480" spans="1:7" x14ac:dyDescent="0.3">
      <c r="A3480" t="s">
        <v>28</v>
      </c>
      <c r="B3480" t="s">
        <v>6019</v>
      </c>
      <c r="C3480" t="s">
        <v>30</v>
      </c>
      <c r="D3480">
        <v>2.2349999999999999</v>
      </c>
      <c r="E3480">
        <v>715</v>
      </c>
      <c r="F3480" t="str">
        <f>HYPERLINK("https://www.google.com/maps/search/?api=1&amp;query=24.15223722,47.29734301", "View Map")</f>
        <v>View Map</v>
      </c>
    </row>
    <row r="3481" spans="1:7" x14ac:dyDescent="0.3">
      <c r="A3481" t="s">
        <v>6020</v>
      </c>
      <c r="B3481" t="s">
        <v>6021</v>
      </c>
      <c r="C3481" t="s">
        <v>8</v>
      </c>
      <c r="D3481">
        <v>2.234</v>
      </c>
      <c r="E3481">
        <v>715</v>
      </c>
      <c r="F3481" t="str">
        <f>HYPERLINK("https://www.google.com/maps/search/?api=1&amp;query=24.58117468,46.73653156", "View Map")</f>
        <v>View Map</v>
      </c>
      <c r="G3481" s="2">
        <v>0.38491304001940357</v>
      </c>
    </row>
    <row r="3482" spans="1:7" x14ac:dyDescent="0.3">
      <c r="A3482" t="s">
        <v>385</v>
      </c>
      <c r="B3482" t="s">
        <v>6022</v>
      </c>
      <c r="C3482" t="s">
        <v>291</v>
      </c>
      <c r="D3482">
        <v>2.234</v>
      </c>
      <c r="E3482">
        <v>715</v>
      </c>
      <c r="F3482" t="str">
        <f>HYPERLINK("https://www.google.com/maps/search/?api=1&amp;query=23.78370199,44.80080738", "View Map")</f>
        <v>View Map</v>
      </c>
      <c r="G3482" s="2">
        <v>0.76899485843585036</v>
      </c>
    </row>
    <row r="3483" spans="1:7" x14ac:dyDescent="0.3">
      <c r="A3483" t="s">
        <v>6023</v>
      </c>
      <c r="B3483" t="s">
        <v>6024</v>
      </c>
      <c r="C3483" t="s">
        <v>8</v>
      </c>
      <c r="D3483">
        <v>2.234</v>
      </c>
      <c r="E3483">
        <v>715</v>
      </c>
      <c r="F3483" t="str">
        <f>HYPERLINK("https://www.google.com/maps/search/?api=1&amp;query=24.76985014,46.74216619", "View Map")</f>
        <v>View Map</v>
      </c>
    </row>
    <row r="3484" spans="1:7" x14ac:dyDescent="0.3">
      <c r="A3484" t="s">
        <v>6025</v>
      </c>
      <c r="B3484" t="s">
        <v>6026</v>
      </c>
      <c r="C3484" t="s">
        <v>8</v>
      </c>
      <c r="D3484">
        <v>2.234</v>
      </c>
      <c r="E3484">
        <v>715</v>
      </c>
      <c r="F3484" t="str">
        <f>HYPERLINK("https://www.google.com/maps/search/?api=1&amp;query=24.68752239,46.81156908", "View Map")</f>
        <v>View Map</v>
      </c>
    </row>
    <row r="3485" spans="1:7" x14ac:dyDescent="0.3">
      <c r="A3485" t="s">
        <v>6027</v>
      </c>
      <c r="B3485" t="s">
        <v>6028</v>
      </c>
      <c r="C3485" t="s">
        <v>8</v>
      </c>
      <c r="D3485">
        <v>2.2330000000000001</v>
      </c>
      <c r="E3485">
        <v>715</v>
      </c>
      <c r="F3485" t="str">
        <f>HYPERLINK("https://www.google.com/maps/search/?api=1&amp;query=24.56704379,46.76661186", "View Map")</f>
        <v>View Map</v>
      </c>
      <c r="G3485" s="2">
        <v>0.1824771367326247</v>
      </c>
    </row>
    <row r="3486" spans="1:7" x14ac:dyDescent="0.3">
      <c r="A3486" t="s">
        <v>6029</v>
      </c>
      <c r="B3486" t="s">
        <v>6030</v>
      </c>
      <c r="C3486" t="s">
        <v>393</v>
      </c>
      <c r="D3486">
        <v>2.2320000000000002</v>
      </c>
      <c r="E3486">
        <v>714</v>
      </c>
      <c r="F3486" t="str">
        <f>HYPERLINK("https://www.google.com/maps/search/?api=1&amp;query=22.64484319,44.79941371", "View Map")</f>
        <v>View Map</v>
      </c>
      <c r="G3486" s="2">
        <v>0.6178979180528581</v>
      </c>
    </row>
    <row r="3487" spans="1:7" x14ac:dyDescent="0.3">
      <c r="A3487" t="s">
        <v>6031</v>
      </c>
      <c r="B3487" t="s">
        <v>6032</v>
      </c>
      <c r="C3487" t="s">
        <v>255</v>
      </c>
      <c r="D3487">
        <v>2.2309999999999999</v>
      </c>
      <c r="E3487">
        <v>714</v>
      </c>
      <c r="F3487" t="str">
        <f>HYPERLINK("https://www.google.com/maps/search/?api=1&amp;query=24.53853447,44.27143806", "View Map")</f>
        <v>View Map</v>
      </c>
      <c r="G3487" s="2">
        <v>0.61172820825936514</v>
      </c>
    </row>
    <row r="3488" spans="1:7" x14ac:dyDescent="0.3">
      <c r="A3488" t="s">
        <v>1273</v>
      </c>
      <c r="B3488" t="s">
        <v>6033</v>
      </c>
      <c r="C3488" t="s">
        <v>241</v>
      </c>
      <c r="D3488">
        <v>2.23</v>
      </c>
      <c r="E3488">
        <v>713</v>
      </c>
      <c r="F3488" t="str">
        <f>HYPERLINK("https://www.google.com/maps/search/?api=1&amp;query=20.41997353,45.10805314", "View Map")</f>
        <v>View Map</v>
      </c>
      <c r="G3488" s="2">
        <v>0.58410054006993128</v>
      </c>
    </row>
    <row r="3489" spans="1:7" x14ac:dyDescent="0.3">
      <c r="A3489" t="s">
        <v>6034</v>
      </c>
      <c r="B3489" t="s">
        <v>6035</v>
      </c>
      <c r="C3489" t="s">
        <v>8</v>
      </c>
      <c r="D3489">
        <v>2.2290000000000001</v>
      </c>
      <c r="E3489">
        <v>713</v>
      </c>
      <c r="F3489" t="str">
        <f>HYPERLINK("https://www.google.com/maps/search/?api=1&amp;query=24.59883425,46.7789473", "View Map")</f>
        <v>View Map</v>
      </c>
    </row>
    <row r="3490" spans="1:7" x14ac:dyDescent="0.3">
      <c r="A3490" t="s">
        <v>6036</v>
      </c>
      <c r="B3490" t="s">
        <v>6037</v>
      </c>
      <c r="C3490" t="s">
        <v>8</v>
      </c>
      <c r="D3490">
        <v>2.2290000000000001</v>
      </c>
      <c r="E3490">
        <v>713</v>
      </c>
      <c r="F3490" t="str">
        <f>HYPERLINK("https://www.google.com/maps/search/?api=1&amp;query=24.7024078,46.84533026", "View Map")</f>
        <v>View Map</v>
      </c>
    </row>
    <row r="3491" spans="1:7" x14ac:dyDescent="0.3">
      <c r="A3491" t="s">
        <v>6038</v>
      </c>
      <c r="B3491" t="s">
        <v>6039</v>
      </c>
      <c r="C3491" t="s">
        <v>8</v>
      </c>
      <c r="D3491">
        <v>2.2290000000000001</v>
      </c>
      <c r="E3491">
        <v>713</v>
      </c>
      <c r="F3491" t="str">
        <f>HYPERLINK("https://www.google.com/maps/search/?api=1&amp;query=24.8251662,46.80683298", "View Map")</f>
        <v>View Map</v>
      </c>
    </row>
    <row r="3492" spans="1:7" x14ac:dyDescent="0.3">
      <c r="A3492" t="s">
        <v>46</v>
      </c>
      <c r="B3492" t="s">
        <v>6040</v>
      </c>
      <c r="C3492" t="s">
        <v>55</v>
      </c>
      <c r="D3492">
        <v>2.2280000000000002</v>
      </c>
      <c r="E3492">
        <v>713</v>
      </c>
      <c r="F3492" t="str">
        <f>HYPERLINK("https://www.google.com/maps/search/?api=1&amp;query=24.73665,46.5098", "View Map")</f>
        <v>View Map</v>
      </c>
      <c r="G3492" s="2">
        <v>0.52682078534199073</v>
      </c>
    </row>
    <row r="3493" spans="1:7" x14ac:dyDescent="0.3">
      <c r="A3493" t="s">
        <v>2076</v>
      </c>
      <c r="B3493" t="s">
        <v>6041</v>
      </c>
      <c r="C3493" t="s">
        <v>8</v>
      </c>
      <c r="D3493">
        <v>2.2250000000000001</v>
      </c>
      <c r="E3493">
        <v>712</v>
      </c>
      <c r="F3493" t="str">
        <f>HYPERLINK("https://www.google.com/maps/search/?api=1&amp;query=24.56718292,46.69915196", "View Map")</f>
        <v>View Map</v>
      </c>
      <c r="G3493" s="2">
        <v>0.62752962785486455</v>
      </c>
    </row>
    <row r="3494" spans="1:7" x14ac:dyDescent="0.3">
      <c r="A3494" t="s">
        <v>3675</v>
      </c>
      <c r="B3494" t="s">
        <v>6042</v>
      </c>
      <c r="C3494" t="s">
        <v>8</v>
      </c>
      <c r="D3494">
        <v>2.2250000000000001</v>
      </c>
      <c r="E3494">
        <v>712</v>
      </c>
      <c r="F3494" t="str">
        <f>HYPERLINK("https://www.google.com/maps/search/?api=1&amp;query=24.72273716,46.83319149", "View Map")</f>
        <v>View Map</v>
      </c>
    </row>
    <row r="3495" spans="1:7" x14ac:dyDescent="0.3">
      <c r="A3495" t="s">
        <v>1219</v>
      </c>
      <c r="B3495" t="s">
        <v>6043</v>
      </c>
      <c r="C3495" t="s">
        <v>8</v>
      </c>
      <c r="D3495">
        <v>2.2250000000000001</v>
      </c>
      <c r="E3495">
        <v>712</v>
      </c>
      <c r="F3495" t="str">
        <f>HYPERLINK("https://www.google.com/maps/search/?api=1&amp;query=24.70747689,46.77644849", "View Map")</f>
        <v>View Map</v>
      </c>
      <c r="G3495" s="2">
        <v>0.72575330157168072</v>
      </c>
    </row>
    <row r="3496" spans="1:7" x14ac:dyDescent="0.3">
      <c r="A3496" t="s">
        <v>6044</v>
      </c>
      <c r="B3496" t="s">
        <v>6045</v>
      </c>
      <c r="C3496" t="s">
        <v>8</v>
      </c>
      <c r="D3496">
        <v>2.2250000000000001</v>
      </c>
      <c r="E3496">
        <v>712</v>
      </c>
      <c r="F3496" t="str">
        <f>HYPERLINK("https://www.google.com/maps/search/?api=1&amp;query=24.63096823,46.77575977", "View Map")</f>
        <v>View Map</v>
      </c>
    </row>
    <row r="3497" spans="1:7" x14ac:dyDescent="0.3">
      <c r="A3497" t="s">
        <v>6046</v>
      </c>
      <c r="B3497" t="s">
        <v>6047</v>
      </c>
      <c r="C3497" t="s">
        <v>16</v>
      </c>
      <c r="D3497">
        <v>2.2240000000000002</v>
      </c>
      <c r="E3497">
        <v>712</v>
      </c>
      <c r="F3497" t="str">
        <f>HYPERLINK("https://www.google.com/maps/search/?api=1&amp;query=23.6606,42.58", "View Map")</f>
        <v>View Map</v>
      </c>
      <c r="G3497" s="2">
        <v>0.57296633148621201</v>
      </c>
    </row>
    <row r="3498" spans="1:7" x14ac:dyDescent="0.3">
      <c r="A3498" t="s">
        <v>6048</v>
      </c>
      <c r="B3498" t="s">
        <v>6049</v>
      </c>
      <c r="C3498" t="s">
        <v>30</v>
      </c>
      <c r="D3498">
        <v>2.2210000000000001</v>
      </c>
      <c r="E3498">
        <v>711</v>
      </c>
      <c r="F3498" t="str">
        <f>HYPERLINK("https://www.google.com/maps/search/?api=1&amp;query=24.24741207,47.35649741", "View Map")</f>
        <v>View Map</v>
      </c>
    </row>
    <row r="3499" spans="1:7" x14ac:dyDescent="0.3">
      <c r="A3499" t="s">
        <v>6050</v>
      </c>
      <c r="B3499" t="s">
        <v>6051</v>
      </c>
      <c r="C3499" t="s">
        <v>8</v>
      </c>
      <c r="D3499">
        <v>2.2200000000000002</v>
      </c>
      <c r="E3499">
        <v>710</v>
      </c>
      <c r="F3499" t="str">
        <f>HYPERLINK("https://www.google.com/maps/search/?api=1&amp;query=24.72330664,46.76500445", "View Map")</f>
        <v>View Map</v>
      </c>
    </row>
    <row r="3500" spans="1:7" x14ac:dyDescent="0.3">
      <c r="A3500" t="s">
        <v>6052</v>
      </c>
      <c r="B3500" t="s">
        <v>6053</v>
      </c>
      <c r="C3500" t="s">
        <v>699</v>
      </c>
      <c r="D3500">
        <v>2.2200000000000002</v>
      </c>
      <c r="E3500">
        <v>710</v>
      </c>
      <c r="F3500" t="str">
        <f>HYPERLINK("https://www.google.com/maps/search/?api=1&amp;query=25.16697729,45.3913413", "View Map")</f>
        <v>View Map</v>
      </c>
      <c r="G3500" s="2">
        <v>0.41352521151784222</v>
      </c>
    </row>
    <row r="3501" spans="1:7" x14ac:dyDescent="0.3">
      <c r="A3501" t="s">
        <v>6054</v>
      </c>
      <c r="B3501" t="s">
        <v>6055</v>
      </c>
      <c r="C3501" t="s">
        <v>8</v>
      </c>
      <c r="D3501">
        <v>2.2200000000000002</v>
      </c>
      <c r="E3501">
        <v>710</v>
      </c>
      <c r="F3501" t="str">
        <f>HYPERLINK("https://www.google.com/maps/search/?api=1&amp;query=24.57357787,46.75189298", "View Map")</f>
        <v>View Map</v>
      </c>
    </row>
    <row r="3502" spans="1:7" x14ac:dyDescent="0.3">
      <c r="A3502" t="s">
        <v>1349</v>
      </c>
      <c r="B3502" t="s">
        <v>6056</v>
      </c>
      <c r="C3502" t="s">
        <v>270</v>
      </c>
      <c r="D3502">
        <v>2.2200000000000002</v>
      </c>
      <c r="E3502">
        <v>710</v>
      </c>
      <c r="F3502" t="str">
        <f>HYPERLINK("https://www.google.com/maps/search/?api=1&amp;query=24.00010263,47.11130975", "View Map")</f>
        <v>View Map</v>
      </c>
      <c r="G3502" s="2">
        <v>0.59742008490244192</v>
      </c>
    </row>
    <row r="3503" spans="1:7" x14ac:dyDescent="0.3">
      <c r="A3503" t="s">
        <v>1002</v>
      </c>
      <c r="B3503" t="s">
        <v>6057</v>
      </c>
      <c r="C3503" t="s">
        <v>214</v>
      </c>
      <c r="D3503">
        <v>2.2200000000000002</v>
      </c>
      <c r="E3503">
        <v>710</v>
      </c>
      <c r="F3503" t="str">
        <f>HYPERLINK("https://www.google.com/maps/search/?api=1&amp;query=25.9303779,45.37408238", "View Map")</f>
        <v>View Map</v>
      </c>
      <c r="G3503" s="2">
        <v>0.55439202526945164</v>
      </c>
    </row>
    <row r="3504" spans="1:7" x14ac:dyDescent="0.3">
      <c r="A3504" t="s">
        <v>6058</v>
      </c>
      <c r="B3504" t="s">
        <v>6059</v>
      </c>
      <c r="C3504" t="s">
        <v>255</v>
      </c>
      <c r="D3504">
        <v>2.2200000000000002</v>
      </c>
      <c r="E3504">
        <v>710</v>
      </c>
      <c r="F3504" t="str">
        <f>HYPERLINK("https://www.google.com/maps/search/?api=1&amp;query=24.52434182,44.42230074", "View Map")</f>
        <v>View Map</v>
      </c>
    </row>
    <row r="3505" spans="1:7" x14ac:dyDescent="0.3">
      <c r="A3505" t="s">
        <v>5561</v>
      </c>
      <c r="B3505" t="s">
        <v>6060</v>
      </c>
      <c r="C3505" t="s">
        <v>8</v>
      </c>
      <c r="D3505">
        <v>2.2200000000000002</v>
      </c>
      <c r="E3505">
        <v>710</v>
      </c>
      <c r="F3505" t="str">
        <f>HYPERLINK("https://www.google.com/maps/search/?api=1&amp;query=24.73463213,46.77801222", "View Map")</f>
        <v>View Map</v>
      </c>
      <c r="G3505" s="2">
        <v>0.77370734979934919</v>
      </c>
    </row>
    <row r="3506" spans="1:7" x14ac:dyDescent="0.3">
      <c r="A3506" t="s">
        <v>6061</v>
      </c>
      <c r="B3506" t="s">
        <v>6062</v>
      </c>
      <c r="C3506" t="s">
        <v>364</v>
      </c>
      <c r="D3506">
        <v>2.2200000000000002</v>
      </c>
      <c r="E3506">
        <v>711</v>
      </c>
      <c r="F3506" t="str">
        <f>HYPERLINK("https://www.google.com/maps/search/?api=1&amp;query=25.27796795,45.86565567", "View Map")</f>
        <v>View Map</v>
      </c>
    </row>
    <row r="3507" spans="1:7" x14ac:dyDescent="0.3">
      <c r="A3507" t="s">
        <v>150</v>
      </c>
      <c r="B3507" t="s">
        <v>6063</v>
      </c>
      <c r="C3507" t="s">
        <v>8</v>
      </c>
      <c r="D3507">
        <v>2.218</v>
      </c>
      <c r="E3507">
        <v>710</v>
      </c>
      <c r="F3507" t="str">
        <f>HYPERLINK("https://www.google.com/maps/search/?api=1&amp;query=24.75509541,46.84141647", "View Map")</f>
        <v>View Map</v>
      </c>
    </row>
    <row r="3508" spans="1:7" x14ac:dyDescent="0.3">
      <c r="A3508" t="s">
        <v>289</v>
      </c>
      <c r="B3508" t="s">
        <v>6064</v>
      </c>
      <c r="C3508" t="s">
        <v>291</v>
      </c>
      <c r="D3508">
        <v>2.218</v>
      </c>
      <c r="E3508">
        <v>710</v>
      </c>
      <c r="F3508" t="str">
        <f>HYPERLINK("https://www.google.com/maps/search/?api=1&amp;query=24.07626638,45.30074534", "View Map")</f>
        <v>View Map</v>
      </c>
      <c r="G3508" s="2">
        <v>0.89781057793668273</v>
      </c>
    </row>
    <row r="3509" spans="1:7" x14ac:dyDescent="0.3">
      <c r="A3509" t="s">
        <v>5954</v>
      </c>
      <c r="B3509" t="s">
        <v>6065</v>
      </c>
      <c r="C3509" t="s">
        <v>137</v>
      </c>
      <c r="D3509">
        <v>2.218</v>
      </c>
      <c r="E3509">
        <v>710</v>
      </c>
      <c r="F3509" t="str">
        <f>HYPERLINK("https://www.google.com/maps/search/?api=1&amp;query=23.48331354,46.8494754", "View Map")</f>
        <v>View Map</v>
      </c>
      <c r="G3509" s="2">
        <v>0.7916030530892586</v>
      </c>
    </row>
    <row r="3510" spans="1:7" x14ac:dyDescent="0.3">
      <c r="A3510" t="s">
        <v>6066</v>
      </c>
      <c r="B3510" t="s">
        <v>6067</v>
      </c>
      <c r="C3510" t="s">
        <v>8</v>
      </c>
      <c r="D3510">
        <v>2.2170000000000001</v>
      </c>
      <c r="E3510">
        <v>710</v>
      </c>
      <c r="F3510" t="str">
        <f>HYPERLINK("https://www.google.com/maps/search/?api=1&amp;query=24.69678223,46.65361999", "View Map")</f>
        <v>View Map</v>
      </c>
    </row>
    <row r="3511" spans="1:7" x14ac:dyDescent="0.3">
      <c r="A3511" t="s">
        <v>6068</v>
      </c>
      <c r="B3511" t="s">
        <v>6069</v>
      </c>
      <c r="C3511" t="s">
        <v>21</v>
      </c>
      <c r="D3511">
        <v>2.2149999999999999</v>
      </c>
      <c r="E3511">
        <v>709</v>
      </c>
      <c r="F3511" t="str">
        <f>HYPERLINK("https://www.google.com/maps/search/?api=1&amp;query=26.34047736,44.78010962", "View Map")</f>
        <v>View Map</v>
      </c>
      <c r="G3511" s="2">
        <v>0.58671590170963162</v>
      </c>
    </row>
    <row r="3512" spans="1:7" x14ac:dyDescent="0.3">
      <c r="A3512" t="s">
        <v>6070</v>
      </c>
      <c r="B3512" t="s">
        <v>6071</v>
      </c>
      <c r="C3512" t="s">
        <v>270</v>
      </c>
      <c r="D3512">
        <v>2.2149999999999999</v>
      </c>
      <c r="E3512">
        <v>709</v>
      </c>
      <c r="F3512" t="str">
        <f>HYPERLINK("https://www.google.com/maps/search/?api=1&amp;query=23.96061345,47.11643589", "View Map")</f>
        <v>View Map</v>
      </c>
    </row>
    <row r="3513" spans="1:7" x14ac:dyDescent="0.3">
      <c r="A3513" t="s">
        <v>6072</v>
      </c>
      <c r="B3513" t="s">
        <v>6073</v>
      </c>
      <c r="C3513" t="s">
        <v>8</v>
      </c>
      <c r="D3513">
        <v>2.2149999999999999</v>
      </c>
      <c r="E3513">
        <v>709</v>
      </c>
      <c r="F3513" t="str">
        <f>HYPERLINK("https://www.google.com/maps/search/?api=1&amp;query=24.60240103,46.64519028", "View Map")</f>
        <v>View Map</v>
      </c>
    </row>
    <row r="3514" spans="1:7" x14ac:dyDescent="0.3">
      <c r="A3514" t="s">
        <v>261</v>
      </c>
      <c r="B3514" t="s">
        <v>6074</v>
      </c>
      <c r="C3514" t="s">
        <v>8</v>
      </c>
      <c r="D3514">
        <v>2.2130000000000001</v>
      </c>
      <c r="E3514">
        <v>708</v>
      </c>
      <c r="F3514" t="str">
        <f>HYPERLINK("https://www.google.com/maps/search/?api=1&amp;query=24.76075102,46.76860071", "View Map")</f>
        <v>View Map</v>
      </c>
    </row>
    <row r="3515" spans="1:7" x14ac:dyDescent="0.3">
      <c r="A3515" t="s">
        <v>6075</v>
      </c>
      <c r="B3515" t="s">
        <v>6076</v>
      </c>
      <c r="C3515" t="s">
        <v>738</v>
      </c>
      <c r="D3515">
        <v>2.2130000000000001</v>
      </c>
      <c r="E3515">
        <v>708</v>
      </c>
      <c r="F3515" t="str">
        <f>HYPERLINK("https://www.google.com/maps/search/?api=1&amp;query=25.16923831,46.33964045", "View Map")</f>
        <v>View Map</v>
      </c>
      <c r="G3515" s="2">
        <v>0.63030924672031807</v>
      </c>
    </row>
    <row r="3516" spans="1:7" x14ac:dyDescent="0.3">
      <c r="A3516" t="s">
        <v>6077</v>
      </c>
      <c r="B3516" t="s">
        <v>6078</v>
      </c>
      <c r="C3516" t="s">
        <v>8</v>
      </c>
      <c r="D3516">
        <v>2.2130000000000001</v>
      </c>
      <c r="E3516">
        <v>708</v>
      </c>
      <c r="F3516" t="str">
        <f>HYPERLINK("https://www.google.com/maps/search/?api=1&amp;query=24.5760346,46.67445151", "View Map")</f>
        <v>View Map</v>
      </c>
    </row>
    <row r="3517" spans="1:7" x14ac:dyDescent="0.3">
      <c r="A3517" t="s">
        <v>632</v>
      </c>
      <c r="B3517" t="s">
        <v>6079</v>
      </c>
      <c r="C3517" t="s">
        <v>8</v>
      </c>
      <c r="D3517">
        <v>2.2109999999999999</v>
      </c>
      <c r="E3517">
        <v>707</v>
      </c>
      <c r="F3517" t="str">
        <f>HYPERLINK("https://www.google.com/maps/search/?api=1&amp;query=24.58944915,46.58230989", "View Map")</f>
        <v>View Map</v>
      </c>
    </row>
    <row r="3518" spans="1:7" x14ac:dyDescent="0.3">
      <c r="A3518" t="s">
        <v>6080</v>
      </c>
      <c r="B3518" t="s">
        <v>6081</v>
      </c>
      <c r="C3518" t="s">
        <v>214</v>
      </c>
      <c r="D3518">
        <v>2.2109999999999999</v>
      </c>
      <c r="E3518">
        <v>707</v>
      </c>
      <c r="F3518" t="str">
        <f>HYPERLINK("https://www.google.com/maps/search/?api=1&amp;query=25.94938071,45.35758504", "View Map")</f>
        <v>View Map</v>
      </c>
      <c r="G3518" s="2">
        <v>0.48712662004920132</v>
      </c>
    </row>
    <row r="3519" spans="1:7" x14ac:dyDescent="0.3">
      <c r="A3519" t="s">
        <v>6082</v>
      </c>
      <c r="B3519" t="s">
        <v>6083</v>
      </c>
      <c r="C3519" t="s">
        <v>8</v>
      </c>
      <c r="D3519">
        <v>2.2109999999999999</v>
      </c>
      <c r="E3519">
        <v>708</v>
      </c>
      <c r="F3519" t="str">
        <f>HYPERLINK("https://www.google.com/maps/search/?api=1&amp;query=24.53692088,46.66324574", "View Map")</f>
        <v>View Map</v>
      </c>
    </row>
    <row r="3520" spans="1:7" x14ac:dyDescent="0.3">
      <c r="A3520" t="s">
        <v>150</v>
      </c>
      <c r="B3520" t="s">
        <v>6084</v>
      </c>
      <c r="C3520" t="s">
        <v>8</v>
      </c>
      <c r="D3520">
        <v>2.21</v>
      </c>
      <c r="E3520">
        <v>707</v>
      </c>
      <c r="F3520" t="str">
        <f>HYPERLINK("https://www.google.com/maps/search/?api=1&amp;query=24.83344605,46.65309104", "View Map")</f>
        <v>View Map</v>
      </c>
    </row>
    <row r="3521" spans="1:7" x14ac:dyDescent="0.3">
      <c r="A3521" t="s">
        <v>46</v>
      </c>
      <c r="B3521" t="s">
        <v>6085</v>
      </c>
      <c r="C3521" t="s">
        <v>8</v>
      </c>
      <c r="D3521">
        <v>2.2080000000000002</v>
      </c>
      <c r="E3521">
        <v>707</v>
      </c>
      <c r="F3521" t="str">
        <f>HYPERLINK("https://www.google.com/maps/search/?api=1&amp;query=24.83501,46.59884", "View Map")</f>
        <v>View Map</v>
      </c>
    </row>
    <row r="3522" spans="1:7" x14ac:dyDescent="0.3">
      <c r="A3522" t="s">
        <v>6086</v>
      </c>
      <c r="B3522" t="s">
        <v>6087</v>
      </c>
      <c r="C3522" t="s">
        <v>214</v>
      </c>
      <c r="D3522">
        <v>2.2069999999999999</v>
      </c>
      <c r="E3522">
        <v>706</v>
      </c>
      <c r="F3522" t="str">
        <f>HYPERLINK("https://www.google.com/maps/search/?api=1&amp;query=26.42533026,45.3547619", "View Map")</f>
        <v>View Map</v>
      </c>
      <c r="G3522" s="2">
        <v>0.60506685215415812</v>
      </c>
    </row>
    <row r="3523" spans="1:7" x14ac:dyDescent="0.3">
      <c r="A3523" t="s">
        <v>6088</v>
      </c>
      <c r="B3523" t="s">
        <v>6089</v>
      </c>
      <c r="C3523" t="s">
        <v>214</v>
      </c>
      <c r="D3523">
        <v>2.2069999999999999</v>
      </c>
      <c r="E3523">
        <v>706</v>
      </c>
      <c r="F3523" t="str">
        <f>HYPERLINK("https://www.google.com/maps/search/?api=1&amp;query=25.7131,45.85972", "View Map")</f>
        <v>View Map</v>
      </c>
      <c r="G3523" s="2">
        <v>0.7109377125712445</v>
      </c>
    </row>
    <row r="3524" spans="1:7" x14ac:dyDescent="0.3">
      <c r="A3524" t="s">
        <v>6090</v>
      </c>
      <c r="B3524" t="s">
        <v>6091</v>
      </c>
      <c r="C3524" t="s">
        <v>8</v>
      </c>
      <c r="D3524">
        <v>2.206</v>
      </c>
      <c r="E3524">
        <v>706</v>
      </c>
      <c r="F3524" t="str">
        <f>HYPERLINK("https://www.google.com/maps/search/?api=1&amp;query=24.8124717,46.63054777", "View Map")</f>
        <v>View Map</v>
      </c>
      <c r="G3524" s="2">
        <v>0.17163277774612271</v>
      </c>
    </row>
    <row r="3525" spans="1:7" x14ac:dyDescent="0.3">
      <c r="A3525" t="s">
        <v>6092</v>
      </c>
      <c r="B3525" t="s">
        <v>6093</v>
      </c>
      <c r="C3525" t="s">
        <v>393</v>
      </c>
      <c r="D3525">
        <v>2.2050000000000001</v>
      </c>
      <c r="E3525">
        <v>706</v>
      </c>
      <c r="F3525" t="str">
        <f>HYPERLINK("https://www.google.com/maps/search/?api=1&amp;query=22.61213618,45.06822492", "View Map")</f>
        <v>View Map</v>
      </c>
      <c r="G3525" s="2">
        <v>0.43561419235939841</v>
      </c>
    </row>
    <row r="3526" spans="1:7" x14ac:dyDescent="0.3">
      <c r="A3526" t="s">
        <v>717</v>
      </c>
      <c r="B3526" t="s">
        <v>6094</v>
      </c>
      <c r="C3526" t="s">
        <v>255</v>
      </c>
      <c r="D3526">
        <v>2.2050000000000001</v>
      </c>
      <c r="E3526">
        <v>706</v>
      </c>
      <c r="F3526" t="str">
        <f>HYPERLINK("https://www.google.com/maps/search/?api=1&amp;query=24.49901271,44.36178485", "View Map")</f>
        <v>View Map</v>
      </c>
      <c r="G3526" s="2">
        <v>0.56388057057759067</v>
      </c>
    </row>
    <row r="3527" spans="1:7" x14ac:dyDescent="0.3">
      <c r="A3527" t="s">
        <v>6095</v>
      </c>
      <c r="B3527" t="s">
        <v>6096</v>
      </c>
      <c r="C3527" t="s">
        <v>270</v>
      </c>
      <c r="D3527">
        <v>2.2050000000000001</v>
      </c>
      <c r="E3527">
        <v>705</v>
      </c>
      <c r="F3527" t="str">
        <f>HYPERLINK("https://www.google.com/maps/search/?api=1&amp;query=23.82445946,46.96289869", "View Map")</f>
        <v>View Map</v>
      </c>
      <c r="G3527" s="2">
        <v>0.70333858920820502</v>
      </c>
    </row>
    <row r="3528" spans="1:7" x14ac:dyDescent="0.3">
      <c r="A3528" t="s">
        <v>6097</v>
      </c>
      <c r="B3528" t="s">
        <v>6098</v>
      </c>
      <c r="C3528" t="s">
        <v>255</v>
      </c>
      <c r="D3528">
        <v>2.2050000000000001</v>
      </c>
      <c r="E3528">
        <v>706</v>
      </c>
      <c r="F3528" t="str">
        <f>HYPERLINK("https://www.google.com/maps/search/?api=1&amp;query=24.72428311,44.28965175", "View Map")</f>
        <v>View Map</v>
      </c>
      <c r="G3528" s="2">
        <v>0.61203168165192157</v>
      </c>
    </row>
    <row r="3529" spans="1:7" x14ac:dyDescent="0.3">
      <c r="A3529" t="s">
        <v>6099</v>
      </c>
      <c r="B3529" t="s">
        <v>6100</v>
      </c>
      <c r="C3529" t="s">
        <v>21</v>
      </c>
      <c r="D3529">
        <v>2.2040000000000002</v>
      </c>
      <c r="E3529">
        <v>705</v>
      </c>
      <c r="F3529" t="str">
        <f>HYPERLINK("https://www.google.com/maps/search/?api=1&amp;query=26.30767514,44.81058047", "View Map")</f>
        <v>View Map</v>
      </c>
      <c r="G3529" s="2">
        <v>0.43364170513937711</v>
      </c>
    </row>
    <row r="3530" spans="1:7" x14ac:dyDescent="0.3">
      <c r="A3530" t="s">
        <v>809</v>
      </c>
      <c r="B3530" t="s">
        <v>6101</v>
      </c>
      <c r="C3530" t="s">
        <v>8</v>
      </c>
      <c r="D3530">
        <v>2.2029999999999998</v>
      </c>
      <c r="E3530">
        <v>705</v>
      </c>
      <c r="F3530" t="str">
        <f>HYPERLINK("https://www.google.com/maps/search/?api=1&amp;query=24.74676686,46.77699915", "View Map")</f>
        <v>View Map</v>
      </c>
    </row>
    <row r="3531" spans="1:7" x14ac:dyDescent="0.3">
      <c r="A3531" t="s">
        <v>6102</v>
      </c>
      <c r="B3531" t="s">
        <v>6103</v>
      </c>
      <c r="C3531" t="s">
        <v>30</v>
      </c>
      <c r="D3531">
        <v>2.202</v>
      </c>
      <c r="E3531">
        <v>704</v>
      </c>
      <c r="F3531" t="str">
        <f>HYPERLINK("https://www.google.com/maps/search/?api=1&amp;query=24.11484298,47.27191886", "View Map")</f>
        <v>View Map</v>
      </c>
    </row>
    <row r="3532" spans="1:7" x14ac:dyDescent="0.3">
      <c r="A3532" t="s">
        <v>6104</v>
      </c>
      <c r="B3532" t="s">
        <v>6105</v>
      </c>
      <c r="C3532" t="s">
        <v>8</v>
      </c>
      <c r="D3532">
        <v>2.202</v>
      </c>
      <c r="E3532">
        <v>705</v>
      </c>
      <c r="F3532" t="str">
        <f>HYPERLINK("https://www.google.com/maps/search/?api=1&amp;query=24.6108,46.7208", "View Map")</f>
        <v>View Map</v>
      </c>
    </row>
    <row r="3533" spans="1:7" x14ac:dyDescent="0.3">
      <c r="A3533" t="s">
        <v>6106</v>
      </c>
      <c r="B3533" t="s">
        <v>6107</v>
      </c>
      <c r="C3533" t="s">
        <v>8</v>
      </c>
      <c r="D3533">
        <v>2.202</v>
      </c>
      <c r="E3533">
        <v>705</v>
      </c>
      <c r="F3533" t="str">
        <f>HYPERLINK("https://www.google.com/maps/search/?api=1&amp;query=24.77399065,46.6159704", "View Map")</f>
        <v>View Map</v>
      </c>
    </row>
    <row r="3534" spans="1:7" x14ac:dyDescent="0.3">
      <c r="A3534" t="s">
        <v>2285</v>
      </c>
      <c r="B3534" t="s">
        <v>6108</v>
      </c>
      <c r="C3534" t="s">
        <v>8</v>
      </c>
      <c r="D3534">
        <v>2.2010000000000001</v>
      </c>
      <c r="E3534">
        <v>704</v>
      </c>
      <c r="F3534" t="str">
        <f>HYPERLINK("https://www.google.com/maps/search/?api=1&amp;query=24.72844283,46.76238456", "View Map")</f>
        <v>View Map</v>
      </c>
    </row>
    <row r="3535" spans="1:7" x14ac:dyDescent="0.3">
      <c r="A3535" t="s">
        <v>6109</v>
      </c>
      <c r="B3535" t="s">
        <v>6110</v>
      </c>
      <c r="C3535" t="s">
        <v>8</v>
      </c>
      <c r="D3535">
        <v>2.2010000000000001</v>
      </c>
      <c r="E3535">
        <v>704</v>
      </c>
      <c r="F3535" t="str">
        <f>HYPERLINK("https://www.google.com/maps/search/?api=1&amp;query=24.57572215,46.61173217", "View Map")</f>
        <v>View Map</v>
      </c>
      <c r="G3535" s="2">
        <v>0.44879082140056109</v>
      </c>
    </row>
    <row r="3536" spans="1:7" x14ac:dyDescent="0.3">
      <c r="A3536" t="s">
        <v>6111</v>
      </c>
      <c r="B3536" t="s">
        <v>6112</v>
      </c>
      <c r="C3536" t="s">
        <v>241</v>
      </c>
      <c r="D3536">
        <v>2.2010000000000001</v>
      </c>
      <c r="E3536">
        <v>704</v>
      </c>
      <c r="F3536" t="str">
        <f>HYPERLINK("https://www.google.com/maps/search/?api=1&amp;query=20.45077323,44.98005124", "View Map")</f>
        <v>View Map</v>
      </c>
      <c r="G3536" s="2">
        <v>0.51682644645159048</v>
      </c>
    </row>
    <row r="3537" spans="1:7" x14ac:dyDescent="0.3">
      <c r="A3537" t="s">
        <v>22</v>
      </c>
      <c r="B3537" t="s">
        <v>6113</v>
      </c>
      <c r="C3537" t="s">
        <v>883</v>
      </c>
      <c r="D3537">
        <v>2.2010000000000001</v>
      </c>
      <c r="E3537">
        <v>704</v>
      </c>
      <c r="F3537" t="str">
        <f>HYPERLINK("https://www.google.com/maps/search/?api=1&amp;query=25.55632109,47.17210416", "View Map")</f>
        <v>View Map</v>
      </c>
      <c r="G3537" s="2">
        <v>0.35249023096899312</v>
      </c>
    </row>
    <row r="3538" spans="1:7" x14ac:dyDescent="0.3">
      <c r="A3538" t="s">
        <v>6114</v>
      </c>
      <c r="B3538" t="s">
        <v>6115</v>
      </c>
      <c r="C3538" t="s">
        <v>30</v>
      </c>
      <c r="D3538">
        <v>2.2010000000000001</v>
      </c>
      <c r="E3538">
        <v>704</v>
      </c>
      <c r="F3538" t="str">
        <f>HYPERLINK("https://www.google.com/maps/search/?api=1&amp;query=24.16635394,47.22688878", "View Map")</f>
        <v>View Map</v>
      </c>
      <c r="G3538" s="2">
        <v>0.44909807856318662</v>
      </c>
    </row>
    <row r="3539" spans="1:7" x14ac:dyDescent="0.3">
      <c r="A3539" t="s">
        <v>2283</v>
      </c>
      <c r="B3539" t="s">
        <v>6116</v>
      </c>
      <c r="C3539" t="s">
        <v>8</v>
      </c>
      <c r="D3539">
        <v>2.2000000000000002</v>
      </c>
      <c r="E3539">
        <v>704</v>
      </c>
      <c r="F3539" t="str">
        <f>HYPERLINK("https://www.google.com/maps/search/?api=1&amp;query=24.72980791,46.76952738", "View Map")</f>
        <v>View Map</v>
      </c>
    </row>
    <row r="3540" spans="1:7" x14ac:dyDescent="0.3">
      <c r="A3540" t="s">
        <v>6117</v>
      </c>
      <c r="B3540" t="s">
        <v>6118</v>
      </c>
      <c r="C3540" t="s">
        <v>30</v>
      </c>
      <c r="D3540">
        <v>2.2000000000000002</v>
      </c>
      <c r="E3540">
        <v>704</v>
      </c>
      <c r="F3540" t="str">
        <f>HYPERLINK("https://www.google.com/maps/search/?api=1&amp;query=24.16752914,47.3079472", "View Map")</f>
        <v>View Map</v>
      </c>
    </row>
    <row r="3541" spans="1:7" x14ac:dyDescent="0.3">
      <c r="A3541" t="s">
        <v>146</v>
      </c>
      <c r="B3541" t="s">
        <v>6119</v>
      </c>
      <c r="C3541" t="s">
        <v>8</v>
      </c>
      <c r="D3541">
        <v>2.1989999999999998</v>
      </c>
      <c r="E3541">
        <v>704</v>
      </c>
      <c r="F3541" t="str">
        <f>HYPERLINK("https://www.google.com/maps/search/?api=1&amp;query=24.55866422,46.51565287", "View Map")</f>
        <v>View Map</v>
      </c>
    </row>
    <row r="3542" spans="1:7" x14ac:dyDescent="0.3">
      <c r="A3542" t="s">
        <v>6120</v>
      </c>
      <c r="B3542" t="s">
        <v>6121</v>
      </c>
      <c r="C3542" t="s">
        <v>255</v>
      </c>
      <c r="D3542">
        <v>2.1989999999999998</v>
      </c>
      <c r="E3542">
        <v>704</v>
      </c>
      <c r="F3542" t="str">
        <f>HYPERLINK("https://www.google.com/maps/search/?api=1&amp;query=24.45923804,44.96105381", "View Map")</f>
        <v>View Map</v>
      </c>
      <c r="G3542" s="2">
        <v>0.73170988122030312</v>
      </c>
    </row>
    <row r="3543" spans="1:7" x14ac:dyDescent="0.3">
      <c r="A3543" t="s">
        <v>6122</v>
      </c>
      <c r="B3543" t="s">
        <v>6123</v>
      </c>
      <c r="C3543" t="s">
        <v>296</v>
      </c>
      <c r="D3543">
        <v>2.198</v>
      </c>
      <c r="E3543">
        <v>703</v>
      </c>
      <c r="F3543" t="str">
        <f>HYPERLINK("https://www.google.com/maps/search/?api=1&amp;query=24.45073409,46.30022976", "View Map")</f>
        <v>View Map</v>
      </c>
    </row>
    <row r="3544" spans="1:7" x14ac:dyDescent="0.3">
      <c r="A3544" t="s">
        <v>6124</v>
      </c>
      <c r="B3544" t="s">
        <v>6125</v>
      </c>
      <c r="C3544" t="s">
        <v>30</v>
      </c>
      <c r="D3544">
        <v>2.198</v>
      </c>
      <c r="E3544">
        <v>703</v>
      </c>
      <c r="F3544" t="str">
        <f>HYPERLINK("https://www.google.com/maps/search/?api=1&amp;query=24.15109138,47.36192047", "View Map")</f>
        <v>View Map</v>
      </c>
    </row>
    <row r="3545" spans="1:7" x14ac:dyDescent="0.3">
      <c r="A3545" t="s">
        <v>6126</v>
      </c>
      <c r="B3545" t="s">
        <v>6127</v>
      </c>
      <c r="C3545" t="s">
        <v>699</v>
      </c>
      <c r="D3545">
        <v>2.1970000000000001</v>
      </c>
      <c r="E3545">
        <v>703</v>
      </c>
      <c r="F3545" t="str">
        <f>HYPERLINK("https://www.google.com/maps/search/?api=1&amp;query=25.11646891,45.48871868", "View Map")</f>
        <v>View Map</v>
      </c>
      <c r="G3545" s="2">
        <v>0.63705390546405394</v>
      </c>
    </row>
    <row r="3546" spans="1:7" x14ac:dyDescent="0.3">
      <c r="A3546" t="s">
        <v>6128</v>
      </c>
      <c r="B3546" t="s">
        <v>6129</v>
      </c>
      <c r="C3546" t="s">
        <v>8</v>
      </c>
      <c r="D3546">
        <v>2.1960000000000002</v>
      </c>
      <c r="E3546">
        <v>703</v>
      </c>
      <c r="F3546" t="str">
        <f>HYPERLINK("https://www.google.com/maps/search/?api=1&amp;query=24.80983245,46.88281636", "View Map")</f>
        <v>View Map</v>
      </c>
    </row>
    <row r="3547" spans="1:7" x14ac:dyDescent="0.3">
      <c r="A3547" t="s">
        <v>6130</v>
      </c>
      <c r="B3547" t="s">
        <v>6131</v>
      </c>
      <c r="C3547" t="s">
        <v>8</v>
      </c>
      <c r="D3547">
        <v>2.1960000000000002</v>
      </c>
      <c r="E3547">
        <v>703</v>
      </c>
      <c r="F3547" t="str">
        <f>HYPERLINK("https://www.google.com/maps/search/?api=1&amp;query=24.76601997,46.75354432", "View Map")</f>
        <v>View Map</v>
      </c>
    </row>
    <row r="3548" spans="1:7" x14ac:dyDescent="0.3">
      <c r="A3548" t="s">
        <v>6132</v>
      </c>
      <c r="B3548" t="s">
        <v>6133</v>
      </c>
      <c r="C3548" t="s">
        <v>393</v>
      </c>
      <c r="D3548">
        <v>2.1949999999999998</v>
      </c>
      <c r="E3548">
        <v>703</v>
      </c>
      <c r="F3548" t="str">
        <f>HYPERLINK("https://www.google.com/maps/search/?api=1&amp;query=23.5482424,45.47887658", "View Map")</f>
        <v>View Map</v>
      </c>
      <c r="G3548" s="2">
        <v>0.86100880772512556</v>
      </c>
    </row>
    <row r="3549" spans="1:7" x14ac:dyDescent="0.3">
      <c r="A3549" t="s">
        <v>6134</v>
      </c>
      <c r="B3549" t="s">
        <v>6135</v>
      </c>
      <c r="C3549" t="s">
        <v>286</v>
      </c>
      <c r="D3549">
        <v>2.194</v>
      </c>
      <c r="E3549">
        <v>702</v>
      </c>
      <c r="F3549" t="str">
        <f>HYPERLINK("https://www.google.com/maps/search/?api=1&amp;query=25.22427503,45.25200362", "View Map")</f>
        <v>View Map</v>
      </c>
      <c r="G3549" s="2">
        <v>0.45952914093080149</v>
      </c>
    </row>
    <row r="3550" spans="1:7" x14ac:dyDescent="0.3">
      <c r="A3550" t="s">
        <v>6136</v>
      </c>
      <c r="B3550" t="s">
        <v>6137</v>
      </c>
      <c r="C3550" t="s">
        <v>214</v>
      </c>
      <c r="D3550">
        <v>2.1930000000000001</v>
      </c>
      <c r="E3550">
        <v>702</v>
      </c>
      <c r="F3550" t="str">
        <f>HYPERLINK("https://www.google.com/maps/search/?api=1&amp;query=25.59012352,45.63047197", "View Map")</f>
        <v>View Map</v>
      </c>
      <c r="G3550" s="2">
        <v>0.7397071263249082</v>
      </c>
    </row>
    <row r="3551" spans="1:7" x14ac:dyDescent="0.3">
      <c r="A3551" t="s">
        <v>46</v>
      </c>
      <c r="B3551" t="s">
        <v>6138</v>
      </c>
      <c r="C3551" t="s">
        <v>8</v>
      </c>
      <c r="D3551">
        <v>2.1930000000000001</v>
      </c>
      <c r="E3551">
        <v>702</v>
      </c>
      <c r="F3551" t="str">
        <f>HYPERLINK("https://www.google.com/maps/search/?api=1&amp;query=24.83262768,46.81771632", "View Map")</f>
        <v>View Map</v>
      </c>
    </row>
    <row r="3552" spans="1:7" x14ac:dyDescent="0.3">
      <c r="A3552" t="s">
        <v>6139</v>
      </c>
      <c r="B3552" t="s">
        <v>6140</v>
      </c>
      <c r="C3552" t="s">
        <v>8</v>
      </c>
      <c r="D3552">
        <v>2.1920000000000002</v>
      </c>
      <c r="E3552">
        <v>701</v>
      </c>
      <c r="F3552" t="str">
        <f>HYPERLINK("https://www.google.com/maps/search/?api=1&amp;query=24.61648111,46.74269671", "View Map")</f>
        <v>View Map</v>
      </c>
    </row>
    <row r="3553" spans="1:7" x14ac:dyDescent="0.3">
      <c r="A3553" t="s">
        <v>627</v>
      </c>
      <c r="B3553" t="s">
        <v>6141</v>
      </c>
      <c r="C3553" t="s">
        <v>8</v>
      </c>
      <c r="D3553">
        <v>2.1920000000000002</v>
      </c>
      <c r="E3553">
        <v>701</v>
      </c>
      <c r="F3553" t="str">
        <f>HYPERLINK("https://www.google.com/maps/search/?api=1&amp;query=24.78225854,46.58861322", "View Map")</f>
        <v>View Map</v>
      </c>
    </row>
    <row r="3554" spans="1:7" x14ac:dyDescent="0.3">
      <c r="A3554" t="s">
        <v>6142</v>
      </c>
      <c r="B3554" t="s">
        <v>6143</v>
      </c>
      <c r="C3554" t="s">
        <v>30</v>
      </c>
      <c r="D3554">
        <v>2.1920000000000002</v>
      </c>
      <c r="E3554">
        <v>702</v>
      </c>
      <c r="F3554" t="str">
        <f>HYPERLINK("https://www.google.com/maps/search/?api=1&amp;query=24.16774923,47.22555632", "View Map")</f>
        <v>View Map</v>
      </c>
      <c r="G3554" s="2">
        <v>0.47736973190152121</v>
      </c>
    </row>
    <row r="3555" spans="1:7" x14ac:dyDescent="0.3">
      <c r="A3555" t="s">
        <v>717</v>
      </c>
      <c r="B3555" t="s">
        <v>6144</v>
      </c>
      <c r="C3555" t="s">
        <v>255</v>
      </c>
      <c r="D3555">
        <v>2.1920000000000002</v>
      </c>
      <c r="E3555">
        <v>702</v>
      </c>
      <c r="F3555" t="str">
        <f>HYPERLINK("https://www.google.com/maps/search/?api=1&amp;query=24.54456886,44.43271592", "View Map")</f>
        <v>View Map</v>
      </c>
      <c r="G3555" s="2">
        <v>0.76893080372371903</v>
      </c>
    </row>
    <row r="3556" spans="1:7" x14ac:dyDescent="0.3">
      <c r="A3556" t="s">
        <v>6145</v>
      </c>
      <c r="B3556" t="s">
        <v>6146</v>
      </c>
      <c r="C3556" t="s">
        <v>30</v>
      </c>
      <c r="D3556">
        <v>2.19</v>
      </c>
      <c r="E3556">
        <v>701</v>
      </c>
      <c r="F3556" t="str">
        <f>HYPERLINK("https://www.google.com/maps/search/?api=1&amp;query=24.13978532,47.3646524", "View Map")</f>
        <v>View Map</v>
      </c>
      <c r="G3556" s="2">
        <v>0.41249982634270532</v>
      </c>
    </row>
    <row r="3557" spans="1:7" x14ac:dyDescent="0.3">
      <c r="A3557" t="s">
        <v>146</v>
      </c>
      <c r="B3557" t="s">
        <v>6147</v>
      </c>
      <c r="C3557" t="s">
        <v>8</v>
      </c>
      <c r="D3557">
        <v>2.19</v>
      </c>
      <c r="E3557">
        <v>701</v>
      </c>
      <c r="F3557" t="str">
        <f>HYPERLINK("https://www.google.com/maps/search/?api=1&amp;query=24.51271581,46.62850998", "View Map")</f>
        <v>View Map</v>
      </c>
    </row>
    <row r="3558" spans="1:7" x14ac:dyDescent="0.3">
      <c r="A3558" t="s">
        <v>6148</v>
      </c>
      <c r="B3558" t="s">
        <v>6149</v>
      </c>
      <c r="C3558" t="s">
        <v>8</v>
      </c>
      <c r="D3558">
        <v>2.19</v>
      </c>
      <c r="E3558">
        <v>701</v>
      </c>
      <c r="F3558" t="str">
        <f>HYPERLINK("https://www.google.com/maps/search/?api=1&amp;query=24.62684156,46.69399564", "View Map")</f>
        <v>View Map</v>
      </c>
    </row>
    <row r="3559" spans="1:7" x14ac:dyDescent="0.3">
      <c r="A3559" t="s">
        <v>6150</v>
      </c>
      <c r="B3559" t="s">
        <v>6151</v>
      </c>
      <c r="C3559" t="s">
        <v>1112</v>
      </c>
      <c r="D3559">
        <v>2.1880000000000002</v>
      </c>
      <c r="E3559">
        <v>700</v>
      </c>
      <c r="F3559" t="str">
        <f>HYPERLINK("https://www.google.com/maps/search/?api=1&amp;query=26.0289987,44.94902882", "View Map")</f>
        <v>View Map</v>
      </c>
      <c r="G3559" s="2">
        <v>0.42841008904755451</v>
      </c>
    </row>
    <row r="3560" spans="1:7" x14ac:dyDescent="0.3">
      <c r="A3560" t="s">
        <v>6152</v>
      </c>
      <c r="B3560" t="s">
        <v>6153</v>
      </c>
      <c r="C3560" t="s">
        <v>21</v>
      </c>
      <c r="D3560">
        <v>2.1880000000000002</v>
      </c>
      <c r="E3560">
        <v>700</v>
      </c>
      <c r="F3560" t="str">
        <f>HYPERLINK("https://www.google.com/maps/search/?api=1&amp;query=26.30910046,44.81340118", "View Map")</f>
        <v>View Map</v>
      </c>
      <c r="G3560" s="2">
        <v>0.55850496950955508</v>
      </c>
    </row>
    <row r="3561" spans="1:7" x14ac:dyDescent="0.3">
      <c r="A3561" t="s">
        <v>6154</v>
      </c>
      <c r="B3561" t="s">
        <v>6155</v>
      </c>
      <c r="C3561" t="s">
        <v>8</v>
      </c>
      <c r="D3561">
        <v>2.1880000000000002</v>
      </c>
      <c r="E3561">
        <v>700</v>
      </c>
      <c r="F3561" t="str">
        <f>HYPERLINK("https://www.google.com/maps/search/?api=1&amp;query=24.57955107,46.76374026", "View Map")</f>
        <v>View Map</v>
      </c>
    </row>
    <row r="3562" spans="1:7" x14ac:dyDescent="0.3">
      <c r="A3562" t="s">
        <v>6156</v>
      </c>
      <c r="B3562" t="s">
        <v>6157</v>
      </c>
      <c r="C3562" t="s">
        <v>16</v>
      </c>
      <c r="D3562">
        <v>2.1869999999999998</v>
      </c>
      <c r="E3562">
        <v>700</v>
      </c>
      <c r="F3562" t="str">
        <f>HYPERLINK("https://www.google.com/maps/search/?api=1&amp;query=24.31319167,42.77989", "View Map")</f>
        <v>View Map</v>
      </c>
      <c r="G3562" s="2">
        <v>0.74632932454227463</v>
      </c>
    </row>
    <row r="3563" spans="1:7" x14ac:dyDescent="0.3">
      <c r="A3563" t="s">
        <v>6158</v>
      </c>
      <c r="B3563" t="s">
        <v>6159</v>
      </c>
      <c r="C3563" t="s">
        <v>738</v>
      </c>
      <c r="D3563">
        <v>2.1859999999999999</v>
      </c>
      <c r="E3563">
        <v>699</v>
      </c>
      <c r="F3563" t="str">
        <f>HYPERLINK("https://www.google.com/maps/search/?api=1&amp;query=25.10589456,46.09221587", "View Map")</f>
        <v>View Map</v>
      </c>
      <c r="G3563" s="2">
        <v>0.57187409897936048</v>
      </c>
    </row>
    <row r="3564" spans="1:7" x14ac:dyDescent="0.3">
      <c r="A3564" t="s">
        <v>765</v>
      </c>
      <c r="B3564" t="s">
        <v>6160</v>
      </c>
      <c r="C3564" t="s">
        <v>8</v>
      </c>
      <c r="D3564">
        <v>2.1859999999999999</v>
      </c>
      <c r="E3564">
        <v>699</v>
      </c>
      <c r="F3564" t="str">
        <f>HYPERLINK("https://www.google.com/maps/search/?api=1&amp;query=24.68785637,46.77270771", "View Map")</f>
        <v>View Map</v>
      </c>
    </row>
    <row r="3565" spans="1:7" x14ac:dyDescent="0.3">
      <c r="A3565" t="s">
        <v>6161</v>
      </c>
      <c r="B3565" t="s">
        <v>6162</v>
      </c>
      <c r="C3565" t="s">
        <v>214</v>
      </c>
      <c r="D3565">
        <v>2.1859999999999999</v>
      </c>
      <c r="E3565">
        <v>700</v>
      </c>
      <c r="F3565" t="str">
        <f>HYPERLINK("https://www.google.com/maps/search/?api=1&amp;query=27.34349,45.02107", "View Map")</f>
        <v>View Map</v>
      </c>
    </row>
    <row r="3566" spans="1:7" x14ac:dyDescent="0.3">
      <c r="A3566" t="s">
        <v>6163</v>
      </c>
      <c r="B3566" t="s">
        <v>6164</v>
      </c>
      <c r="C3566" t="s">
        <v>8</v>
      </c>
      <c r="D3566">
        <v>2.1850000000000001</v>
      </c>
      <c r="E3566">
        <v>699</v>
      </c>
      <c r="F3566" t="str">
        <f>HYPERLINK("https://www.google.com/maps/search/?api=1&amp;query=24.61951786,46.7029792", "View Map")</f>
        <v>View Map</v>
      </c>
    </row>
    <row r="3567" spans="1:7" x14ac:dyDescent="0.3">
      <c r="A3567" t="s">
        <v>6165</v>
      </c>
      <c r="B3567" t="s">
        <v>6166</v>
      </c>
      <c r="C3567" t="s">
        <v>8</v>
      </c>
      <c r="D3567">
        <v>2.1840000000000002</v>
      </c>
      <c r="E3567">
        <v>699</v>
      </c>
      <c r="F3567" t="str">
        <f>HYPERLINK("https://www.google.com/maps/search/?api=1&amp;query=24.68459215,46.80687403", "View Map")</f>
        <v>View Map</v>
      </c>
      <c r="G3567" s="2">
        <v>0.33088265927522742</v>
      </c>
    </row>
    <row r="3568" spans="1:7" x14ac:dyDescent="0.3">
      <c r="A3568" t="s">
        <v>6167</v>
      </c>
      <c r="B3568" t="s">
        <v>6168</v>
      </c>
      <c r="C3568" t="s">
        <v>8</v>
      </c>
      <c r="D3568">
        <v>2.1840000000000002</v>
      </c>
      <c r="E3568">
        <v>699</v>
      </c>
      <c r="F3568" t="str">
        <f>HYPERLINK("https://www.google.com/maps/search/?api=1&amp;query=24.60355679,46.72644019", "View Map")</f>
        <v>View Map</v>
      </c>
    </row>
    <row r="3569" spans="1:7" x14ac:dyDescent="0.3">
      <c r="A3569" t="s">
        <v>46</v>
      </c>
      <c r="B3569" t="s">
        <v>6169</v>
      </c>
      <c r="C3569" t="s">
        <v>8</v>
      </c>
      <c r="D3569">
        <v>2.1829999999999998</v>
      </c>
      <c r="E3569">
        <v>699</v>
      </c>
      <c r="F3569" t="str">
        <f>HYPERLINK("https://www.google.com/maps/search/?api=1&amp;query=24.8333,46.625", "View Map")</f>
        <v>View Map</v>
      </c>
    </row>
    <row r="3570" spans="1:7" x14ac:dyDescent="0.3">
      <c r="A3570" t="s">
        <v>6170</v>
      </c>
      <c r="B3570" t="s">
        <v>6171</v>
      </c>
      <c r="C3570" t="s">
        <v>8</v>
      </c>
      <c r="D3570">
        <v>2.1829999999999998</v>
      </c>
      <c r="E3570">
        <v>699</v>
      </c>
      <c r="F3570" t="str">
        <f>HYPERLINK("https://www.google.com/maps/search/?api=1&amp;query=24.79117748,46.73424738", "View Map")</f>
        <v>View Map</v>
      </c>
    </row>
    <row r="3571" spans="1:7" x14ac:dyDescent="0.3">
      <c r="A3571" t="s">
        <v>6172</v>
      </c>
      <c r="B3571" t="s">
        <v>6173</v>
      </c>
      <c r="C3571" t="s">
        <v>255</v>
      </c>
      <c r="D3571">
        <v>2.1829999999999998</v>
      </c>
      <c r="E3571">
        <v>698</v>
      </c>
      <c r="F3571" t="str">
        <f>HYPERLINK("https://www.google.com/maps/search/?api=1&amp;query=25.49063956,44.41459864", "View Map")</f>
        <v>View Map</v>
      </c>
    </row>
    <row r="3572" spans="1:7" x14ac:dyDescent="0.3">
      <c r="A3572" t="s">
        <v>6174</v>
      </c>
      <c r="B3572" t="s">
        <v>6175</v>
      </c>
      <c r="C3572" t="s">
        <v>21</v>
      </c>
      <c r="D3572">
        <v>2.1819999999999999</v>
      </c>
      <c r="E3572">
        <v>698</v>
      </c>
      <c r="F3572" t="str">
        <f>HYPERLINK("https://www.google.com/maps/search/?api=1&amp;query=26.34209956,44.78884904", "View Map")</f>
        <v>View Map</v>
      </c>
      <c r="G3572" s="2">
        <v>0.38291734171342651</v>
      </c>
    </row>
    <row r="3573" spans="1:7" x14ac:dyDescent="0.3">
      <c r="A3573" t="s">
        <v>661</v>
      </c>
      <c r="B3573" t="s">
        <v>6176</v>
      </c>
      <c r="C3573" t="s">
        <v>214</v>
      </c>
      <c r="D3573">
        <v>2.1819999999999999</v>
      </c>
      <c r="E3573">
        <v>698</v>
      </c>
      <c r="F3573" t="str">
        <f>HYPERLINK("https://www.google.com/maps/search/?api=1&amp;query=25.62337307,45.57722311", "View Map")</f>
        <v>View Map</v>
      </c>
      <c r="G3573" s="2">
        <v>0.71012489605299323</v>
      </c>
    </row>
    <row r="3574" spans="1:7" x14ac:dyDescent="0.3">
      <c r="A3574" t="s">
        <v>6177</v>
      </c>
      <c r="B3574" t="s">
        <v>6178</v>
      </c>
      <c r="C3574" t="s">
        <v>8</v>
      </c>
      <c r="D3574">
        <v>2.1819999999999999</v>
      </c>
      <c r="E3574">
        <v>698</v>
      </c>
      <c r="F3574" t="str">
        <f>HYPERLINK("https://www.google.com/maps/search/?api=1&amp;query=24.7881747,46.8108076", "View Map")</f>
        <v>View Map</v>
      </c>
      <c r="G3574" s="2">
        <v>0.44827689523546999</v>
      </c>
    </row>
    <row r="3575" spans="1:7" x14ac:dyDescent="0.3">
      <c r="A3575" t="s">
        <v>6179</v>
      </c>
      <c r="B3575" t="s">
        <v>6180</v>
      </c>
      <c r="C3575" t="s">
        <v>8</v>
      </c>
      <c r="D3575">
        <v>2.1819999999999999</v>
      </c>
      <c r="E3575">
        <v>698</v>
      </c>
      <c r="F3575" t="str">
        <f>HYPERLINK("https://www.google.com/maps/search/?api=1&amp;query=24.66121066,46.74543344", "View Map")</f>
        <v>View Map</v>
      </c>
    </row>
    <row r="3576" spans="1:7" x14ac:dyDescent="0.3">
      <c r="A3576" t="s">
        <v>1273</v>
      </c>
      <c r="B3576" t="s">
        <v>6181</v>
      </c>
      <c r="C3576" t="s">
        <v>241</v>
      </c>
      <c r="D3576">
        <v>2.1800000000000002</v>
      </c>
      <c r="E3576">
        <v>698</v>
      </c>
      <c r="F3576" t="str">
        <f>HYPERLINK("https://www.google.com/maps/search/?api=1&amp;query=20.43028036,44.87192924", "View Map")</f>
        <v>View Map</v>
      </c>
    </row>
    <row r="3577" spans="1:7" x14ac:dyDescent="0.3">
      <c r="A3577" t="s">
        <v>2748</v>
      </c>
      <c r="B3577" t="s">
        <v>6182</v>
      </c>
      <c r="C3577" t="s">
        <v>8</v>
      </c>
      <c r="D3577">
        <v>2.1800000000000002</v>
      </c>
      <c r="E3577">
        <v>697</v>
      </c>
      <c r="F3577" t="str">
        <f>HYPERLINK("https://www.google.com/maps/search/?api=1&amp;query=24.5766322,46.64459561", "View Map")</f>
        <v>View Map</v>
      </c>
    </row>
    <row r="3578" spans="1:7" x14ac:dyDescent="0.3">
      <c r="A3578" t="s">
        <v>6183</v>
      </c>
      <c r="B3578" t="s">
        <v>6184</v>
      </c>
      <c r="C3578" t="s">
        <v>8</v>
      </c>
      <c r="D3578">
        <v>2.1789999999999998</v>
      </c>
      <c r="E3578">
        <v>697</v>
      </c>
      <c r="F3578" t="str">
        <f>HYPERLINK("https://www.google.com/maps/search/?api=1&amp;query=24.69021976,46.60102555", "View Map")</f>
        <v>View Map</v>
      </c>
    </row>
    <row r="3579" spans="1:7" x14ac:dyDescent="0.3">
      <c r="A3579" t="s">
        <v>6185</v>
      </c>
      <c r="B3579" t="s">
        <v>6186</v>
      </c>
      <c r="C3579" t="s">
        <v>214</v>
      </c>
      <c r="D3579">
        <v>2.1789999999999998</v>
      </c>
      <c r="E3579">
        <v>697</v>
      </c>
      <c r="F3579" t="str">
        <f>HYPERLINK("https://www.google.com/maps/search/?api=1&amp;query=25.67345744,45.45611219", "View Map")</f>
        <v>View Map</v>
      </c>
      <c r="G3579" s="2">
        <v>0.65890746674166123</v>
      </c>
    </row>
    <row r="3580" spans="1:7" x14ac:dyDescent="0.3">
      <c r="A3580" t="s">
        <v>706</v>
      </c>
      <c r="B3580" t="s">
        <v>6187</v>
      </c>
      <c r="C3580" t="s">
        <v>8</v>
      </c>
      <c r="D3580">
        <v>2.1779999999999999</v>
      </c>
      <c r="E3580">
        <v>697</v>
      </c>
      <c r="F3580" t="str">
        <f>HYPERLINK("https://www.google.com/maps/search/?api=1&amp;query=24.6281474,46.64944386", "View Map")</f>
        <v>View Map</v>
      </c>
      <c r="G3580" s="2">
        <v>0.50040744227729061</v>
      </c>
    </row>
    <row r="3581" spans="1:7" x14ac:dyDescent="0.3">
      <c r="A3581" t="s">
        <v>46</v>
      </c>
      <c r="B3581" t="s">
        <v>6188</v>
      </c>
      <c r="C3581" t="s">
        <v>8</v>
      </c>
      <c r="D3581">
        <v>2.177</v>
      </c>
      <c r="E3581">
        <v>697</v>
      </c>
      <c r="F3581" t="str">
        <f>HYPERLINK("https://www.google.com/maps/search/?api=1&amp;query=24.61595565,46.81474386", "View Map")</f>
        <v>View Map</v>
      </c>
    </row>
    <row r="3582" spans="1:7" x14ac:dyDescent="0.3">
      <c r="A3582" t="s">
        <v>6189</v>
      </c>
      <c r="B3582" t="s">
        <v>6190</v>
      </c>
      <c r="C3582" t="s">
        <v>291</v>
      </c>
      <c r="D3582">
        <v>2.177</v>
      </c>
      <c r="E3582">
        <v>697</v>
      </c>
      <c r="F3582" t="str">
        <f>HYPERLINK("https://www.google.com/maps/search/?api=1&amp;query=24.31184379,45.8233528", "View Map")</f>
        <v>View Map</v>
      </c>
      <c r="G3582" s="2">
        <v>0.61681519015453379</v>
      </c>
    </row>
    <row r="3583" spans="1:7" x14ac:dyDescent="0.3">
      <c r="A3583" t="s">
        <v>6191</v>
      </c>
      <c r="B3583" t="s">
        <v>6192</v>
      </c>
      <c r="C3583" t="s">
        <v>8</v>
      </c>
      <c r="D3583">
        <v>2.1760000000000002</v>
      </c>
      <c r="E3583">
        <v>696</v>
      </c>
      <c r="F3583" t="str">
        <f>HYPERLINK("https://www.google.com/maps/search/?api=1&amp;query=24.63682109,46.55753926", "View Map")</f>
        <v>View Map</v>
      </c>
    </row>
    <row r="3584" spans="1:7" x14ac:dyDescent="0.3">
      <c r="A3584" t="s">
        <v>4835</v>
      </c>
      <c r="B3584" t="s">
        <v>6193</v>
      </c>
      <c r="C3584" t="s">
        <v>8</v>
      </c>
      <c r="D3584">
        <v>2.1760000000000002</v>
      </c>
      <c r="E3584">
        <v>696</v>
      </c>
      <c r="F3584" t="str">
        <f>HYPERLINK("https://www.google.com/maps/search/?api=1&amp;query=24.68791906,46.76304245", "View Map")</f>
        <v>View Map</v>
      </c>
      <c r="G3584" s="2">
        <v>0.47583942586081102</v>
      </c>
    </row>
    <row r="3585" spans="1:7" x14ac:dyDescent="0.3">
      <c r="A3585" t="s">
        <v>46</v>
      </c>
      <c r="B3585" t="s">
        <v>6194</v>
      </c>
      <c r="C3585" t="s">
        <v>8</v>
      </c>
      <c r="D3585">
        <v>2.1749999999999998</v>
      </c>
      <c r="E3585">
        <v>696</v>
      </c>
      <c r="F3585" t="str">
        <f>HYPERLINK("https://www.google.com/maps/search/?api=1&amp;query=24.67050962,46.57164983", "View Map")</f>
        <v>View Map</v>
      </c>
    </row>
    <row r="3586" spans="1:7" x14ac:dyDescent="0.3">
      <c r="A3586" t="s">
        <v>1349</v>
      </c>
      <c r="B3586" t="s">
        <v>6195</v>
      </c>
      <c r="C3586" t="s">
        <v>270</v>
      </c>
      <c r="D3586">
        <v>2.1749999999999998</v>
      </c>
      <c r="E3586">
        <v>696</v>
      </c>
      <c r="F3586" t="str">
        <f>HYPERLINK("https://www.google.com/maps/search/?api=1&amp;query=23.95941997,47.11521836", "View Map")</f>
        <v>View Map</v>
      </c>
      <c r="G3586" s="2">
        <v>0.63276293401576433</v>
      </c>
    </row>
    <row r="3587" spans="1:7" x14ac:dyDescent="0.3">
      <c r="A3587" t="s">
        <v>5274</v>
      </c>
      <c r="B3587" t="s">
        <v>6196</v>
      </c>
      <c r="C3587" t="s">
        <v>8</v>
      </c>
      <c r="D3587">
        <v>2.1739999999999999</v>
      </c>
      <c r="E3587">
        <v>696</v>
      </c>
      <c r="F3587" t="str">
        <f>HYPERLINK("https://www.google.com/maps/search/?api=1&amp;query=24.77396,46.67822", "View Map")</f>
        <v>View Map</v>
      </c>
    </row>
    <row r="3588" spans="1:7" x14ac:dyDescent="0.3">
      <c r="A3588" t="s">
        <v>6197</v>
      </c>
      <c r="B3588" t="s">
        <v>6198</v>
      </c>
      <c r="C3588" t="s">
        <v>286</v>
      </c>
      <c r="D3588">
        <v>2.1739999999999999</v>
      </c>
      <c r="E3588">
        <v>696</v>
      </c>
      <c r="F3588" t="str">
        <f>HYPERLINK("https://www.google.com/maps/search/?api=1&amp;query=25.24803271,45.2163927", "View Map")</f>
        <v>View Map</v>
      </c>
      <c r="G3588" s="2">
        <v>0.57946284373685242</v>
      </c>
    </row>
    <row r="3589" spans="1:7" x14ac:dyDescent="0.3">
      <c r="A3589" t="s">
        <v>6199</v>
      </c>
      <c r="B3589" t="s">
        <v>6200</v>
      </c>
      <c r="C3589" t="s">
        <v>8</v>
      </c>
      <c r="D3589">
        <v>2.173</v>
      </c>
      <c r="E3589">
        <v>695</v>
      </c>
      <c r="F3589" t="str">
        <f>HYPERLINK("https://www.google.com/maps/search/?api=1&amp;query=24.78139443,46.75686147", "View Map")</f>
        <v>View Map</v>
      </c>
    </row>
    <row r="3590" spans="1:7" x14ac:dyDescent="0.3">
      <c r="A3590" t="s">
        <v>28</v>
      </c>
      <c r="B3590" t="s">
        <v>6201</v>
      </c>
      <c r="C3590" t="s">
        <v>30</v>
      </c>
      <c r="D3590">
        <v>2.173</v>
      </c>
      <c r="E3590">
        <v>696</v>
      </c>
      <c r="F3590" t="str">
        <f>HYPERLINK("https://www.google.com/maps/search/?api=1&amp;query=24.14763152,47.27696649", "View Map")</f>
        <v>View Map</v>
      </c>
    </row>
    <row r="3591" spans="1:7" x14ac:dyDescent="0.3">
      <c r="A3591" t="s">
        <v>6202</v>
      </c>
      <c r="B3591" t="s">
        <v>6203</v>
      </c>
      <c r="C3591" t="s">
        <v>21</v>
      </c>
      <c r="D3591">
        <v>2.173</v>
      </c>
      <c r="E3591">
        <v>695</v>
      </c>
      <c r="F3591" t="str">
        <f>HYPERLINK("https://www.google.com/maps/search/?api=1&amp;query=26.2922241,44.81111368", "View Map")</f>
        <v>View Map</v>
      </c>
      <c r="G3591" s="2">
        <v>0.39904580745266949</v>
      </c>
    </row>
    <row r="3592" spans="1:7" x14ac:dyDescent="0.3">
      <c r="A3592" t="s">
        <v>6204</v>
      </c>
      <c r="B3592" t="s">
        <v>6205</v>
      </c>
      <c r="C3592" t="s">
        <v>8</v>
      </c>
      <c r="D3592">
        <v>2.1720000000000002</v>
      </c>
      <c r="E3592">
        <v>695</v>
      </c>
      <c r="F3592" t="str">
        <f>HYPERLINK("https://www.google.com/maps/search/?api=1&amp;query=24.61854182,46.68654005", "View Map")</f>
        <v>View Map</v>
      </c>
    </row>
    <row r="3593" spans="1:7" x14ac:dyDescent="0.3">
      <c r="A3593" t="s">
        <v>6206</v>
      </c>
      <c r="B3593" t="s">
        <v>6207</v>
      </c>
      <c r="C3593" t="s">
        <v>8</v>
      </c>
      <c r="D3593">
        <v>2.1720000000000002</v>
      </c>
      <c r="E3593">
        <v>695</v>
      </c>
      <c r="F3593" t="str">
        <f>HYPERLINK("https://www.google.com/maps/search/?api=1&amp;query=24.57519491,46.5990841", "View Map")</f>
        <v>View Map</v>
      </c>
    </row>
    <row r="3594" spans="1:7" x14ac:dyDescent="0.3">
      <c r="A3594" t="s">
        <v>6208</v>
      </c>
      <c r="B3594" t="s">
        <v>6209</v>
      </c>
      <c r="C3594" t="s">
        <v>30</v>
      </c>
      <c r="D3594">
        <v>2.1720000000000002</v>
      </c>
      <c r="E3594">
        <v>695</v>
      </c>
      <c r="F3594" t="str">
        <f>HYPERLINK("https://www.google.com/maps/search/?api=1&amp;query=24.18873325,47.39304827", "View Map")</f>
        <v>View Map</v>
      </c>
    </row>
    <row r="3595" spans="1:7" x14ac:dyDescent="0.3">
      <c r="A3595" t="s">
        <v>6210</v>
      </c>
      <c r="B3595" t="s">
        <v>6211</v>
      </c>
      <c r="C3595" t="s">
        <v>8</v>
      </c>
      <c r="D3595">
        <v>2.1709999999999998</v>
      </c>
      <c r="E3595">
        <v>695</v>
      </c>
      <c r="F3595" t="str">
        <f>HYPERLINK("https://www.google.com/maps/search/?api=1&amp;query=24.72040999,46.76083426", "View Map")</f>
        <v>View Map</v>
      </c>
    </row>
    <row r="3596" spans="1:7" x14ac:dyDescent="0.3">
      <c r="A3596" t="s">
        <v>6212</v>
      </c>
      <c r="B3596" t="s">
        <v>6213</v>
      </c>
      <c r="C3596" t="s">
        <v>8</v>
      </c>
      <c r="D3596">
        <v>2.1709999999999998</v>
      </c>
      <c r="E3596">
        <v>695</v>
      </c>
      <c r="F3596" t="str">
        <f>HYPERLINK("https://www.google.com/maps/search/?api=1&amp;query=24.69849762,46.686346", "View Map")</f>
        <v>View Map</v>
      </c>
    </row>
    <row r="3597" spans="1:7" x14ac:dyDescent="0.3">
      <c r="A3597" t="s">
        <v>6214</v>
      </c>
      <c r="B3597" t="s">
        <v>6215</v>
      </c>
      <c r="C3597" t="s">
        <v>8</v>
      </c>
      <c r="D3597">
        <v>2.17</v>
      </c>
      <c r="E3597">
        <v>694</v>
      </c>
      <c r="F3597" t="str">
        <f>HYPERLINK("https://www.google.com/maps/search/?api=1&amp;query=24.52720619,46.67962957", "View Map")</f>
        <v>View Map</v>
      </c>
    </row>
    <row r="3598" spans="1:7" x14ac:dyDescent="0.3">
      <c r="A3598" t="s">
        <v>6216</v>
      </c>
      <c r="B3598" t="s">
        <v>6217</v>
      </c>
      <c r="C3598" t="s">
        <v>8</v>
      </c>
      <c r="D3598">
        <v>2.169</v>
      </c>
      <c r="E3598">
        <v>694</v>
      </c>
      <c r="F3598" t="str">
        <f>HYPERLINK("https://www.google.com/maps/search/?api=1&amp;query=24.75218874,46.81579638", "View Map")</f>
        <v>View Map</v>
      </c>
    </row>
    <row r="3599" spans="1:7" x14ac:dyDescent="0.3">
      <c r="A3599" t="s">
        <v>6218</v>
      </c>
      <c r="B3599" t="s">
        <v>6219</v>
      </c>
      <c r="C3599" t="s">
        <v>8</v>
      </c>
      <c r="D3599">
        <v>2.169</v>
      </c>
      <c r="E3599">
        <v>694</v>
      </c>
      <c r="F3599" t="str">
        <f>HYPERLINK("https://www.google.com/maps/search/?api=1&amp;query=24.65926793,46.62618742", "View Map")</f>
        <v>View Map</v>
      </c>
    </row>
    <row r="3600" spans="1:7" x14ac:dyDescent="0.3">
      <c r="A3600" t="s">
        <v>717</v>
      </c>
      <c r="B3600" t="s">
        <v>6220</v>
      </c>
      <c r="C3600" t="s">
        <v>255</v>
      </c>
      <c r="D3600">
        <v>2.169</v>
      </c>
      <c r="E3600">
        <v>694</v>
      </c>
      <c r="F3600" t="str">
        <f>HYPERLINK("https://www.google.com/maps/search/?api=1&amp;query=24.48673631,44.3841789", "View Map")</f>
        <v>View Map</v>
      </c>
      <c r="G3600" s="2">
        <v>0.5938292829932672</v>
      </c>
    </row>
    <row r="3601" spans="1:7" x14ac:dyDescent="0.3">
      <c r="A3601" t="s">
        <v>6221</v>
      </c>
      <c r="B3601" t="s">
        <v>6222</v>
      </c>
      <c r="C3601" t="s">
        <v>255</v>
      </c>
      <c r="D3601">
        <v>2.1680000000000001</v>
      </c>
      <c r="E3601">
        <v>694</v>
      </c>
      <c r="F3601" t="str">
        <f>HYPERLINK("https://www.google.com/maps/search/?api=1&amp;query=24.49979615,44.38185918", "View Map")</f>
        <v>View Map</v>
      </c>
    </row>
    <row r="3602" spans="1:7" x14ac:dyDescent="0.3">
      <c r="A3602" t="s">
        <v>6223</v>
      </c>
      <c r="B3602" t="s">
        <v>6224</v>
      </c>
      <c r="C3602" t="s">
        <v>8</v>
      </c>
      <c r="D3602">
        <v>2.1680000000000001</v>
      </c>
      <c r="E3602">
        <v>694</v>
      </c>
      <c r="F3602" t="str">
        <f>HYPERLINK("https://www.google.com/maps/search/?api=1&amp;query=24.80910136,46.6500693", "View Map")</f>
        <v>View Map</v>
      </c>
    </row>
    <row r="3603" spans="1:7" x14ac:dyDescent="0.3">
      <c r="A3603" t="s">
        <v>6225</v>
      </c>
      <c r="B3603" t="s">
        <v>6226</v>
      </c>
      <c r="C3603" t="s">
        <v>8</v>
      </c>
      <c r="D3603">
        <v>2.1669999999999998</v>
      </c>
      <c r="E3603">
        <v>694</v>
      </c>
      <c r="F3603" t="str">
        <f>HYPERLINK("https://www.google.com/maps/search/?api=1&amp;query=24.57918164,46.70997718", "View Map")</f>
        <v>View Map</v>
      </c>
    </row>
    <row r="3604" spans="1:7" x14ac:dyDescent="0.3">
      <c r="A3604" t="s">
        <v>5603</v>
      </c>
      <c r="B3604" t="s">
        <v>6227</v>
      </c>
      <c r="C3604" t="s">
        <v>8</v>
      </c>
      <c r="D3604">
        <v>2.1669999999999998</v>
      </c>
      <c r="E3604">
        <v>693</v>
      </c>
      <c r="F3604" t="str">
        <f>HYPERLINK("https://www.google.com/maps/search/?api=1&amp;query=24.61098195,46.60350751", "View Map")</f>
        <v>View Map</v>
      </c>
    </row>
    <row r="3605" spans="1:7" x14ac:dyDescent="0.3">
      <c r="A3605" t="s">
        <v>146</v>
      </c>
      <c r="B3605" t="s">
        <v>6228</v>
      </c>
      <c r="C3605" t="s">
        <v>8</v>
      </c>
      <c r="D3605">
        <v>2.1669999999999998</v>
      </c>
      <c r="E3605">
        <v>693</v>
      </c>
      <c r="F3605" t="str">
        <f>HYPERLINK("https://www.google.com/maps/search/?api=1&amp;query=24.55363955,46.6674507", "View Map")</f>
        <v>View Map</v>
      </c>
    </row>
    <row r="3606" spans="1:7" x14ac:dyDescent="0.3">
      <c r="A3606" t="s">
        <v>6229</v>
      </c>
      <c r="B3606" t="s">
        <v>6230</v>
      </c>
      <c r="C3606" t="s">
        <v>214</v>
      </c>
      <c r="D3606">
        <v>2.1669999999999998</v>
      </c>
      <c r="E3606">
        <v>693</v>
      </c>
      <c r="F3606" t="str">
        <f>HYPERLINK("https://www.google.com/maps/search/?api=1&amp;query=25.60300567,45.60829343", "View Map")</f>
        <v>View Map</v>
      </c>
      <c r="G3606" s="2">
        <v>0.70475907856512809</v>
      </c>
    </row>
    <row r="3607" spans="1:7" x14ac:dyDescent="0.3">
      <c r="A3607" t="s">
        <v>6231</v>
      </c>
      <c r="B3607" t="s">
        <v>6232</v>
      </c>
      <c r="C3607" t="s">
        <v>255</v>
      </c>
      <c r="D3607">
        <v>2.1669999999999998</v>
      </c>
      <c r="E3607">
        <v>694</v>
      </c>
      <c r="F3607" t="str">
        <f>HYPERLINK("https://www.google.com/maps/search/?api=1&amp;query=25.17573809,44.60545822", "View Map")</f>
        <v>View Map</v>
      </c>
      <c r="G3607" s="2">
        <v>0.6357669668892677</v>
      </c>
    </row>
    <row r="3608" spans="1:7" x14ac:dyDescent="0.3">
      <c r="A3608" t="s">
        <v>146</v>
      </c>
      <c r="B3608" t="s">
        <v>6233</v>
      </c>
      <c r="C3608" t="s">
        <v>8</v>
      </c>
      <c r="D3608">
        <v>2.1659999999999999</v>
      </c>
      <c r="E3608">
        <v>693</v>
      </c>
      <c r="F3608" t="str">
        <f>HYPERLINK("https://www.google.com/maps/search/?api=1&amp;query=24.52301129,46.64291644", "View Map")</f>
        <v>View Map</v>
      </c>
    </row>
    <row r="3609" spans="1:7" x14ac:dyDescent="0.3">
      <c r="A3609" t="s">
        <v>6234</v>
      </c>
      <c r="B3609" t="s">
        <v>6235</v>
      </c>
      <c r="C3609" t="s">
        <v>8</v>
      </c>
      <c r="D3609">
        <v>2.1659999999999999</v>
      </c>
      <c r="E3609">
        <v>693</v>
      </c>
      <c r="F3609" t="str">
        <f>HYPERLINK("https://www.google.com/maps/search/?api=1&amp;query=24.68163196,46.76580946", "View Map")</f>
        <v>View Map</v>
      </c>
    </row>
    <row r="3610" spans="1:7" x14ac:dyDescent="0.3">
      <c r="A3610" t="s">
        <v>6236</v>
      </c>
      <c r="B3610" t="s">
        <v>6237</v>
      </c>
      <c r="C3610" t="s">
        <v>8</v>
      </c>
      <c r="D3610">
        <v>2.165</v>
      </c>
      <c r="E3610">
        <v>693</v>
      </c>
      <c r="F3610" t="str">
        <f>HYPERLINK("https://www.google.com/maps/search/?api=1&amp;query=24.79960344,46.67065048", "View Map")</f>
        <v>View Map</v>
      </c>
    </row>
    <row r="3611" spans="1:7" x14ac:dyDescent="0.3">
      <c r="A3611" t="s">
        <v>6238</v>
      </c>
      <c r="B3611" t="s">
        <v>6239</v>
      </c>
      <c r="C3611" t="s">
        <v>8</v>
      </c>
      <c r="D3611">
        <v>2.165</v>
      </c>
      <c r="E3611">
        <v>693</v>
      </c>
      <c r="F3611" t="str">
        <f>HYPERLINK("https://www.google.com/maps/search/?api=1&amp;query=24.63163884,46.68222544", "View Map")</f>
        <v>View Map</v>
      </c>
    </row>
    <row r="3612" spans="1:7" x14ac:dyDescent="0.3">
      <c r="A3612" t="s">
        <v>46</v>
      </c>
      <c r="B3612" t="s">
        <v>6240</v>
      </c>
      <c r="C3612" t="s">
        <v>8</v>
      </c>
      <c r="D3612">
        <v>2.1640000000000001</v>
      </c>
      <c r="E3612">
        <v>693</v>
      </c>
      <c r="F3612" t="str">
        <f>HYPERLINK("https://www.google.com/maps/search/?api=1&amp;query=24.87773,46.60725", "View Map")</f>
        <v>View Map</v>
      </c>
    </row>
    <row r="3613" spans="1:7" x14ac:dyDescent="0.3">
      <c r="A3613" t="s">
        <v>289</v>
      </c>
      <c r="B3613" t="s">
        <v>6241</v>
      </c>
      <c r="C3613" t="s">
        <v>291</v>
      </c>
      <c r="D3613">
        <v>2.1629999999999998</v>
      </c>
      <c r="E3613">
        <v>692</v>
      </c>
      <c r="F3613" t="str">
        <f>HYPERLINK("https://www.google.com/maps/search/?api=1&amp;query=24.2058339,45.87611714", "View Map")</f>
        <v>View Map</v>
      </c>
      <c r="G3613" s="2">
        <v>0.77794859052238641</v>
      </c>
    </row>
    <row r="3614" spans="1:7" x14ac:dyDescent="0.3">
      <c r="A3614" t="s">
        <v>6242</v>
      </c>
      <c r="B3614" t="s">
        <v>6243</v>
      </c>
      <c r="C3614" t="s">
        <v>8</v>
      </c>
      <c r="D3614">
        <v>2.1619999999999999</v>
      </c>
      <c r="E3614">
        <v>692</v>
      </c>
      <c r="F3614" t="str">
        <f>HYPERLINK("https://www.google.com/maps/search/?api=1&amp;query=24.59932821,46.71034877", "View Map")</f>
        <v>View Map</v>
      </c>
    </row>
    <row r="3615" spans="1:7" x14ac:dyDescent="0.3">
      <c r="A3615" t="s">
        <v>146</v>
      </c>
      <c r="B3615" t="s">
        <v>6244</v>
      </c>
      <c r="C3615" t="s">
        <v>8</v>
      </c>
      <c r="D3615">
        <v>2.161</v>
      </c>
      <c r="E3615">
        <v>692</v>
      </c>
      <c r="F3615" t="str">
        <f>HYPERLINK("https://www.google.com/maps/search/?api=1&amp;query=24.58092763,46.70459587", "View Map")</f>
        <v>View Map</v>
      </c>
      <c r="G3615" s="2">
        <v>0.48207933435555722</v>
      </c>
    </row>
    <row r="3616" spans="1:7" x14ac:dyDescent="0.3">
      <c r="A3616" t="s">
        <v>6245</v>
      </c>
      <c r="B3616" t="s">
        <v>6246</v>
      </c>
      <c r="C3616" t="s">
        <v>8</v>
      </c>
      <c r="D3616">
        <v>2.161</v>
      </c>
      <c r="E3616">
        <v>692</v>
      </c>
      <c r="F3616" t="str">
        <f>HYPERLINK("https://www.google.com/maps/search/?api=1&amp;query=24.53681225,46.70143153", "View Map")</f>
        <v>View Map</v>
      </c>
    </row>
    <row r="3617" spans="1:7" x14ac:dyDescent="0.3">
      <c r="A3617" t="s">
        <v>6247</v>
      </c>
      <c r="B3617" t="s">
        <v>6248</v>
      </c>
      <c r="C3617" t="s">
        <v>8</v>
      </c>
      <c r="D3617">
        <v>2.161</v>
      </c>
      <c r="E3617">
        <v>692</v>
      </c>
      <c r="F3617" t="str">
        <f>HYPERLINK("https://www.google.com/maps/search/?api=1&amp;query=24.65588646,46.75547512", "View Map")</f>
        <v>View Map</v>
      </c>
    </row>
    <row r="3618" spans="1:7" x14ac:dyDescent="0.3">
      <c r="A3618" t="s">
        <v>6249</v>
      </c>
      <c r="B3618" t="s">
        <v>6250</v>
      </c>
      <c r="C3618" t="s">
        <v>255</v>
      </c>
      <c r="D3618">
        <v>2.16</v>
      </c>
      <c r="E3618">
        <v>691</v>
      </c>
      <c r="F3618" t="str">
        <f>HYPERLINK("https://www.google.com/maps/search/?api=1&amp;query=24.52258545,43.60045123", "View Map")</f>
        <v>View Map</v>
      </c>
      <c r="G3618" s="2">
        <v>0.70685721233186893</v>
      </c>
    </row>
    <row r="3619" spans="1:7" x14ac:dyDescent="0.3">
      <c r="A3619" t="s">
        <v>6251</v>
      </c>
      <c r="B3619" t="s">
        <v>6252</v>
      </c>
      <c r="C3619" t="s">
        <v>255</v>
      </c>
      <c r="D3619">
        <v>2.16</v>
      </c>
      <c r="E3619">
        <v>691</v>
      </c>
      <c r="F3619" t="str">
        <f>HYPERLINK("https://www.google.com/maps/search/?api=1&amp;query=24.01634688,43.50382368", "View Map")</f>
        <v>View Map</v>
      </c>
      <c r="G3619" s="2">
        <v>0.85998922711537484</v>
      </c>
    </row>
    <row r="3620" spans="1:7" x14ac:dyDescent="0.3">
      <c r="A3620" t="s">
        <v>6253</v>
      </c>
      <c r="B3620" t="s">
        <v>6254</v>
      </c>
      <c r="C3620" t="s">
        <v>255</v>
      </c>
      <c r="D3620">
        <v>2.1589999999999998</v>
      </c>
      <c r="E3620">
        <v>691</v>
      </c>
      <c r="F3620" t="str">
        <f>HYPERLINK("https://www.google.com/maps/search/?api=1&amp;query=24.33986748,44.80249837", "View Map")</f>
        <v>View Map</v>
      </c>
      <c r="G3620" s="2">
        <v>0.89780031813826566</v>
      </c>
    </row>
    <row r="3621" spans="1:7" x14ac:dyDescent="0.3">
      <c r="A3621" t="s">
        <v>6255</v>
      </c>
      <c r="B3621" t="s">
        <v>6256</v>
      </c>
      <c r="C3621" t="s">
        <v>8</v>
      </c>
      <c r="D3621">
        <v>2.1579999999999999</v>
      </c>
      <c r="E3621">
        <v>691</v>
      </c>
      <c r="F3621" t="str">
        <f>HYPERLINK("https://www.google.com/maps/search/?api=1&amp;query=24.54813471,46.73042738", "View Map")</f>
        <v>View Map</v>
      </c>
    </row>
    <row r="3622" spans="1:7" x14ac:dyDescent="0.3">
      <c r="A3622" t="s">
        <v>6257</v>
      </c>
      <c r="B3622" t="s">
        <v>6258</v>
      </c>
      <c r="C3622" t="s">
        <v>699</v>
      </c>
      <c r="D3622">
        <v>2.1579999999999999</v>
      </c>
      <c r="E3622">
        <v>690</v>
      </c>
      <c r="F3622" t="str">
        <f>HYPERLINK("https://www.google.com/maps/search/?api=1&amp;query=25.07492271,45.46329636", "View Map")</f>
        <v>View Map</v>
      </c>
      <c r="G3622" s="2">
        <v>0.40625595695861672</v>
      </c>
    </row>
    <row r="3623" spans="1:7" x14ac:dyDescent="0.3">
      <c r="A3623" t="s">
        <v>621</v>
      </c>
      <c r="B3623" t="s">
        <v>6259</v>
      </c>
      <c r="C3623" t="s">
        <v>8</v>
      </c>
      <c r="D3623">
        <v>2.157</v>
      </c>
      <c r="E3623">
        <v>690</v>
      </c>
      <c r="F3623" t="str">
        <f>HYPERLINK("https://www.google.com/maps/search/?api=1&amp;query=24.71062461,46.66700732", "View Map")</f>
        <v>View Map</v>
      </c>
    </row>
    <row r="3624" spans="1:7" x14ac:dyDescent="0.3">
      <c r="A3624" t="s">
        <v>644</v>
      </c>
      <c r="B3624" t="s">
        <v>6260</v>
      </c>
      <c r="C3624" t="s">
        <v>646</v>
      </c>
      <c r="D3624">
        <v>2.157</v>
      </c>
      <c r="E3624">
        <v>690</v>
      </c>
      <c r="F3624" t="str">
        <f>HYPERLINK("https://www.google.com/maps/search/?api=1&amp;query=20.47689425,45.58722793", "View Map")</f>
        <v>View Map</v>
      </c>
    </row>
    <row r="3625" spans="1:7" x14ac:dyDescent="0.3">
      <c r="A3625" t="s">
        <v>6261</v>
      </c>
      <c r="B3625" t="s">
        <v>6262</v>
      </c>
      <c r="C3625" t="s">
        <v>241</v>
      </c>
      <c r="D3625">
        <v>2.1560000000000001</v>
      </c>
      <c r="E3625">
        <v>690</v>
      </c>
      <c r="F3625" t="str">
        <f>HYPERLINK("https://www.google.com/maps/search/?api=1&amp;query=20.43997305,44.84708496", "View Map")</f>
        <v>View Map</v>
      </c>
      <c r="G3625" s="2">
        <v>0.3878805421205318</v>
      </c>
    </row>
    <row r="3626" spans="1:7" x14ac:dyDescent="0.3">
      <c r="A3626" t="s">
        <v>150</v>
      </c>
      <c r="B3626" t="s">
        <v>6263</v>
      </c>
      <c r="C3626" t="s">
        <v>8</v>
      </c>
      <c r="D3626">
        <v>2.1560000000000001</v>
      </c>
      <c r="E3626">
        <v>690</v>
      </c>
      <c r="F3626" t="str">
        <f>HYPERLINK("https://www.google.com/maps/search/?api=1&amp;query=24.8235384,46.83610754", "View Map")</f>
        <v>View Map</v>
      </c>
    </row>
    <row r="3627" spans="1:7" x14ac:dyDescent="0.3">
      <c r="A3627" t="s">
        <v>6264</v>
      </c>
      <c r="B3627" t="s">
        <v>6265</v>
      </c>
      <c r="C3627" t="s">
        <v>30</v>
      </c>
      <c r="D3627">
        <v>2.1560000000000001</v>
      </c>
      <c r="E3627">
        <v>690</v>
      </c>
      <c r="F3627" t="str">
        <f>HYPERLINK("https://www.google.com/maps/search/?api=1&amp;query=24.17340486,47.29755905", "View Map")</f>
        <v>View Map</v>
      </c>
    </row>
    <row r="3628" spans="1:7" x14ac:dyDescent="0.3">
      <c r="A3628" t="s">
        <v>6266</v>
      </c>
      <c r="B3628" t="s">
        <v>6267</v>
      </c>
      <c r="C3628" t="s">
        <v>241</v>
      </c>
      <c r="D3628">
        <v>2.1549999999999998</v>
      </c>
      <c r="E3628">
        <v>690</v>
      </c>
      <c r="F3628" t="str">
        <f>HYPERLINK("https://www.google.com/maps/search/?api=1&amp;query=20.48035636,44.76708574", "View Map")</f>
        <v>View Map</v>
      </c>
    </row>
    <row r="3629" spans="1:7" x14ac:dyDescent="0.3">
      <c r="A3629" t="s">
        <v>46</v>
      </c>
      <c r="B3629" t="s">
        <v>6268</v>
      </c>
      <c r="C3629" t="s">
        <v>8</v>
      </c>
      <c r="D3629">
        <v>2.1539999999999999</v>
      </c>
      <c r="E3629">
        <v>689</v>
      </c>
      <c r="F3629" t="str">
        <f>HYPERLINK("https://www.google.com/maps/search/?api=1&amp;query=24.78918221,46.90390026", "View Map")</f>
        <v>View Map</v>
      </c>
    </row>
    <row r="3630" spans="1:7" x14ac:dyDescent="0.3">
      <c r="A3630" t="s">
        <v>150</v>
      </c>
      <c r="B3630" t="s">
        <v>6269</v>
      </c>
      <c r="C3630" t="s">
        <v>8</v>
      </c>
      <c r="D3630">
        <v>2.1539999999999999</v>
      </c>
      <c r="E3630">
        <v>689</v>
      </c>
      <c r="F3630" t="str">
        <f>HYPERLINK("https://www.google.com/maps/search/?api=1&amp;query=24.73644933,46.79378428", "View Map")</f>
        <v>View Map</v>
      </c>
    </row>
    <row r="3631" spans="1:7" x14ac:dyDescent="0.3">
      <c r="A3631" t="s">
        <v>6270</v>
      </c>
      <c r="B3631" t="s">
        <v>6271</v>
      </c>
      <c r="C3631" t="s">
        <v>466</v>
      </c>
      <c r="D3631">
        <v>2.1539999999999999</v>
      </c>
      <c r="E3631">
        <v>689</v>
      </c>
      <c r="F3631" t="str">
        <f>HYPERLINK("https://www.google.com/maps/search/?api=1&amp;query=24.42102165,46.57391049", "View Map")</f>
        <v>View Map</v>
      </c>
      <c r="G3631" s="2">
        <v>0.35591398165691202</v>
      </c>
    </row>
    <row r="3632" spans="1:7" x14ac:dyDescent="0.3">
      <c r="A3632" t="s">
        <v>6272</v>
      </c>
      <c r="B3632" t="s">
        <v>6273</v>
      </c>
      <c r="C3632" t="s">
        <v>393</v>
      </c>
      <c r="D3632">
        <v>2.1539999999999999</v>
      </c>
      <c r="E3632">
        <v>689</v>
      </c>
      <c r="F3632" t="str">
        <f>HYPERLINK("https://www.google.com/maps/search/?api=1&amp;query=23.63128899,45.29929992", "View Map")</f>
        <v>View Map</v>
      </c>
      <c r="G3632" s="2">
        <v>0.88655817280144855</v>
      </c>
    </row>
    <row r="3633" spans="1:7" x14ac:dyDescent="0.3">
      <c r="A3633" t="s">
        <v>6274</v>
      </c>
      <c r="B3633" t="s">
        <v>6275</v>
      </c>
      <c r="C3633" t="s">
        <v>255</v>
      </c>
      <c r="D3633">
        <v>2.153</v>
      </c>
      <c r="E3633">
        <v>689</v>
      </c>
      <c r="F3633" t="str">
        <f>HYPERLINK("https://www.google.com/maps/search/?api=1&amp;query=25.01227312,43.5215894", "View Map")</f>
        <v>View Map</v>
      </c>
      <c r="G3633" s="2">
        <v>0.824427195087996</v>
      </c>
    </row>
    <row r="3634" spans="1:7" x14ac:dyDescent="0.3">
      <c r="A3634" t="s">
        <v>860</v>
      </c>
      <c r="B3634" t="s">
        <v>6276</v>
      </c>
      <c r="C3634" t="s">
        <v>255</v>
      </c>
      <c r="D3634">
        <v>2.1520000000000001</v>
      </c>
      <c r="E3634">
        <v>689</v>
      </c>
      <c r="F3634" t="str">
        <f>HYPERLINK("https://www.google.com/maps/search/?api=1&amp;query=25.48836068,44.41924387", "View Map")</f>
        <v>View Map</v>
      </c>
    </row>
    <row r="3635" spans="1:7" x14ac:dyDescent="0.3">
      <c r="A3635" t="s">
        <v>4564</v>
      </c>
      <c r="B3635" t="s">
        <v>6277</v>
      </c>
      <c r="C3635" t="s">
        <v>8</v>
      </c>
      <c r="D3635">
        <v>2.1520000000000001</v>
      </c>
      <c r="E3635">
        <v>689</v>
      </c>
      <c r="F3635" t="str">
        <f>HYPERLINK("https://www.google.com/maps/search/?api=1&amp;query=24.5344,46.6981", "View Map")</f>
        <v>View Map</v>
      </c>
    </row>
    <row r="3636" spans="1:7" x14ac:dyDescent="0.3">
      <c r="A3636" t="s">
        <v>6278</v>
      </c>
      <c r="B3636" t="s">
        <v>6279</v>
      </c>
      <c r="C3636" t="s">
        <v>8</v>
      </c>
      <c r="D3636">
        <v>2.1509999999999998</v>
      </c>
      <c r="E3636">
        <v>688</v>
      </c>
      <c r="F3636" t="str">
        <f>HYPERLINK("https://www.google.com/maps/search/?api=1&amp;query=24.7691183,46.81951705", "View Map")</f>
        <v>View Map</v>
      </c>
      <c r="G3636" s="2">
        <v>0.3527143865099493</v>
      </c>
    </row>
    <row r="3637" spans="1:7" x14ac:dyDescent="0.3">
      <c r="A3637" t="s">
        <v>6280</v>
      </c>
      <c r="B3637" t="s">
        <v>6281</v>
      </c>
      <c r="C3637" t="s">
        <v>393</v>
      </c>
      <c r="D3637">
        <v>2.1509999999999998</v>
      </c>
      <c r="E3637">
        <v>688</v>
      </c>
      <c r="F3637" t="str">
        <f>HYPERLINK("https://www.google.com/maps/search/?api=1&amp;query=22.48049476,44.91279078", "View Map")</f>
        <v>View Map</v>
      </c>
      <c r="G3637" s="2">
        <v>0.70509222132273619</v>
      </c>
    </row>
    <row r="3638" spans="1:7" x14ac:dyDescent="0.3">
      <c r="A3638" t="s">
        <v>6282</v>
      </c>
      <c r="B3638" t="s">
        <v>6283</v>
      </c>
      <c r="C3638" t="s">
        <v>8</v>
      </c>
      <c r="D3638">
        <v>2.15</v>
      </c>
      <c r="E3638">
        <v>688</v>
      </c>
      <c r="F3638" t="str">
        <f>HYPERLINK("https://www.google.com/maps/search/?api=1&amp;query=24.80583006,46.73878878", "View Map")</f>
        <v>View Map</v>
      </c>
    </row>
    <row r="3639" spans="1:7" x14ac:dyDescent="0.3">
      <c r="A3639" t="s">
        <v>6284</v>
      </c>
      <c r="B3639" t="s">
        <v>6285</v>
      </c>
      <c r="C3639" t="s">
        <v>291</v>
      </c>
      <c r="D3639">
        <v>2.15</v>
      </c>
      <c r="E3639">
        <v>688</v>
      </c>
      <c r="F3639" t="str">
        <f>HYPERLINK("https://www.google.com/maps/search/?api=1&amp;query=24.1745913,44.95231593", "View Map")</f>
        <v>View Map</v>
      </c>
      <c r="G3639" s="2">
        <v>0.57334973653825183</v>
      </c>
    </row>
    <row r="3640" spans="1:7" x14ac:dyDescent="0.3">
      <c r="A3640" t="s">
        <v>411</v>
      </c>
      <c r="B3640" t="s">
        <v>6286</v>
      </c>
      <c r="C3640" t="s">
        <v>77</v>
      </c>
      <c r="D3640">
        <v>2.149</v>
      </c>
      <c r="E3640">
        <v>688</v>
      </c>
      <c r="F3640" t="str">
        <f>HYPERLINK("https://www.google.com/maps/search/?api=1&amp;query=22.45557461,46.58841444", "View Map")</f>
        <v>View Map</v>
      </c>
      <c r="G3640" s="2">
        <v>0.63492606823166486</v>
      </c>
    </row>
    <row r="3641" spans="1:7" x14ac:dyDescent="0.3">
      <c r="A3641" t="s">
        <v>6287</v>
      </c>
      <c r="B3641" t="s">
        <v>6288</v>
      </c>
      <c r="C3641" t="s">
        <v>8</v>
      </c>
      <c r="D3641">
        <v>2.1480000000000001</v>
      </c>
      <c r="E3641">
        <v>687</v>
      </c>
      <c r="F3641" t="str">
        <f>HYPERLINK("https://www.google.com/maps/search/?api=1&amp;query=24.60012094,46.73295767", "View Map")</f>
        <v>View Map</v>
      </c>
    </row>
    <row r="3642" spans="1:7" x14ac:dyDescent="0.3">
      <c r="A3642" t="s">
        <v>6289</v>
      </c>
      <c r="B3642" t="s">
        <v>6290</v>
      </c>
      <c r="C3642" t="s">
        <v>16</v>
      </c>
      <c r="D3642">
        <v>2.1480000000000001</v>
      </c>
      <c r="E3642">
        <v>687</v>
      </c>
      <c r="F3642" t="str">
        <f>HYPERLINK("https://www.google.com/maps/search/?api=1&amp;query=23.8981095,42.90910727", "View Map")</f>
        <v>View Map</v>
      </c>
    </row>
    <row r="3643" spans="1:7" x14ac:dyDescent="0.3">
      <c r="A3643" t="s">
        <v>627</v>
      </c>
      <c r="B3643" t="s">
        <v>6291</v>
      </c>
      <c r="C3643" t="s">
        <v>8</v>
      </c>
      <c r="D3643">
        <v>2.1480000000000001</v>
      </c>
      <c r="E3643">
        <v>687</v>
      </c>
      <c r="F3643" t="str">
        <f>HYPERLINK("https://www.google.com/maps/search/?api=1&amp;query=24.7538789,46.61361161", "View Map")</f>
        <v>View Map</v>
      </c>
    </row>
    <row r="3644" spans="1:7" x14ac:dyDescent="0.3">
      <c r="A3644" t="s">
        <v>5725</v>
      </c>
      <c r="B3644" t="s">
        <v>6292</v>
      </c>
      <c r="C3644" t="s">
        <v>8</v>
      </c>
      <c r="D3644">
        <v>2.1469999999999998</v>
      </c>
      <c r="E3644">
        <v>687</v>
      </c>
      <c r="F3644" t="str">
        <f>HYPERLINK("https://www.google.com/maps/search/?api=1&amp;query=24.56940534,46.84149876", "View Map")</f>
        <v>View Map</v>
      </c>
    </row>
    <row r="3645" spans="1:7" x14ac:dyDescent="0.3">
      <c r="A3645" t="s">
        <v>6293</v>
      </c>
      <c r="B3645" t="s">
        <v>6294</v>
      </c>
      <c r="C3645" t="s">
        <v>30</v>
      </c>
      <c r="D3645">
        <v>2.1469999999999998</v>
      </c>
      <c r="E3645">
        <v>687</v>
      </c>
      <c r="F3645" t="str">
        <f>HYPERLINK("https://www.google.com/maps/search/?api=1&amp;query=24.13936721,47.36139719", "View Map")</f>
        <v>View Map</v>
      </c>
      <c r="G3645" s="2">
        <v>0.32284802839991622</v>
      </c>
    </row>
    <row r="3646" spans="1:7" x14ac:dyDescent="0.3">
      <c r="A3646" t="s">
        <v>46</v>
      </c>
      <c r="B3646" t="s">
        <v>6295</v>
      </c>
      <c r="C3646" t="s">
        <v>8</v>
      </c>
      <c r="D3646">
        <v>2.1469999999999998</v>
      </c>
      <c r="E3646">
        <v>687</v>
      </c>
      <c r="F3646" t="str">
        <f>HYPERLINK("https://www.google.com/maps/search/?api=1&amp;query=24.79167228,46.6115861", "View Map")</f>
        <v>View Map</v>
      </c>
    </row>
    <row r="3647" spans="1:7" x14ac:dyDescent="0.3">
      <c r="A3647" t="s">
        <v>6296</v>
      </c>
      <c r="B3647" t="s">
        <v>6297</v>
      </c>
      <c r="C3647" t="s">
        <v>137</v>
      </c>
      <c r="D3647">
        <v>2.1469999999999998</v>
      </c>
      <c r="E3647">
        <v>687</v>
      </c>
      <c r="F3647" t="str">
        <f>HYPERLINK("https://www.google.com/maps/search/?api=1&amp;query=23.4945539,46.88803601", "View Map")</f>
        <v>View Map</v>
      </c>
      <c r="G3647" s="2">
        <v>0.62589290941269737</v>
      </c>
    </row>
    <row r="3648" spans="1:7" x14ac:dyDescent="0.3">
      <c r="A3648" t="s">
        <v>6298</v>
      </c>
      <c r="B3648" t="s">
        <v>6299</v>
      </c>
      <c r="C3648" t="s">
        <v>8</v>
      </c>
      <c r="D3648">
        <v>2.1459999999999999</v>
      </c>
      <c r="E3648">
        <v>687</v>
      </c>
      <c r="F3648" t="str">
        <f>HYPERLINK("https://www.google.com/maps/search/?api=1&amp;query=24.81905692,46.61572325", "View Map")</f>
        <v>View Map</v>
      </c>
      <c r="G3648" s="2">
        <v>0.1709224966779829</v>
      </c>
    </row>
    <row r="3649" spans="1:7" x14ac:dyDescent="0.3">
      <c r="A3649" t="s">
        <v>6300</v>
      </c>
      <c r="B3649" t="s">
        <v>6301</v>
      </c>
      <c r="C3649" t="s">
        <v>8</v>
      </c>
      <c r="D3649">
        <v>2.145</v>
      </c>
      <c r="E3649">
        <v>686</v>
      </c>
      <c r="F3649" t="str">
        <f>HYPERLINK("https://www.google.com/maps/search/?api=1&amp;query=24.67134361,46.71365382", "View Map")</f>
        <v>View Map</v>
      </c>
    </row>
    <row r="3650" spans="1:7" x14ac:dyDescent="0.3">
      <c r="A3650" t="s">
        <v>6302</v>
      </c>
      <c r="B3650" t="s">
        <v>6303</v>
      </c>
      <c r="C3650" t="s">
        <v>738</v>
      </c>
      <c r="D3650">
        <v>2.145</v>
      </c>
      <c r="E3650">
        <v>686</v>
      </c>
      <c r="F3650" t="str">
        <f>HYPERLINK("https://www.google.com/maps/search/?api=1&amp;query=25.13094909,46.13165232", "View Map")</f>
        <v>View Map</v>
      </c>
      <c r="G3650" s="2">
        <v>0.53761465953667387</v>
      </c>
    </row>
    <row r="3651" spans="1:7" x14ac:dyDescent="0.3">
      <c r="A3651" t="s">
        <v>5894</v>
      </c>
      <c r="B3651" t="s">
        <v>6304</v>
      </c>
      <c r="C3651" t="s">
        <v>8</v>
      </c>
      <c r="D3651">
        <v>2.145</v>
      </c>
      <c r="E3651">
        <v>687</v>
      </c>
      <c r="F3651" t="str">
        <f>HYPERLINK("https://www.google.com/maps/search/?api=1&amp;query=24.58041392,46.60736271", "View Map")</f>
        <v>View Map</v>
      </c>
    </row>
    <row r="3652" spans="1:7" x14ac:dyDescent="0.3">
      <c r="A3652" t="s">
        <v>6305</v>
      </c>
      <c r="B3652" t="s">
        <v>6306</v>
      </c>
      <c r="C3652" t="s">
        <v>738</v>
      </c>
      <c r="D3652">
        <v>2.1440000000000001</v>
      </c>
      <c r="E3652">
        <v>686</v>
      </c>
      <c r="F3652" t="str">
        <f>HYPERLINK("https://www.google.com/maps/search/?api=1&amp;query=25.1772552,46.3362412", "View Map")</f>
        <v>View Map</v>
      </c>
      <c r="G3652" s="2">
        <v>0.25287702912079779</v>
      </c>
    </row>
    <row r="3653" spans="1:7" x14ac:dyDescent="0.3">
      <c r="A3653" t="s">
        <v>740</v>
      </c>
      <c r="B3653" t="s">
        <v>6307</v>
      </c>
      <c r="C3653" t="s">
        <v>8</v>
      </c>
      <c r="D3653">
        <v>2.1429999999999998</v>
      </c>
      <c r="E3653">
        <v>686</v>
      </c>
      <c r="F3653" t="str">
        <f>HYPERLINK("https://www.google.com/maps/search/?api=1&amp;query=24.70982637,46.82888247", "View Map")</f>
        <v>View Map</v>
      </c>
    </row>
    <row r="3654" spans="1:7" x14ac:dyDescent="0.3">
      <c r="A3654" t="s">
        <v>22</v>
      </c>
      <c r="B3654" t="s">
        <v>6308</v>
      </c>
      <c r="C3654" t="s">
        <v>21</v>
      </c>
      <c r="D3654">
        <v>2.1429999999999998</v>
      </c>
      <c r="E3654">
        <v>686</v>
      </c>
      <c r="F3654" t="str">
        <f>HYPERLINK("https://www.google.com/maps/search/?api=1&amp;query=26.29402493,44.7992078", "View Map")</f>
        <v>View Map</v>
      </c>
      <c r="G3654" s="2">
        <v>0.57908886243869251</v>
      </c>
    </row>
    <row r="3655" spans="1:7" x14ac:dyDescent="0.3">
      <c r="A3655" t="s">
        <v>6309</v>
      </c>
      <c r="B3655" t="s">
        <v>6310</v>
      </c>
      <c r="C3655" t="s">
        <v>8</v>
      </c>
      <c r="D3655">
        <v>2.1419999999999999</v>
      </c>
      <c r="E3655">
        <v>686</v>
      </c>
      <c r="F3655" t="str">
        <f>HYPERLINK("https://www.google.com/maps/search/?api=1&amp;query=24.59771279,46.7341277", "View Map")</f>
        <v>View Map</v>
      </c>
    </row>
    <row r="3656" spans="1:7" x14ac:dyDescent="0.3">
      <c r="A3656" t="s">
        <v>3447</v>
      </c>
      <c r="B3656" t="s">
        <v>6311</v>
      </c>
      <c r="C3656" t="s">
        <v>8</v>
      </c>
      <c r="D3656">
        <v>2.1419999999999999</v>
      </c>
      <c r="E3656">
        <v>686</v>
      </c>
      <c r="F3656" t="str">
        <f>HYPERLINK("https://www.google.com/maps/search/?api=1&amp;query=24.70482385,46.74874615", "View Map")</f>
        <v>View Map</v>
      </c>
    </row>
    <row r="3657" spans="1:7" x14ac:dyDescent="0.3">
      <c r="A3657" t="s">
        <v>146</v>
      </c>
      <c r="B3657" t="s">
        <v>6312</v>
      </c>
      <c r="C3657" t="s">
        <v>8</v>
      </c>
      <c r="D3657">
        <v>2.141</v>
      </c>
      <c r="E3657">
        <v>685</v>
      </c>
      <c r="F3657" t="str">
        <f>HYPERLINK("https://www.google.com/maps/search/?api=1&amp;query=24.53574394,46.65465023", "View Map")</f>
        <v>View Map</v>
      </c>
    </row>
    <row r="3658" spans="1:7" x14ac:dyDescent="0.3">
      <c r="A3658" t="s">
        <v>6313</v>
      </c>
      <c r="B3658" t="s">
        <v>6314</v>
      </c>
      <c r="C3658" t="s">
        <v>8</v>
      </c>
      <c r="D3658">
        <v>2.141</v>
      </c>
      <c r="E3658">
        <v>685</v>
      </c>
      <c r="F3658" t="str">
        <f>HYPERLINK("https://www.google.com/maps/search/?api=1&amp;query=24.8043107,46.66636311", "View Map")</f>
        <v>View Map</v>
      </c>
    </row>
    <row r="3659" spans="1:7" x14ac:dyDescent="0.3">
      <c r="A3659" t="s">
        <v>6315</v>
      </c>
      <c r="B3659" t="s">
        <v>6316</v>
      </c>
      <c r="C3659" t="s">
        <v>214</v>
      </c>
      <c r="D3659">
        <v>2.141</v>
      </c>
      <c r="E3659">
        <v>685</v>
      </c>
      <c r="F3659" t="str">
        <f>HYPERLINK("https://www.google.com/maps/search/?api=1&amp;query=25.67637096,45.44857297", "View Map")</f>
        <v>View Map</v>
      </c>
      <c r="G3659" s="2">
        <v>0.68301385149662464</v>
      </c>
    </row>
    <row r="3660" spans="1:7" x14ac:dyDescent="0.3">
      <c r="A3660" t="s">
        <v>6317</v>
      </c>
      <c r="B3660" t="s">
        <v>6318</v>
      </c>
      <c r="C3660" t="s">
        <v>21</v>
      </c>
      <c r="D3660">
        <v>2.141</v>
      </c>
      <c r="E3660">
        <v>685</v>
      </c>
      <c r="F3660" t="str">
        <f>HYPERLINK("https://www.google.com/maps/search/?api=1&amp;query=26.27148895,44.82605981", "View Map")</f>
        <v>View Map</v>
      </c>
      <c r="G3660" s="2">
        <v>0.40992492125492169</v>
      </c>
    </row>
    <row r="3661" spans="1:7" x14ac:dyDescent="0.3">
      <c r="A3661" t="s">
        <v>6319</v>
      </c>
      <c r="B3661" t="s">
        <v>6320</v>
      </c>
      <c r="C3661" t="s">
        <v>8</v>
      </c>
      <c r="D3661">
        <v>2.14</v>
      </c>
      <c r="E3661">
        <v>685</v>
      </c>
      <c r="F3661" t="str">
        <f>HYPERLINK("https://www.google.com/maps/search/?api=1&amp;query=24.69621488,46.81417334", "View Map")</f>
        <v>View Map</v>
      </c>
    </row>
    <row r="3662" spans="1:7" x14ac:dyDescent="0.3">
      <c r="A3662" t="s">
        <v>6321</v>
      </c>
      <c r="B3662" t="s">
        <v>6322</v>
      </c>
      <c r="C3662" t="s">
        <v>55</v>
      </c>
      <c r="D3662">
        <v>2.14</v>
      </c>
      <c r="E3662">
        <v>685</v>
      </c>
      <c r="F3662" t="str">
        <f>HYPERLINK("https://www.google.com/maps/search/?api=1&amp;query=24.90377968,46.38637225", "View Map")</f>
        <v>View Map</v>
      </c>
      <c r="G3662" s="2">
        <v>0.46997365046755168</v>
      </c>
    </row>
    <row r="3663" spans="1:7" x14ac:dyDescent="0.3">
      <c r="A3663" t="s">
        <v>6323</v>
      </c>
      <c r="B3663" t="s">
        <v>6324</v>
      </c>
      <c r="C3663" t="s">
        <v>820</v>
      </c>
      <c r="D3663">
        <v>2.1389999999999998</v>
      </c>
      <c r="E3663">
        <v>684</v>
      </c>
      <c r="F3663" t="str">
        <f>HYPERLINK("https://www.google.com/maps/search/?api=1&amp;query=0.0,0.0", "View Map")</f>
        <v>View Map</v>
      </c>
    </row>
    <row r="3664" spans="1:7" x14ac:dyDescent="0.3">
      <c r="A3664" t="s">
        <v>6325</v>
      </c>
      <c r="B3664" t="s">
        <v>6326</v>
      </c>
      <c r="C3664" t="s">
        <v>30</v>
      </c>
      <c r="D3664">
        <v>2.1389999999999998</v>
      </c>
      <c r="E3664">
        <v>684</v>
      </c>
      <c r="F3664" t="str">
        <f>HYPERLINK("https://www.google.com/maps/search/?api=1&amp;query=24.19140582,47.37868133", "View Map")</f>
        <v>View Map</v>
      </c>
    </row>
    <row r="3665" spans="1:7" x14ac:dyDescent="0.3">
      <c r="A3665" t="s">
        <v>6327</v>
      </c>
      <c r="B3665" t="s">
        <v>6328</v>
      </c>
      <c r="C3665" t="s">
        <v>255</v>
      </c>
      <c r="D3665">
        <v>2.1379999999999999</v>
      </c>
      <c r="E3665">
        <v>684</v>
      </c>
      <c r="F3665" t="str">
        <f>HYPERLINK("https://www.google.com/maps/search/?api=1&amp;query=24.49930694,44.60278719", "View Map")</f>
        <v>View Map</v>
      </c>
      <c r="G3665" s="2">
        <v>0.69201001060223166</v>
      </c>
    </row>
    <row r="3666" spans="1:7" x14ac:dyDescent="0.3">
      <c r="A3666" t="s">
        <v>1002</v>
      </c>
      <c r="B3666" t="s">
        <v>6329</v>
      </c>
      <c r="C3666" t="s">
        <v>214</v>
      </c>
      <c r="D3666">
        <v>2.137</v>
      </c>
      <c r="E3666">
        <v>684</v>
      </c>
      <c r="F3666" t="str">
        <f>HYPERLINK("https://www.google.com/maps/search/?api=1&amp;query=25.9303779,45.37408238", "View Map")</f>
        <v>View Map</v>
      </c>
    </row>
    <row r="3667" spans="1:7" x14ac:dyDescent="0.3">
      <c r="A3667" t="s">
        <v>6330</v>
      </c>
      <c r="B3667" t="s">
        <v>6331</v>
      </c>
      <c r="C3667" t="s">
        <v>8</v>
      </c>
      <c r="D3667">
        <v>2.137</v>
      </c>
      <c r="E3667">
        <v>684</v>
      </c>
      <c r="F3667" t="str">
        <f>HYPERLINK("https://www.google.com/maps/search/?api=1&amp;query=24.78367714,46.71603454", "View Map")</f>
        <v>View Map</v>
      </c>
    </row>
    <row r="3668" spans="1:7" x14ac:dyDescent="0.3">
      <c r="A3668" t="s">
        <v>6332</v>
      </c>
      <c r="B3668" t="s">
        <v>6333</v>
      </c>
      <c r="C3668" t="s">
        <v>214</v>
      </c>
      <c r="D3668">
        <v>2.137</v>
      </c>
      <c r="E3668">
        <v>684</v>
      </c>
      <c r="F3668" t="str">
        <f>HYPERLINK("https://www.google.com/maps/search/?api=1&amp;query=25.92216,45.38416", "View Map")</f>
        <v>View Map</v>
      </c>
      <c r="G3668" s="2">
        <v>0.48811466756218858</v>
      </c>
    </row>
    <row r="3669" spans="1:7" x14ac:dyDescent="0.3">
      <c r="A3669" t="s">
        <v>6334</v>
      </c>
      <c r="B3669" t="s">
        <v>6335</v>
      </c>
      <c r="C3669" t="s">
        <v>883</v>
      </c>
      <c r="D3669">
        <v>2.1360000000000001</v>
      </c>
      <c r="E3669">
        <v>684</v>
      </c>
      <c r="F3669" t="str">
        <f>HYPERLINK("https://www.google.com/maps/search/?api=1&amp;query=25.56589534,47.16303528", "View Map")</f>
        <v>View Map</v>
      </c>
      <c r="G3669" s="2">
        <v>0.51394035284001294</v>
      </c>
    </row>
    <row r="3670" spans="1:7" x14ac:dyDescent="0.3">
      <c r="A3670" t="s">
        <v>6336</v>
      </c>
      <c r="B3670" t="s">
        <v>6337</v>
      </c>
      <c r="C3670" t="s">
        <v>8</v>
      </c>
      <c r="D3670">
        <v>2.1360000000000001</v>
      </c>
      <c r="E3670">
        <v>683</v>
      </c>
      <c r="F3670" t="str">
        <f>HYPERLINK("https://www.google.com/maps/search/?api=1&amp;query=24.5967444,46.77607166", "View Map")</f>
        <v>View Map</v>
      </c>
      <c r="G3670" s="2">
        <v>0.40861260835221358</v>
      </c>
    </row>
    <row r="3671" spans="1:7" x14ac:dyDescent="0.3">
      <c r="A3671" t="s">
        <v>6338</v>
      </c>
      <c r="B3671" t="s">
        <v>6339</v>
      </c>
      <c r="C3671" t="s">
        <v>55</v>
      </c>
      <c r="D3671">
        <v>2.1360000000000001</v>
      </c>
      <c r="E3671">
        <v>684</v>
      </c>
      <c r="F3671" t="str">
        <f>HYPERLINK("https://www.google.com/maps/search/?api=1&amp;query=24.76719441,46.58582488", "View Map")</f>
        <v>View Map</v>
      </c>
    </row>
    <row r="3672" spans="1:7" x14ac:dyDescent="0.3">
      <c r="A3672" t="s">
        <v>6340</v>
      </c>
      <c r="B3672" t="s">
        <v>6341</v>
      </c>
      <c r="C3672" t="s">
        <v>270</v>
      </c>
      <c r="D3672">
        <v>2.1349999999999998</v>
      </c>
      <c r="E3672">
        <v>683</v>
      </c>
      <c r="F3672" t="str">
        <f>HYPERLINK("https://www.google.com/maps/search/?api=1&amp;query=23.98890129,47.16907234", "View Map")</f>
        <v>View Map</v>
      </c>
    </row>
    <row r="3673" spans="1:7" x14ac:dyDescent="0.3">
      <c r="A3673" t="s">
        <v>6342</v>
      </c>
      <c r="B3673" t="s">
        <v>6343</v>
      </c>
      <c r="C3673" t="s">
        <v>296</v>
      </c>
      <c r="D3673">
        <v>2.1339999999999999</v>
      </c>
      <c r="E3673">
        <v>683</v>
      </c>
      <c r="F3673" t="str">
        <f>HYPERLINK("https://www.google.com/maps/search/?api=1&amp;query=24.48155957,46.2812214", "View Map")</f>
        <v>View Map</v>
      </c>
    </row>
    <row r="3674" spans="1:7" x14ac:dyDescent="0.3">
      <c r="A3674" t="s">
        <v>6344</v>
      </c>
      <c r="B3674" t="s">
        <v>6345</v>
      </c>
      <c r="C3674" t="s">
        <v>8</v>
      </c>
      <c r="D3674">
        <v>2.1339999999999999</v>
      </c>
      <c r="E3674">
        <v>683</v>
      </c>
      <c r="F3674" t="str">
        <f>HYPERLINK("https://www.google.com/maps/search/?api=1&amp;query=24.65203114,46.73855587", "View Map")</f>
        <v>View Map</v>
      </c>
    </row>
    <row r="3675" spans="1:7" x14ac:dyDescent="0.3">
      <c r="A3675" t="s">
        <v>6346</v>
      </c>
      <c r="B3675" t="s">
        <v>6347</v>
      </c>
      <c r="C3675" t="s">
        <v>8</v>
      </c>
      <c r="D3675">
        <v>2.1339999999999999</v>
      </c>
      <c r="E3675">
        <v>683</v>
      </c>
      <c r="F3675" t="str">
        <f>HYPERLINK("https://www.google.com/maps/search/?api=1&amp;query=24.59165387,46.7092736", "View Map")</f>
        <v>View Map</v>
      </c>
    </row>
    <row r="3676" spans="1:7" x14ac:dyDescent="0.3">
      <c r="A3676" t="s">
        <v>1750</v>
      </c>
      <c r="B3676" t="s">
        <v>6348</v>
      </c>
      <c r="C3676" t="s">
        <v>255</v>
      </c>
      <c r="D3676">
        <v>2.133</v>
      </c>
      <c r="E3676">
        <v>683</v>
      </c>
      <c r="F3676" t="str">
        <f>HYPERLINK("https://www.google.com/maps/search/?api=1&amp;query=25.18699055,44.58080549", "View Map")</f>
        <v>View Map</v>
      </c>
      <c r="G3676" s="2">
        <v>0.47297177144339608</v>
      </c>
    </row>
    <row r="3677" spans="1:7" x14ac:dyDescent="0.3">
      <c r="A3677" t="s">
        <v>6349</v>
      </c>
      <c r="B3677" t="s">
        <v>6350</v>
      </c>
      <c r="C3677" t="s">
        <v>291</v>
      </c>
      <c r="D3677">
        <v>2.133</v>
      </c>
      <c r="E3677">
        <v>682</v>
      </c>
      <c r="F3677" t="str">
        <f>HYPERLINK("https://www.google.com/maps/search/?api=1&amp;query=23.98394233,45.06760502", "View Map")</f>
        <v>View Map</v>
      </c>
      <c r="G3677" s="2">
        <v>0.49660550421034322</v>
      </c>
    </row>
    <row r="3678" spans="1:7" x14ac:dyDescent="0.3">
      <c r="A3678" t="s">
        <v>528</v>
      </c>
      <c r="B3678" t="s">
        <v>6351</v>
      </c>
      <c r="C3678" t="s">
        <v>8</v>
      </c>
      <c r="D3678">
        <v>2.1320000000000001</v>
      </c>
      <c r="E3678">
        <v>682</v>
      </c>
      <c r="F3678" t="str">
        <f>HYPERLINK("https://www.google.com/maps/search/?api=1&amp;query=24.72986227,46.84066102", "View Map")</f>
        <v>View Map</v>
      </c>
    </row>
    <row r="3679" spans="1:7" x14ac:dyDescent="0.3">
      <c r="A3679" t="s">
        <v>6352</v>
      </c>
      <c r="B3679" t="s">
        <v>6353</v>
      </c>
      <c r="C3679" t="s">
        <v>291</v>
      </c>
      <c r="D3679">
        <v>2.1320000000000001</v>
      </c>
      <c r="E3679">
        <v>682</v>
      </c>
      <c r="F3679" t="str">
        <f>HYPERLINK("https://www.google.com/maps/search/?api=1&amp;query=23.40512806,43.93518", "View Map")</f>
        <v>View Map</v>
      </c>
      <c r="G3679" s="2">
        <v>0.42168042186576199</v>
      </c>
    </row>
    <row r="3680" spans="1:7" x14ac:dyDescent="0.3">
      <c r="A3680" t="s">
        <v>6354</v>
      </c>
      <c r="B3680" t="s">
        <v>6355</v>
      </c>
      <c r="C3680" t="s">
        <v>8</v>
      </c>
      <c r="D3680">
        <v>2.1309999999999998</v>
      </c>
      <c r="E3680">
        <v>682</v>
      </c>
      <c r="F3680" t="str">
        <f>HYPERLINK("https://www.google.com/maps/search/?api=1&amp;query=24.75567718,46.68313838", "View Map")</f>
        <v>View Map</v>
      </c>
    </row>
    <row r="3681" spans="1:7" x14ac:dyDescent="0.3">
      <c r="A3681" t="s">
        <v>6356</v>
      </c>
      <c r="B3681" t="s">
        <v>6357</v>
      </c>
      <c r="C3681" t="s">
        <v>8</v>
      </c>
      <c r="D3681">
        <v>2.1309999999999998</v>
      </c>
      <c r="E3681">
        <v>682</v>
      </c>
      <c r="F3681" t="str">
        <f>HYPERLINK("https://www.google.com/maps/search/?api=1&amp;query=24.67966117,46.75848429", "View Map")</f>
        <v>View Map</v>
      </c>
    </row>
    <row r="3682" spans="1:7" x14ac:dyDescent="0.3">
      <c r="A3682" t="s">
        <v>6358</v>
      </c>
      <c r="B3682" t="s">
        <v>6359</v>
      </c>
      <c r="C3682" t="s">
        <v>393</v>
      </c>
      <c r="D3682">
        <v>2.1309999999999998</v>
      </c>
      <c r="E3682">
        <v>682</v>
      </c>
      <c r="F3682" t="str">
        <f>HYPERLINK("https://www.google.com/maps/search/?api=1&amp;query=22.50172586,45.04242666", "View Map")</f>
        <v>View Map</v>
      </c>
      <c r="G3682" s="2">
        <v>0.60111821196132886</v>
      </c>
    </row>
    <row r="3683" spans="1:7" x14ac:dyDescent="0.3">
      <c r="A3683" t="s">
        <v>6360</v>
      </c>
      <c r="B3683" t="s">
        <v>6361</v>
      </c>
      <c r="C3683" t="s">
        <v>8</v>
      </c>
      <c r="D3683">
        <v>2.13</v>
      </c>
      <c r="E3683">
        <v>682</v>
      </c>
      <c r="F3683" t="str">
        <f>HYPERLINK("https://www.google.com/maps/search/?api=1&amp;query=24.77351916,46.80573385", "View Map")</f>
        <v>View Map</v>
      </c>
    </row>
    <row r="3684" spans="1:7" x14ac:dyDescent="0.3">
      <c r="A3684" t="s">
        <v>6362</v>
      </c>
      <c r="B3684" t="s">
        <v>6363</v>
      </c>
      <c r="C3684" t="s">
        <v>255</v>
      </c>
      <c r="D3684">
        <v>2.129</v>
      </c>
      <c r="E3684">
        <v>681</v>
      </c>
      <c r="F3684" t="str">
        <f>HYPERLINK("https://www.google.com/maps/search/?api=1&amp;query=25.35972704,44.52849029", "View Map")</f>
        <v>View Map</v>
      </c>
      <c r="G3684" s="2">
        <v>0.48709542558251828</v>
      </c>
    </row>
    <row r="3685" spans="1:7" x14ac:dyDescent="0.3">
      <c r="A3685" t="s">
        <v>6364</v>
      </c>
      <c r="B3685" t="s">
        <v>6365</v>
      </c>
      <c r="C3685" t="s">
        <v>286</v>
      </c>
      <c r="D3685">
        <v>2.129</v>
      </c>
      <c r="E3685">
        <v>681</v>
      </c>
      <c r="F3685" t="str">
        <f>HYPERLINK("https://www.google.com/maps/search/?api=1&amp;query=25.29437809,45.52194842", "View Map")</f>
        <v>View Map</v>
      </c>
      <c r="G3685" s="2">
        <v>0.3957794531202945</v>
      </c>
    </row>
    <row r="3686" spans="1:7" x14ac:dyDescent="0.3">
      <c r="A3686" t="s">
        <v>5017</v>
      </c>
      <c r="B3686" t="s">
        <v>6366</v>
      </c>
      <c r="C3686" t="s">
        <v>8</v>
      </c>
      <c r="D3686">
        <v>2.1280000000000001</v>
      </c>
      <c r="E3686">
        <v>681</v>
      </c>
      <c r="F3686" t="str">
        <f>HYPERLINK("https://www.google.com/maps/search/?api=1&amp;query=24.81352048,46.85889217", "View Map")</f>
        <v>View Map</v>
      </c>
      <c r="G3686" s="2">
        <v>0.4340493226065319</v>
      </c>
    </row>
    <row r="3687" spans="1:7" x14ac:dyDescent="0.3">
      <c r="A3687" t="s">
        <v>46</v>
      </c>
      <c r="B3687" t="s">
        <v>6367</v>
      </c>
      <c r="C3687" t="s">
        <v>8</v>
      </c>
      <c r="D3687">
        <v>2.1269999999999998</v>
      </c>
      <c r="E3687">
        <v>681</v>
      </c>
      <c r="F3687" t="str">
        <f>HYPERLINK("https://www.google.com/maps/search/?api=1&amp;query=24.55737,46.78211", "View Map")</f>
        <v>View Map</v>
      </c>
      <c r="G3687" s="2">
        <v>0.35207180354841039</v>
      </c>
    </row>
    <row r="3688" spans="1:7" x14ac:dyDescent="0.3">
      <c r="A3688" t="s">
        <v>146</v>
      </c>
      <c r="B3688" t="s">
        <v>6368</v>
      </c>
      <c r="C3688" t="s">
        <v>8</v>
      </c>
      <c r="D3688">
        <v>2.1259999999999999</v>
      </c>
      <c r="E3688">
        <v>680</v>
      </c>
      <c r="F3688" t="str">
        <f>HYPERLINK("https://www.google.com/maps/search/?api=1&amp;query=24.69662473,46.836358", "View Map")</f>
        <v>View Map</v>
      </c>
    </row>
    <row r="3689" spans="1:7" x14ac:dyDescent="0.3">
      <c r="A3689" t="s">
        <v>6369</v>
      </c>
      <c r="B3689" t="s">
        <v>6370</v>
      </c>
      <c r="C3689" t="s">
        <v>296</v>
      </c>
      <c r="D3689">
        <v>2.1259999999999999</v>
      </c>
      <c r="E3689">
        <v>680</v>
      </c>
      <c r="F3689" t="str">
        <f>HYPERLINK("https://www.google.com/maps/search/?api=1&amp;query=24.48198469,46.24808255", "View Map")</f>
        <v>View Map</v>
      </c>
      <c r="G3689" s="2">
        <v>0.37874528623164172</v>
      </c>
    </row>
    <row r="3690" spans="1:7" x14ac:dyDescent="0.3">
      <c r="A3690" t="s">
        <v>73</v>
      </c>
      <c r="B3690" t="s">
        <v>6371</v>
      </c>
      <c r="C3690" t="s">
        <v>8</v>
      </c>
      <c r="D3690">
        <v>2.125</v>
      </c>
      <c r="E3690">
        <v>680</v>
      </c>
      <c r="F3690" t="str">
        <f>HYPERLINK("https://www.google.com/maps/search/?api=1&amp;query=24.76525771,46.68196386", "View Map")</f>
        <v>View Map</v>
      </c>
      <c r="G3690" s="2">
        <v>0.53478375036854009</v>
      </c>
    </row>
    <row r="3691" spans="1:7" x14ac:dyDescent="0.3">
      <c r="A3691" t="s">
        <v>6372</v>
      </c>
      <c r="B3691" t="s">
        <v>6373</v>
      </c>
      <c r="C3691" t="s">
        <v>8</v>
      </c>
      <c r="D3691">
        <v>2.125</v>
      </c>
      <c r="E3691">
        <v>680</v>
      </c>
      <c r="F3691" t="str">
        <f>HYPERLINK("https://www.google.com/maps/search/?api=1&amp;query=24.63282665,46.71965195", "View Map")</f>
        <v>View Map</v>
      </c>
    </row>
    <row r="3692" spans="1:7" x14ac:dyDescent="0.3">
      <c r="A3692" t="s">
        <v>6374</v>
      </c>
      <c r="B3692" t="s">
        <v>6375</v>
      </c>
      <c r="C3692" t="s">
        <v>8</v>
      </c>
      <c r="D3692">
        <v>2.1240000000000001</v>
      </c>
      <c r="E3692">
        <v>680</v>
      </c>
      <c r="F3692" t="str">
        <f>HYPERLINK("https://www.google.com/maps/search/?api=1&amp;query=24.57428046,46.66244564", "View Map")</f>
        <v>View Map</v>
      </c>
    </row>
    <row r="3693" spans="1:7" x14ac:dyDescent="0.3">
      <c r="A3693" t="s">
        <v>6376</v>
      </c>
      <c r="B3693" t="s">
        <v>6377</v>
      </c>
      <c r="C3693" t="s">
        <v>393</v>
      </c>
      <c r="D3693">
        <v>2.1240000000000001</v>
      </c>
      <c r="E3693">
        <v>680</v>
      </c>
      <c r="F3693" t="str">
        <f>HYPERLINK("https://www.google.com/maps/search/?api=1&amp;query=23.22779555,45.53071492", "View Map")</f>
        <v>View Map</v>
      </c>
      <c r="G3693" s="2">
        <v>0.50278645013226919</v>
      </c>
    </row>
    <row r="3694" spans="1:7" x14ac:dyDescent="0.3">
      <c r="A3694" t="s">
        <v>6378</v>
      </c>
      <c r="B3694" t="s">
        <v>6379</v>
      </c>
      <c r="C3694" t="s">
        <v>8</v>
      </c>
      <c r="D3694">
        <v>2.1219999999999999</v>
      </c>
      <c r="E3694">
        <v>679</v>
      </c>
      <c r="F3694" t="str">
        <f>HYPERLINK("https://www.google.com/maps/search/?api=1&amp;query=24.59633026,46.72794563", "View Map")</f>
        <v>View Map</v>
      </c>
    </row>
    <row r="3695" spans="1:7" x14ac:dyDescent="0.3">
      <c r="A3695" t="s">
        <v>6380</v>
      </c>
      <c r="B3695" t="s">
        <v>6381</v>
      </c>
      <c r="C3695" t="s">
        <v>738</v>
      </c>
      <c r="D3695">
        <v>2.1219999999999999</v>
      </c>
      <c r="E3695">
        <v>679</v>
      </c>
      <c r="F3695" t="str">
        <f>HYPERLINK("https://www.google.com/maps/search/?api=1&amp;query=25.11349192,46.11195186", "View Map")</f>
        <v>View Map</v>
      </c>
      <c r="G3695" s="2">
        <v>0.43310184789906819</v>
      </c>
    </row>
    <row r="3696" spans="1:7" x14ac:dyDescent="0.3">
      <c r="A3696" t="s">
        <v>4050</v>
      </c>
      <c r="B3696" t="s">
        <v>6382</v>
      </c>
      <c r="C3696" t="s">
        <v>8</v>
      </c>
      <c r="D3696">
        <v>2.1219999999999999</v>
      </c>
      <c r="E3696">
        <v>679</v>
      </c>
      <c r="F3696" t="str">
        <f>HYPERLINK("https://www.google.com/maps/search/?api=1&amp;query=24.71981618,46.83474361", "View Map")</f>
        <v>View Map</v>
      </c>
    </row>
    <row r="3697" spans="1:7" x14ac:dyDescent="0.3">
      <c r="A3697" t="s">
        <v>6383</v>
      </c>
      <c r="B3697" t="s">
        <v>6384</v>
      </c>
      <c r="C3697" t="s">
        <v>8</v>
      </c>
      <c r="D3697">
        <v>2.121</v>
      </c>
      <c r="E3697">
        <v>679</v>
      </c>
      <c r="F3697" t="str">
        <f>HYPERLINK("https://www.google.com/maps/search/?api=1&amp;query=24.59061519,46.54989312", "View Map")</f>
        <v>View Map</v>
      </c>
    </row>
    <row r="3698" spans="1:7" x14ac:dyDescent="0.3">
      <c r="A3698" t="s">
        <v>6385</v>
      </c>
      <c r="B3698" t="s">
        <v>6386</v>
      </c>
      <c r="C3698" t="s">
        <v>8</v>
      </c>
      <c r="D3698">
        <v>2.121</v>
      </c>
      <c r="E3698">
        <v>679</v>
      </c>
      <c r="F3698" t="str">
        <f>HYPERLINK("https://www.google.com/maps/search/?api=1&amp;query=24.63142561,46.55495993", "View Map")</f>
        <v>View Map</v>
      </c>
    </row>
    <row r="3699" spans="1:7" x14ac:dyDescent="0.3">
      <c r="A3699" t="s">
        <v>678</v>
      </c>
      <c r="B3699" t="s">
        <v>6387</v>
      </c>
      <c r="C3699" t="s">
        <v>21</v>
      </c>
      <c r="D3699">
        <v>2.12</v>
      </c>
      <c r="E3699">
        <v>679</v>
      </c>
      <c r="F3699" t="str">
        <f>HYPERLINK("https://www.google.com/maps/search/?api=1&amp;query=26.29853491,44.88387401", "View Map")</f>
        <v>View Map</v>
      </c>
      <c r="G3699" s="2">
        <v>0.55099256049545653</v>
      </c>
    </row>
    <row r="3700" spans="1:7" x14ac:dyDescent="0.3">
      <c r="A3700" t="s">
        <v>6388</v>
      </c>
      <c r="B3700" t="s">
        <v>6389</v>
      </c>
      <c r="C3700" t="s">
        <v>21</v>
      </c>
      <c r="D3700">
        <v>2.1190000000000002</v>
      </c>
      <c r="E3700">
        <v>678</v>
      </c>
      <c r="F3700" t="str">
        <f>HYPERLINK("https://www.google.com/maps/search/?api=1&amp;query=26.30471169,44.8083257", "View Map")</f>
        <v>View Map</v>
      </c>
      <c r="G3700" s="2">
        <v>0.4099864323189385</v>
      </c>
    </row>
    <row r="3701" spans="1:7" x14ac:dyDescent="0.3">
      <c r="A3701" t="s">
        <v>362</v>
      </c>
      <c r="B3701" t="s">
        <v>6390</v>
      </c>
      <c r="C3701" t="s">
        <v>364</v>
      </c>
      <c r="D3701">
        <v>2.1190000000000002</v>
      </c>
      <c r="E3701">
        <v>678</v>
      </c>
      <c r="F3701" t="str">
        <f>HYPERLINK("https://www.google.com/maps/search/?api=1&amp;query=25.41745454,46.09906737", "View Map")</f>
        <v>View Map</v>
      </c>
    </row>
    <row r="3702" spans="1:7" x14ac:dyDescent="0.3">
      <c r="A3702" t="s">
        <v>46</v>
      </c>
      <c r="B3702" t="s">
        <v>6391</v>
      </c>
      <c r="C3702" t="s">
        <v>8</v>
      </c>
      <c r="D3702">
        <v>2.1190000000000002</v>
      </c>
      <c r="E3702">
        <v>678</v>
      </c>
      <c r="F3702" t="str">
        <f>HYPERLINK("https://www.google.com/maps/search/?api=1&amp;query=24.62140919,46.51406057", "View Map")</f>
        <v>View Map</v>
      </c>
    </row>
    <row r="3703" spans="1:7" x14ac:dyDescent="0.3">
      <c r="A3703" t="s">
        <v>1273</v>
      </c>
      <c r="B3703" t="s">
        <v>6392</v>
      </c>
      <c r="C3703" t="s">
        <v>241</v>
      </c>
      <c r="D3703">
        <v>2.1190000000000002</v>
      </c>
      <c r="E3703">
        <v>678</v>
      </c>
      <c r="F3703" t="str">
        <f>HYPERLINK("https://www.google.com/maps/search/?api=1&amp;query=20.44161227,44.88167314", "View Map")</f>
        <v>View Map</v>
      </c>
      <c r="G3703" s="2">
        <v>0.72794162508407578</v>
      </c>
    </row>
    <row r="3704" spans="1:7" x14ac:dyDescent="0.3">
      <c r="A3704" t="s">
        <v>6393</v>
      </c>
      <c r="B3704" t="s">
        <v>6394</v>
      </c>
      <c r="C3704" t="s">
        <v>8</v>
      </c>
      <c r="D3704">
        <v>2.1190000000000002</v>
      </c>
      <c r="E3704">
        <v>678</v>
      </c>
      <c r="F3704" t="str">
        <f>HYPERLINK("https://www.google.com/maps/search/?api=1&amp;query=24.81488526,46.76960226", "View Map")</f>
        <v>View Map</v>
      </c>
    </row>
    <row r="3705" spans="1:7" x14ac:dyDescent="0.3">
      <c r="A3705" t="s">
        <v>2146</v>
      </c>
      <c r="B3705" t="s">
        <v>6395</v>
      </c>
      <c r="C3705" t="s">
        <v>8</v>
      </c>
      <c r="D3705">
        <v>2.1179999999999999</v>
      </c>
      <c r="E3705">
        <v>678</v>
      </c>
      <c r="F3705" t="str">
        <f>HYPERLINK("https://www.google.com/maps/search/?api=1&amp;query=24.56043827,46.71587598", "View Map")</f>
        <v>View Map</v>
      </c>
    </row>
    <row r="3706" spans="1:7" x14ac:dyDescent="0.3">
      <c r="A3706" t="s">
        <v>6396</v>
      </c>
      <c r="B3706" t="s">
        <v>6397</v>
      </c>
      <c r="C3706" t="s">
        <v>8</v>
      </c>
      <c r="D3706">
        <v>2.117</v>
      </c>
      <c r="E3706">
        <v>677</v>
      </c>
      <c r="F3706" t="str">
        <f>HYPERLINK("https://www.google.com/maps/search/?api=1&amp;query=24.75511331,46.72560344", "View Map")</f>
        <v>View Map</v>
      </c>
    </row>
    <row r="3707" spans="1:7" x14ac:dyDescent="0.3">
      <c r="A3707" t="s">
        <v>6398</v>
      </c>
      <c r="B3707" t="s">
        <v>6399</v>
      </c>
      <c r="C3707" t="s">
        <v>8</v>
      </c>
      <c r="D3707">
        <v>2.1160000000000001</v>
      </c>
      <c r="E3707">
        <v>677</v>
      </c>
      <c r="F3707" t="str">
        <f>HYPERLINK("https://www.google.com/maps/search/?api=1&amp;query=24.72103852,46.85780052", "View Map")</f>
        <v>View Map</v>
      </c>
    </row>
    <row r="3708" spans="1:7" x14ac:dyDescent="0.3">
      <c r="A3708" t="s">
        <v>6400</v>
      </c>
      <c r="B3708" t="s">
        <v>6401</v>
      </c>
      <c r="C3708" t="s">
        <v>8</v>
      </c>
      <c r="D3708">
        <v>2.1160000000000001</v>
      </c>
      <c r="E3708">
        <v>677</v>
      </c>
      <c r="F3708" t="str">
        <f>HYPERLINK("https://www.google.com/maps/search/?api=1&amp;query=24.77520026,46.82660059", "View Map")</f>
        <v>View Map</v>
      </c>
    </row>
    <row r="3709" spans="1:7" x14ac:dyDescent="0.3">
      <c r="A3709" t="s">
        <v>6402</v>
      </c>
      <c r="B3709" t="s">
        <v>6403</v>
      </c>
      <c r="C3709" t="s">
        <v>8</v>
      </c>
      <c r="D3709">
        <v>2.1150000000000002</v>
      </c>
      <c r="E3709">
        <v>677</v>
      </c>
      <c r="F3709" t="str">
        <f>HYPERLINK("https://www.google.com/maps/search/?api=1&amp;query=24.79939391,46.78149385", "View Map")</f>
        <v>View Map</v>
      </c>
    </row>
    <row r="3710" spans="1:7" x14ac:dyDescent="0.3">
      <c r="A3710" t="s">
        <v>46</v>
      </c>
      <c r="B3710" t="s">
        <v>6404</v>
      </c>
      <c r="C3710" t="s">
        <v>8</v>
      </c>
      <c r="D3710">
        <v>2.1150000000000002</v>
      </c>
      <c r="E3710">
        <v>677</v>
      </c>
      <c r="F3710" t="str">
        <f>HYPERLINK("https://www.google.com/maps/search/?api=1&amp;query=24.67102,46.713", "View Map")</f>
        <v>View Map</v>
      </c>
    </row>
    <row r="3711" spans="1:7" x14ac:dyDescent="0.3">
      <c r="A3711" t="s">
        <v>530</v>
      </c>
      <c r="B3711" t="s">
        <v>6405</v>
      </c>
      <c r="C3711" t="s">
        <v>8</v>
      </c>
      <c r="D3711">
        <v>2.1120000000000001</v>
      </c>
      <c r="E3711">
        <v>676</v>
      </c>
      <c r="F3711" t="str">
        <f>HYPERLINK("https://www.google.com/maps/search/?api=1&amp;query=24.74587652,46.74722447", "View Map")</f>
        <v>View Map</v>
      </c>
    </row>
    <row r="3712" spans="1:7" x14ac:dyDescent="0.3">
      <c r="A3712" t="s">
        <v>6406</v>
      </c>
      <c r="B3712" t="s">
        <v>6407</v>
      </c>
      <c r="C3712" t="s">
        <v>8</v>
      </c>
      <c r="D3712">
        <v>2.1110000000000002</v>
      </c>
      <c r="E3712">
        <v>675</v>
      </c>
      <c r="F3712" t="str">
        <f>HYPERLINK("https://www.google.com/maps/search/?api=1&amp;query=24.69901721,46.70317307", "View Map")</f>
        <v>View Map</v>
      </c>
    </row>
    <row r="3713" spans="1:7" x14ac:dyDescent="0.3">
      <c r="A3713" t="s">
        <v>6408</v>
      </c>
      <c r="B3713" t="s">
        <v>6409</v>
      </c>
      <c r="C3713" t="s">
        <v>8</v>
      </c>
      <c r="D3713">
        <v>2.1110000000000002</v>
      </c>
      <c r="E3713">
        <v>676</v>
      </c>
      <c r="F3713" t="str">
        <f>HYPERLINK("https://www.google.com/maps/search/?api=1&amp;query=24.79850266,46.7028813", "View Map")</f>
        <v>View Map</v>
      </c>
      <c r="G3713" s="2">
        <v>0.25655985430247102</v>
      </c>
    </row>
    <row r="3714" spans="1:7" x14ac:dyDescent="0.3">
      <c r="A3714" t="s">
        <v>6410</v>
      </c>
      <c r="B3714" t="s">
        <v>6411</v>
      </c>
      <c r="C3714" t="s">
        <v>8</v>
      </c>
      <c r="D3714">
        <v>2.1110000000000002</v>
      </c>
      <c r="E3714">
        <v>675</v>
      </c>
      <c r="F3714" t="str">
        <f>HYPERLINK("https://www.google.com/maps/search/?api=1&amp;query=24.65238291,46.5725955", "View Map")</f>
        <v>View Map</v>
      </c>
    </row>
    <row r="3715" spans="1:7" x14ac:dyDescent="0.3">
      <c r="A3715" t="s">
        <v>6412</v>
      </c>
      <c r="B3715" t="s">
        <v>6413</v>
      </c>
      <c r="C3715" t="s">
        <v>8</v>
      </c>
      <c r="D3715">
        <v>2.11</v>
      </c>
      <c r="E3715">
        <v>675</v>
      </c>
      <c r="F3715" t="str">
        <f>HYPERLINK("https://www.google.com/maps/search/?api=1&amp;query=24.58374663,46.77050141", "View Map")</f>
        <v>View Map</v>
      </c>
    </row>
    <row r="3716" spans="1:7" x14ac:dyDescent="0.3">
      <c r="A3716" t="s">
        <v>4595</v>
      </c>
      <c r="B3716" t="s">
        <v>6414</v>
      </c>
      <c r="C3716" t="s">
        <v>8</v>
      </c>
      <c r="D3716">
        <v>2.11</v>
      </c>
      <c r="E3716">
        <v>675</v>
      </c>
      <c r="F3716" t="str">
        <f>HYPERLINK("https://www.google.com/maps/search/?api=1&amp;query=24.73224884,46.82499009", "View Map")</f>
        <v>View Map</v>
      </c>
    </row>
    <row r="3717" spans="1:7" x14ac:dyDescent="0.3">
      <c r="A3717" t="s">
        <v>150</v>
      </c>
      <c r="B3717" t="s">
        <v>6415</v>
      </c>
      <c r="C3717" t="s">
        <v>8</v>
      </c>
      <c r="D3717">
        <v>2.11</v>
      </c>
      <c r="E3717">
        <v>675</v>
      </c>
      <c r="F3717" t="str">
        <f>HYPERLINK("https://www.google.com/maps/search/?api=1&amp;query=24.83129098,46.76080229", "View Map")</f>
        <v>View Map</v>
      </c>
    </row>
    <row r="3718" spans="1:7" x14ac:dyDescent="0.3">
      <c r="A3718" t="s">
        <v>6416</v>
      </c>
      <c r="B3718" t="s">
        <v>6417</v>
      </c>
      <c r="C3718" t="s">
        <v>291</v>
      </c>
      <c r="D3718">
        <v>2.11</v>
      </c>
      <c r="E3718">
        <v>675</v>
      </c>
      <c r="F3718" t="str">
        <f>HYPERLINK("https://www.google.com/maps/search/?api=1&amp;query=24.33715447,45.80375785", "View Map")</f>
        <v>View Map</v>
      </c>
      <c r="G3718" s="2">
        <v>0.37348090653249272</v>
      </c>
    </row>
    <row r="3719" spans="1:7" x14ac:dyDescent="0.3">
      <c r="A3719" t="s">
        <v>6418</v>
      </c>
      <c r="B3719" t="s">
        <v>6419</v>
      </c>
      <c r="C3719" t="s">
        <v>296</v>
      </c>
      <c r="D3719">
        <v>2.109</v>
      </c>
      <c r="E3719">
        <v>675</v>
      </c>
      <c r="F3719" t="str">
        <f>HYPERLINK("https://www.google.com/maps/search/?api=1&amp;query=24.4433005,46.10886165", "View Map")</f>
        <v>View Map</v>
      </c>
      <c r="G3719" s="2">
        <v>0.54897400251344552</v>
      </c>
    </row>
    <row r="3720" spans="1:7" x14ac:dyDescent="0.3">
      <c r="A3720" t="s">
        <v>2467</v>
      </c>
      <c r="B3720" t="s">
        <v>6420</v>
      </c>
      <c r="C3720" t="s">
        <v>8</v>
      </c>
      <c r="D3720">
        <v>2.109</v>
      </c>
      <c r="E3720">
        <v>675</v>
      </c>
      <c r="F3720" t="str">
        <f>HYPERLINK("https://www.google.com/maps/search/?api=1&amp;query=24.78364555,46.74349542", "View Map")</f>
        <v>View Map</v>
      </c>
    </row>
    <row r="3721" spans="1:7" x14ac:dyDescent="0.3">
      <c r="A3721" t="s">
        <v>6421</v>
      </c>
      <c r="B3721" t="s">
        <v>6422</v>
      </c>
      <c r="C3721" t="s">
        <v>214</v>
      </c>
      <c r="D3721">
        <v>2.109</v>
      </c>
      <c r="E3721">
        <v>675</v>
      </c>
      <c r="F3721" t="str">
        <f>HYPERLINK("https://www.google.com/maps/search/?api=1&amp;query=25.60344313,45.79246602", "View Map")</f>
        <v>View Map</v>
      </c>
    </row>
    <row r="3722" spans="1:7" x14ac:dyDescent="0.3">
      <c r="A3722" t="s">
        <v>6423</v>
      </c>
      <c r="B3722" t="s">
        <v>6424</v>
      </c>
      <c r="C3722" t="s">
        <v>466</v>
      </c>
      <c r="D3722">
        <v>2.109</v>
      </c>
      <c r="E3722">
        <v>675</v>
      </c>
      <c r="F3722" t="str">
        <f>HYPERLINK("https://www.google.com/maps/search/?api=1&amp;query=24.59225114,46.14475156", "View Map")</f>
        <v>View Map</v>
      </c>
      <c r="G3722" s="2">
        <v>0.78835778835571002</v>
      </c>
    </row>
    <row r="3723" spans="1:7" x14ac:dyDescent="0.3">
      <c r="A3723" t="s">
        <v>6425</v>
      </c>
      <c r="B3723" t="s">
        <v>6426</v>
      </c>
      <c r="C3723" t="s">
        <v>241</v>
      </c>
      <c r="D3723">
        <v>2.1080000000000001</v>
      </c>
      <c r="E3723">
        <v>674</v>
      </c>
      <c r="F3723" t="str">
        <f>HYPERLINK("https://www.google.com/maps/search/?api=1&amp;query=20.39730908,44.81552465", "View Map")</f>
        <v>View Map</v>
      </c>
      <c r="G3723" s="2">
        <v>0.65271428823902189</v>
      </c>
    </row>
    <row r="3724" spans="1:7" x14ac:dyDescent="0.3">
      <c r="A3724" t="s">
        <v>6427</v>
      </c>
      <c r="B3724" t="s">
        <v>6428</v>
      </c>
      <c r="C3724" t="s">
        <v>8</v>
      </c>
      <c r="D3724">
        <v>2.1080000000000001</v>
      </c>
      <c r="E3724">
        <v>675</v>
      </c>
      <c r="F3724" t="str">
        <f>HYPERLINK("https://www.google.com/maps/search/?api=1&amp;query=24.778807,46.806766", "View Map")</f>
        <v>View Map</v>
      </c>
      <c r="G3724" s="2">
        <v>0.5095065710502984</v>
      </c>
    </row>
    <row r="3725" spans="1:7" x14ac:dyDescent="0.3">
      <c r="A3725" t="s">
        <v>6429</v>
      </c>
      <c r="B3725" t="s">
        <v>6430</v>
      </c>
      <c r="C3725" t="s">
        <v>255</v>
      </c>
      <c r="D3725">
        <v>2.1080000000000001</v>
      </c>
      <c r="E3725">
        <v>675</v>
      </c>
      <c r="F3725" t="str">
        <f>HYPERLINK("https://www.google.com/maps/search/?api=1&amp;query=25.21572754,44.25220967", "View Map")</f>
        <v>View Map</v>
      </c>
      <c r="G3725" s="2">
        <v>0.63994527441749816</v>
      </c>
    </row>
    <row r="3726" spans="1:7" x14ac:dyDescent="0.3">
      <c r="A3726" t="s">
        <v>6431</v>
      </c>
      <c r="B3726" t="s">
        <v>6432</v>
      </c>
      <c r="C3726" t="s">
        <v>8</v>
      </c>
      <c r="D3726">
        <v>2.1080000000000001</v>
      </c>
      <c r="E3726">
        <v>675</v>
      </c>
      <c r="F3726" t="str">
        <f>HYPERLINK("https://www.google.com/maps/search/?api=1&amp;query=24.65812398,46.73017836", "View Map")</f>
        <v>View Map</v>
      </c>
      <c r="G3726" s="2">
        <v>0.1346571597477598</v>
      </c>
    </row>
    <row r="3727" spans="1:7" x14ac:dyDescent="0.3">
      <c r="A3727" t="s">
        <v>46</v>
      </c>
      <c r="B3727" t="s">
        <v>6433</v>
      </c>
      <c r="C3727" t="s">
        <v>8</v>
      </c>
      <c r="D3727">
        <v>2.1070000000000002</v>
      </c>
      <c r="E3727">
        <v>674</v>
      </c>
      <c r="F3727" t="str">
        <f>HYPERLINK("https://www.google.com/maps/search/?api=1&amp;query=24.92525789,46.82341566", "View Map")</f>
        <v>View Map</v>
      </c>
    </row>
    <row r="3728" spans="1:7" x14ac:dyDescent="0.3">
      <c r="A3728" t="s">
        <v>6434</v>
      </c>
      <c r="B3728" t="s">
        <v>6435</v>
      </c>
      <c r="C3728" t="s">
        <v>21</v>
      </c>
      <c r="D3728">
        <v>2.1070000000000002</v>
      </c>
      <c r="E3728">
        <v>674</v>
      </c>
      <c r="F3728" t="str">
        <f>HYPERLINK("https://www.google.com/maps/search/?api=1&amp;query=26.30942257,44.82849288", "View Map")</f>
        <v>View Map</v>
      </c>
      <c r="G3728" s="2">
        <v>0.38600195618917571</v>
      </c>
    </row>
    <row r="3729" spans="1:7" x14ac:dyDescent="0.3">
      <c r="A3729" t="s">
        <v>6436</v>
      </c>
      <c r="B3729" t="s">
        <v>6437</v>
      </c>
      <c r="C3729" t="s">
        <v>8</v>
      </c>
      <c r="D3729">
        <v>2.1070000000000002</v>
      </c>
      <c r="E3729">
        <v>674</v>
      </c>
      <c r="F3729" t="str">
        <f>HYPERLINK("https://www.google.com/maps/search/?api=1&amp;query=24.53087995,46.69445532", "View Map")</f>
        <v>View Map</v>
      </c>
    </row>
    <row r="3730" spans="1:7" x14ac:dyDescent="0.3">
      <c r="A3730" t="s">
        <v>6438</v>
      </c>
      <c r="B3730" t="s">
        <v>6439</v>
      </c>
      <c r="C3730" t="s">
        <v>8</v>
      </c>
      <c r="D3730">
        <v>2.1070000000000002</v>
      </c>
      <c r="E3730">
        <v>674</v>
      </c>
      <c r="F3730" t="str">
        <f>HYPERLINK("https://www.google.com/maps/search/?api=1&amp;query=24.50250775,46.63760269", "View Map")</f>
        <v>View Map</v>
      </c>
    </row>
    <row r="3731" spans="1:7" x14ac:dyDescent="0.3">
      <c r="A3731" t="s">
        <v>6440</v>
      </c>
      <c r="B3731" t="s">
        <v>6441</v>
      </c>
      <c r="C3731" t="s">
        <v>214</v>
      </c>
      <c r="D3731">
        <v>2.1059999999999999</v>
      </c>
      <c r="E3731">
        <v>674</v>
      </c>
      <c r="F3731" t="str">
        <f>HYPERLINK("https://www.google.com/maps/search/?api=1&amp;query=25.92673928,45.32874667", "View Map")</f>
        <v>View Map</v>
      </c>
      <c r="G3731" s="2">
        <v>0.42143732805142781</v>
      </c>
    </row>
    <row r="3732" spans="1:7" x14ac:dyDescent="0.3">
      <c r="A3732" t="s">
        <v>6442</v>
      </c>
      <c r="B3732" t="s">
        <v>6443</v>
      </c>
      <c r="C3732" t="s">
        <v>30</v>
      </c>
      <c r="D3732">
        <v>2.105</v>
      </c>
      <c r="E3732">
        <v>674</v>
      </c>
      <c r="F3732" t="str">
        <f>HYPERLINK("https://www.google.com/maps/search/?api=1&amp;query=24.11432,47.28085", "View Map")</f>
        <v>View Map</v>
      </c>
    </row>
    <row r="3733" spans="1:7" x14ac:dyDescent="0.3">
      <c r="A3733" t="s">
        <v>6444</v>
      </c>
      <c r="B3733" t="s">
        <v>6445</v>
      </c>
      <c r="C3733" t="s">
        <v>8</v>
      </c>
      <c r="D3733">
        <v>2.105</v>
      </c>
      <c r="E3733">
        <v>674</v>
      </c>
      <c r="F3733" t="str">
        <f>HYPERLINK("https://www.google.com/maps/search/?api=1&amp;query=24.70001617,46.7772752", "View Map")</f>
        <v>View Map</v>
      </c>
    </row>
    <row r="3734" spans="1:7" x14ac:dyDescent="0.3">
      <c r="A3734" t="s">
        <v>6446</v>
      </c>
      <c r="B3734" t="s">
        <v>6447</v>
      </c>
      <c r="C3734" t="s">
        <v>8</v>
      </c>
      <c r="D3734">
        <v>2.105</v>
      </c>
      <c r="E3734">
        <v>674</v>
      </c>
      <c r="F3734" t="str">
        <f>HYPERLINK("https://www.google.com/maps/search/?api=1&amp;query=24.75081973,46.84537714", "View Map")</f>
        <v>View Map</v>
      </c>
    </row>
    <row r="3735" spans="1:7" x14ac:dyDescent="0.3">
      <c r="A3735" t="s">
        <v>46</v>
      </c>
      <c r="B3735" t="s">
        <v>6448</v>
      </c>
      <c r="C3735" t="s">
        <v>8</v>
      </c>
      <c r="D3735">
        <v>2.1040000000000001</v>
      </c>
      <c r="E3735">
        <v>673</v>
      </c>
      <c r="F3735" t="str">
        <f>HYPERLINK("https://www.google.com/maps/search/?api=1&amp;query=24.85540782,46.66992266", "View Map")</f>
        <v>View Map</v>
      </c>
    </row>
    <row r="3736" spans="1:7" x14ac:dyDescent="0.3">
      <c r="A3736" t="s">
        <v>6449</v>
      </c>
      <c r="B3736" t="s">
        <v>6450</v>
      </c>
      <c r="C3736" t="s">
        <v>8</v>
      </c>
      <c r="D3736">
        <v>2.1030000000000002</v>
      </c>
      <c r="E3736">
        <v>673</v>
      </c>
      <c r="F3736" t="str">
        <f>HYPERLINK("https://www.google.com/maps/search/?api=1&amp;query=24.57351962,46.76343489", "View Map")</f>
        <v>View Map</v>
      </c>
    </row>
    <row r="3737" spans="1:7" x14ac:dyDescent="0.3">
      <c r="A3737" t="s">
        <v>6451</v>
      </c>
      <c r="B3737" t="s">
        <v>6452</v>
      </c>
      <c r="C3737" t="s">
        <v>393</v>
      </c>
      <c r="D3737">
        <v>2.1030000000000002</v>
      </c>
      <c r="E3737">
        <v>673</v>
      </c>
      <c r="F3737" t="str">
        <f>HYPERLINK("https://www.google.com/maps/search/?api=1&amp;query=23.55115381,45.54038151", "View Map")</f>
        <v>View Map</v>
      </c>
      <c r="G3737" s="2">
        <v>0.65987221389596717</v>
      </c>
    </row>
    <row r="3738" spans="1:7" x14ac:dyDescent="0.3">
      <c r="A3738" t="s">
        <v>6453</v>
      </c>
      <c r="B3738" t="s">
        <v>6454</v>
      </c>
      <c r="C3738" t="s">
        <v>393</v>
      </c>
      <c r="D3738">
        <v>2.1030000000000002</v>
      </c>
      <c r="E3738">
        <v>673</v>
      </c>
      <c r="F3738" t="str">
        <f>HYPERLINK("https://www.google.com/maps/search/?api=1&amp;query=22.75861218,44.39511158", "View Map")</f>
        <v>View Map</v>
      </c>
      <c r="G3738" s="2">
        <v>0.65183702666829135</v>
      </c>
    </row>
    <row r="3739" spans="1:7" x14ac:dyDescent="0.3">
      <c r="A3739" t="s">
        <v>146</v>
      </c>
      <c r="B3739" t="s">
        <v>6455</v>
      </c>
      <c r="C3739" t="s">
        <v>8</v>
      </c>
      <c r="D3739">
        <v>2.1030000000000002</v>
      </c>
      <c r="E3739">
        <v>673</v>
      </c>
      <c r="F3739" t="str">
        <f>HYPERLINK("https://www.google.com/maps/search/?api=1&amp;query=24.56172337,46.57817441", "View Map")</f>
        <v>View Map</v>
      </c>
    </row>
    <row r="3740" spans="1:7" x14ac:dyDescent="0.3">
      <c r="A3740" t="s">
        <v>6456</v>
      </c>
      <c r="B3740" t="s">
        <v>6457</v>
      </c>
      <c r="C3740" t="s">
        <v>291</v>
      </c>
      <c r="D3740">
        <v>2.1019999999999999</v>
      </c>
      <c r="E3740">
        <v>673</v>
      </c>
      <c r="F3740" t="str">
        <f>HYPERLINK("https://www.google.com/maps/search/?api=1&amp;query=24.07320049,45.29831846", "View Map")</f>
        <v>View Map</v>
      </c>
      <c r="G3740" s="2">
        <v>0.6718027609064563</v>
      </c>
    </row>
    <row r="3741" spans="1:7" x14ac:dyDescent="0.3">
      <c r="A3741" t="s">
        <v>6458</v>
      </c>
      <c r="B3741" t="s">
        <v>6459</v>
      </c>
      <c r="C3741" t="s">
        <v>214</v>
      </c>
      <c r="D3741">
        <v>2.1019999999999999</v>
      </c>
      <c r="E3741">
        <v>673</v>
      </c>
      <c r="F3741" t="str">
        <f>HYPERLINK("https://www.google.com/maps/search/?api=1&amp;query=26.51720257,45.35210289", "View Map")</f>
        <v>View Map</v>
      </c>
      <c r="G3741" s="2">
        <v>0.5912877857168557</v>
      </c>
    </row>
    <row r="3742" spans="1:7" x14ac:dyDescent="0.3">
      <c r="A3742" t="s">
        <v>6460</v>
      </c>
      <c r="B3742" t="s">
        <v>6461</v>
      </c>
      <c r="C3742" t="s">
        <v>393</v>
      </c>
      <c r="D3742">
        <v>2.101</v>
      </c>
      <c r="E3742">
        <v>672</v>
      </c>
      <c r="F3742" t="str">
        <f>HYPERLINK("https://www.google.com/maps/search/?api=1&amp;query=23.56112708,45.60324459", "View Map")</f>
        <v>View Map</v>
      </c>
      <c r="G3742" s="2">
        <v>0.54619914086508203</v>
      </c>
    </row>
    <row r="3743" spans="1:7" x14ac:dyDescent="0.3">
      <c r="A3743" t="s">
        <v>6462</v>
      </c>
      <c r="B3743" t="s">
        <v>6463</v>
      </c>
      <c r="C3743" t="s">
        <v>8</v>
      </c>
      <c r="D3743">
        <v>2.101</v>
      </c>
      <c r="E3743">
        <v>672</v>
      </c>
      <c r="F3743" t="str">
        <f>HYPERLINK("https://www.google.com/maps/search/?api=1&amp;query=24.82480423,46.73719783", "View Map")</f>
        <v>View Map</v>
      </c>
    </row>
    <row r="3744" spans="1:7" x14ac:dyDescent="0.3">
      <c r="A3744" t="s">
        <v>6464</v>
      </c>
      <c r="B3744" t="s">
        <v>6465</v>
      </c>
      <c r="C3744" t="s">
        <v>241</v>
      </c>
      <c r="D3744">
        <v>2.101</v>
      </c>
      <c r="E3744">
        <v>672</v>
      </c>
      <c r="F3744" t="str">
        <f>HYPERLINK("https://www.google.com/maps/search/?api=1&amp;query=20.45023993,44.84125794", "View Map")</f>
        <v>View Map</v>
      </c>
      <c r="G3744" s="2">
        <v>0.64230538066925125</v>
      </c>
    </row>
    <row r="3745" spans="1:7" x14ac:dyDescent="0.3">
      <c r="A3745" t="s">
        <v>6466</v>
      </c>
      <c r="B3745" t="s">
        <v>6467</v>
      </c>
      <c r="C3745" t="s">
        <v>270</v>
      </c>
      <c r="D3745">
        <v>2.101</v>
      </c>
      <c r="E3745">
        <v>672</v>
      </c>
      <c r="F3745" t="str">
        <f>HYPERLINK("https://www.google.com/maps/search/?api=1&amp;query=23.96230265,47.11384862", "View Map")</f>
        <v>View Map</v>
      </c>
      <c r="G3745" s="2">
        <v>0.52261698123725331</v>
      </c>
    </row>
    <row r="3746" spans="1:7" x14ac:dyDescent="0.3">
      <c r="A3746" t="s">
        <v>6468</v>
      </c>
      <c r="B3746" t="s">
        <v>6469</v>
      </c>
      <c r="C3746" t="s">
        <v>8</v>
      </c>
      <c r="D3746">
        <v>2.101</v>
      </c>
      <c r="E3746">
        <v>672</v>
      </c>
      <c r="F3746" t="str">
        <f>HYPERLINK("https://www.google.com/maps/search/?api=1&amp;query=24.61218068,46.69679777", "View Map")</f>
        <v>View Map</v>
      </c>
    </row>
    <row r="3747" spans="1:7" x14ac:dyDescent="0.3">
      <c r="A3747" t="s">
        <v>6470</v>
      </c>
      <c r="B3747" t="s">
        <v>6471</v>
      </c>
      <c r="C3747" t="s">
        <v>255</v>
      </c>
      <c r="D3747">
        <v>2.1</v>
      </c>
      <c r="E3747">
        <v>672</v>
      </c>
      <c r="F3747" t="str">
        <f>HYPERLINK("https://www.google.com/maps/search/?api=1&amp;query=24.71060743,43.67882326", "View Map")</f>
        <v>View Map</v>
      </c>
      <c r="G3747" s="2">
        <v>0.62488183063027258</v>
      </c>
    </row>
    <row r="3748" spans="1:7" x14ac:dyDescent="0.3">
      <c r="A3748" t="s">
        <v>73</v>
      </c>
      <c r="B3748" t="s">
        <v>6472</v>
      </c>
      <c r="C3748" t="s">
        <v>8</v>
      </c>
      <c r="D3748">
        <v>2.1</v>
      </c>
      <c r="E3748">
        <v>672</v>
      </c>
      <c r="F3748" t="str">
        <f>HYPERLINK("https://www.google.com/maps/search/?api=1&amp;query=24.64797859,46.57036827", "View Map")</f>
        <v>View Map</v>
      </c>
    </row>
    <row r="3749" spans="1:7" x14ac:dyDescent="0.3">
      <c r="A3749" t="s">
        <v>28</v>
      </c>
      <c r="B3749" t="s">
        <v>6473</v>
      </c>
      <c r="C3749" t="s">
        <v>30</v>
      </c>
      <c r="D3749">
        <v>2.1</v>
      </c>
      <c r="E3749">
        <v>672</v>
      </c>
      <c r="F3749" t="str">
        <f>HYPERLINK("https://www.google.com/maps/search/?api=1&amp;query=24.15052609,47.28324262", "View Map")</f>
        <v>View Map</v>
      </c>
      <c r="G3749" s="2">
        <v>0.43991884913727741</v>
      </c>
    </row>
    <row r="3750" spans="1:7" x14ac:dyDescent="0.3">
      <c r="A3750" t="s">
        <v>433</v>
      </c>
      <c r="B3750" t="s">
        <v>6474</v>
      </c>
      <c r="C3750" t="s">
        <v>137</v>
      </c>
      <c r="D3750">
        <v>2.0990000000000002</v>
      </c>
      <c r="E3750">
        <v>672</v>
      </c>
      <c r="F3750" t="str">
        <f>HYPERLINK("https://www.google.com/maps/search/?api=1&amp;query=23.49321103,46.86290518", "View Map")</f>
        <v>View Map</v>
      </c>
      <c r="G3750" s="2">
        <v>0.39779395186997502</v>
      </c>
    </row>
    <row r="3751" spans="1:7" x14ac:dyDescent="0.3">
      <c r="A3751" t="s">
        <v>6475</v>
      </c>
      <c r="B3751" t="s">
        <v>6476</v>
      </c>
      <c r="C3751" t="s">
        <v>8</v>
      </c>
      <c r="D3751">
        <v>2.0979999999999999</v>
      </c>
      <c r="E3751">
        <v>671</v>
      </c>
      <c r="F3751" t="str">
        <f>HYPERLINK("https://www.google.com/maps/search/?api=1&amp;query=24.75784392,46.81718414", "View Map")</f>
        <v>View Map</v>
      </c>
    </row>
    <row r="3752" spans="1:7" x14ac:dyDescent="0.3">
      <c r="A3752" t="s">
        <v>6477</v>
      </c>
      <c r="B3752" t="s">
        <v>6478</v>
      </c>
      <c r="C3752" t="s">
        <v>466</v>
      </c>
      <c r="D3752">
        <v>2.097</v>
      </c>
      <c r="E3752">
        <v>671</v>
      </c>
      <c r="F3752" t="str">
        <f>HYPERLINK("https://www.google.com/maps/search/?api=1&amp;query=24.59843146,46.13351142", "View Map")</f>
        <v>View Map</v>
      </c>
      <c r="G3752" s="2">
        <v>0.6461152010757758</v>
      </c>
    </row>
    <row r="3753" spans="1:7" x14ac:dyDescent="0.3">
      <c r="A3753" t="s">
        <v>6479</v>
      </c>
      <c r="B3753" t="s">
        <v>6480</v>
      </c>
      <c r="C3753" t="s">
        <v>8</v>
      </c>
      <c r="D3753">
        <v>2.0960000000000001</v>
      </c>
      <c r="E3753">
        <v>671</v>
      </c>
      <c r="F3753" t="str">
        <f>HYPERLINK("https://www.google.com/maps/search/?api=1&amp;query=24.58815505,46.78042521", "View Map")</f>
        <v>View Map</v>
      </c>
    </row>
    <row r="3754" spans="1:7" x14ac:dyDescent="0.3">
      <c r="A3754" t="s">
        <v>6481</v>
      </c>
      <c r="B3754" t="s">
        <v>6482</v>
      </c>
      <c r="C3754" t="s">
        <v>646</v>
      </c>
      <c r="D3754">
        <v>2.0960000000000001</v>
      </c>
      <c r="E3754">
        <v>671</v>
      </c>
      <c r="F3754" t="str">
        <f>HYPERLINK("https://www.google.com/maps/search/?api=1&amp;query=20.45358144,45.57432812", "View Map")</f>
        <v>View Map</v>
      </c>
    </row>
    <row r="3755" spans="1:7" x14ac:dyDescent="0.3">
      <c r="A3755" t="s">
        <v>6483</v>
      </c>
      <c r="B3755" t="s">
        <v>6484</v>
      </c>
      <c r="C3755" t="s">
        <v>8</v>
      </c>
      <c r="D3755">
        <v>2.0950000000000002</v>
      </c>
      <c r="E3755">
        <v>670</v>
      </c>
      <c r="F3755" t="str">
        <f>HYPERLINK("https://www.google.com/maps/search/?api=1&amp;query=24.51809337,46.65789022", "View Map")</f>
        <v>View Map</v>
      </c>
    </row>
    <row r="3756" spans="1:7" x14ac:dyDescent="0.3">
      <c r="A3756" t="s">
        <v>6485</v>
      </c>
      <c r="B3756" t="s">
        <v>6486</v>
      </c>
      <c r="C3756" t="s">
        <v>466</v>
      </c>
      <c r="D3756">
        <v>2.0950000000000002</v>
      </c>
      <c r="E3756">
        <v>670</v>
      </c>
      <c r="F3756" t="str">
        <f>HYPERLINK("https://www.google.com/maps/search/?api=1&amp;query=24.59405338,46.1395481", "View Map")</f>
        <v>View Map</v>
      </c>
      <c r="G3756" s="2">
        <v>0.37187287535663338</v>
      </c>
    </row>
    <row r="3757" spans="1:7" x14ac:dyDescent="0.3">
      <c r="A3757" t="s">
        <v>678</v>
      </c>
      <c r="B3757" t="s">
        <v>6487</v>
      </c>
      <c r="C3757" t="s">
        <v>21</v>
      </c>
      <c r="D3757">
        <v>2.0950000000000002</v>
      </c>
      <c r="E3757">
        <v>670</v>
      </c>
      <c r="F3757" t="str">
        <f>HYPERLINK("https://www.google.com/maps/search/?api=1&amp;query=26.32116351,44.89629414", "View Map")</f>
        <v>View Map</v>
      </c>
      <c r="G3757" s="2">
        <v>0.46969866946872402</v>
      </c>
    </row>
    <row r="3758" spans="1:7" x14ac:dyDescent="0.3">
      <c r="A3758" t="s">
        <v>6488</v>
      </c>
      <c r="B3758" t="s">
        <v>6489</v>
      </c>
      <c r="C3758" t="s">
        <v>291</v>
      </c>
      <c r="D3758">
        <v>2.0939999999999999</v>
      </c>
      <c r="E3758">
        <v>670</v>
      </c>
      <c r="F3758" t="str">
        <f>HYPERLINK("https://www.google.com/maps/search/?api=1&amp;query=24.33259542,45.80124257", "View Map")</f>
        <v>View Map</v>
      </c>
      <c r="G3758" s="2">
        <v>0.48778158223847368</v>
      </c>
    </row>
    <row r="3759" spans="1:7" x14ac:dyDescent="0.3">
      <c r="A3759" t="s">
        <v>6490</v>
      </c>
      <c r="B3759" t="s">
        <v>6491</v>
      </c>
      <c r="C3759" t="s">
        <v>8</v>
      </c>
      <c r="D3759">
        <v>2.093</v>
      </c>
      <c r="E3759">
        <v>670</v>
      </c>
      <c r="F3759" t="str">
        <f>HYPERLINK("https://www.google.com/maps/search/?api=1&amp;query=24.65022931,46.8142481", "View Map")</f>
        <v>View Map</v>
      </c>
      <c r="G3759" s="2">
        <v>0.37571800077362999</v>
      </c>
    </row>
    <row r="3760" spans="1:7" x14ac:dyDescent="0.3">
      <c r="A3760" t="s">
        <v>717</v>
      </c>
      <c r="B3760" t="s">
        <v>6492</v>
      </c>
      <c r="C3760" t="s">
        <v>255</v>
      </c>
      <c r="D3760">
        <v>2.093</v>
      </c>
      <c r="E3760">
        <v>670</v>
      </c>
      <c r="F3760" t="str">
        <f>HYPERLINK("https://www.google.com/maps/search/?api=1&amp;query=24.56182285,44.45489738", "View Map")</f>
        <v>View Map</v>
      </c>
    </row>
    <row r="3761" spans="1:7" x14ac:dyDescent="0.3">
      <c r="A3761" t="s">
        <v>4220</v>
      </c>
      <c r="B3761" t="s">
        <v>6493</v>
      </c>
      <c r="C3761" t="s">
        <v>214</v>
      </c>
      <c r="D3761">
        <v>2.0920000000000001</v>
      </c>
      <c r="E3761">
        <v>669</v>
      </c>
      <c r="F3761" t="str">
        <f>HYPERLINK("https://www.google.com/maps/search/?api=1&amp;query=25.69579197,45.90224914", "View Map")</f>
        <v>View Map</v>
      </c>
      <c r="G3761" s="2">
        <v>0.66215941825555225</v>
      </c>
    </row>
    <row r="3762" spans="1:7" x14ac:dyDescent="0.3">
      <c r="A3762" t="s">
        <v>6494</v>
      </c>
      <c r="B3762" t="s">
        <v>6495</v>
      </c>
      <c r="C3762" t="s">
        <v>1112</v>
      </c>
      <c r="D3762">
        <v>2.0910000000000002</v>
      </c>
      <c r="E3762">
        <v>669</v>
      </c>
      <c r="F3762" t="str">
        <f>HYPERLINK("https://www.google.com/maps/search/?api=1&amp;query=26.03472293,44.93648153", "View Map")</f>
        <v>View Map</v>
      </c>
      <c r="G3762" s="2">
        <v>0.59627775282433582</v>
      </c>
    </row>
    <row r="3763" spans="1:7" x14ac:dyDescent="0.3">
      <c r="A3763" t="s">
        <v>6496</v>
      </c>
      <c r="B3763" t="s">
        <v>6497</v>
      </c>
      <c r="C3763" t="s">
        <v>30</v>
      </c>
      <c r="D3763">
        <v>2.09</v>
      </c>
      <c r="E3763">
        <v>669</v>
      </c>
      <c r="F3763" t="str">
        <f>HYPERLINK("https://www.google.com/maps/search/?api=1&amp;query=24.13410563,47.27773153", "View Map")</f>
        <v>View Map</v>
      </c>
    </row>
    <row r="3764" spans="1:7" x14ac:dyDescent="0.3">
      <c r="A3764" t="s">
        <v>881</v>
      </c>
      <c r="B3764" t="s">
        <v>6498</v>
      </c>
      <c r="C3764" t="s">
        <v>883</v>
      </c>
      <c r="D3764">
        <v>2.09</v>
      </c>
      <c r="E3764">
        <v>669</v>
      </c>
      <c r="F3764" t="str">
        <f>HYPERLINK("https://www.google.com/maps/search/?api=1&amp;query=25.56584017,47.16628654", "View Map")</f>
        <v>View Map</v>
      </c>
    </row>
    <row r="3765" spans="1:7" x14ac:dyDescent="0.3">
      <c r="A3765" t="s">
        <v>2485</v>
      </c>
      <c r="B3765" t="s">
        <v>6499</v>
      </c>
      <c r="C3765" t="s">
        <v>255</v>
      </c>
      <c r="D3765">
        <v>2.09</v>
      </c>
      <c r="E3765">
        <v>669</v>
      </c>
      <c r="F3765" t="str">
        <f>HYPERLINK("https://www.google.com/maps/search/?api=1&amp;query=24.72213032,43.79925855", "View Map")</f>
        <v>View Map</v>
      </c>
    </row>
    <row r="3766" spans="1:7" x14ac:dyDescent="0.3">
      <c r="A3766" t="s">
        <v>6500</v>
      </c>
      <c r="B3766" t="s">
        <v>6501</v>
      </c>
      <c r="C3766" t="s">
        <v>8</v>
      </c>
      <c r="D3766">
        <v>2.09</v>
      </c>
      <c r="E3766">
        <v>669</v>
      </c>
      <c r="F3766" t="str">
        <f>HYPERLINK("https://www.google.com/maps/search/?api=1&amp;query=24.78113336,46.74491589", "View Map")</f>
        <v>View Map</v>
      </c>
    </row>
    <row r="3767" spans="1:7" x14ac:dyDescent="0.3">
      <c r="A3767" t="s">
        <v>6502</v>
      </c>
      <c r="B3767" t="s">
        <v>6503</v>
      </c>
      <c r="C3767" t="s">
        <v>30</v>
      </c>
      <c r="D3767">
        <v>2.089</v>
      </c>
      <c r="E3767">
        <v>668</v>
      </c>
      <c r="F3767" t="str">
        <f>HYPERLINK("https://www.google.com/maps/search/?api=1&amp;query=24.14964211,47.34819582", "View Map")</f>
        <v>View Map</v>
      </c>
    </row>
    <row r="3768" spans="1:7" x14ac:dyDescent="0.3">
      <c r="A3768" t="s">
        <v>2499</v>
      </c>
      <c r="B3768" t="s">
        <v>6504</v>
      </c>
      <c r="C3768" t="s">
        <v>214</v>
      </c>
      <c r="D3768">
        <v>2.0880000000000001</v>
      </c>
      <c r="E3768">
        <v>668</v>
      </c>
      <c r="F3768" t="str">
        <f>HYPERLINK("https://www.google.com/maps/search/?api=1&amp;query=25.62341517,45.57670539", "View Map")</f>
        <v>View Map</v>
      </c>
      <c r="G3768" s="2">
        <v>0.5001648115119689</v>
      </c>
    </row>
    <row r="3769" spans="1:7" x14ac:dyDescent="0.3">
      <c r="A3769" t="s">
        <v>6505</v>
      </c>
      <c r="B3769" t="s">
        <v>6506</v>
      </c>
      <c r="C3769" t="s">
        <v>21</v>
      </c>
      <c r="D3769">
        <v>2.0880000000000001</v>
      </c>
      <c r="E3769">
        <v>668</v>
      </c>
      <c r="F3769" t="str">
        <f>HYPERLINK("https://www.google.com/maps/search/?api=1&amp;query=26.31630654,44.81876132", "View Map")</f>
        <v>View Map</v>
      </c>
    </row>
    <row r="3770" spans="1:7" x14ac:dyDescent="0.3">
      <c r="A3770" t="s">
        <v>22</v>
      </c>
      <c r="B3770" t="s">
        <v>6507</v>
      </c>
      <c r="C3770" t="s">
        <v>241</v>
      </c>
      <c r="D3770">
        <v>2.0870000000000002</v>
      </c>
      <c r="E3770">
        <v>668</v>
      </c>
      <c r="F3770" t="str">
        <f>HYPERLINK("https://www.google.com/maps/search/?api=1&amp;query=20.46185495,44.80866706", "View Map")</f>
        <v>View Map</v>
      </c>
      <c r="G3770" s="2">
        <v>0.6485874191708253</v>
      </c>
    </row>
    <row r="3771" spans="1:7" x14ac:dyDescent="0.3">
      <c r="A3771" t="s">
        <v>46</v>
      </c>
      <c r="B3771" t="s">
        <v>6508</v>
      </c>
      <c r="C3771" t="s">
        <v>8</v>
      </c>
      <c r="D3771">
        <v>2.0870000000000002</v>
      </c>
      <c r="E3771">
        <v>668</v>
      </c>
      <c r="F3771" t="str">
        <f>HYPERLINK("https://www.google.com/maps/search/?api=1&amp;query=24.79964045,46.8481822", "View Map")</f>
        <v>View Map</v>
      </c>
    </row>
    <row r="3772" spans="1:7" x14ac:dyDescent="0.3">
      <c r="A3772" t="s">
        <v>479</v>
      </c>
      <c r="B3772" t="s">
        <v>6509</v>
      </c>
      <c r="C3772" t="s">
        <v>738</v>
      </c>
      <c r="D3772">
        <v>2.0870000000000002</v>
      </c>
      <c r="E3772">
        <v>668</v>
      </c>
      <c r="F3772" t="str">
        <f>HYPERLINK("https://www.google.com/maps/search/?api=1&amp;query=25.12081227,46.06032568", "View Map")</f>
        <v>View Map</v>
      </c>
      <c r="G3772" s="2">
        <v>0.43097907132292529</v>
      </c>
    </row>
    <row r="3773" spans="1:7" x14ac:dyDescent="0.3">
      <c r="A3773" t="s">
        <v>6510</v>
      </c>
      <c r="B3773" t="s">
        <v>6511</v>
      </c>
      <c r="C3773" t="s">
        <v>738</v>
      </c>
      <c r="D3773">
        <v>2.0870000000000002</v>
      </c>
      <c r="E3773">
        <v>668</v>
      </c>
      <c r="F3773" t="str">
        <f>HYPERLINK("https://www.google.com/maps/search/?api=1&amp;query=25.11768897,46.09575523", "View Map")</f>
        <v>View Map</v>
      </c>
      <c r="G3773" s="2">
        <v>0.76529159393747892</v>
      </c>
    </row>
    <row r="3774" spans="1:7" x14ac:dyDescent="0.3">
      <c r="A3774" t="s">
        <v>146</v>
      </c>
      <c r="B3774" t="s">
        <v>6512</v>
      </c>
      <c r="C3774" t="s">
        <v>55</v>
      </c>
      <c r="D3774">
        <v>2.0870000000000002</v>
      </c>
      <c r="E3774">
        <v>668</v>
      </c>
      <c r="F3774" t="str">
        <f>HYPERLINK("https://www.google.com/maps/search/?api=1&amp;query=24.75788,46.54815", "View Map")</f>
        <v>View Map</v>
      </c>
    </row>
    <row r="3775" spans="1:7" x14ac:dyDescent="0.3">
      <c r="A3775" t="s">
        <v>6513</v>
      </c>
      <c r="B3775" t="s">
        <v>6514</v>
      </c>
      <c r="C3775" t="s">
        <v>8</v>
      </c>
      <c r="D3775">
        <v>2.0859999999999999</v>
      </c>
      <c r="E3775">
        <v>668</v>
      </c>
      <c r="F3775" t="str">
        <f>HYPERLINK("https://www.google.com/maps/search/?api=1&amp;query=24.79203679,46.89352716", "View Map")</f>
        <v>View Map</v>
      </c>
    </row>
    <row r="3776" spans="1:7" x14ac:dyDescent="0.3">
      <c r="A3776" t="s">
        <v>150</v>
      </c>
      <c r="B3776" t="s">
        <v>6515</v>
      </c>
      <c r="C3776" t="s">
        <v>8</v>
      </c>
      <c r="D3776">
        <v>2.085</v>
      </c>
      <c r="E3776">
        <v>667</v>
      </c>
      <c r="F3776" t="str">
        <f>HYPERLINK("https://www.google.com/maps/search/?api=1&amp;query=24.78536095,46.9029883", "View Map")</f>
        <v>View Map</v>
      </c>
    </row>
    <row r="3777" spans="1:7" x14ac:dyDescent="0.3">
      <c r="A3777" t="s">
        <v>6516</v>
      </c>
      <c r="B3777" t="s">
        <v>6517</v>
      </c>
      <c r="C3777" t="s">
        <v>255</v>
      </c>
      <c r="D3777">
        <v>2.0840000000000001</v>
      </c>
      <c r="E3777">
        <v>667</v>
      </c>
      <c r="F3777" t="str">
        <f>HYPERLINK("https://www.google.com/maps/search/?api=1&amp;query=25.19072757,44.6044387", "View Map")</f>
        <v>View Map</v>
      </c>
    </row>
    <row r="3778" spans="1:7" x14ac:dyDescent="0.3">
      <c r="A3778" t="s">
        <v>1002</v>
      </c>
      <c r="B3778" t="s">
        <v>6518</v>
      </c>
      <c r="C3778" t="s">
        <v>738</v>
      </c>
      <c r="D3778">
        <v>2.0840000000000001</v>
      </c>
      <c r="E3778">
        <v>667</v>
      </c>
      <c r="F3778" t="str">
        <f>HYPERLINK("https://www.google.com/maps/search/?api=1&amp;query=24.91203526,45.86388209", "View Map")</f>
        <v>View Map</v>
      </c>
      <c r="G3778" s="2">
        <v>0.61795960632682456</v>
      </c>
    </row>
    <row r="3779" spans="1:7" x14ac:dyDescent="0.3">
      <c r="A3779" t="s">
        <v>6519</v>
      </c>
      <c r="B3779" t="s">
        <v>6520</v>
      </c>
      <c r="C3779" t="s">
        <v>21</v>
      </c>
      <c r="D3779">
        <v>2.0830000000000002</v>
      </c>
      <c r="E3779">
        <v>667</v>
      </c>
      <c r="F3779" t="str">
        <f>HYPERLINK("https://www.google.com/maps/search/?api=1&amp;query=26.29682758,44.8256003", "View Map")</f>
        <v>View Map</v>
      </c>
    </row>
    <row r="3780" spans="1:7" x14ac:dyDescent="0.3">
      <c r="A3780" t="s">
        <v>6521</v>
      </c>
      <c r="B3780" t="s">
        <v>6522</v>
      </c>
      <c r="C3780" t="s">
        <v>8</v>
      </c>
      <c r="D3780">
        <v>2.0830000000000002</v>
      </c>
      <c r="E3780">
        <v>666</v>
      </c>
      <c r="F3780" t="str">
        <f>HYPERLINK("https://www.google.com/maps/search/?api=1&amp;query=24.59919575,46.70633397", "View Map")</f>
        <v>View Map</v>
      </c>
    </row>
    <row r="3781" spans="1:7" x14ac:dyDescent="0.3">
      <c r="A3781" t="s">
        <v>46</v>
      </c>
      <c r="B3781" t="s">
        <v>6523</v>
      </c>
      <c r="C3781" t="s">
        <v>8</v>
      </c>
      <c r="D3781">
        <v>2.0830000000000002</v>
      </c>
      <c r="E3781">
        <v>667</v>
      </c>
      <c r="F3781" t="str">
        <f>HYPERLINK("https://www.google.com/maps/search/?api=1&amp;query=24.85776149,46.63080403", "View Map")</f>
        <v>View Map</v>
      </c>
    </row>
    <row r="3782" spans="1:7" x14ac:dyDescent="0.3">
      <c r="A3782" t="s">
        <v>6524</v>
      </c>
      <c r="B3782" t="s">
        <v>6525</v>
      </c>
      <c r="C3782" t="s">
        <v>8</v>
      </c>
      <c r="D3782">
        <v>2.0819999999999999</v>
      </c>
      <c r="E3782">
        <v>666</v>
      </c>
      <c r="F3782" t="str">
        <f>HYPERLINK("https://www.google.com/maps/search/?api=1&amp;query=24.62456792,46.71668478", "View Map")</f>
        <v>View Map</v>
      </c>
    </row>
    <row r="3783" spans="1:7" x14ac:dyDescent="0.3">
      <c r="A3783" t="s">
        <v>6526</v>
      </c>
      <c r="B3783" t="s">
        <v>6527</v>
      </c>
      <c r="C3783" t="s">
        <v>16</v>
      </c>
      <c r="D3783">
        <v>2.0819999999999999</v>
      </c>
      <c r="E3783">
        <v>666</v>
      </c>
      <c r="F3783" t="str">
        <f>HYPERLINK("https://www.google.com/maps/search/?api=1&amp;query=23.87524101,42.90851051", "View Map")</f>
        <v>View Map</v>
      </c>
      <c r="G3783" s="2">
        <v>0.59942761925654409</v>
      </c>
    </row>
    <row r="3784" spans="1:7" x14ac:dyDescent="0.3">
      <c r="A3784" t="s">
        <v>6528</v>
      </c>
      <c r="B3784" t="s">
        <v>6529</v>
      </c>
      <c r="C3784" t="s">
        <v>8</v>
      </c>
      <c r="D3784">
        <v>2.0819999999999999</v>
      </c>
      <c r="E3784">
        <v>666</v>
      </c>
      <c r="F3784" t="str">
        <f>HYPERLINK("https://www.google.com/maps/search/?api=1&amp;query=24.48668451,46.61682834", "View Map")</f>
        <v>View Map</v>
      </c>
    </row>
    <row r="3785" spans="1:7" x14ac:dyDescent="0.3">
      <c r="A3785" t="s">
        <v>6530</v>
      </c>
      <c r="B3785" t="s">
        <v>6531</v>
      </c>
      <c r="C3785" t="s">
        <v>286</v>
      </c>
      <c r="D3785">
        <v>2.081</v>
      </c>
      <c r="E3785">
        <v>666</v>
      </c>
      <c r="F3785" t="str">
        <f>HYPERLINK("https://www.google.com/maps/search/?api=1&amp;query=25.23487162,45.24797916", "View Map")</f>
        <v>View Map</v>
      </c>
      <c r="G3785" s="2">
        <v>0.36967193268492832</v>
      </c>
    </row>
    <row r="3786" spans="1:7" x14ac:dyDescent="0.3">
      <c r="A3786" t="s">
        <v>6532</v>
      </c>
      <c r="B3786" t="s">
        <v>6533</v>
      </c>
      <c r="C3786" t="s">
        <v>8</v>
      </c>
      <c r="D3786">
        <v>2.081</v>
      </c>
      <c r="E3786">
        <v>666</v>
      </c>
      <c r="F3786" t="str">
        <f>HYPERLINK("https://www.google.com/maps/search/?api=1&amp;query=24.63035594,46.53268413", "View Map")</f>
        <v>View Map</v>
      </c>
    </row>
    <row r="3787" spans="1:7" x14ac:dyDescent="0.3">
      <c r="A3787" t="s">
        <v>6534</v>
      </c>
      <c r="B3787" t="s">
        <v>6535</v>
      </c>
      <c r="C3787" t="s">
        <v>21</v>
      </c>
      <c r="D3787">
        <v>2.08</v>
      </c>
      <c r="E3787">
        <v>666</v>
      </c>
      <c r="F3787" t="str">
        <f>HYPERLINK("https://www.google.com/maps/search/?api=1&amp;query=26.29369473,44.81495526", "View Map")</f>
        <v>View Map</v>
      </c>
      <c r="G3787" s="2">
        <v>0.50879350272350699</v>
      </c>
    </row>
    <row r="3788" spans="1:7" x14ac:dyDescent="0.3">
      <c r="A3788" t="s">
        <v>6536</v>
      </c>
      <c r="B3788" t="s">
        <v>6537</v>
      </c>
      <c r="C3788" t="s">
        <v>21</v>
      </c>
      <c r="D3788">
        <v>2.08</v>
      </c>
      <c r="E3788">
        <v>666</v>
      </c>
      <c r="F3788" t="str">
        <f>HYPERLINK("https://www.google.com/maps/search/?api=1&amp;query=26.26698864,44.80899379", "View Map")</f>
        <v>View Map</v>
      </c>
      <c r="G3788" s="2">
        <v>0.57615537396650063</v>
      </c>
    </row>
    <row r="3789" spans="1:7" x14ac:dyDescent="0.3">
      <c r="A3789" t="s">
        <v>6538</v>
      </c>
      <c r="B3789" t="s">
        <v>6539</v>
      </c>
      <c r="C3789" t="s">
        <v>8</v>
      </c>
      <c r="D3789">
        <v>2.08</v>
      </c>
      <c r="E3789">
        <v>666</v>
      </c>
      <c r="F3789" t="str">
        <f>HYPERLINK("https://www.google.com/maps/search/?api=1&amp;query=24.58713577,46.63702516", "View Map")</f>
        <v>View Map</v>
      </c>
    </row>
    <row r="3790" spans="1:7" x14ac:dyDescent="0.3">
      <c r="A3790" t="s">
        <v>6540</v>
      </c>
      <c r="B3790" t="s">
        <v>6541</v>
      </c>
      <c r="C3790" t="s">
        <v>393</v>
      </c>
      <c r="D3790">
        <v>2.0779999999999998</v>
      </c>
      <c r="E3790">
        <v>665</v>
      </c>
      <c r="F3790" t="str">
        <f>HYPERLINK("https://www.google.com/maps/search/?api=1&amp;query=23.57427657,45.91960459", "View Map")</f>
        <v>View Map</v>
      </c>
      <c r="G3790" s="2">
        <v>0.53611036719695027</v>
      </c>
    </row>
    <row r="3791" spans="1:7" x14ac:dyDescent="0.3">
      <c r="A3791" t="s">
        <v>6542</v>
      </c>
      <c r="B3791" t="s">
        <v>6543</v>
      </c>
      <c r="C3791" t="s">
        <v>8</v>
      </c>
      <c r="D3791">
        <v>2.0779999999999998</v>
      </c>
      <c r="E3791">
        <v>665</v>
      </c>
      <c r="F3791" t="str">
        <f>HYPERLINK("https://www.google.com/maps/search/?api=1&amp;query=24.584545,46.6700254", "View Map")</f>
        <v>View Map</v>
      </c>
    </row>
    <row r="3792" spans="1:7" x14ac:dyDescent="0.3">
      <c r="A3792" t="s">
        <v>6544</v>
      </c>
      <c r="B3792" t="s">
        <v>6545</v>
      </c>
      <c r="C3792" t="s">
        <v>8</v>
      </c>
      <c r="D3792">
        <v>2.077</v>
      </c>
      <c r="E3792">
        <v>665</v>
      </c>
      <c r="F3792" t="str">
        <f>HYPERLINK("https://www.google.com/maps/search/?api=1&amp;query=24.77078145,46.68597114", "View Map")</f>
        <v>View Map</v>
      </c>
    </row>
    <row r="3793" spans="1:7" x14ac:dyDescent="0.3">
      <c r="A3793" t="s">
        <v>6546</v>
      </c>
      <c r="B3793" t="s">
        <v>6547</v>
      </c>
      <c r="C3793" t="s">
        <v>286</v>
      </c>
      <c r="D3793">
        <v>2.0760000000000001</v>
      </c>
      <c r="E3793">
        <v>664</v>
      </c>
      <c r="F3793" t="str">
        <f>HYPERLINK("https://www.google.com/maps/search/?api=1&amp;query=25.24809743,45.22916392", "View Map")</f>
        <v>View Map</v>
      </c>
      <c r="G3793" s="2">
        <v>0.69014712220124064</v>
      </c>
    </row>
    <row r="3794" spans="1:7" x14ac:dyDescent="0.3">
      <c r="A3794" t="s">
        <v>6548</v>
      </c>
      <c r="B3794" t="s">
        <v>6549</v>
      </c>
      <c r="C3794" t="s">
        <v>8</v>
      </c>
      <c r="D3794">
        <v>2.0750000000000002</v>
      </c>
      <c r="E3794">
        <v>664</v>
      </c>
      <c r="F3794" t="str">
        <f>HYPERLINK("https://www.google.com/maps/search/?api=1&amp;query=24.71158805,46.81123478", "View Map")</f>
        <v>View Map</v>
      </c>
    </row>
    <row r="3795" spans="1:7" x14ac:dyDescent="0.3">
      <c r="A3795" t="s">
        <v>6550</v>
      </c>
      <c r="B3795" t="s">
        <v>6551</v>
      </c>
      <c r="C3795" t="s">
        <v>291</v>
      </c>
      <c r="D3795">
        <v>2.0750000000000002</v>
      </c>
      <c r="E3795">
        <v>664</v>
      </c>
      <c r="F3795" t="str">
        <f>HYPERLINK("https://www.google.com/maps/search/?api=1&amp;query=23.78434733,44.80458989", "View Map")</f>
        <v>View Map</v>
      </c>
      <c r="G3795" s="2">
        <v>0.54483646485402248</v>
      </c>
    </row>
    <row r="3796" spans="1:7" x14ac:dyDescent="0.3">
      <c r="A3796" t="s">
        <v>6552</v>
      </c>
      <c r="B3796" t="s">
        <v>6553</v>
      </c>
      <c r="C3796" t="s">
        <v>255</v>
      </c>
      <c r="D3796">
        <v>2.0739999999999998</v>
      </c>
      <c r="E3796">
        <v>664</v>
      </c>
      <c r="F3796" t="str">
        <f>HYPERLINK("https://www.google.com/maps/search/?api=1&amp;query=25.21894221,44.60022488", "View Map")</f>
        <v>View Map</v>
      </c>
      <c r="G3796" s="2">
        <v>0.5060354978223276</v>
      </c>
    </row>
    <row r="3797" spans="1:7" x14ac:dyDescent="0.3">
      <c r="A3797" t="s">
        <v>6554</v>
      </c>
      <c r="B3797" t="s">
        <v>6555</v>
      </c>
      <c r="C3797" t="s">
        <v>214</v>
      </c>
      <c r="D3797">
        <v>2.073</v>
      </c>
      <c r="E3797">
        <v>663</v>
      </c>
      <c r="F3797" t="str">
        <f>HYPERLINK("https://www.google.com/maps/search/?api=1&amp;query=25.92681914,45.3922486", "View Map")</f>
        <v>View Map</v>
      </c>
      <c r="G3797" s="2">
        <v>0.5060158085286105</v>
      </c>
    </row>
    <row r="3798" spans="1:7" x14ac:dyDescent="0.3">
      <c r="A3798" t="s">
        <v>1002</v>
      </c>
      <c r="B3798" t="s">
        <v>6556</v>
      </c>
      <c r="C3798" t="s">
        <v>214</v>
      </c>
      <c r="D3798">
        <v>2.073</v>
      </c>
      <c r="E3798">
        <v>663</v>
      </c>
      <c r="F3798" t="str">
        <f>HYPERLINK("https://www.google.com/maps/search/?api=1&amp;query=25.9303779,45.37408238", "View Map")</f>
        <v>View Map</v>
      </c>
      <c r="G3798" s="2">
        <v>0.4411548777836653</v>
      </c>
    </row>
    <row r="3799" spans="1:7" x14ac:dyDescent="0.3">
      <c r="A3799" t="s">
        <v>6557</v>
      </c>
      <c r="B3799" t="s">
        <v>6558</v>
      </c>
      <c r="C3799" t="s">
        <v>8</v>
      </c>
      <c r="D3799">
        <v>2.073</v>
      </c>
      <c r="E3799">
        <v>663</v>
      </c>
      <c r="F3799" t="str">
        <f>HYPERLINK("https://www.google.com/maps/search/?api=1&amp;query=24.70833156,46.62823253", "View Map")</f>
        <v>View Map</v>
      </c>
    </row>
    <row r="3800" spans="1:7" x14ac:dyDescent="0.3">
      <c r="A3800" t="s">
        <v>6559</v>
      </c>
      <c r="B3800" t="s">
        <v>6560</v>
      </c>
      <c r="C3800" t="s">
        <v>214</v>
      </c>
      <c r="D3800">
        <v>2.073</v>
      </c>
      <c r="E3800">
        <v>663</v>
      </c>
      <c r="F3800" t="str">
        <f>HYPERLINK("https://www.google.com/maps/search/?api=1&amp;query=26.63710087,45.27251216", "View Map")</f>
        <v>View Map</v>
      </c>
      <c r="G3800" s="2">
        <v>0.48836898948441171</v>
      </c>
    </row>
    <row r="3801" spans="1:7" x14ac:dyDescent="0.3">
      <c r="A3801" t="s">
        <v>46</v>
      </c>
      <c r="B3801" t="s">
        <v>6561</v>
      </c>
      <c r="C3801" t="s">
        <v>8</v>
      </c>
      <c r="D3801">
        <v>2.073</v>
      </c>
      <c r="E3801">
        <v>663</v>
      </c>
      <c r="F3801" t="str">
        <f>HYPERLINK("https://www.google.com/maps/search/?api=1&amp;query=24.83594,46.65362", "View Map")</f>
        <v>View Map</v>
      </c>
    </row>
    <row r="3802" spans="1:7" x14ac:dyDescent="0.3">
      <c r="A3802" t="s">
        <v>6562</v>
      </c>
      <c r="B3802" t="s">
        <v>6563</v>
      </c>
      <c r="C3802" t="s">
        <v>8</v>
      </c>
      <c r="D3802">
        <v>2.0710000000000002</v>
      </c>
      <c r="E3802">
        <v>663</v>
      </c>
      <c r="F3802" t="str">
        <f>HYPERLINK("https://www.google.com/maps/search/?api=1&amp;query=24.6169311,46.67291103", "View Map")</f>
        <v>View Map</v>
      </c>
      <c r="G3802" s="2">
        <v>0.4177595160693478</v>
      </c>
    </row>
    <row r="3803" spans="1:7" x14ac:dyDescent="0.3">
      <c r="A3803" t="s">
        <v>6564</v>
      </c>
      <c r="B3803" t="s">
        <v>6565</v>
      </c>
      <c r="C3803" t="s">
        <v>8</v>
      </c>
      <c r="D3803">
        <v>2.0710000000000002</v>
      </c>
      <c r="E3803">
        <v>663</v>
      </c>
      <c r="F3803" t="str">
        <f>HYPERLINK("https://www.google.com/maps/search/?api=1&amp;query=24.63134889,46.70200098", "View Map")</f>
        <v>View Map</v>
      </c>
    </row>
    <row r="3804" spans="1:7" x14ac:dyDescent="0.3">
      <c r="A3804" t="s">
        <v>6566</v>
      </c>
      <c r="B3804" t="s">
        <v>6567</v>
      </c>
      <c r="C3804" t="s">
        <v>241</v>
      </c>
      <c r="D3804">
        <v>2.069</v>
      </c>
      <c r="E3804">
        <v>662</v>
      </c>
      <c r="F3804" t="str">
        <f>HYPERLINK("https://www.google.com/maps/search/?api=1&amp;query=20.46789512,44.80063286", "View Map")</f>
        <v>View Map</v>
      </c>
    </row>
    <row r="3805" spans="1:7" x14ac:dyDescent="0.3">
      <c r="A3805" t="s">
        <v>6568</v>
      </c>
      <c r="B3805" t="s">
        <v>6569</v>
      </c>
      <c r="C3805" t="s">
        <v>241</v>
      </c>
      <c r="D3805">
        <v>2.069</v>
      </c>
      <c r="E3805">
        <v>662</v>
      </c>
      <c r="F3805" t="str">
        <f>HYPERLINK("https://www.google.com/maps/search/?api=1&amp;query=20.46356177,44.78095887", "View Map")</f>
        <v>View Map</v>
      </c>
    </row>
    <row r="3806" spans="1:7" x14ac:dyDescent="0.3">
      <c r="A3806" t="s">
        <v>6570</v>
      </c>
      <c r="B3806" t="s">
        <v>6571</v>
      </c>
      <c r="C3806" t="s">
        <v>214</v>
      </c>
      <c r="D3806">
        <v>2.069</v>
      </c>
      <c r="E3806">
        <v>662</v>
      </c>
      <c r="F3806" t="str">
        <f>HYPERLINK("https://www.google.com/maps/search/?api=1&amp;query=25.55685114,45.67757409", "View Map")</f>
        <v>View Map</v>
      </c>
      <c r="G3806" s="2">
        <v>0.47586981830991221</v>
      </c>
    </row>
    <row r="3807" spans="1:7" x14ac:dyDescent="0.3">
      <c r="A3807" t="s">
        <v>4714</v>
      </c>
      <c r="B3807" t="s">
        <v>6572</v>
      </c>
      <c r="C3807" t="s">
        <v>8</v>
      </c>
      <c r="D3807">
        <v>2.0670000000000002</v>
      </c>
      <c r="E3807">
        <v>662</v>
      </c>
      <c r="F3807" t="str">
        <f>HYPERLINK("https://www.google.com/maps/search/?api=1&amp;query=24.64898377,46.72001269", "View Map")</f>
        <v>View Map</v>
      </c>
    </row>
    <row r="3808" spans="1:7" x14ac:dyDescent="0.3">
      <c r="A3808" t="s">
        <v>6573</v>
      </c>
      <c r="B3808" t="s">
        <v>6574</v>
      </c>
      <c r="C3808" t="s">
        <v>291</v>
      </c>
      <c r="D3808">
        <v>2.0670000000000002</v>
      </c>
      <c r="E3808">
        <v>662</v>
      </c>
      <c r="F3808" t="str">
        <f>HYPERLINK("https://www.google.com/maps/search/?api=1&amp;query=24.37875255,45.32935555", "View Map")</f>
        <v>View Map</v>
      </c>
      <c r="G3808" s="2">
        <v>0.72801496848518876</v>
      </c>
    </row>
    <row r="3809" spans="1:7" x14ac:dyDescent="0.3">
      <c r="A3809" t="s">
        <v>6575</v>
      </c>
      <c r="B3809" t="s">
        <v>6576</v>
      </c>
      <c r="C3809" t="s">
        <v>8</v>
      </c>
      <c r="D3809">
        <v>2.0670000000000002</v>
      </c>
      <c r="E3809">
        <v>661</v>
      </c>
      <c r="F3809" t="str">
        <f>HYPERLINK("https://www.google.com/maps/search/?api=1&amp;query=24.6750148,46.73600694", "View Map")</f>
        <v>View Map</v>
      </c>
    </row>
    <row r="3810" spans="1:7" x14ac:dyDescent="0.3">
      <c r="A3810" t="s">
        <v>6577</v>
      </c>
      <c r="B3810" t="s">
        <v>6578</v>
      </c>
      <c r="C3810" t="s">
        <v>8</v>
      </c>
      <c r="D3810">
        <v>2.0659999999999998</v>
      </c>
      <c r="E3810">
        <v>661</v>
      </c>
      <c r="F3810" t="str">
        <f>HYPERLINK("https://www.google.com/maps/search/?api=1&amp;query=24.65453364,46.73960911", "View Map")</f>
        <v>View Map</v>
      </c>
    </row>
    <row r="3811" spans="1:7" x14ac:dyDescent="0.3">
      <c r="A3811" t="s">
        <v>6579</v>
      </c>
      <c r="B3811" t="s">
        <v>6580</v>
      </c>
      <c r="C3811" t="s">
        <v>8</v>
      </c>
      <c r="D3811">
        <v>2.0649999999999999</v>
      </c>
      <c r="E3811">
        <v>661</v>
      </c>
      <c r="F3811" t="str">
        <f>HYPERLINK("https://www.google.com/maps/search/?api=1&amp;query=24.57743291,46.61506174", "View Map")</f>
        <v>View Map</v>
      </c>
    </row>
    <row r="3812" spans="1:7" x14ac:dyDescent="0.3">
      <c r="A3812" t="s">
        <v>6581</v>
      </c>
      <c r="B3812" t="s">
        <v>6582</v>
      </c>
      <c r="C3812" t="s">
        <v>241</v>
      </c>
      <c r="D3812">
        <v>2.0640000000000001</v>
      </c>
      <c r="E3812">
        <v>660</v>
      </c>
      <c r="F3812" t="str">
        <f>HYPERLINK("https://www.google.com/maps/search/?api=1&amp;query=20.45253831,44.76353601", "View Map")</f>
        <v>View Map</v>
      </c>
    </row>
    <row r="3813" spans="1:7" x14ac:dyDescent="0.3">
      <c r="A3813" t="s">
        <v>242</v>
      </c>
      <c r="B3813" t="s">
        <v>6583</v>
      </c>
      <c r="C3813" t="s">
        <v>8</v>
      </c>
      <c r="D3813">
        <v>2.0640000000000001</v>
      </c>
      <c r="E3813">
        <v>661</v>
      </c>
      <c r="F3813" t="str">
        <f>HYPERLINK("https://www.google.com/maps/search/?api=1&amp;query=24.78303832,46.82619822", "View Map")</f>
        <v>View Map</v>
      </c>
    </row>
    <row r="3814" spans="1:7" x14ac:dyDescent="0.3">
      <c r="A3814" t="s">
        <v>6584</v>
      </c>
      <c r="B3814" t="s">
        <v>6585</v>
      </c>
      <c r="C3814" t="s">
        <v>8</v>
      </c>
      <c r="D3814">
        <v>2.0609999999999999</v>
      </c>
      <c r="E3814">
        <v>660</v>
      </c>
      <c r="F3814" t="str">
        <f>HYPERLINK("https://www.google.com/maps/search/?api=1&amp;query=24.73495996,46.82072804", "View Map")</f>
        <v>View Map</v>
      </c>
    </row>
    <row r="3815" spans="1:7" x14ac:dyDescent="0.3">
      <c r="A3815" t="s">
        <v>6586</v>
      </c>
      <c r="B3815" t="s">
        <v>6587</v>
      </c>
      <c r="C3815" t="s">
        <v>296</v>
      </c>
      <c r="D3815">
        <v>2.0609999999999999</v>
      </c>
      <c r="E3815">
        <v>659</v>
      </c>
      <c r="F3815" t="str">
        <f>HYPERLINK("https://www.google.com/maps/search/?api=1&amp;query=24.48362796,46.27811323", "View Map")</f>
        <v>View Map</v>
      </c>
      <c r="G3815" s="2">
        <v>0.53299505913472123</v>
      </c>
    </row>
    <row r="3816" spans="1:7" x14ac:dyDescent="0.3">
      <c r="A3816" t="s">
        <v>5983</v>
      </c>
      <c r="B3816" t="s">
        <v>6588</v>
      </c>
      <c r="C3816" t="s">
        <v>8</v>
      </c>
      <c r="D3816">
        <v>2.06</v>
      </c>
      <c r="E3816">
        <v>659</v>
      </c>
      <c r="F3816" t="str">
        <f>HYPERLINK("https://www.google.com/maps/search/?api=1&amp;query=24.80180841,46.60646104", "View Map")</f>
        <v>View Map</v>
      </c>
      <c r="G3816" s="2">
        <v>0.22828389868587259</v>
      </c>
    </row>
    <row r="3817" spans="1:7" x14ac:dyDescent="0.3">
      <c r="A3817" t="s">
        <v>46</v>
      </c>
      <c r="B3817" t="s">
        <v>6589</v>
      </c>
      <c r="C3817" t="s">
        <v>8</v>
      </c>
      <c r="D3817">
        <v>2.06</v>
      </c>
      <c r="E3817">
        <v>659</v>
      </c>
      <c r="F3817" t="str">
        <f>HYPERLINK("https://www.google.com/maps/search/?api=1&amp;query=24.55498659,46.77619899", "View Map")</f>
        <v>View Map</v>
      </c>
    </row>
    <row r="3818" spans="1:7" x14ac:dyDescent="0.3">
      <c r="A3818" t="s">
        <v>6590</v>
      </c>
      <c r="B3818" t="s">
        <v>6591</v>
      </c>
      <c r="C3818" t="s">
        <v>8</v>
      </c>
      <c r="D3818">
        <v>2.0590000000000002</v>
      </c>
      <c r="E3818">
        <v>659</v>
      </c>
      <c r="F3818" t="str">
        <f>HYPERLINK("https://www.google.com/maps/search/?api=1&amp;query=24.70235429,46.77728484", "View Map")</f>
        <v>View Map</v>
      </c>
    </row>
    <row r="3819" spans="1:7" x14ac:dyDescent="0.3">
      <c r="A3819" t="s">
        <v>289</v>
      </c>
      <c r="B3819" t="s">
        <v>6592</v>
      </c>
      <c r="C3819" t="s">
        <v>291</v>
      </c>
      <c r="D3819">
        <v>2.0590000000000002</v>
      </c>
      <c r="E3819">
        <v>659</v>
      </c>
      <c r="F3819" t="str">
        <f>HYPERLINK("https://www.google.com/maps/search/?api=1&amp;query=24.08073409,45.30910952", "View Map")</f>
        <v>View Map</v>
      </c>
      <c r="G3819" s="2">
        <v>0.59423854099847762</v>
      </c>
    </row>
    <row r="3820" spans="1:7" x14ac:dyDescent="0.3">
      <c r="A3820" t="s">
        <v>6593</v>
      </c>
      <c r="B3820" t="s">
        <v>6594</v>
      </c>
      <c r="C3820" t="s">
        <v>8</v>
      </c>
      <c r="D3820">
        <v>2.0590000000000002</v>
      </c>
      <c r="E3820">
        <v>659</v>
      </c>
      <c r="F3820" t="str">
        <f>HYPERLINK("https://www.google.com/maps/search/?api=1&amp;query=24.69974256,46.81331548", "View Map")</f>
        <v>View Map</v>
      </c>
      <c r="G3820" s="2">
        <v>0.43724631871792891</v>
      </c>
    </row>
    <row r="3821" spans="1:7" x14ac:dyDescent="0.3">
      <c r="A3821" t="s">
        <v>6595</v>
      </c>
      <c r="B3821" t="s">
        <v>6596</v>
      </c>
      <c r="C3821" t="s">
        <v>77</v>
      </c>
      <c r="D3821">
        <v>2.0579999999999998</v>
      </c>
      <c r="E3821">
        <v>658</v>
      </c>
      <c r="F3821" t="str">
        <f>HYPERLINK("https://www.google.com/maps/search/?api=1&amp;query=22.43631998,46.18400359", "View Map")</f>
        <v>View Map</v>
      </c>
      <c r="G3821" s="2">
        <v>0.6716616776729416</v>
      </c>
    </row>
    <row r="3822" spans="1:7" x14ac:dyDescent="0.3">
      <c r="A3822" t="s">
        <v>6597</v>
      </c>
      <c r="B3822" t="s">
        <v>6598</v>
      </c>
      <c r="C3822" t="s">
        <v>8</v>
      </c>
      <c r="D3822">
        <v>2.0579999999999998</v>
      </c>
      <c r="E3822">
        <v>659</v>
      </c>
      <c r="F3822" t="str">
        <f>HYPERLINK("https://www.google.com/maps/search/?api=1&amp;query=24.65746489,46.82236998", "View Map")</f>
        <v>View Map</v>
      </c>
    </row>
    <row r="3823" spans="1:7" x14ac:dyDescent="0.3">
      <c r="A3823" t="s">
        <v>6599</v>
      </c>
      <c r="B3823" t="s">
        <v>6600</v>
      </c>
      <c r="C3823" t="s">
        <v>8</v>
      </c>
      <c r="D3823">
        <v>2.0579999999999998</v>
      </c>
      <c r="E3823">
        <v>659</v>
      </c>
      <c r="F3823" t="str">
        <f>HYPERLINK("https://www.google.com/maps/search/?api=1&amp;query=24.62006556,46.72786876", "View Map")</f>
        <v>View Map</v>
      </c>
    </row>
    <row r="3824" spans="1:7" x14ac:dyDescent="0.3">
      <c r="A3824" t="s">
        <v>6601</v>
      </c>
      <c r="B3824" t="s">
        <v>6602</v>
      </c>
      <c r="C3824" t="s">
        <v>8</v>
      </c>
      <c r="D3824">
        <v>2.0579999999999998</v>
      </c>
      <c r="E3824">
        <v>659</v>
      </c>
      <c r="F3824" t="str">
        <f>HYPERLINK("https://www.google.com/maps/search/?api=1&amp;query=24.74523668,46.69850195", "View Map")</f>
        <v>View Map</v>
      </c>
    </row>
    <row r="3825" spans="1:7" x14ac:dyDescent="0.3">
      <c r="A3825" t="s">
        <v>6603</v>
      </c>
      <c r="B3825" t="s">
        <v>6604</v>
      </c>
      <c r="C3825" t="s">
        <v>8</v>
      </c>
      <c r="D3825">
        <v>2.0569999999999999</v>
      </c>
      <c r="E3825">
        <v>658</v>
      </c>
      <c r="F3825" t="str">
        <f>HYPERLINK("https://www.google.com/maps/search/?api=1&amp;query=24.61734424,46.71565425", "View Map")</f>
        <v>View Map</v>
      </c>
    </row>
    <row r="3826" spans="1:7" x14ac:dyDescent="0.3">
      <c r="A3826" t="s">
        <v>6605</v>
      </c>
      <c r="B3826" t="s">
        <v>6606</v>
      </c>
      <c r="C3826" t="s">
        <v>255</v>
      </c>
      <c r="D3826">
        <v>2.0569999999999999</v>
      </c>
      <c r="E3826">
        <v>658</v>
      </c>
      <c r="F3826" t="str">
        <f>HYPERLINK("https://www.google.com/maps/search/?api=1&amp;query=24.46623982,44.35806758", "View Map")</f>
        <v>View Map</v>
      </c>
      <c r="G3826" s="2">
        <v>0.74133754236559002</v>
      </c>
    </row>
    <row r="3827" spans="1:7" x14ac:dyDescent="0.3">
      <c r="A3827" t="s">
        <v>6607</v>
      </c>
      <c r="B3827" t="s">
        <v>6608</v>
      </c>
      <c r="C3827" t="s">
        <v>8</v>
      </c>
      <c r="D3827">
        <v>2.0569999999999999</v>
      </c>
      <c r="E3827">
        <v>658</v>
      </c>
      <c r="F3827" t="str">
        <f>HYPERLINK("https://www.google.com/maps/search/?api=1&amp;query=24.60888921,46.60308595", "View Map")</f>
        <v>View Map</v>
      </c>
    </row>
    <row r="3828" spans="1:7" x14ac:dyDescent="0.3">
      <c r="A3828" t="s">
        <v>6609</v>
      </c>
      <c r="B3828" t="s">
        <v>6610</v>
      </c>
      <c r="C3828" t="s">
        <v>883</v>
      </c>
      <c r="D3828">
        <v>2.056</v>
      </c>
      <c r="E3828">
        <v>658</v>
      </c>
      <c r="F3828" t="str">
        <f>HYPERLINK("https://www.google.com/maps/search/?api=1&amp;query=25.55411565,47.16795281", "View Map")</f>
        <v>View Map</v>
      </c>
    </row>
    <row r="3829" spans="1:7" x14ac:dyDescent="0.3">
      <c r="A3829" t="s">
        <v>6611</v>
      </c>
      <c r="B3829" t="s">
        <v>6612</v>
      </c>
      <c r="C3829" t="s">
        <v>8</v>
      </c>
      <c r="D3829">
        <v>2.0550000000000002</v>
      </c>
      <c r="E3829">
        <v>658</v>
      </c>
      <c r="F3829" t="str">
        <f>HYPERLINK("https://www.google.com/maps/search/?api=1&amp;query=24.58271887,46.62109676", "View Map")</f>
        <v>View Map</v>
      </c>
    </row>
    <row r="3830" spans="1:7" x14ac:dyDescent="0.3">
      <c r="A3830" t="s">
        <v>6613</v>
      </c>
      <c r="B3830" t="s">
        <v>6614</v>
      </c>
      <c r="C3830" t="s">
        <v>8</v>
      </c>
      <c r="D3830">
        <v>2.0550000000000002</v>
      </c>
      <c r="E3830">
        <v>658</v>
      </c>
      <c r="F3830" t="str">
        <f>HYPERLINK("https://www.google.com/maps/search/?api=1&amp;query=24.82287554,46.8130742", "View Map")</f>
        <v>View Map</v>
      </c>
    </row>
    <row r="3831" spans="1:7" x14ac:dyDescent="0.3">
      <c r="A3831" t="s">
        <v>46</v>
      </c>
      <c r="B3831" t="s">
        <v>6615</v>
      </c>
      <c r="C3831" t="s">
        <v>8</v>
      </c>
      <c r="D3831">
        <v>2.0539999999999998</v>
      </c>
      <c r="E3831">
        <v>657</v>
      </c>
      <c r="F3831" t="str">
        <f>HYPERLINK("https://www.google.com/maps/search/?api=1&amp;query=24.68883198,46.60036037", "View Map")</f>
        <v>View Map</v>
      </c>
      <c r="G3831" s="2">
        <v>0.26359245608984322</v>
      </c>
    </row>
    <row r="3832" spans="1:7" x14ac:dyDescent="0.3">
      <c r="A3832" t="s">
        <v>46</v>
      </c>
      <c r="B3832" t="s">
        <v>6616</v>
      </c>
      <c r="C3832" t="s">
        <v>8</v>
      </c>
      <c r="D3832">
        <v>2.0539999999999998</v>
      </c>
      <c r="E3832">
        <v>657</v>
      </c>
      <c r="F3832" t="str">
        <f>HYPERLINK("https://www.google.com/maps/search/?api=1&amp;query=24.83657073,46.74370043", "View Map")</f>
        <v>View Map</v>
      </c>
    </row>
    <row r="3833" spans="1:7" x14ac:dyDescent="0.3">
      <c r="A3833" t="s">
        <v>2053</v>
      </c>
      <c r="B3833" t="s">
        <v>6617</v>
      </c>
      <c r="C3833" t="s">
        <v>8</v>
      </c>
      <c r="D3833">
        <v>2.0529999999999999</v>
      </c>
      <c r="E3833">
        <v>657</v>
      </c>
      <c r="F3833" t="str">
        <f>HYPERLINK("https://www.google.com/maps/search/?api=1&amp;query=24.67876933,46.80289551", "View Map")</f>
        <v>View Map</v>
      </c>
    </row>
    <row r="3834" spans="1:7" x14ac:dyDescent="0.3">
      <c r="A3834" t="s">
        <v>6618</v>
      </c>
      <c r="B3834" t="s">
        <v>6619</v>
      </c>
      <c r="C3834" t="s">
        <v>21</v>
      </c>
      <c r="D3834">
        <v>2.0510000000000002</v>
      </c>
      <c r="E3834">
        <v>656</v>
      </c>
      <c r="F3834" t="str">
        <f>HYPERLINK("https://www.google.com/maps/search/?api=1&amp;query=26.33304927,44.81823926", "View Map")</f>
        <v>View Map</v>
      </c>
      <c r="G3834" s="2">
        <v>0.59775998831190125</v>
      </c>
    </row>
    <row r="3835" spans="1:7" x14ac:dyDescent="0.3">
      <c r="A3835" t="s">
        <v>6620</v>
      </c>
      <c r="B3835" t="s">
        <v>6621</v>
      </c>
      <c r="C3835" t="s">
        <v>8</v>
      </c>
      <c r="D3835">
        <v>2.0499999999999998</v>
      </c>
      <c r="E3835">
        <v>656</v>
      </c>
      <c r="F3835" t="str">
        <f>HYPERLINK("https://www.google.com/maps/search/?api=1&amp;query=24.55440887,46.70699337", "View Map")</f>
        <v>View Map</v>
      </c>
    </row>
    <row r="3836" spans="1:7" x14ac:dyDescent="0.3">
      <c r="A3836" t="s">
        <v>6622</v>
      </c>
      <c r="B3836" t="s">
        <v>6623</v>
      </c>
      <c r="C3836" t="s">
        <v>214</v>
      </c>
      <c r="D3836">
        <v>2.0499999999999998</v>
      </c>
      <c r="E3836">
        <v>656</v>
      </c>
      <c r="F3836" t="str">
        <f>HYPERLINK("https://www.google.com/maps/search/?api=1&amp;query=25.71144779,45.86356953", "View Map")</f>
        <v>View Map</v>
      </c>
      <c r="G3836" s="2">
        <v>0.64006726608781761</v>
      </c>
    </row>
    <row r="3837" spans="1:7" x14ac:dyDescent="0.3">
      <c r="A3837" t="s">
        <v>1234</v>
      </c>
      <c r="B3837" t="s">
        <v>6624</v>
      </c>
      <c r="C3837" t="s">
        <v>77</v>
      </c>
      <c r="D3837">
        <v>2.0499999999999998</v>
      </c>
      <c r="E3837">
        <v>656</v>
      </c>
      <c r="F3837" t="str">
        <f>HYPERLINK("https://www.google.com/maps/search/?api=1&amp;query=22.29285338,46.71552439", "View Map")</f>
        <v>View Map</v>
      </c>
    </row>
    <row r="3838" spans="1:7" x14ac:dyDescent="0.3">
      <c r="A3838" t="s">
        <v>6625</v>
      </c>
      <c r="B3838" t="s">
        <v>6626</v>
      </c>
      <c r="C3838" t="s">
        <v>255</v>
      </c>
      <c r="D3838">
        <v>2.0489999999999999</v>
      </c>
      <c r="E3838">
        <v>656</v>
      </c>
      <c r="F3838" t="str">
        <f>HYPERLINK("https://www.google.com/maps/search/?api=1&amp;query=24.45988799,44.35890947", "View Map")</f>
        <v>View Map</v>
      </c>
      <c r="G3838" s="2">
        <v>0.52805287383434973</v>
      </c>
    </row>
    <row r="3839" spans="1:7" x14ac:dyDescent="0.3">
      <c r="A3839" t="s">
        <v>6627</v>
      </c>
      <c r="B3839" t="s">
        <v>6628</v>
      </c>
      <c r="C3839" t="s">
        <v>296</v>
      </c>
      <c r="D3839">
        <v>2.0489999999999999</v>
      </c>
      <c r="E3839">
        <v>656</v>
      </c>
      <c r="F3839" t="str">
        <f>HYPERLINK("https://www.google.com/maps/search/?api=1&amp;query=24.47820756,46.26500681", "View Map")</f>
        <v>View Map</v>
      </c>
      <c r="G3839" s="2">
        <v>0.41576185410529293</v>
      </c>
    </row>
    <row r="3840" spans="1:7" x14ac:dyDescent="0.3">
      <c r="A3840" t="s">
        <v>6629</v>
      </c>
      <c r="B3840" t="s">
        <v>6630</v>
      </c>
      <c r="C3840" t="s">
        <v>255</v>
      </c>
      <c r="D3840">
        <v>2.0489999999999999</v>
      </c>
      <c r="E3840">
        <v>656</v>
      </c>
      <c r="F3840" t="str">
        <f>HYPERLINK("https://www.google.com/maps/search/?api=1&amp;query=24.70100767,44.2950344", "View Map")</f>
        <v>View Map</v>
      </c>
      <c r="G3840" s="2">
        <v>0.48639482473802098</v>
      </c>
    </row>
    <row r="3841" spans="1:7" x14ac:dyDescent="0.3">
      <c r="A3841" t="s">
        <v>6631</v>
      </c>
      <c r="B3841" t="s">
        <v>6632</v>
      </c>
      <c r="C3841" t="s">
        <v>8</v>
      </c>
      <c r="D3841">
        <v>2.048</v>
      </c>
      <c r="E3841">
        <v>655</v>
      </c>
      <c r="F3841" t="str">
        <f>HYPERLINK("https://www.google.com/maps/search/?api=1&amp;query=24.80822147,46.63582073", "View Map")</f>
        <v>View Map</v>
      </c>
    </row>
    <row r="3842" spans="1:7" x14ac:dyDescent="0.3">
      <c r="A3842" t="s">
        <v>73</v>
      </c>
      <c r="B3842" t="s">
        <v>6633</v>
      </c>
      <c r="C3842" t="s">
        <v>8</v>
      </c>
      <c r="D3842">
        <v>2.0459999999999998</v>
      </c>
      <c r="E3842">
        <v>655</v>
      </c>
      <c r="F3842" t="str">
        <f>HYPERLINK("https://www.google.com/maps/search/?api=1&amp;query=24.83177614,46.68945504", "View Map")</f>
        <v>View Map</v>
      </c>
    </row>
    <row r="3843" spans="1:7" x14ac:dyDescent="0.3">
      <c r="A3843" t="s">
        <v>6634</v>
      </c>
      <c r="B3843" t="s">
        <v>6635</v>
      </c>
      <c r="C3843" t="s">
        <v>270</v>
      </c>
      <c r="D3843">
        <v>2.044</v>
      </c>
      <c r="E3843">
        <v>654</v>
      </c>
      <c r="F3843" t="str">
        <f>HYPERLINK("https://www.google.com/maps/search/?api=1&amp;query=23.97992439,47.15317113", "View Map")</f>
        <v>View Map</v>
      </c>
      <c r="G3843" s="2">
        <v>0.36088473841560659</v>
      </c>
    </row>
    <row r="3844" spans="1:7" x14ac:dyDescent="0.3">
      <c r="A3844" t="s">
        <v>146</v>
      </c>
      <c r="B3844" t="s">
        <v>6636</v>
      </c>
      <c r="C3844" t="s">
        <v>8</v>
      </c>
      <c r="D3844">
        <v>2.044</v>
      </c>
      <c r="E3844">
        <v>654</v>
      </c>
      <c r="F3844" t="str">
        <f>HYPERLINK("https://www.google.com/maps/search/?api=1&amp;query=24.50511626,46.63291877", "View Map")</f>
        <v>View Map</v>
      </c>
    </row>
    <row r="3845" spans="1:7" x14ac:dyDescent="0.3">
      <c r="A3845" t="s">
        <v>150</v>
      </c>
      <c r="B3845" t="s">
        <v>6637</v>
      </c>
      <c r="C3845" t="s">
        <v>8</v>
      </c>
      <c r="D3845">
        <v>2.044</v>
      </c>
      <c r="E3845">
        <v>654</v>
      </c>
      <c r="F3845" t="str">
        <f>HYPERLINK("https://www.google.com/maps/search/?api=1&amp;query=24.76576978,46.80191706", "View Map")</f>
        <v>View Map</v>
      </c>
    </row>
    <row r="3846" spans="1:7" x14ac:dyDescent="0.3">
      <c r="A3846" t="s">
        <v>46</v>
      </c>
      <c r="B3846" t="s">
        <v>6638</v>
      </c>
      <c r="C3846" t="s">
        <v>8</v>
      </c>
      <c r="D3846">
        <v>2.044</v>
      </c>
      <c r="E3846">
        <v>654</v>
      </c>
      <c r="F3846" t="str">
        <f>HYPERLINK("https://www.google.com/maps/search/?api=1&amp;query=24.6067,46.5183", "View Map")</f>
        <v>View Map</v>
      </c>
    </row>
    <row r="3847" spans="1:7" x14ac:dyDescent="0.3">
      <c r="A3847" t="s">
        <v>6639</v>
      </c>
      <c r="B3847" t="s">
        <v>6640</v>
      </c>
      <c r="C3847" t="s">
        <v>8</v>
      </c>
      <c r="D3847">
        <v>2.0430000000000001</v>
      </c>
      <c r="E3847">
        <v>654</v>
      </c>
      <c r="F3847" t="str">
        <f>HYPERLINK("https://www.google.com/maps/search/?api=1&amp;query=24.76882868,46.68191664", "View Map")</f>
        <v>View Map</v>
      </c>
    </row>
    <row r="3848" spans="1:7" x14ac:dyDescent="0.3">
      <c r="A3848" t="s">
        <v>6641</v>
      </c>
      <c r="B3848" t="s">
        <v>6642</v>
      </c>
      <c r="C3848" t="s">
        <v>8</v>
      </c>
      <c r="D3848">
        <v>2.0430000000000001</v>
      </c>
      <c r="E3848">
        <v>654</v>
      </c>
      <c r="F3848" t="str">
        <f>HYPERLINK("https://www.google.com/maps/search/?api=1&amp;query=24.57915467,46.57371744", "View Map")</f>
        <v>View Map</v>
      </c>
    </row>
    <row r="3849" spans="1:7" x14ac:dyDescent="0.3">
      <c r="A3849" t="s">
        <v>6643</v>
      </c>
      <c r="B3849" t="s">
        <v>6644</v>
      </c>
      <c r="C3849" t="s">
        <v>8</v>
      </c>
      <c r="D3849">
        <v>2.0419999999999998</v>
      </c>
      <c r="E3849">
        <v>653</v>
      </c>
      <c r="F3849" t="str">
        <f>HYPERLINK("https://www.google.com/maps/search/?api=1&amp;query=24.58303811,46.63715282", "View Map")</f>
        <v>View Map</v>
      </c>
    </row>
    <row r="3850" spans="1:7" x14ac:dyDescent="0.3">
      <c r="A3850" t="s">
        <v>6645</v>
      </c>
      <c r="B3850" t="s">
        <v>6646</v>
      </c>
      <c r="C3850" t="s">
        <v>8</v>
      </c>
      <c r="D3850">
        <v>2.0419999999999998</v>
      </c>
      <c r="E3850">
        <v>653</v>
      </c>
      <c r="F3850" t="str">
        <f>HYPERLINK("https://www.google.com/maps/search/?api=1&amp;query=24.54561656,46.65427932", "View Map")</f>
        <v>View Map</v>
      </c>
    </row>
    <row r="3851" spans="1:7" x14ac:dyDescent="0.3">
      <c r="A3851" t="s">
        <v>6647</v>
      </c>
      <c r="B3851" t="s">
        <v>6648</v>
      </c>
      <c r="C3851" t="s">
        <v>8</v>
      </c>
      <c r="D3851">
        <v>2.0419999999999998</v>
      </c>
      <c r="E3851">
        <v>653</v>
      </c>
      <c r="F3851" t="str">
        <f>HYPERLINK("https://www.google.com/maps/search/?api=1&amp;query=24.73456321,46.81040083", "View Map")</f>
        <v>View Map</v>
      </c>
    </row>
    <row r="3852" spans="1:7" x14ac:dyDescent="0.3">
      <c r="A3852" t="s">
        <v>6649</v>
      </c>
      <c r="B3852" t="s">
        <v>6650</v>
      </c>
      <c r="C3852" t="s">
        <v>291</v>
      </c>
      <c r="D3852">
        <v>2.04</v>
      </c>
      <c r="E3852">
        <v>653</v>
      </c>
      <c r="F3852" t="str">
        <f>HYPERLINK("https://www.google.com/maps/search/?api=1&amp;query=23.25306255,44.64946744", "View Map")</f>
        <v>View Map</v>
      </c>
    </row>
    <row r="3853" spans="1:7" x14ac:dyDescent="0.3">
      <c r="A3853" t="s">
        <v>6651</v>
      </c>
      <c r="B3853" t="s">
        <v>6652</v>
      </c>
      <c r="C3853" t="s">
        <v>286</v>
      </c>
      <c r="D3853">
        <v>2.04</v>
      </c>
      <c r="E3853">
        <v>653</v>
      </c>
      <c r="F3853" t="str">
        <f>HYPERLINK("https://www.google.com/maps/search/?api=1&amp;query=25.24692982,45.25864217", "View Map")</f>
        <v>View Map</v>
      </c>
    </row>
    <row r="3854" spans="1:7" x14ac:dyDescent="0.3">
      <c r="A3854" t="s">
        <v>150</v>
      </c>
      <c r="B3854" t="s">
        <v>6653</v>
      </c>
      <c r="C3854" t="s">
        <v>8</v>
      </c>
      <c r="D3854">
        <v>2.04</v>
      </c>
      <c r="E3854">
        <v>653</v>
      </c>
      <c r="F3854" t="str">
        <f>HYPERLINK("https://www.google.com/maps/search/?api=1&amp;query=24.77403814,46.82981711", "View Map")</f>
        <v>View Map</v>
      </c>
    </row>
    <row r="3855" spans="1:7" x14ac:dyDescent="0.3">
      <c r="A3855" t="s">
        <v>6654</v>
      </c>
      <c r="B3855" t="s">
        <v>6655</v>
      </c>
      <c r="C3855" t="s">
        <v>8</v>
      </c>
      <c r="D3855">
        <v>2.0390000000000001</v>
      </c>
      <c r="E3855">
        <v>652</v>
      </c>
      <c r="F3855" t="str">
        <f>HYPERLINK("https://www.google.com/maps/search/?api=1&amp;query=24.61477591,46.68814778", "View Map")</f>
        <v>View Map</v>
      </c>
    </row>
    <row r="3856" spans="1:7" x14ac:dyDescent="0.3">
      <c r="A3856" t="s">
        <v>6656</v>
      </c>
      <c r="B3856" t="s">
        <v>6657</v>
      </c>
      <c r="C3856" t="s">
        <v>8</v>
      </c>
      <c r="D3856">
        <v>2.0379999999999998</v>
      </c>
      <c r="E3856">
        <v>652</v>
      </c>
      <c r="F3856" t="str">
        <f>HYPERLINK("https://www.google.com/maps/search/?api=1&amp;query=24.77765317,46.74949017", "View Map")</f>
        <v>View Map</v>
      </c>
    </row>
    <row r="3857" spans="1:7" x14ac:dyDescent="0.3">
      <c r="A3857" t="s">
        <v>4961</v>
      </c>
      <c r="B3857" t="s">
        <v>6658</v>
      </c>
      <c r="C3857" t="s">
        <v>8</v>
      </c>
      <c r="D3857">
        <v>2.0379999999999998</v>
      </c>
      <c r="E3857">
        <v>652</v>
      </c>
      <c r="F3857" t="str">
        <f>HYPERLINK("https://www.google.com/maps/search/?api=1&amp;query=24.62241309,46.76196712", "View Map")</f>
        <v>View Map</v>
      </c>
    </row>
    <row r="3858" spans="1:7" x14ac:dyDescent="0.3">
      <c r="A3858" t="s">
        <v>5093</v>
      </c>
      <c r="B3858" t="s">
        <v>6659</v>
      </c>
      <c r="C3858" t="s">
        <v>255</v>
      </c>
      <c r="D3858">
        <v>2.0379999999999998</v>
      </c>
      <c r="E3858">
        <v>652</v>
      </c>
      <c r="F3858" t="str">
        <f>HYPERLINK("https://www.google.com/maps/search/?api=1&amp;query=24.30176787,43.77260116", "View Map")</f>
        <v>View Map</v>
      </c>
    </row>
    <row r="3859" spans="1:7" x14ac:dyDescent="0.3">
      <c r="A3859" t="s">
        <v>146</v>
      </c>
      <c r="B3859" t="s">
        <v>6660</v>
      </c>
      <c r="C3859" t="s">
        <v>8</v>
      </c>
      <c r="D3859">
        <v>2.0369999999999999</v>
      </c>
      <c r="E3859">
        <v>652</v>
      </c>
      <c r="F3859" t="str">
        <f>HYPERLINK("https://www.google.com/maps/search/?api=1&amp;query=24.56023287,46.74744312", "View Map")</f>
        <v>View Map</v>
      </c>
    </row>
    <row r="3860" spans="1:7" x14ac:dyDescent="0.3">
      <c r="A3860" t="s">
        <v>6661</v>
      </c>
      <c r="B3860" t="s">
        <v>6662</v>
      </c>
      <c r="C3860" t="s">
        <v>291</v>
      </c>
      <c r="D3860">
        <v>2.0369999999999999</v>
      </c>
      <c r="E3860">
        <v>652</v>
      </c>
      <c r="F3860" t="str">
        <f>HYPERLINK("https://www.google.com/maps/search/?api=1&amp;query=24.0494696,45.25228467", "View Map")</f>
        <v>View Map</v>
      </c>
    </row>
    <row r="3861" spans="1:7" x14ac:dyDescent="0.3">
      <c r="A3861" t="s">
        <v>6663</v>
      </c>
      <c r="B3861" t="s">
        <v>6664</v>
      </c>
      <c r="C3861" t="s">
        <v>270</v>
      </c>
      <c r="D3861">
        <v>2.0369999999999999</v>
      </c>
      <c r="E3861">
        <v>652</v>
      </c>
      <c r="F3861" t="str">
        <f>HYPERLINK("https://www.google.com/maps/search/?api=1&amp;query=24.07670621,47.16687189", "View Map")</f>
        <v>View Map</v>
      </c>
    </row>
    <row r="3862" spans="1:7" x14ac:dyDescent="0.3">
      <c r="A3862" t="s">
        <v>6665</v>
      </c>
      <c r="B3862" t="s">
        <v>6666</v>
      </c>
      <c r="C3862" t="s">
        <v>291</v>
      </c>
      <c r="D3862">
        <v>2.036</v>
      </c>
      <c r="E3862">
        <v>652</v>
      </c>
      <c r="F3862" t="str">
        <f>HYPERLINK("https://www.google.com/maps/search/?api=1&amp;query=24.21437039,45.10144483", "View Map")</f>
        <v>View Map</v>
      </c>
      <c r="G3862" s="2">
        <v>0.58694439070881754</v>
      </c>
    </row>
    <row r="3863" spans="1:7" x14ac:dyDescent="0.3">
      <c r="A3863" t="s">
        <v>6667</v>
      </c>
      <c r="B3863" t="s">
        <v>6668</v>
      </c>
      <c r="C3863" t="s">
        <v>8</v>
      </c>
      <c r="D3863">
        <v>2.036</v>
      </c>
      <c r="E3863">
        <v>652</v>
      </c>
      <c r="F3863" t="str">
        <f>HYPERLINK("https://www.google.com/maps/search/?api=1&amp;query=24.67643014,46.80624134", "View Map")</f>
        <v>View Map</v>
      </c>
      <c r="G3863" s="2">
        <v>0.79015815705894932</v>
      </c>
    </row>
    <row r="3864" spans="1:7" x14ac:dyDescent="0.3">
      <c r="A3864" t="s">
        <v>6669</v>
      </c>
      <c r="B3864" t="s">
        <v>6670</v>
      </c>
      <c r="C3864" t="s">
        <v>8</v>
      </c>
      <c r="D3864">
        <v>2.036</v>
      </c>
      <c r="E3864">
        <v>652</v>
      </c>
      <c r="F3864" t="str">
        <f>HYPERLINK("https://www.google.com/maps/search/?api=1&amp;query=24.64700197,46.72518615", "View Map")</f>
        <v>View Map</v>
      </c>
    </row>
    <row r="3865" spans="1:7" x14ac:dyDescent="0.3">
      <c r="A3865" t="s">
        <v>6671</v>
      </c>
      <c r="B3865" t="s">
        <v>6672</v>
      </c>
      <c r="C3865" t="s">
        <v>270</v>
      </c>
      <c r="D3865">
        <v>2.036</v>
      </c>
      <c r="E3865">
        <v>652</v>
      </c>
      <c r="F3865" t="str">
        <f>HYPERLINK("https://www.google.com/maps/search/?api=1&amp;query=24.06035,47.17172", "View Map")</f>
        <v>View Map</v>
      </c>
      <c r="G3865" s="2">
        <v>0.35345152957812548</v>
      </c>
    </row>
    <row r="3866" spans="1:7" x14ac:dyDescent="0.3">
      <c r="A3866" t="s">
        <v>28</v>
      </c>
      <c r="B3866" t="s">
        <v>6673</v>
      </c>
      <c r="C3866" t="s">
        <v>270</v>
      </c>
      <c r="D3866">
        <v>2.0350000000000001</v>
      </c>
      <c r="E3866">
        <v>651</v>
      </c>
      <c r="F3866" t="str">
        <f>HYPERLINK("https://www.google.com/maps/search/?api=1&amp;query=23.93624867,46.81826947", "View Map")</f>
        <v>View Map</v>
      </c>
      <c r="G3866" s="2">
        <v>0.39328895741432918</v>
      </c>
    </row>
    <row r="3867" spans="1:7" x14ac:dyDescent="0.3">
      <c r="A3867" t="s">
        <v>6674</v>
      </c>
      <c r="B3867" t="s">
        <v>6675</v>
      </c>
      <c r="C3867" t="s">
        <v>8</v>
      </c>
      <c r="D3867">
        <v>2.0339999999999998</v>
      </c>
      <c r="E3867">
        <v>651</v>
      </c>
      <c r="F3867" t="str">
        <f>HYPERLINK("https://www.google.com/maps/search/?api=1&amp;query=24.62422479,46.69972783", "View Map")</f>
        <v>View Map</v>
      </c>
    </row>
    <row r="3868" spans="1:7" x14ac:dyDescent="0.3">
      <c r="A3868" t="s">
        <v>46</v>
      </c>
      <c r="B3868" t="s">
        <v>6676</v>
      </c>
      <c r="C3868" t="s">
        <v>8</v>
      </c>
      <c r="D3868">
        <v>2.0339999999999998</v>
      </c>
      <c r="E3868">
        <v>651</v>
      </c>
      <c r="F3868" t="str">
        <f>HYPERLINK("https://www.google.com/maps/search/?api=1&amp;query=24.80150202,46.67652617", "View Map")</f>
        <v>View Map</v>
      </c>
      <c r="G3868" s="2">
        <v>0.59602922835216421</v>
      </c>
    </row>
    <row r="3869" spans="1:7" x14ac:dyDescent="0.3">
      <c r="A3869" t="s">
        <v>6677</v>
      </c>
      <c r="B3869" t="s">
        <v>6678</v>
      </c>
      <c r="C3869" t="s">
        <v>21</v>
      </c>
      <c r="D3869">
        <v>2.0339999999999998</v>
      </c>
      <c r="E3869">
        <v>651</v>
      </c>
      <c r="F3869" t="str">
        <f>HYPERLINK("https://www.google.com/maps/search/?api=1&amp;query=26.2917135,44.84039555", "View Map")</f>
        <v>View Map</v>
      </c>
      <c r="G3869" s="2">
        <v>0.4328324648997246</v>
      </c>
    </row>
    <row r="3870" spans="1:7" x14ac:dyDescent="0.3">
      <c r="A3870" t="s">
        <v>46</v>
      </c>
      <c r="B3870" t="s">
        <v>6679</v>
      </c>
      <c r="C3870" t="s">
        <v>8</v>
      </c>
      <c r="D3870">
        <v>2.0329999999999999</v>
      </c>
      <c r="E3870">
        <v>651</v>
      </c>
      <c r="F3870" t="str">
        <f>HYPERLINK("https://www.google.com/maps/search/?api=1&amp;query=24.91110172,46.6178097", "View Map")</f>
        <v>View Map</v>
      </c>
    </row>
    <row r="3871" spans="1:7" x14ac:dyDescent="0.3">
      <c r="A3871" t="s">
        <v>6680</v>
      </c>
      <c r="B3871" t="s">
        <v>6681</v>
      </c>
      <c r="C3871" t="s">
        <v>8</v>
      </c>
      <c r="D3871">
        <v>2.0329999999999999</v>
      </c>
      <c r="E3871">
        <v>651</v>
      </c>
      <c r="F3871" t="str">
        <f>HYPERLINK("https://www.google.com/maps/search/?api=1&amp;query=24.84327773,46.76685246", "View Map")</f>
        <v>View Map</v>
      </c>
    </row>
    <row r="3872" spans="1:7" x14ac:dyDescent="0.3">
      <c r="A3872" t="s">
        <v>146</v>
      </c>
      <c r="B3872" t="s">
        <v>6682</v>
      </c>
      <c r="C3872" t="s">
        <v>55</v>
      </c>
      <c r="D3872">
        <v>2.032</v>
      </c>
      <c r="E3872">
        <v>650</v>
      </c>
      <c r="F3872" t="str">
        <f>HYPERLINK("https://www.google.com/maps/search/?api=1&amp;query=24.9180013,46.4348035", "View Map")</f>
        <v>View Map</v>
      </c>
      <c r="G3872" s="2">
        <v>0.35103290260149039</v>
      </c>
    </row>
    <row r="3873" spans="1:7" x14ac:dyDescent="0.3">
      <c r="A3873" t="s">
        <v>146</v>
      </c>
      <c r="B3873" t="s">
        <v>6683</v>
      </c>
      <c r="C3873" t="s">
        <v>8</v>
      </c>
      <c r="D3873">
        <v>2.032</v>
      </c>
      <c r="E3873">
        <v>650</v>
      </c>
      <c r="F3873" t="str">
        <f>HYPERLINK("https://www.google.com/maps/search/?api=1&amp;query=24.55923703,46.60960588", "View Map")</f>
        <v>View Map</v>
      </c>
      <c r="G3873" s="2">
        <v>0.3872093561916059</v>
      </c>
    </row>
    <row r="3874" spans="1:7" x14ac:dyDescent="0.3">
      <c r="A3874" t="s">
        <v>6684</v>
      </c>
      <c r="B3874" t="s">
        <v>6685</v>
      </c>
      <c r="C3874" t="s">
        <v>738</v>
      </c>
      <c r="D3874">
        <v>2.0310000000000001</v>
      </c>
      <c r="E3874">
        <v>650</v>
      </c>
      <c r="F3874" t="str">
        <f>HYPERLINK("https://www.google.com/maps/search/?api=1&amp;query=25.1100756,46.09843221", "View Map")</f>
        <v>View Map</v>
      </c>
      <c r="G3874" s="2">
        <v>0.51961411036801253</v>
      </c>
    </row>
    <row r="3875" spans="1:7" x14ac:dyDescent="0.3">
      <c r="A3875" t="s">
        <v>464</v>
      </c>
      <c r="B3875" t="s">
        <v>6686</v>
      </c>
      <c r="C3875" t="s">
        <v>466</v>
      </c>
      <c r="D3875">
        <v>2.0310000000000001</v>
      </c>
      <c r="E3875">
        <v>650</v>
      </c>
      <c r="F3875" t="str">
        <f>HYPERLINK("https://www.google.com/maps/search/?api=1&amp;query=24.66996188,45.91387333", "View Map")</f>
        <v>View Map</v>
      </c>
      <c r="G3875" s="2">
        <v>0.48759990889287802</v>
      </c>
    </row>
    <row r="3876" spans="1:7" x14ac:dyDescent="0.3">
      <c r="A3876" t="s">
        <v>2579</v>
      </c>
      <c r="B3876" t="s">
        <v>6687</v>
      </c>
      <c r="C3876" t="s">
        <v>8</v>
      </c>
      <c r="D3876">
        <v>2.0299999999999998</v>
      </c>
      <c r="E3876">
        <v>650</v>
      </c>
      <c r="F3876" t="str">
        <f>HYPERLINK("https://www.google.com/maps/search/?api=1&amp;query=24.61086386,46.7418818", "View Map")</f>
        <v>View Map</v>
      </c>
    </row>
    <row r="3877" spans="1:7" x14ac:dyDescent="0.3">
      <c r="A3877" t="s">
        <v>6688</v>
      </c>
      <c r="B3877" t="s">
        <v>6689</v>
      </c>
      <c r="C3877" t="s">
        <v>291</v>
      </c>
      <c r="D3877">
        <v>2.0289999999999999</v>
      </c>
      <c r="E3877">
        <v>649</v>
      </c>
      <c r="F3877" t="str">
        <f>HYPERLINK("https://www.google.com/maps/search/?api=1&amp;query=23.22733295,44.69133866", "View Map")</f>
        <v>View Map</v>
      </c>
      <c r="G3877" s="2">
        <v>0.7909185876514695</v>
      </c>
    </row>
    <row r="3878" spans="1:7" x14ac:dyDescent="0.3">
      <c r="A3878" t="s">
        <v>5365</v>
      </c>
      <c r="B3878" t="s">
        <v>6690</v>
      </c>
      <c r="C3878" t="s">
        <v>8</v>
      </c>
      <c r="D3878">
        <v>2.0289999999999999</v>
      </c>
      <c r="E3878">
        <v>649</v>
      </c>
      <c r="F3878" t="str">
        <f>HYPERLINK("https://www.google.com/maps/search/?api=1&amp;query=24.71866892,46.78548782", "View Map")</f>
        <v>View Map</v>
      </c>
      <c r="G3878" s="2">
        <v>0.19441965112893411</v>
      </c>
    </row>
    <row r="3879" spans="1:7" x14ac:dyDescent="0.3">
      <c r="A3879" t="s">
        <v>6691</v>
      </c>
      <c r="B3879" t="s">
        <v>6692</v>
      </c>
      <c r="C3879" t="s">
        <v>8</v>
      </c>
      <c r="D3879">
        <v>2.028</v>
      </c>
      <c r="E3879">
        <v>649</v>
      </c>
      <c r="F3879" t="str">
        <f>HYPERLINK("https://www.google.com/maps/search/?api=1&amp;query=24.78614356,46.69842723", "View Map")</f>
        <v>View Map</v>
      </c>
    </row>
    <row r="3880" spans="1:7" x14ac:dyDescent="0.3">
      <c r="A3880" t="s">
        <v>289</v>
      </c>
      <c r="B3880" t="s">
        <v>6693</v>
      </c>
      <c r="C3880" t="s">
        <v>291</v>
      </c>
      <c r="D3880">
        <v>2.028</v>
      </c>
      <c r="E3880">
        <v>649</v>
      </c>
      <c r="F3880" t="str">
        <f>HYPERLINK("https://www.google.com/maps/search/?api=1&amp;query=24.11082955,45.93596291", "View Map")</f>
        <v>View Map</v>
      </c>
      <c r="G3880" s="2">
        <v>0.8329258770498168</v>
      </c>
    </row>
    <row r="3881" spans="1:7" x14ac:dyDescent="0.3">
      <c r="A3881" t="s">
        <v>6694</v>
      </c>
      <c r="B3881" t="s">
        <v>6695</v>
      </c>
      <c r="C3881" t="s">
        <v>8</v>
      </c>
      <c r="D3881">
        <v>2.0270000000000001</v>
      </c>
      <c r="E3881">
        <v>649</v>
      </c>
      <c r="F3881" t="str">
        <f>HYPERLINK("https://www.google.com/maps/search/?api=1&amp;query=24.64481683,46.6842812", "View Map")</f>
        <v>View Map</v>
      </c>
    </row>
    <row r="3882" spans="1:7" x14ac:dyDescent="0.3">
      <c r="A3882" t="s">
        <v>6696</v>
      </c>
      <c r="B3882" t="s">
        <v>6697</v>
      </c>
      <c r="C3882" t="s">
        <v>8</v>
      </c>
      <c r="D3882">
        <v>2.0270000000000001</v>
      </c>
      <c r="E3882">
        <v>649</v>
      </c>
      <c r="F3882" t="str">
        <f>HYPERLINK("https://www.google.com/maps/search/?api=1&amp;query=24.58642562,46.61800224", "View Map")</f>
        <v>View Map</v>
      </c>
    </row>
    <row r="3883" spans="1:7" x14ac:dyDescent="0.3">
      <c r="A3883" t="s">
        <v>6698</v>
      </c>
      <c r="B3883" t="s">
        <v>6699</v>
      </c>
      <c r="C3883" t="s">
        <v>21</v>
      </c>
      <c r="D3883">
        <v>2.0249999999999999</v>
      </c>
      <c r="E3883">
        <v>648</v>
      </c>
      <c r="F3883" t="str">
        <f>HYPERLINK("https://www.google.com/maps/search/?api=1&amp;query=26.2753872,44.81927616", "View Map")</f>
        <v>View Map</v>
      </c>
      <c r="G3883" s="2">
        <v>0.64648269516065426</v>
      </c>
    </row>
    <row r="3884" spans="1:7" x14ac:dyDescent="0.3">
      <c r="A3884" t="s">
        <v>6700</v>
      </c>
      <c r="B3884" t="s">
        <v>6701</v>
      </c>
      <c r="C3884" t="s">
        <v>8</v>
      </c>
      <c r="D3884">
        <v>2.0249999999999999</v>
      </c>
      <c r="E3884">
        <v>648</v>
      </c>
      <c r="F3884" t="str">
        <f>HYPERLINK("https://www.google.com/maps/search/?api=1&amp;query=24.77974236,46.79705114", "View Map")</f>
        <v>View Map</v>
      </c>
    </row>
    <row r="3885" spans="1:7" x14ac:dyDescent="0.3">
      <c r="A3885" t="s">
        <v>6702</v>
      </c>
      <c r="B3885" t="s">
        <v>6703</v>
      </c>
      <c r="C3885" t="s">
        <v>8</v>
      </c>
      <c r="D3885">
        <v>2.0249999999999999</v>
      </c>
      <c r="E3885">
        <v>648</v>
      </c>
      <c r="F3885" t="str">
        <f>HYPERLINK("https://www.google.com/maps/search/?api=1&amp;query=24.64139843,46.72323201", "View Map")</f>
        <v>View Map</v>
      </c>
    </row>
    <row r="3886" spans="1:7" x14ac:dyDescent="0.3">
      <c r="A3886" t="s">
        <v>6704</v>
      </c>
      <c r="B3886" t="s">
        <v>6705</v>
      </c>
      <c r="C3886" t="s">
        <v>8</v>
      </c>
      <c r="D3886">
        <v>2.0249999999999999</v>
      </c>
      <c r="E3886">
        <v>648</v>
      </c>
      <c r="F3886" t="str">
        <f>HYPERLINK("https://www.google.com/maps/search/?api=1&amp;query=24.67174456,46.80004021", "View Map")</f>
        <v>View Map</v>
      </c>
    </row>
    <row r="3887" spans="1:7" x14ac:dyDescent="0.3">
      <c r="A3887" t="s">
        <v>6706</v>
      </c>
      <c r="B3887" t="s">
        <v>6707</v>
      </c>
      <c r="C3887" t="s">
        <v>393</v>
      </c>
      <c r="D3887">
        <v>2.0249999999999999</v>
      </c>
      <c r="E3887">
        <v>648</v>
      </c>
      <c r="F3887" t="str">
        <f>HYPERLINK("https://www.google.com/maps/search/?api=1&amp;query=22.60686196,44.8777475", "View Map")</f>
        <v>View Map</v>
      </c>
      <c r="G3887" s="2">
        <v>0.64555839296907191</v>
      </c>
    </row>
    <row r="3888" spans="1:7" x14ac:dyDescent="0.3">
      <c r="A3888" t="s">
        <v>6708</v>
      </c>
      <c r="B3888" t="s">
        <v>6709</v>
      </c>
      <c r="C3888" t="s">
        <v>291</v>
      </c>
      <c r="D3888">
        <v>2.024</v>
      </c>
      <c r="E3888">
        <v>648</v>
      </c>
      <c r="F3888" t="str">
        <f>HYPERLINK("https://www.google.com/maps/search/?api=1&amp;query=23.25018693,44.64763903", "View Map")</f>
        <v>View Map</v>
      </c>
      <c r="G3888" s="2">
        <v>0.34472563843973791</v>
      </c>
    </row>
    <row r="3889" spans="1:7" x14ac:dyDescent="0.3">
      <c r="A3889" t="s">
        <v>6710</v>
      </c>
      <c r="B3889" t="s">
        <v>6711</v>
      </c>
      <c r="C3889" t="s">
        <v>8</v>
      </c>
      <c r="D3889">
        <v>2.0230000000000001</v>
      </c>
      <c r="E3889">
        <v>647</v>
      </c>
      <c r="F3889" t="str">
        <f>HYPERLINK("https://www.google.com/maps/search/?api=1&amp;query=24.6261,46.6639", "View Map")</f>
        <v>View Map</v>
      </c>
    </row>
    <row r="3890" spans="1:7" x14ac:dyDescent="0.3">
      <c r="A3890" t="s">
        <v>6712</v>
      </c>
      <c r="B3890" t="s">
        <v>6713</v>
      </c>
      <c r="C3890" t="s">
        <v>8</v>
      </c>
      <c r="D3890">
        <v>2.0219999999999998</v>
      </c>
      <c r="E3890">
        <v>647</v>
      </c>
      <c r="F3890" t="str">
        <f>HYPERLINK("https://www.google.com/maps/search/?api=1&amp;query=24.56899602,46.68132863", "View Map")</f>
        <v>View Map</v>
      </c>
    </row>
    <row r="3891" spans="1:7" x14ac:dyDescent="0.3">
      <c r="A3891" t="s">
        <v>6714</v>
      </c>
      <c r="B3891" t="s">
        <v>6715</v>
      </c>
      <c r="C3891" t="s">
        <v>214</v>
      </c>
      <c r="D3891">
        <v>2.0209999999999999</v>
      </c>
      <c r="E3891">
        <v>647</v>
      </c>
      <c r="F3891" t="str">
        <f>HYPERLINK("https://www.google.com/maps/search/?api=1&amp;query=25.59876062,45.8003712", "View Map")</f>
        <v>View Map</v>
      </c>
    </row>
    <row r="3892" spans="1:7" x14ac:dyDescent="0.3">
      <c r="A3892" t="s">
        <v>1251</v>
      </c>
      <c r="B3892" t="s">
        <v>6716</v>
      </c>
      <c r="C3892" t="s">
        <v>8</v>
      </c>
      <c r="D3892">
        <v>2.0209999999999999</v>
      </c>
      <c r="E3892">
        <v>647</v>
      </c>
      <c r="F3892" t="str">
        <f>HYPERLINK("https://www.google.com/maps/search/?api=1&amp;query=24.65144175,46.57815229", "View Map")</f>
        <v>View Map</v>
      </c>
      <c r="G3892" s="2">
        <v>0.5120459077176851</v>
      </c>
    </row>
    <row r="3893" spans="1:7" x14ac:dyDescent="0.3">
      <c r="A3893" t="s">
        <v>6717</v>
      </c>
      <c r="B3893" t="s">
        <v>6718</v>
      </c>
      <c r="C3893" t="s">
        <v>255</v>
      </c>
      <c r="D3893">
        <v>2.0209999999999999</v>
      </c>
      <c r="E3893">
        <v>647</v>
      </c>
      <c r="F3893" t="str">
        <f>HYPERLINK("https://www.google.com/maps/search/?api=1&amp;query=25.13643382,43.47864151", "View Map")</f>
        <v>View Map</v>
      </c>
      <c r="G3893" s="2">
        <v>0.81170397012890139</v>
      </c>
    </row>
    <row r="3894" spans="1:7" x14ac:dyDescent="0.3">
      <c r="A3894" t="s">
        <v>6719</v>
      </c>
      <c r="B3894" t="s">
        <v>6720</v>
      </c>
      <c r="C3894" t="s">
        <v>8</v>
      </c>
      <c r="D3894">
        <v>2.0209999999999999</v>
      </c>
      <c r="E3894">
        <v>647</v>
      </c>
      <c r="F3894" t="str">
        <f>HYPERLINK("https://www.google.com/maps/search/?api=1&amp;query=24.63418143,46.54054422", "View Map")</f>
        <v>View Map</v>
      </c>
    </row>
    <row r="3895" spans="1:7" x14ac:dyDescent="0.3">
      <c r="A3895" t="s">
        <v>2122</v>
      </c>
      <c r="B3895" t="s">
        <v>6721</v>
      </c>
      <c r="C3895" t="s">
        <v>8</v>
      </c>
      <c r="D3895">
        <v>2.02</v>
      </c>
      <c r="E3895">
        <v>647</v>
      </c>
      <c r="F3895" t="str">
        <f>HYPERLINK("https://www.google.com/maps/search/?api=1&amp;query=24.8253364,46.78417961", "View Map")</f>
        <v>View Map</v>
      </c>
      <c r="G3895" s="2">
        <v>0.88706326450184703</v>
      </c>
    </row>
    <row r="3896" spans="1:7" x14ac:dyDescent="0.3">
      <c r="A3896" t="s">
        <v>6722</v>
      </c>
      <c r="B3896" t="s">
        <v>6723</v>
      </c>
      <c r="C3896" t="s">
        <v>8</v>
      </c>
      <c r="D3896">
        <v>2.02</v>
      </c>
      <c r="E3896">
        <v>646</v>
      </c>
      <c r="F3896" t="str">
        <f>HYPERLINK("https://www.google.com/maps/search/?api=1&amp;query=24.69252727,46.69934526", "View Map")</f>
        <v>View Map</v>
      </c>
    </row>
    <row r="3897" spans="1:7" x14ac:dyDescent="0.3">
      <c r="A3897" t="s">
        <v>6724</v>
      </c>
      <c r="B3897" t="s">
        <v>6725</v>
      </c>
      <c r="C3897" t="s">
        <v>8</v>
      </c>
      <c r="D3897">
        <v>2.02</v>
      </c>
      <c r="E3897">
        <v>646</v>
      </c>
      <c r="F3897" t="str">
        <f>HYPERLINK("https://www.google.com/maps/search/?api=1&amp;query=24.57173468,46.64844388", "View Map")</f>
        <v>View Map</v>
      </c>
    </row>
    <row r="3898" spans="1:7" x14ac:dyDescent="0.3">
      <c r="A3898" t="s">
        <v>150</v>
      </c>
      <c r="B3898" t="s">
        <v>6726</v>
      </c>
      <c r="C3898" t="s">
        <v>8</v>
      </c>
      <c r="D3898">
        <v>2.0190000000000001</v>
      </c>
      <c r="E3898">
        <v>646</v>
      </c>
      <c r="F3898" t="str">
        <f>HYPERLINK("https://www.google.com/maps/search/?api=1&amp;query=24.7176634,46.83329429", "View Map")</f>
        <v>View Map</v>
      </c>
    </row>
    <row r="3899" spans="1:7" x14ac:dyDescent="0.3">
      <c r="A3899" t="s">
        <v>6727</v>
      </c>
      <c r="B3899" t="s">
        <v>6728</v>
      </c>
      <c r="C3899" t="s">
        <v>296</v>
      </c>
      <c r="D3899">
        <v>2.0190000000000001</v>
      </c>
      <c r="E3899">
        <v>646</v>
      </c>
      <c r="F3899" t="str">
        <f>HYPERLINK("https://www.google.com/maps/search/?api=1&amp;query=24.4639533,46.29718319", "View Map")</f>
        <v>View Map</v>
      </c>
    </row>
    <row r="3900" spans="1:7" x14ac:dyDescent="0.3">
      <c r="A3900" t="s">
        <v>4595</v>
      </c>
      <c r="B3900" t="s">
        <v>6729</v>
      </c>
      <c r="C3900" t="s">
        <v>8</v>
      </c>
      <c r="D3900">
        <v>2.0190000000000001</v>
      </c>
      <c r="E3900">
        <v>646</v>
      </c>
      <c r="F3900" t="str">
        <f>HYPERLINK("https://www.google.com/maps/search/?api=1&amp;query=24.7093965,46.83008694", "View Map")</f>
        <v>View Map</v>
      </c>
    </row>
    <row r="3901" spans="1:7" x14ac:dyDescent="0.3">
      <c r="A3901" t="s">
        <v>6730</v>
      </c>
      <c r="B3901" t="s">
        <v>6731</v>
      </c>
      <c r="C3901" t="s">
        <v>30</v>
      </c>
      <c r="D3901">
        <v>2.0179999999999998</v>
      </c>
      <c r="E3901">
        <v>646</v>
      </c>
      <c r="F3901" t="str">
        <f>HYPERLINK("https://www.google.com/maps/search/?api=1&amp;query=24.16884382,47.30097531", "View Map")</f>
        <v>View Map</v>
      </c>
    </row>
    <row r="3902" spans="1:7" x14ac:dyDescent="0.3">
      <c r="A3902" t="s">
        <v>6732</v>
      </c>
      <c r="B3902" t="s">
        <v>6733</v>
      </c>
      <c r="C3902" t="s">
        <v>8</v>
      </c>
      <c r="D3902">
        <v>2.0179999999999998</v>
      </c>
      <c r="E3902">
        <v>646</v>
      </c>
      <c r="F3902" t="str">
        <f>HYPERLINK("https://www.google.com/maps/search/?api=1&amp;query=24.6637176,46.80484601", "View Map")</f>
        <v>View Map</v>
      </c>
    </row>
    <row r="3903" spans="1:7" x14ac:dyDescent="0.3">
      <c r="A3903" t="s">
        <v>6734</v>
      </c>
      <c r="B3903" t="s">
        <v>6735</v>
      </c>
      <c r="C3903" t="s">
        <v>8</v>
      </c>
      <c r="D3903">
        <v>2.0179999999999998</v>
      </c>
      <c r="E3903">
        <v>646</v>
      </c>
      <c r="F3903" t="str">
        <f>HYPERLINK("https://www.google.com/maps/search/?api=1&amp;query=24.72870018,46.68695963", "View Map")</f>
        <v>View Map</v>
      </c>
    </row>
    <row r="3904" spans="1:7" x14ac:dyDescent="0.3">
      <c r="A3904" t="s">
        <v>3735</v>
      </c>
      <c r="B3904" t="s">
        <v>6736</v>
      </c>
      <c r="C3904" t="s">
        <v>255</v>
      </c>
      <c r="D3904">
        <v>2.0179999999999998</v>
      </c>
      <c r="E3904">
        <v>646</v>
      </c>
      <c r="F3904" t="str">
        <f>HYPERLINK("https://www.google.com/maps/search/?api=1&amp;query=25.18613687,44.59332824", "View Map")</f>
        <v>View Map</v>
      </c>
      <c r="G3904" s="2">
        <v>0.37473762037395691</v>
      </c>
    </row>
    <row r="3905" spans="1:7" x14ac:dyDescent="0.3">
      <c r="A3905" t="s">
        <v>6737</v>
      </c>
      <c r="B3905" t="s">
        <v>6738</v>
      </c>
      <c r="C3905" t="s">
        <v>8</v>
      </c>
      <c r="D3905">
        <v>2.016</v>
      </c>
      <c r="E3905">
        <v>645</v>
      </c>
      <c r="F3905" t="str">
        <f>HYPERLINK("https://www.google.com/maps/search/?api=1&amp;query=24.56969289,46.77974741", "View Map")</f>
        <v>View Map</v>
      </c>
    </row>
    <row r="3906" spans="1:7" x14ac:dyDescent="0.3">
      <c r="A3906" t="s">
        <v>2713</v>
      </c>
      <c r="B3906" t="s">
        <v>6739</v>
      </c>
      <c r="C3906" t="s">
        <v>8</v>
      </c>
      <c r="D3906">
        <v>2.016</v>
      </c>
      <c r="E3906">
        <v>645</v>
      </c>
      <c r="F3906" t="str">
        <f>HYPERLINK("https://www.google.com/maps/search/?api=1&amp;query=24.61201695,46.76081118", "View Map")</f>
        <v>View Map</v>
      </c>
    </row>
    <row r="3907" spans="1:7" x14ac:dyDescent="0.3">
      <c r="A3907" t="s">
        <v>1273</v>
      </c>
      <c r="B3907" t="s">
        <v>6740</v>
      </c>
      <c r="C3907" t="s">
        <v>241</v>
      </c>
      <c r="D3907">
        <v>2.016</v>
      </c>
      <c r="E3907">
        <v>645</v>
      </c>
      <c r="F3907" t="str">
        <f>HYPERLINK("https://www.google.com/maps/search/?api=1&amp;query=20.44932248,44.81553019", "View Map")</f>
        <v>View Map</v>
      </c>
      <c r="G3907" s="2">
        <v>0.68180484705898015</v>
      </c>
    </row>
    <row r="3908" spans="1:7" x14ac:dyDescent="0.3">
      <c r="A3908" t="s">
        <v>6741</v>
      </c>
      <c r="B3908" t="s">
        <v>6742</v>
      </c>
      <c r="C3908" t="s">
        <v>8</v>
      </c>
      <c r="D3908">
        <v>2.016</v>
      </c>
      <c r="E3908">
        <v>645</v>
      </c>
      <c r="F3908" t="str">
        <f>HYPERLINK("https://www.google.com/maps/search/?api=1&amp;query=24.82214281,46.63325997", "View Map")</f>
        <v>View Map</v>
      </c>
    </row>
    <row r="3909" spans="1:7" x14ac:dyDescent="0.3">
      <c r="A3909" t="s">
        <v>6234</v>
      </c>
      <c r="B3909" t="s">
        <v>6743</v>
      </c>
      <c r="C3909" t="s">
        <v>8</v>
      </c>
      <c r="D3909">
        <v>2.0150000000000001</v>
      </c>
      <c r="E3909">
        <v>645</v>
      </c>
      <c r="F3909" t="str">
        <f>HYPERLINK("https://www.google.com/maps/search/?api=1&amp;query=24.70920666,46.66952135", "View Map")</f>
        <v>View Map</v>
      </c>
    </row>
    <row r="3910" spans="1:7" x14ac:dyDescent="0.3">
      <c r="A3910" t="s">
        <v>6744</v>
      </c>
      <c r="B3910" t="s">
        <v>6745</v>
      </c>
      <c r="C3910" t="s">
        <v>8</v>
      </c>
      <c r="D3910">
        <v>2.0150000000000001</v>
      </c>
      <c r="E3910">
        <v>645</v>
      </c>
      <c r="F3910" t="str">
        <f>HYPERLINK("https://www.google.com/maps/search/?api=1&amp;query=24.75268964,46.76065876", "View Map")</f>
        <v>View Map</v>
      </c>
    </row>
    <row r="3911" spans="1:7" x14ac:dyDescent="0.3">
      <c r="A3911" t="s">
        <v>46</v>
      </c>
      <c r="B3911" t="s">
        <v>6746</v>
      </c>
      <c r="C3911" t="s">
        <v>55</v>
      </c>
      <c r="D3911">
        <v>2.0139999999999998</v>
      </c>
      <c r="E3911">
        <v>645</v>
      </c>
      <c r="F3911" t="str">
        <f>HYPERLINK("https://www.google.com/maps/search/?api=1&amp;query=24.8243,46.56964", "View Map")</f>
        <v>View Map</v>
      </c>
    </row>
    <row r="3912" spans="1:7" x14ac:dyDescent="0.3">
      <c r="A3912" t="s">
        <v>6747</v>
      </c>
      <c r="B3912" t="s">
        <v>6748</v>
      </c>
      <c r="C3912" t="s">
        <v>286</v>
      </c>
      <c r="D3912">
        <v>2.0139999999999998</v>
      </c>
      <c r="E3912">
        <v>644</v>
      </c>
      <c r="F3912" t="str">
        <f>HYPERLINK("https://www.google.com/maps/search/?api=1&amp;query=25.24463853,45.24633525", "View Map")</f>
        <v>View Map</v>
      </c>
      <c r="G3912" s="2">
        <v>0.5225804876006841</v>
      </c>
    </row>
    <row r="3913" spans="1:7" x14ac:dyDescent="0.3">
      <c r="A3913" t="s">
        <v>6749</v>
      </c>
      <c r="B3913" t="s">
        <v>6750</v>
      </c>
      <c r="C3913" t="s">
        <v>8</v>
      </c>
      <c r="D3913">
        <v>2.0139999999999998</v>
      </c>
      <c r="E3913">
        <v>644</v>
      </c>
      <c r="F3913" t="str">
        <f>HYPERLINK("https://www.google.com/maps/search/?api=1&amp;query=24.77537434,46.7918322", "View Map")</f>
        <v>View Map</v>
      </c>
    </row>
    <row r="3914" spans="1:7" x14ac:dyDescent="0.3">
      <c r="A3914" t="s">
        <v>362</v>
      </c>
      <c r="B3914" t="s">
        <v>6751</v>
      </c>
      <c r="C3914" t="s">
        <v>364</v>
      </c>
      <c r="D3914">
        <v>2.0129999999999999</v>
      </c>
      <c r="E3914">
        <v>644</v>
      </c>
      <c r="F3914" t="str">
        <f>HYPERLINK("https://www.google.com/maps/search/?api=1&amp;query=25.17903408,45.81382796", "View Map")</f>
        <v>View Map</v>
      </c>
      <c r="G3914" s="2">
        <v>0.61545055732358211</v>
      </c>
    </row>
    <row r="3915" spans="1:7" x14ac:dyDescent="0.3">
      <c r="A3915" t="s">
        <v>6752</v>
      </c>
      <c r="B3915" t="s">
        <v>6753</v>
      </c>
      <c r="C3915" t="s">
        <v>393</v>
      </c>
      <c r="D3915">
        <v>2.0129999999999999</v>
      </c>
      <c r="E3915">
        <v>644</v>
      </c>
      <c r="F3915" t="str">
        <f>HYPERLINK("https://www.google.com/maps/search/?api=1&amp;query=22.87784727,45.45739442", "View Map")</f>
        <v>View Map</v>
      </c>
      <c r="G3915" s="2">
        <v>0.49479231315528621</v>
      </c>
    </row>
    <row r="3916" spans="1:7" x14ac:dyDescent="0.3">
      <c r="A3916" t="s">
        <v>289</v>
      </c>
      <c r="B3916" t="s">
        <v>6754</v>
      </c>
      <c r="C3916" t="s">
        <v>393</v>
      </c>
      <c r="D3916">
        <v>2.0129999999999999</v>
      </c>
      <c r="E3916">
        <v>644</v>
      </c>
      <c r="F3916" t="str">
        <f>HYPERLINK("https://www.google.com/maps/search/?api=1&amp;query=22.51474677,44.79891135", "View Map")</f>
        <v>View Map</v>
      </c>
      <c r="G3916" s="2">
        <v>0.78727537851438401</v>
      </c>
    </row>
    <row r="3917" spans="1:7" x14ac:dyDescent="0.3">
      <c r="A3917" t="s">
        <v>903</v>
      </c>
      <c r="B3917" t="s">
        <v>6755</v>
      </c>
      <c r="C3917" t="s">
        <v>8</v>
      </c>
      <c r="D3917">
        <v>2.0129999999999999</v>
      </c>
      <c r="E3917">
        <v>644</v>
      </c>
      <c r="F3917" t="str">
        <f>HYPERLINK("https://www.google.com/maps/search/?api=1&amp;query=24.75591572,46.6992818", "View Map")</f>
        <v>View Map</v>
      </c>
    </row>
    <row r="3918" spans="1:7" x14ac:dyDescent="0.3">
      <c r="A3918" t="s">
        <v>6756</v>
      </c>
      <c r="B3918" t="s">
        <v>6757</v>
      </c>
      <c r="C3918" t="s">
        <v>8</v>
      </c>
      <c r="D3918">
        <v>2.012</v>
      </c>
      <c r="E3918">
        <v>644</v>
      </c>
      <c r="F3918" t="str">
        <f>HYPERLINK("https://www.google.com/maps/search/?api=1&amp;query=24.8247873,46.74452647", "View Map")</f>
        <v>View Map</v>
      </c>
    </row>
    <row r="3919" spans="1:7" x14ac:dyDescent="0.3">
      <c r="A3919" t="s">
        <v>6758</v>
      </c>
      <c r="B3919" t="s">
        <v>6759</v>
      </c>
      <c r="C3919" t="s">
        <v>286</v>
      </c>
      <c r="D3919">
        <v>2.012</v>
      </c>
      <c r="E3919">
        <v>644</v>
      </c>
      <c r="F3919" t="str">
        <f>HYPERLINK("https://www.google.com/maps/search/?api=1&amp;query=25.22875269,45.25288397", "View Map")</f>
        <v>View Map</v>
      </c>
      <c r="G3919" s="2">
        <v>0.42464765088486939</v>
      </c>
    </row>
    <row r="3920" spans="1:7" x14ac:dyDescent="0.3">
      <c r="A3920" t="s">
        <v>459</v>
      </c>
      <c r="B3920" t="s">
        <v>6760</v>
      </c>
      <c r="C3920" t="s">
        <v>286</v>
      </c>
      <c r="D3920">
        <v>2.012</v>
      </c>
      <c r="E3920">
        <v>644</v>
      </c>
      <c r="F3920" t="str">
        <f>HYPERLINK("https://www.google.com/maps/search/?api=1&amp;query=25.34249775,45.16838311", "View Map")</f>
        <v>View Map</v>
      </c>
      <c r="G3920" s="2">
        <v>0.53845841712630949</v>
      </c>
    </row>
    <row r="3921" spans="1:7" x14ac:dyDescent="0.3">
      <c r="A3921" t="s">
        <v>6761</v>
      </c>
      <c r="B3921" t="s">
        <v>6762</v>
      </c>
      <c r="C3921" t="s">
        <v>8</v>
      </c>
      <c r="D3921">
        <v>2.012</v>
      </c>
      <c r="E3921">
        <v>644</v>
      </c>
      <c r="F3921" t="str">
        <f>HYPERLINK("https://www.google.com/maps/search/?api=1&amp;query=24.7439168,46.84453094", "View Map")</f>
        <v>View Map</v>
      </c>
    </row>
    <row r="3922" spans="1:7" x14ac:dyDescent="0.3">
      <c r="A3922" t="s">
        <v>6763</v>
      </c>
      <c r="B3922" t="s">
        <v>6764</v>
      </c>
      <c r="C3922" t="s">
        <v>8</v>
      </c>
      <c r="D3922">
        <v>2.012</v>
      </c>
      <c r="E3922">
        <v>644</v>
      </c>
      <c r="F3922" t="str">
        <f>HYPERLINK("https://www.google.com/maps/search/?api=1&amp;query=24.61575355,46.74685539", "View Map")</f>
        <v>View Map</v>
      </c>
      <c r="G3922" s="2">
        <v>0.37981732774975863</v>
      </c>
    </row>
    <row r="3923" spans="1:7" x14ac:dyDescent="0.3">
      <c r="A3923" t="s">
        <v>6765</v>
      </c>
      <c r="B3923" t="s">
        <v>6766</v>
      </c>
      <c r="C3923" t="s">
        <v>8</v>
      </c>
      <c r="D3923">
        <v>2.0110000000000001</v>
      </c>
      <c r="E3923">
        <v>643</v>
      </c>
      <c r="F3923" t="str">
        <f>HYPERLINK("https://www.google.com/maps/search/?api=1&amp;query=24.57958915,46.61910479", "View Map")</f>
        <v>View Map</v>
      </c>
    </row>
    <row r="3924" spans="1:7" x14ac:dyDescent="0.3">
      <c r="A3924" t="s">
        <v>6767</v>
      </c>
      <c r="B3924" t="s">
        <v>6768</v>
      </c>
      <c r="C3924" t="s">
        <v>286</v>
      </c>
      <c r="D3924">
        <v>2.0110000000000001</v>
      </c>
      <c r="E3924">
        <v>644</v>
      </c>
      <c r="F3924" t="str">
        <f>HYPERLINK("https://www.google.com/maps/search/?api=1&amp;query=25.44723793,45.29628393", "View Map")</f>
        <v>View Map</v>
      </c>
      <c r="G3924" s="2">
        <v>0.59956967987438292</v>
      </c>
    </row>
    <row r="3925" spans="1:7" x14ac:dyDescent="0.3">
      <c r="A3925" t="s">
        <v>46</v>
      </c>
      <c r="B3925" t="s">
        <v>6769</v>
      </c>
      <c r="C3925" t="s">
        <v>820</v>
      </c>
      <c r="D3925">
        <v>2.0110000000000001</v>
      </c>
      <c r="E3925">
        <v>644</v>
      </c>
      <c r="F3925" t="str">
        <f>HYPERLINK("https://www.google.com/maps/search/?api=1&amp;query=0.0,0.0", "View Map")</f>
        <v>View Map</v>
      </c>
    </row>
    <row r="3926" spans="1:7" x14ac:dyDescent="0.3">
      <c r="A3926" t="s">
        <v>6770</v>
      </c>
      <c r="B3926" t="s">
        <v>6771</v>
      </c>
      <c r="C3926" t="s">
        <v>8</v>
      </c>
      <c r="D3926">
        <v>2.0110000000000001</v>
      </c>
      <c r="E3926">
        <v>643</v>
      </c>
      <c r="F3926" t="str">
        <f>HYPERLINK("https://www.google.com/maps/search/?api=1&amp;query=24.7060772,46.85162253", "View Map")</f>
        <v>View Map</v>
      </c>
    </row>
    <row r="3927" spans="1:7" x14ac:dyDescent="0.3">
      <c r="A3927" t="s">
        <v>46</v>
      </c>
      <c r="B3927" t="s">
        <v>6772</v>
      </c>
      <c r="C3927" t="s">
        <v>8</v>
      </c>
      <c r="D3927">
        <v>2.0099999999999998</v>
      </c>
      <c r="E3927">
        <v>643</v>
      </c>
      <c r="F3927" t="str">
        <f>HYPERLINK("https://www.google.com/maps/search/?api=1&amp;query=24.92525789,46.82341566", "View Map")</f>
        <v>View Map</v>
      </c>
    </row>
    <row r="3928" spans="1:7" x14ac:dyDescent="0.3">
      <c r="A3928" t="s">
        <v>6773</v>
      </c>
      <c r="B3928" t="s">
        <v>6774</v>
      </c>
      <c r="C3928" t="s">
        <v>255</v>
      </c>
      <c r="D3928">
        <v>2.0099999999999998</v>
      </c>
      <c r="E3928">
        <v>643</v>
      </c>
      <c r="F3928" t="str">
        <f>HYPERLINK("https://www.google.com/maps/search/?api=1&amp;query=25.18924563,44.60347064", "View Map")</f>
        <v>View Map</v>
      </c>
      <c r="G3928" s="2">
        <v>0.34775194375177593</v>
      </c>
    </row>
    <row r="3929" spans="1:7" x14ac:dyDescent="0.3">
      <c r="A3929" t="s">
        <v>6775</v>
      </c>
      <c r="B3929" t="s">
        <v>6776</v>
      </c>
      <c r="C3929" t="s">
        <v>8</v>
      </c>
      <c r="D3929">
        <v>2.0099999999999998</v>
      </c>
      <c r="E3929">
        <v>643</v>
      </c>
      <c r="F3929" t="str">
        <f>HYPERLINK("https://www.google.com/maps/search/?api=1&amp;query=24.55963634,46.71337314", "View Map")</f>
        <v>View Map</v>
      </c>
    </row>
    <row r="3930" spans="1:7" x14ac:dyDescent="0.3">
      <c r="A3930" t="s">
        <v>6777</v>
      </c>
      <c r="B3930" t="s">
        <v>6778</v>
      </c>
      <c r="C3930" t="s">
        <v>8</v>
      </c>
      <c r="D3930">
        <v>2.0089999999999999</v>
      </c>
      <c r="E3930">
        <v>643</v>
      </c>
      <c r="F3930" t="str">
        <f>HYPERLINK("https://www.google.com/maps/search/?api=1&amp;query=24.81102076,46.90438785", "View Map")</f>
        <v>View Map</v>
      </c>
    </row>
    <row r="3931" spans="1:7" x14ac:dyDescent="0.3">
      <c r="A3931" t="s">
        <v>46</v>
      </c>
      <c r="B3931" t="s">
        <v>6779</v>
      </c>
      <c r="C3931" t="s">
        <v>8</v>
      </c>
      <c r="D3931">
        <v>2.008</v>
      </c>
      <c r="E3931">
        <v>642</v>
      </c>
      <c r="F3931" t="str">
        <f>HYPERLINK("https://www.google.com/maps/search/?api=1&amp;query=24.84802253,46.78672859", "View Map")</f>
        <v>View Map</v>
      </c>
    </row>
    <row r="3932" spans="1:7" x14ac:dyDescent="0.3">
      <c r="A3932" t="s">
        <v>6780</v>
      </c>
      <c r="B3932" t="s">
        <v>6781</v>
      </c>
      <c r="C3932" t="s">
        <v>270</v>
      </c>
      <c r="D3932">
        <v>2.008</v>
      </c>
      <c r="E3932">
        <v>643</v>
      </c>
      <c r="F3932" t="str">
        <f>HYPERLINK("https://www.google.com/maps/search/?api=1&amp;query=23.98640944,47.12490456", "View Map")</f>
        <v>View Map</v>
      </c>
      <c r="G3932" s="2">
        <v>0.37348680641722681</v>
      </c>
    </row>
    <row r="3933" spans="1:7" x14ac:dyDescent="0.3">
      <c r="A3933" t="s">
        <v>6782</v>
      </c>
      <c r="B3933" t="s">
        <v>6783</v>
      </c>
      <c r="C3933" t="s">
        <v>8</v>
      </c>
      <c r="D3933">
        <v>2.008</v>
      </c>
      <c r="E3933">
        <v>643</v>
      </c>
      <c r="F3933" t="str">
        <f>HYPERLINK("https://www.google.com/maps/search/?api=1&amp;query=24.62622925,46.5645011", "View Map")</f>
        <v>View Map</v>
      </c>
    </row>
    <row r="3934" spans="1:7" x14ac:dyDescent="0.3">
      <c r="A3934" t="s">
        <v>6784</v>
      </c>
      <c r="B3934" t="s">
        <v>6785</v>
      </c>
      <c r="C3934" t="s">
        <v>30</v>
      </c>
      <c r="D3934">
        <v>2.008</v>
      </c>
      <c r="E3934">
        <v>643</v>
      </c>
      <c r="F3934" t="str">
        <f>HYPERLINK("https://www.google.com/maps/search/?api=1&amp;query=24.15509051,47.36365601", "View Map")</f>
        <v>View Map</v>
      </c>
    </row>
    <row r="3935" spans="1:7" x14ac:dyDescent="0.3">
      <c r="A3935" t="s">
        <v>6786</v>
      </c>
      <c r="B3935" t="s">
        <v>6787</v>
      </c>
      <c r="C3935" t="s">
        <v>8</v>
      </c>
      <c r="D3935">
        <v>2.008</v>
      </c>
      <c r="E3935">
        <v>642</v>
      </c>
      <c r="F3935" t="str">
        <f>HYPERLINK("https://www.google.com/maps/search/?api=1&amp;query=24.63398037,46.70505504", "View Map")</f>
        <v>View Map</v>
      </c>
    </row>
    <row r="3936" spans="1:7" x14ac:dyDescent="0.3">
      <c r="A3936" t="s">
        <v>6788</v>
      </c>
      <c r="B3936" t="s">
        <v>6789</v>
      </c>
      <c r="C3936" t="s">
        <v>8</v>
      </c>
      <c r="D3936">
        <v>2.008</v>
      </c>
      <c r="E3936">
        <v>643</v>
      </c>
      <c r="F3936" t="str">
        <f>HYPERLINK("https://www.google.com/maps/search/?api=1&amp;query=24.57160733,46.58764948", "View Map")</f>
        <v>View Map</v>
      </c>
    </row>
    <row r="3937" spans="1:7" x14ac:dyDescent="0.3">
      <c r="A3937" t="s">
        <v>6790</v>
      </c>
      <c r="B3937" t="s">
        <v>6791</v>
      </c>
      <c r="C3937" t="s">
        <v>738</v>
      </c>
      <c r="D3937">
        <v>2.008</v>
      </c>
      <c r="E3937">
        <v>643</v>
      </c>
      <c r="F3937" t="str">
        <f>HYPERLINK("https://www.google.com/maps/search/?api=1&amp;query=25.10901008,46.09743514", "View Map")</f>
        <v>View Map</v>
      </c>
      <c r="G3937" s="2">
        <v>0.62321633983332259</v>
      </c>
    </row>
    <row r="3938" spans="1:7" x14ac:dyDescent="0.3">
      <c r="A3938" t="s">
        <v>6792</v>
      </c>
      <c r="B3938" t="s">
        <v>6793</v>
      </c>
      <c r="C3938" t="s">
        <v>8</v>
      </c>
      <c r="D3938">
        <v>2.008</v>
      </c>
      <c r="E3938">
        <v>643</v>
      </c>
      <c r="F3938" t="str">
        <f>HYPERLINK("https://www.google.com/maps/search/?api=1&amp;query=24.76282314,46.77643728", "View Map")</f>
        <v>View Map</v>
      </c>
    </row>
    <row r="3939" spans="1:7" x14ac:dyDescent="0.3">
      <c r="A3939" t="s">
        <v>6794</v>
      </c>
      <c r="B3939" t="s">
        <v>6795</v>
      </c>
      <c r="C3939" t="s">
        <v>466</v>
      </c>
      <c r="D3939">
        <v>2.0070000000000001</v>
      </c>
      <c r="E3939">
        <v>642</v>
      </c>
      <c r="F3939" t="str">
        <f>HYPERLINK("https://www.google.com/maps/search/?api=1&amp;query=24.5924279,46.13257717", "View Map")</f>
        <v>View Map</v>
      </c>
    </row>
    <row r="3940" spans="1:7" x14ac:dyDescent="0.3">
      <c r="A3940" t="s">
        <v>6796</v>
      </c>
      <c r="B3940" t="s">
        <v>6797</v>
      </c>
      <c r="C3940" t="s">
        <v>214</v>
      </c>
      <c r="D3940">
        <v>2.0070000000000001</v>
      </c>
      <c r="E3940">
        <v>642</v>
      </c>
      <c r="F3940" t="str">
        <f>HYPERLINK("https://www.google.com/maps/search/?api=1&amp;query=25.62832701,45.56497666", "View Map")</f>
        <v>View Map</v>
      </c>
      <c r="G3940" s="2">
        <v>0.59704382503444897</v>
      </c>
    </row>
    <row r="3941" spans="1:7" x14ac:dyDescent="0.3">
      <c r="A3941" t="s">
        <v>6798</v>
      </c>
      <c r="B3941" t="s">
        <v>6799</v>
      </c>
      <c r="C3941" t="s">
        <v>77</v>
      </c>
      <c r="D3941">
        <v>2.0059999999999998</v>
      </c>
      <c r="E3941">
        <v>642</v>
      </c>
      <c r="F3941" t="str">
        <f>HYPERLINK("https://www.google.com/maps/search/?api=1&amp;query=22.09006456,46.69985429", "View Map")</f>
        <v>View Map</v>
      </c>
      <c r="G3941" s="2">
        <v>0.65473869670669638</v>
      </c>
    </row>
    <row r="3942" spans="1:7" x14ac:dyDescent="0.3">
      <c r="A3942" t="s">
        <v>2604</v>
      </c>
      <c r="B3942" t="s">
        <v>6800</v>
      </c>
      <c r="C3942" t="s">
        <v>8</v>
      </c>
      <c r="D3942">
        <v>2.0049999999999999</v>
      </c>
      <c r="E3942">
        <v>642</v>
      </c>
      <c r="F3942" t="str">
        <f>HYPERLINK("https://www.google.com/maps/search/?api=1&amp;query=24.71373788,46.83265533", "View Map")</f>
        <v>View Map</v>
      </c>
    </row>
    <row r="3943" spans="1:7" x14ac:dyDescent="0.3">
      <c r="A3943" t="s">
        <v>6801</v>
      </c>
      <c r="B3943" t="s">
        <v>6802</v>
      </c>
      <c r="C3943" t="s">
        <v>8</v>
      </c>
      <c r="D3943">
        <v>2.0049999999999999</v>
      </c>
      <c r="E3943">
        <v>641</v>
      </c>
      <c r="F3943" t="str">
        <f>HYPERLINK("https://www.google.com/maps/search/?api=1&amp;query=24.58993157,46.65970334", "View Map")</f>
        <v>View Map</v>
      </c>
    </row>
    <row r="3944" spans="1:7" x14ac:dyDescent="0.3">
      <c r="A3944" t="s">
        <v>380</v>
      </c>
      <c r="B3944" t="s">
        <v>6803</v>
      </c>
      <c r="C3944" t="s">
        <v>291</v>
      </c>
      <c r="D3944">
        <v>2.004</v>
      </c>
      <c r="E3944">
        <v>641</v>
      </c>
      <c r="F3944" t="str">
        <f>HYPERLINK("https://www.google.com/maps/search/?api=1&amp;query=24.09442143,45.89106511", "View Map")</f>
        <v>View Map</v>
      </c>
      <c r="G3944" s="2">
        <v>0.82462659154151541</v>
      </c>
    </row>
    <row r="3945" spans="1:7" x14ac:dyDescent="0.3">
      <c r="A3945" t="s">
        <v>46</v>
      </c>
      <c r="B3945" t="s">
        <v>6804</v>
      </c>
      <c r="C3945" t="s">
        <v>8</v>
      </c>
      <c r="D3945">
        <v>2.004</v>
      </c>
      <c r="E3945">
        <v>641</v>
      </c>
      <c r="F3945" t="str">
        <f>HYPERLINK("https://www.google.com/maps/search/?api=1&amp;query=24.81402222,46.8764172", "View Map")</f>
        <v>View Map</v>
      </c>
    </row>
    <row r="3946" spans="1:7" x14ac:dyDescent="0.3">
      <c r="A3946" t="s">
        <v>6805</v>
      </c>
      <c r="B3946" t="s">
        <v>6806</v>
      </c>
      <c r="C3946" t="s">
        <v>8</v>
      </c>
      <c r="D3946">
        <v>2.004</v>
      </c>
      <c r="E3946">
        <v>641</v>
      </c>
      <c r="F3946" t="str">
        <f>HYPERLINK("https://www.google.com/maps/search/?api=1&amp;query=24.64191241,46.69718301", "View Map")</f>
        <v>View Map</v>
      </c>
    </row>
    <row r="3947" spans="1:7" x14ac:dyDescent="0.3">
      <c r="A3947" t="s">
        <v>6807</v>
      </c>
      <c r="B3947" t="s">
        <v>6808</v>
      </c>
      <c r="C3947" t="s">
        <v>8</v>
      </c>
      <c r="D3947">
        <v>2.0030000000000001</v>
      </c>
      <c r="E3947">
        <v>641</v>
      </c>
      <c r="F3947" t="str">
        <f>HYPERLINK("https://www.google.com/maps/search/?api=1&amp;query=24.7808455,46.76503782", "View Map")</f>
        <v>View Map</v>
      </c>
    </row>
    <row r="3948" spans="1:7" x14ac:dyDescent="0.3">
      <c r="A3948" t="s">
        <v>5343</v>
      </c>
      <c r="B3948" t="s">
        <v>6809</v>
      </c>
      <c r="C3948" t="s">
        <v>8</v>
      </c>
      <c r="D3948">
        <v>2.0019999999999998</v>
      </c>
      <c r="E3948">
        <v>641</v>
      </c>
      <c r="F3948" t="str">
        <f>HYPERLINK("https://www.google.com/maps/search/?api=1&amp;query=24.84777708,46.82057679", "View Map")</f>
        <v>View Map</v>
      </c>
    </row>
    <row r="3949" spans="1:7" x14ac:dyDescent="0.3">
      <c r="A3949" t="s">
        <v>6810</v>
      </c>
      <c r="B3949" t="s">
        <v>6811</v>
      </c>
      <c r="C3949" t="s">
        <v>286</v>
      </c>
      <c r="D3949">
        <v>2.0019999999999998</v>
      </c>
      <c r="E3949">
        <v>641</v>
      </c>
      <c r="F3949" t="str">
        <f>HYPERLINK("https://www.google.com/maps/search/?api=1&amp;query=25.29597092,45.53238578", "View Map")</f>
        <v>View Map</v>
      </c>
      <c r="G3949" s="2">
        <v>0.36857312458126767</v>
      </c>
    </row>
    <row r="3950" spans="1:7" x14ac:dyDescent="0.3">
      <c r="A3950" t="s">
        <v>6812</v>
      </c>
      <c r="B3950" t="s">
        <v>6813</v>
      </c>
      <c r="C3950" t="s">
        <v>8</v>
      </c>
      <c r="D3950">
        <v>2.0019999999999998</v>
      </c>
      <c r="E3950">
        <v>641</v>
      </c>
      <c r="F3950" t="str">
        <f>HYPERLINK("https://www.google.com/maps/search/?api=1&amp;query=24.74872349,46.61258018", "View Map")</f>
        <v>View Map</v>
      </c>
    </row>
    <row r="3951" spans="1:7" x14ac:dyDescent="0.3">
      <c r="A3951" t="s">
        <v>6814</v>
      </c>
      <c r="B3951" t="s">
        <v>6815</v>
      </c>
      <c r="C3951" t="s">
        <v>8</v>
      </c>
      <c r="D3951">
        <v>2.0009999999999999</v>
      </c>
      <c r="E3951">
        <v>640</v>
      </c>
      <c r="F3951" t="str">
        <f>HYPERLINK("https://www.google.com/maps/search/?api=1&amp;query=24.57140106,46.7823948", "View Map")</f>
        <v>View Map</v>
      </c>
    </row>
    <row r="3952" spans="1:7" x14ac:dyDescent="0.3">
      <c r="A3952" t="s">
        <v>6816</v>
      </c>
      <c r="B3952" t="s">
        <v>6817</v>
      </c>
      <c r="C3952" t="s">
        <v>8</v>
      </c>
      <c r="D3952">
        <v>2.0009999999999999</v>
      </c>
      <c r="E3952">
        <v>640</v>
      </c>
      <c r="F3952" t="str">
        <f>HYPERLINK("https://www.google.com/maps/search/?api=1&amp;query=24.59483491,46.64885068", "View Map")</f>
        <v>View Map</v>
      </c>
    </row>
    <row r="3953" spans="1:7" x14ac:dyDescent="0.3">
      <c r="A3953" t="s">
        <v>6818</v>
      </c>
      <c r="B3953" t="s">
        <v>6819</v>
      </c>
      <c r="C3953" t="s">
        <v>30</v>
      </c>
      <c r="D3953">
        <v>2</v>
      </c>
      <c r="E3953">
        <v>640</v>
      </c>
      <c r="F3953" t="str">
        <f>HYPERLINK("https://www.google.com/maps/search/?api=1&amp;query=24.12779657,47.35800702", "View Map")</f>
        <v>View Map</v>
      </c>
    </row>
    <row r="3954" spans="1:7" x14ac:dyDescent="0.3">
      <c r="A3954" t="s">
        <v>6820</v>
      </c>
      <c r="B3954" t="s">
        <v>6821</v>
      </c>
      <c r="C3954" t="s">
        <v>8</v>
      </c>
      <c r="D3954">
        <v>1.9990000000000001</v>
      </c>
      <c r="E3954">
        <v>640</v>
      </c>
      <c r="F3954" t="str">
        <f>HYPERLINK("https://www.google.com/maps/search/?api=1&amp;query=24.68219712,46.70444767", "View Map")</f>
        <v>View Map</v>
      </c>
    </row>
    <row r="3955" spans="1:7" x14ac:dyDescent="0.3">
      <c r="A3955" t="s">
        <v>73</v>
      </c>
      <c r="B3955" t="s">
        <v>6822</v>
      </c>
      <c r="C3955" t="s">
        <v>8</v>
      </c>
      <c r="D3955">
        <v>1.998</v>
      </c>
      <c r="E3955">
        <v>640</v>
      </c>
      <c r="F3955" t="str">
        <f>HYPERLINK("https://www.google.com/maps/search/?api=1&amp;query=24.79599343,46.60470606", "View Map")</f>
        <v>View Map</v>
      </c>
    </row>
    <row r="3956" spans="1:7" x14ac:dyDescent="0.3">
      <c r="A3956" t="s">
        <v>22</v>
      </c>
      <c r="B3956" t="s">
        <v>6823</v>
      </c>
      <c r="C3956" t="s">
        <v>8</v>
      </c>
      <c r="D3956">
        <v>1.998</v>
      </c>
      <c r="E3956">
        <v>639</v>
      </c>
      <c r="F3956" t="str">
        <f>HYPERLINK("https://www.google.com/maps/search/?api=1&amp;query=24.74831454,46.770672", "View Map")</f>
        <v>View Map</v>
      </c>
    </row>
    <row r="3957" spans="1:7" x14ac:dyDescent="0.3">
      <c r="A3957" t="s">
        <v>6824</v>
      </c>
      <c r="B3957" t="s">
        <v>6825</v>
      </c>
      <c r="C3957" t="s">
        <v>77</v>
      </c>
      <c r="D3957">
        <v>1.998</v>
      </c>
      <c r="E3957">
        <v>639</v>
      </c>
      <c r="F3957" t="str">
        <f>HYPERLINK("https://www.google.com/maps/search/?api=1&amp;query=22.02204328,46.57654255", "View Map")</f>
        <v>View Map</v>
      </c>
      <c r="G3957" s="2">
        <v>0.37025377488995742</v>
      </c>
    </row>
    <row r="3958" spans="1:7" x14ac:dyDescent="0.3">
      <c r="A3958" t="s">
        <v>4294</v>
      </c>
      <c r="B3958" t="s">
        <v>6826</v>
      </c>
      <c r="C3958" t="s">
        <v>8</v>
      </c>
      <c r="D3958">
        <v>1.9970000000000001</v>
      </c>
      <c r="E3958">
        <v>639</v>
      </c>
      <c r="F3958" t="str">
        <f>HYPERLINK("https://www.google.com/maps/search/?api=1&amp;query=24.74493399,46.77377883", "View Map")</f>
        <v>View Map</v>
      </c>
    </row>
    <row r="3959" spans="1:7" x14ac:dyDescent="0.3">
      <c r="A3959" t="s">
        <v>5320</v>
      </c>
      <c r="B3959" t="s">
        <v>6827</v>
      </c>
      <c r="C3959" t="s">
        <v>8</v>
      </c>
      <c r="D3959">
        <v>1.9970000000000001</v>
      </c>
      <c r="E3959">
        <v>639</v>
      </c>
      <c r="F3959" t="str">
        <f>HYPERLINK("https://www.google.com/maps/search/?api=1&amp;query=24.60303417,46.6919254", "View Map")</f>
        <v>View Map</v>
      </c>
    </row>
    <row r="3960" spans="1:7" x14ac:dyDescent="0.3">
      <c r="A3960" t="s">
        <v>6828</v>
      </c>
      <c r="B3960" t="s">
        <v>6829</v>
      </c>
      <c r="C3960" t="s">
        <v>214</v>
      </c>
      <c r="D3960">
        <v>1.9970000000000001</v>
      </c>
      <c r="E3960">
        <v>639</v>
      </c>
      <c r="F3960" t="str">
        <f>HYPERLINK("https://www.google.com/maps/search/?api=1&amp;query=25.60195915,45.61541969", "View Map")</f>
        <v>View Map</v>
      </c>
      <c r="G3960" s="2">
        <v>0.67112667168386919</v>
      </c>
    </row>
    <row r="3961" spans="1:7" x14ac:dyDescent="0.3">
      <c r="A3961" t="s">
        <v>6830</v>
      </c>
      <c r="B3961" t="s">
        <v>6831</v>
      </c>
      <c r="C3961" t="s">
        <v>214</v>
      </c>
      <c r="D3961">
        <v>1.996</v>
      </c>
      <c r="E3961">
        <v>639</v>
      </c>
      <c r="F3961" t="str">
        <f>HYPERLINK("https://www.google.com/maps/search/?api=1&amp;query=26.58229294,45.2620917", "View Map")</f>
        <v>View Map</v>
      </c>
      <c r="G3961" s="2">
        <v>0.81582792999730547</v>
      </c>
    </row>
    <row r="3962" spans="1:7" x14ac:dyDescent="0.3">
      <c r="A3962" t="s">
        <v>6832</v>
      </c>
      <c r="B3962" t="s">
        <v>6833</v>
      </c>
      <c r="C3962" t="s">
        <v>241</v>
      </c>
      <c r="D3962">
        <v>1.996</v>
      </c>
      <c r="E3962">
        <v>639</v>
      </c>
      <c r="F3962" t="str">
        <f>HYPERLINK("https://www.google.com/maps/search/?api=1&amp;query=20.49430296,44.74074386", "View Map")</f>
        <v>View Map</v>
      </c>
    </row>
    <row r="3963" spans="1:7" x14ac:dyDescent="0.3">
      <c r="A3963" t="s">
        <v>6253</v>
      </c>
      <c r="B3963" t="s">
        <v>6834</v>
      </c>
      <c r="C3963" t="s">
        <v>255</v>
      </c>
      <c r="D3963">
        <v>1.996</v>
      </c>
      <c r="E3963">
        <v>639</v>
      </c>
      <c r="F3963" t="str">
        <f>HYPERLINK("https://www.google.com/maps/search/?api=1&amp;query=24.33907538,44.80788009", "View Map")</f>
        <v>View Map</v>
      </c>
      <c r="G3963" s="2">
        <v>0.4996601315514958</v>
      </c>
    </row>
    <row r="3964" spans="1:7" x14ac:dyDescent="0.3">
      <c r="A3964" t="s">
        <v>6835</v>
      </c>
      <c r="B3964" t="s">
        <v>6836</v>
      </c>
      <c r="C3964" t="s">
        <v>8</v>
      </c>
      <c r="D3964">
        <v>1.994</v>
      </c>
      <c r="E3964">
        <v>638</v>
      </c>
      <c r="F3964" t="str">
        <f>HYPERLINK("https://www.google.com/maps/search/?api=1&amp;query=24.74428286,46.84156262", "View Map")</f>
        <v>View Map</v>
      </c>
    </row>
    <row r="3965" spans="1:7" x14ac:dyDescent="0.3">
      <c r="A3965" t="s">
        <v>678</v>
      </c>
      <c r="B3965" t="s">
        <v>6837</v>
      </c>
      <c r="C3965" t="s">
        <v>21</v>
      </c>
      <c r="D3965">
        <v>1.994</v>
      </c>
      <c r="E3965">
        <v>638</v>
      </c>
      <c r="F3965" t="str">
        <f>HYPERLINK("https://www.google.com/maps/search/?api=1&amp;query=26.32287771,44.80793044", "View Map")</f>
        <v>View Map</v>
      </c>
      <c r="G3965" s="2">
        <v>0.48712907943890449</v>
      </c>
    </row>
    <row r="3966" spans="1:7" x14ac:dyDescent="0.3">
      <c r="A3966" t="s">
        <v>6838</v>
      </c>
      <c r="B3966" t="s">
        <v>6839</v>
      </c>
      <c r="C3966" t="s">
        <v>8</v>
      </c>
      <c r="D3966">
        <v>1.994</v>
      </c>
      <c r="E3966">
        <v>638</v>
      </c>
      <c r="F3966" t="str">
        <f>HYPERLINK("https://www.google.com/maps/search/?api=1&amp;query=24.73708335,46.78969606", "View Map")</f>
        <v>View Map</v>
      </c>
    </row>
    <row r="3967" spans="1:7" x14ac:dyDescent="0.3">
      <c r="A3967" t="s">
        <v>6840</v>
      </c>
      <c r="B3967" t="s">
        <v>6841</v>
      </c>
      <c r="C3967" t="s">
        <v>8</v>
      </c>
      <c r="D3967">
        <v>1.994</v>
      </c>
      <c r="E3967">
        <v>638</v>
      </c>
      <c r="F3967" t="str">
        <f>HYPERLINK("https://www.google.com/maps/search/?api=1&amp;query=24.85381109,46.77516928", "View Map")</f>
        <v>View Map</v>
      </c>
    </row>
    <row r="3968" spans="1:7" x14ac:dyDescent="0.3">
      <c r="A3968" t="s">
        <v>6842</v>
      </c>
      <c r="B3968" t="s">
        <v>6843</v>
      </c>
      <c r="C3968" t="s">
        <v>8</v>
      </c>
      <c r="D3968">
        <v>1.994</v>
      </c>
      <c r="E3968">
        <v>638</v>
      </c>
      <c r="F3968" t="str">
        <f>HYPERLINK("https://www.google.com/maps/search/?api=1&amp;query=24.58386773,46.52970913", "View Map")</f>
        <v>View Map</v>
      </c>
    </row>
    <row r="3969" spans="1:7" x14ac:dyDescent="0.3">
      <c r="A3969" t="s">
        <v>1217</v>
      </c>
      <c r="B3969" t="s">
        <v>6844</v>
      </c>
      <c r="C3969" t="s">
        <v>8</v>
      </c>
      <c r="D3969">
        <v>1.9930000000000001</v>
      </c>
      <c r="E3969">
        <v>638</v>
      </c>
      <c r="F3969" t="str">
        <f>HYPERLINK("https://www.google.com/maps/search/?api=1&amp;query=24.74608284,46.76153012", "View Map")</f>
        <v>View Map</v>
      </c>
    </row>
    <row r="3970" spans="1:7" x14ac:dyDescent="0.3">
      <c r="A3970" t="s">
        <v>6845</v>
      </c>
      <c r="B3970" t="s">
        <v>6846</v>
      </c>
      <c r="C3970" t="s">
        <v>8</v>
      </c>
      <c r="D3970">
        <v>1.992</v>
      </c>
      <c r="E3970">
        <v>637</v>
      </c>
      <c r="F3970" t="str">
        <f>HYPERLINK("https://www.google.com/maps/search/?api=1&amp;query=24.63711717,46.71990755", "View Map")</f>
        <v>View Map</v>
      </c>
    </row>
    <row r="3971" spans="1:7" x14ac:dyDescent="0.3">
      <c r="A3971" t="s">
        <v>6847</v>
      </c>
      <c r="B3971" t="s">
        <v>6848</v>
      </c>
      <c r="C3971" t="s">
        <v>8</v>
      </c>
      <c r="D3971">
        <v>1.992</v>
      </c>
      <c r="E3971">
        <v>637</v>
      </c>
      <c r="F3971" t="str">
        <f>HYPERLINK("https://www.google.com/maps/search/?api=1&amp;query=24.5363744,46.64409573", "View Map")</f>
        <v>View Map</v>
      </c>
    </row>
    <row r="3972" spans="1:7" x14ac:dyDescent="0.3">
      <c r="A3972" t="s">
        <v>6849</v>
      </c>
      <c r="B3972" t="s">
        <v>6850</v>
      </c>
      <c r="C3972" t="s">
        <v>255</v>
      </c>
      <c r="D3972">
        <v>1.9910000000000001</v>
      </c>
      <c r="E3972">
        <v>637</v>
      </c>
      <c r="F3972" t="str">
        <f>HYPERLINK("https://www.google.com/maps/search/?api=1&amp;query=24.50242314,44.38778873", "View Map")</f>
        <v>View Map</v>
      </c>
      <c r="G3972" s="2">
        <v>0.3546650245783291</v>
      </c>
    </row>
    <row r="3973" spans="1:7" x14ac:dyDescent="0.3">
      <c r="A3973" t="s">
        <v>6851</v>
      </c>
      <c r="B3973" t="s">
        <v>6852</v>
      </c>
      <c r="C3973" t="s">
        <v>30</v>
      </c>
      <c r="D3973">
        <v>1.9910000000000001</v>
      </c>
      <c r="E3973">
        <v>637</v>
      </c>
      <c r="F3973" t="str">
        <f>HYPERLINK("https://www.google.com/maps/search/?api=1&amp;query=24.1511261,47.30639796", "View Map")</f>
        <v>View Map</v>
      </c>
    </row>
    <row r="3974" spans="1:7" x14ac:dyDescent="0.3">
      <c r="A3974" t="s">
        <v>46</v>
      </c>
      <c r="B3974" t="s">
        <v>6853</v>
      </c>
      <c r="C3974" t="s">
        <v>8</v>
      </c>
      <c r="D3974">
        <v>1.99</v>
      </c>
      <c r="E3974">
        <v>637</v>
      </c>
      <c r="F3974" t="str">
        <f>HYPERLINK("https://www.google.com/maps/search/?api=1&amp;query=24.81571172,46.7831409", "View Map")</f>
        <v>View Map</v>
      </c>
    </row>
    <row r="3975" spans="1:7" x14ac:dyDescent="0.3">
      <c r="A3975" t="s">
        <v>6854</v>
      </c>
      <c r="B3975" t="s">
        <v>6855</v>
      </c>
      <c r="C3975" t="s">
        <v>8</v>
      </c>
      <c r="D3975">
        <v>1.99</v>
      </c>
      <c r="E3975">
        <v>637</v>
      </c>
      <c r="F3975" t="str">
        <f>HYPERLINK("https://www.google.com/maps/search/?api=1&amp;query=24.60259749,46.65124715", "View Map")</f>
        <v>View Map</v>
      </c>
    </row>
    <row r="3976" spans="1:7" x14ac:dyDescent="0.3">
      <c r="A3976" t="s">
        <v>6856</v>
      </c>
      <c r="B3976" t="s">
        <v>6857</v>
      </c>
      <c r="C3976" t="s">
        <v>77</v>
      </c>
      <c r="D3976">
        <v>1.99</v>
      </c>
      <c r="E3976">
        <v>637</v>
      </c>
      <c r="F3976" t="str">
        <f>HYPERLINK("https://www.google.com/maps/search/?api=1&amp;query=22.29994071,46.7150448", "View Map")</f>
        <v>View Map</v>
      </c>
      <c r="G3976" s="2">
        <v>0.50012955422019267</v>
      </c>
    </row>
    <row r="3977" spans="1:7" x14ac:dyDescent="0.3">
      <c r="A3977" t="s">
        <v>6858</v>
      </c>
      <c r="B3977" t="s">
        <v>6859</v>
      </c>
      <c r="C3977" t="s">
        <v>8</v>
      </c>
      <c r="D3977">
        <v>1.9890000000000001</v>
      </c>
      <c r="E3977">
        <v>636</v>
      </c>
      <c r="F3977" t="str">
        <f>HYPERLINK("https://www.google.com/maps/search/?api=1&amp;query=24.58414059,46.60682294", "View Map")</f>
        <v>View Map</v>
      </c>
    </row>
    <row r="3978" spans="1:7" x14ac:dyDescent="0.3">
      <c r="A3978" t="s">
        <v>46</v>
      </c>
      <c r="B3978" t="s">
        <v>6860</v>
      </c>
      <c r="C3978" t="s">
        <v>8</v>
      </c>
      <c r="D3978">
        <v>1.9890000000000001</v>
      </c>
      <c r="E3978">
        <v>636</v>
      </c>
      <c r="F3978" t="str">
        <f>HYPERLINK("https://www.google.com/maps/search/?api=1&amp;query=24.7794697,46.8378725", "View Map")</f>
        <v>View Map</v>
      </c>
    </row>
    <row r="3979" spans="1:7" x14ac:dyDescent="0.3">
      <c r="A3979" t="s">
        <v>352</v>
      </c>
      <c r="B3979" t="s">
        <v>6861</v>
      </c>
      <c r="C3979" t="s">
        <v>8</v>
      </c>
      <c r="D3979">
        <v>1.9890000000000001</v>
      </c>
      <c r="E3979">
        <v>637</v>
      </c>
      <c r="F3979" t="str">
        <f>HYPERLINK("https://www.google.com/maps/search/?api=1&amp;query=24.75655387,46.77571345", "View Map")</f>
        <v>View Map</v>
      </c>
    </row>
    <row r="3980" spans="1:7" x14ac:dyDescent="0.3">
      <c r="A3980" t="s">
        <v>4564</v>
      </c>
      <c r="B3980" t="s">
        <v>6862</v>
      </c>
      <c r="C3980" t="s">
        <v>8</v>
      </c>
      <c r="D3980">
        <v>1.988</v>
      </c>
      <c r="E3980">
        <v>636</v>
      </c>
      <c r="F3980" t="str">
        <f>HYPERLINK("https://www.google.com/maps/search/?api=1&amp;query=24.54393524,46.70151236", "View Map")</f>
        <v>View Map</v>
      </c>
    </row>
    <row r="3981" spans="1:7" x14ac:dyDescent="0.3">
      <c r="A3981" t="s">
        <v>6863</v>
      </c>
      <c r="B3981" t="s">
        <v>6864</v>
      </c>
      <c r="C3981" t="s">
        <v>255</v>
      </c>
      <c r="D3981">
        <v>1.9870000000000001</v>
      </c>
      <c r="E3981">
        <v>636</v>
      </c>
      <c r="F3981" t="str">
        <f>HYPERLINK("https://www.google.com/maps/search/?api=1&amp;query=24.55044174,44.44018989", "View Map")</f>
        <v>View Map</v>
      </c>
      <c r="G3981" s="2">
        <v>0.63895363720343901</v>
      </c>
    </row>
    <row r="3982" spans="1:7" x14ac:dyDescent="0.3">
      <c r="A3982" t="s">
        <v>4163</v>
      </c>
      <c r="B3982" t="s">
        <v>6865</v>
      </c>
      <c r="C3982" t="s">
        <v>8</v>
      </c>
      <c r="D3982">
        <v>1.9870000000000001</v>
      </c>
      <c r="E3982">
        <v>636</v>
      </c>
      <c r="F3982" t="str">
        <f>HYPERLINK("https://www.google.com/maps/search/?api=1&amp;query=24.74901179,46.77937212", "View Map")</f>
        <v>View Map</v>
      </c>
    </row>
    <row r="3983" spans="1:7" x14ac:dyDescent="0.3">
      <c r="A3983" t="s">
        <v>22</v>
      </c>
      <c r="B3983" t="s">
        <v>6866</v>
      </c>
      <c r="C3983" t="s">
        <v>8</v>
      </c>
      <c r="D3983">
        <v>1.986</v>
      </c>
      <c r="E3983">
        <v>636</v>
      </c>
      <c r="F3983" t="str">
        <f>HYPERLINK("https://www.google.com/maps/search/?api=1&amp;query=24.7639438,46.8178028", "View Map")</f>
        <v>View Map</v>
      </c>
    </row>
    <row r="3984" spans="1:7" x14ac:dyDescent="0.3">
      <c r="A3984" t="s">
        <v>2688</v>
      </c>
      <c r="B3984" t="s">
        <v>6867</v>
      </c>
      <c r="C3984" t="s">
        <v>646</v>
      </c>
      <c r="D3984">
        <v>1.986</v>
      </c>
      <c r="E3984">
        <v>635</v>
      </c>
      <c r="F3984" t="str">
        <f>HYPERLINK("https://www.google.com/maps/search/?api=1&amp;query=20.47767036,45.54738236", "View Map")</f>
        <v>View Map</v>
      </c>
    </row>
    <row r="3985" spans="1:7" x14ac:dyDescent="0.3">
      <c r="A3985" t="s">
        <v>6868</v>
      </c>
      <c r="B3985" t="s">
        <v>6869</v>
      </c>
      <c r="C3985" t="s">
        <v>8</v>
      </c>
      <c r="D3985">
        <v>1.986</v>
      </c>
      <c r="E3985">
        <v>635</v>
      </c>
      <c r="F3985" t="str">
        <f>HYPERLINK("https://www.google.com/maps/search/?api=1&amp;query=24.70905937,46.69910084", "View Map")</f>
        <v>View Map</v>
      </c>
    </row>
    <row r="3986" spans="1:7" x14ac:dyDescent="0.3">
      <c r="A3986" t="s">
        <v>46</v>
      </c>
      <c r="B3986" t="s">
        <v>6870</v>
      </c>
      <c r="C3986" t="s">
        <v>8</v>
      </c>
      <c r="D3986">
        <v>1.986</v>
      </c>
      <c r="E3986">
        <v>635</v>
      </c>
      <c r="F3986" t="str">
        <f>HYPERLINK("https://www.google.com/maps/search/?api=1&amp;query=24.81150486,46.78545134", "View Map")</f>
        <v>View Map</v>
      </c>
    </row>
    <row r="3987" spans="1:7" x14ac:dyDescent="0.3">
      <c r="A3987" t="s">
        <v>6871</v>
      </c>
      <c r="B3987" t="s">
        <v>6872</v>
      </c>
      <c r="C3987" t="s">
        <v>55</v>
      </c>
      <c r="D3987">
        <v>1.986</v>
      </c>
      <c r="E3987">
        <v>636</v>
      </c>
      <c r="F3987" t="str">
        <f>HYPERLINK("https://www.google.com/maps/search/?api=1&amp;query=24.74949569,46.52405982", "View Map")</f>
        <v>View Map</v>
      </c>
    </row>
    <row r="3988" spans="1:7" x14ac:dyDescent="0.3">
      <c r="A3988" t="s">
        <v>6873</v>
      </c>
      <c r="B3988" t="s">
        <v>6874</v>
      </c>
      <c r="C3988" t="s">
        <v>255</v>
      </c>
      <c r="D3988">
        <v>1.9850000000000001</v>
      </c>
      <c r="E3988">
        <v>635</v>
      </c>
      <c r="F3988" t="str">
        <f>HYPERLINK("https://www.google.com/maps/search/?api=1&amp;query=24.52076762,44.40920674", "View Map")</f>
        <v>View Map</v>
      </c>
      <c r="G3988" s="2">
        <v>0.43954166965358138</v>
      </c>
    </row>
    <row r="3989" spans="1:7" x14ac:dyDescent="0.3">
      <c r="A3989" t="s">
        <v>6875</v>
      </c>
      <c r="B3989" t="s">
        <v>6876</v>
      </c>
      <c r="C3989" t="s">
        <v>270</v>
      </c>
      <c r="D3989">
        <v>1.9850000000000001</v>
      </c>
      <c r="E3989">
        <v>635</v>
      </c>
      <c r="F3989" t="str">
        <f>HYPERLINK("https://www.google.com/maps/search/?api=1&amp;query=23.99334344,47.12028381", "View Map")</f>
        <v>View Map</v>
      </c>
      <c r="G3989" s="2">
        <v>0.46491353720445222</v>
      </c>
    </row>
    <row r="3990" spans="1:7" x14ac:dyDescent="0.3">
      <c r="A3990" t="s">
        <v>46</v>
      </c>
      <c r="B3990" t="s">
        <v>6877</v>
      </c>
      <c r="C3990" t="s">
        <v>8</v>
      </c>
      <c r="D3990">
        <v>1.9850000000000001</v>
      </c>
      <c r="E3990">
        <v>635</v>
      </c>
      <c r="F3990" t="str">
        <f>HYPERLINK("https://www.google.com/maps/search/?api=1&amp;query=24.84429942,46.82623565", "View Map")</f>
        <v>View Map</v>
      </c>
    </row>
    <row r="3991" spans="1:7" x14ac:dyDescent="0.3">
      <c r="A3991" t="s">
        <v>6878</v>
      </c>
      <c r="B3991" t="s">
        <v>6879</v>
      </c>
      <c r="C3991" t="s">
        <v>8</v>
      </c>
      <c r="D3991">
        <v>1.984</v>
      </c>
      <c r="E3991">
        <v>635</v>
      </c>
      <c r="F3991" t="str">
        <f>HYPERLINK("https://www.google.com/maps/search/?api=1&amp;query=24.5861994,46.65743851", "View Map")</f>
        <v>View Map</v>
      </c>
    </row>
    <row r="3992" spans="1:7" x14ac:dyDescent="0.3">
      <c r="A3992" t="s">
        <v>6880</v>
      </c>
      <c r="B3992" t="s">
        <v>6881</v>
      </c>
      <c r="C3992" t="s">
        <v>291</v>
      </c>
      <c r="D3992">
        <v>1.984</v>
      </c>
      <c r="E3992">
        <v>635</v>
      </c>
      <c r="F3992" t="str">
        <f>HYPERLINK("https://www.google.com/maps/search/?api=1&amp;query=23.98850851,45.16562836", "View Map")</f>
        <v>View Map</v>
      </c>
      <c r="G3992" s="2">
        <v>0.68359730912970618</v>
      </c>
    </row>
    <row r="3993" spans="1:7" x14ac:dyDescent="0.3">
      <c r="A3993" t="s">
        <v>459</v>
      </c>
      <c r="B3993" t="s">
        <v>6882</v>
      </c>
      <c r="C3993" t="s">
        <v>286</v>
      </c>
      <c r="D3993">
        <v>1.984</v>
      </c>
      <c r="E3993">
        <v>635</v>
      </c>
      <c r="F3993" t="str">
        <f>HYPERLINK("https://www.google.com/maps/search/?api=1&amp;query=25.21227148,45.24943444", "View Map")</f>
        <v>View Map</v>
      </c>
      <c r="G3993" s="2">
        <v>0.58674043258139652</v>
      </c>
    </row>
    <row r="3994" spans="1:7" x14ac:dyDescent="0.3">
      <c r="A3994" t="s">
        <v>6883</v>
      </c>
      <c r="B3994" t="s">
        <v>6884</v>
      </c>
      <c r="C3994" t="s">
        <v>270</v>
      </c>
      <c r="D3994">
        <v>1.984</v>
      </c>
      <c r="E3994">
        <v>635</v>
      </c>
      <c r="F3994" t="str">
        <f>HYPERLINK("https://www.google.com/maps/search/?api=1&amp;query=24.01519589,47.13417083", "View Map")</f>
        <v>View Map</v>
      </c>
    </row>
    <row r="3995" spans="1:7" x14ac:dyDescent="0.3">
      <c r="A3995" t="s">
        <v>6885</v>
      </c>
      <c r="B3995" t="s">
        <v>6886</v>
      </c>
      <c r="C3995" t="s">
        <v>8</v>
      </c>
      <c r="D3995">
        <v>1.984</v>
      </c>
      <c r="E3995">
        <v>635</v>
      </c>
      <c r="F3995" t="str">
        <f>HYPERLINK("https://www.google.com/maps/search/?api=1&amp;query=24.7315401,46.76436904", "View Map")</f>
        <v>View Map</v>
      </c>
    </row>
    <row r="3996" spans="1:7" x14ac:dyDescent="0.3">
      <c r="A3996" t="s">
        <v>717</v>
      </c>
      <c r="B3996" t="s">
        <v>6887</v>
      </c>
      <c r="C3996" t="s">
        <v>255</v>
      </c>
      <c r="D3996">
        <v>1.9830000000000001</v>
      </c>
      <c r="E3996">
        <v>635</v>
      </c>
      <c r="F3996" t="str">
        <f>HYPERLINK("https://www.google.com/maps/search/?api=1&amp;query=24.53839163,44.41077419", "View Map")</f>
        <v>View Map</v>
      </c>
      <c r="G3996" s="2">
        <v>0.49417065778721431</v>
      </c>
    </row>
    <row r="3997" spans="1:7" x14ac:dyDescent="0.3">
      <c r="A3997" t="s">
        <v>6888</v>
      </c>
      <c r="B3997" t="s">
        <v>6889</v>
      </c>
      <c r="C3997" t="s">
        <v>291</v>
      </c>
      <c r="D3997">
        <v>1.9830000000000001</v>
      </c>
      <c r="E3997">
        <v>634</v>
      </c>
      <c r="F3997" t="str">
        <f>HYPERLINK("https://www.google.com/maps/search/?api=1&amp;query=24.36517275,45.32883851", "View Map")</f>
        <v>View Map</v>
      </c>
      <c r="G3997" s="2">
        <v>0.53067923948786067</v>
      </c>
    </row>
    <row r="3998" spans="1:7" x14ac:dyDescent="0.3">
      <c r="A3998" t="s">
        <v>1273</v>
      </c>
      <c r="B3998" t="s">
        <v>6890</v>
      </c>
      <c r="C3998" t="s">
        <v>241</v>
      </c>
      <c r="D3998">
        <v>1.982</v>
      </c>
      <c r="E3998">
        <v>634</v>
      </c>
      <c r="F3998" t="str">
        <f>HYPERLINK("https://www.google.com/maps/search/?api=1&amp;query=20.41526815,45.12309383", "View Map")</f>
        <v>View Map</v>
      </c>
      <c r="G3998" s="2">
        <v>0.44070924601216949</v>
      </c>
    </row>
    <row r="3999" spans="1:7" x14ac:dyDescent="0.3">
      <c r="A3999" t="s">
        <v>6891</v>
      </c>
      <c r="B3999" t="s">
        <v>6892</v>
      </c>
      <c r="C3999" t="s">
        <v>393</v>
      </c>
      <c r="D3999">
        <v>1.982</v>
      </c>
      <c r="E3999">
        <v>634</v>
      </c>
      <c r="F3999" t="str">
        <f>HYPERLINK("https://www.google.com/maps/search/?api=1&amp;query=22.72430293,44.88148387", "View Map")</f>
        <v>View Map</v>
      </c>
      <c r="G3999" s="2">
        <v>0.57212992134130458</v>
      </c>
    </row>
    <row r="4000" spans="1:7" x14ac:dyDescent="0.3">
      <c r="A4000" t="s">
        <v>6893</v>
      </c>
      <c r="B4000" t="s">
        <v>6894</v>
      </c>
      <c r="C4000" t="s">
        <v>8</v>
      </c>
      <c r="D4000">
        <v>1.9810000000000001</v>
      </c>
      <c r="E4000">
        <v>634</v>
      </c>
      <c r="F4000" t="str">
        <f>HYPERLINK("https://www.google.com/maps/search/?api=1&amp;query=24.78312611,46.81997389", "View Map")</f>
        <v>View Map</v>
      </c>
      <c r="G4000" s="2">
        <v>0.70866632722660938</v>
      </c>
    </row>
    <row r="4001" spans="1:7" x14ac:dyDescent="0.3">
      <c r="A4001" t="s">
        <v>6895</v>
      </c>
      <c r="B4001" t="s">
        <v>6896</v>
      </c>
      <c r="C4001" t="s">
        <v>21</v>
      </c>
      <c r="D4001">
        <v>1.9810000000000001</v>
      </c>
      <c r="E4001">
        <v>634</v>
      </c>
      <c r="F4001" t="str">
        <f>HYPERLINK("https://www.google.com/maps/search/?api=1&amp;query=26.31757153,44.87334576", "View Map")</f>
        <v>View Map</v>
      </c>
      <c r="G4001" s="2">
        <v>0.62574437589865195</v>
      </c>
    </row>
    <row r="4002" spans="1:7" x14ac:dyDescent="0.3">
      <c r="A4002" t="s">
        <v>6897</v>
      </c>
      <c r="B4002" t="s">
        <v>6898</v>
      </c>
      <c r="C4002" t="s">
        <v>8</v>
      </c>
      <c r="D4002">
        <v>1.98</v>
      </c>
      <c r="E4002">
        <v>634</v>
      </c>
      <c r="F4002" t="str">
        <f>HYPERLINK("https://www.google.com/maps/search/?api=1&amp;query=24.65488059,46.75307789", "View Map")</f>
        <v>View Map</v>
      </c>
    </row>
    <row r="4003" spans="1:7" x14ac:dyDescent="0.3">
      <c r="A4003" t="s">
        <v>464</v>
      </c>
      <c r="B4003" t="s">
        <v>6899</v>
      </c>
      <c r="C4003" t="s">
        <v>466</v>
      </c>
      <c r="D4003">
        <v>1.98</v>
      </c>
      <c r="E4003">
        <v>633</v>
      </c>
      <c r="F4003" t="str">
        <f>HYPERLINK("https://www.google.com/maps/search/?api=1&amp;query=24.58178629,46.14885065", "View Map")</f>
        <v>View Map</v>
      </c>
      <c r="G4003" s="2">
        <v>0.35070624419027818</v>
      </c>
    </row>
    <row r="4004" spans="1:7" x14ac:dyDescent="0.3">
      <c r="A4004" t="s">
        <v>2168</v>
      </c>
      <c r="B4004" t="s">
        <v>6900</v>
      </c>
      <c r="C4004" t="s">
        <v>393</v>
      </c>
      <c r="D4004">
        <v>1.98</v>
      </c>
      <c r="E4004">
        <v>634</v>
      </c>
      <c r="F4004" t="str">
        <f>HYPERLINK("https://www.google.com/maps/search/?api=1&amp;query=23.54523402,45.50866128", "View Map")</f>
        <v>View Map</v>
      </c>
      <c r="G4004" s="2">
        <v>0.44158837980886689</v>
      </c>
    </row>
    <row r="4005" spans="1:7" x14ac:dyDescent="0.3">
      <c r="A4005" t="s">
        <v>46</v>
      </c>
      <c r="B4005" t="s">
        <v>6901</v>
      </c>
      <c r="C4005" t="s">
        <v>8</v>
      </c>
      <c r="D4005">
        <v>1.98</v>
      </c>
      <c r="E4005">
        <v>634</v>
      </c>
      <c r="F4005" t="str">
        <f>HYPERLINK("https://www.google.com/maps/search/?api=1&amp;query=24.7251261,46.75134483", "View Map")</f>
        <v>View Map</v>
      </c>
    </row>
    <row r="4006" spans="1:7" x14ac:dyDescent="0.3">
      <c r="A4006" t="s">
        <v>4564</v>
      </c>
      <c r="B4006" t="s">
        <v>6902</v>
      </c>
      <c r="C4006" t="s">
        <v>8</v>
      </c>
      <c r="D4006">
        <v>1.978</v>
      </c>
      <c r="E4006">
        <v>633</v>
      </c>
      <c r="F4006" t="str">
        <f>HYPERLINK("https://www.google.com/maps/search/?api=1&amp;query=24.53758782,46.70258996", "View Map")</f>
        <v>View Map</v>
      </c>
    </row>
    <row r="4007" spans="1:7" x14ac:dyDescent="0.3">
      <c r="A4007" t="s">
        <v>6903</v>
      </c>
      <c r="B4007" t="s">
        <v>6904</v>
      </c>
      <c r="C4007" t="s">
        <v>21</v>
      </c>
      <c r="D4007">
        <v>1.978</v>
      </c>
      <c r="E4007">
        <v>633</v>
      </c>
      <c r="F4007" t="str">
        <f>HYPERLINK("https://www.google.com/maps/search/?api=1&amp;query=26.33848986,44.78050467", "View Map")</f>
        <v>View Map</v>
      </c>
      <c r="G4007" s="2">
        <v>0.39928056972933329</v>
      </c>
    </row>
    <row r="4008" spans="1:7" x14ac:dyDescent="0.3">
      <c r="A4008" t="s">
        <v>6905</v>
      </c>
      <c r="B4008" t="s">
        <v>6906</v>
      </c>
      <c r="C4008" t="s">
        <v>8</v>
      </c>
      <c r="D4008">
        <v>1.9770000000000001</v>
      </c>
      <c r="E4008">
        <v>633</v>
      </c>
      <c r="F4008" t="str">
        <f>HYPERLINK("https://www.google.com/maps/search/?api=1&amp;query=24.57971703,46.53004934", "View Map")</f>
        <v>View Map</v>
      </c>
    </row>
    <row r="4009" spans="1:7" x14ac:dyDescent="0.3">
      <c r="A4009" t="s">
        <v>6907</v>
      </c>
      <c r="B4009" t="s">
        <v>6908</v>
      </c>
      <c r="C4009" t="s">
        <v>8</v>
      </c>
      <c r="D4009">
        <v>1.9770000000000001</v>
      </c>
      <c r="E4009">
        <v>632</v>
      </c>
      <c r="F4009" t="str">
        <f>HYPERLINK("https://www.google.com/maps/search/?api=1&amp;query=24.72195266,46.81280705", "View Map")</f>
        <v>View Map</v>
      </c>
    </row>
    <row r="4010" spans="1:7" x14ac:dyDescent="0.3">
      <c r="A4010" t="s">
        <v>6909</v>
      </c>
      <c r="B4010" t="s">
        <v>6910</v>
      </c>
      <c r="C4010" t="s">
        <v>255</v>
      </c>
      <c r="D4010">
        <v>1.9770000000000001</v>
      </c>
      <c r="E4010">
        <v>633</v>
      </c>
      <c r="F4010" t="str">
        <f>HYPERLINK("https://www.google.com/maps/search/?api=1&amp;query=24.75703037,43.77613327", "View Map")</f>
        <v>View Map</v>
      </c>
      <c r="G4010" s="2">
        <v>0.42051909371343471</v>
      </c>
    </row>
    <row r="4011" spans="1:7" x14ac:dyDescent="0.3">
      <c r="A4011" t="s">
        <v>6911</v>
      </c>
      <c r="B4011" t="s">
        <v>6912</v>
      </c>
      <c r="C4011" t="s">
        <v>8</v>
      </c>
      <c r="D4011">
        <v>1.9770000000000001</v>
      </c>
      <c r="E4011">
        <v>633</v>
      </c>
      <c r="F4011" t="str">
        <f>HYPERLINK("https://www.google.com/maps/search/?api=1&amp;query=24.64446094,46.7183882", "View Map")</f>
        <v>View Map</v>
      </c>
    </row>
    <row r="4012" spans="1:7" x14ac:dyDescent="0.3">
      <c r="A4012" t="s">
        <v>6913</v>
      </c>
      <c r="B4012" t="s">
        <v>6914</v>
      </c>
      <c r="C4012" t="s">
        <v>241</v>
      </c>
      <c r="D4012">
        <v>1.976</v>
      </c>
      <c r="E4012">
        <v>632</v>
      </c>
      <c r="F4012" t="str">
        <f>HYPERLINK("https://www.google.com/maps/search/?api=1&amp;query=20.47265128,45.05310618", "View Map")</f>
        <v>View Map</v>
      </c>
      <c r="G4012" s="2">
        <v>0.65846854590051163</v>
      </c>
    </row>
    <row r="4013" spans="1:7" x14ac:dyDescent="0.3">
      <c r="A4013" t="s">
        <v>6915</v>
      </c>
      <c r="B4013" t="s">
        <v>6916</v>
      </c>
      <c r="C4013" t="s">
        <v>21</v>
      </c>
      <c r="D4013">
        <v>1.9750000000000001</v>
      </c>
      <c r="E4013">
        <v>632</v>
      </c>
      <c r="F4013" t="str">
        <f>HYPERLINK("https://www.google.com/maps/search/?api=1&amp;query=26.288355,44.84592019", "View Map")</f>
        <v>View Map</v>
      </c>
      <c r="G4013" s="2">
        <v>0.48745395418251969</v>
      </c>
    </row>
    <row r="4014" spans="1:7" x14ac:dyDescent="0.3">
      <c r="A4014" t="s">
        <v>6917</v>
      </c>
      <c r="B4014" t="s">
        <v>6918</v>
      </c>
      <c r="C4014" t="s">
        <v>8</v>
      </c>
      <c r="D4014">
        <v>1.9750000000000001</v>
      </c>
      <c r="E4014">
        <v>632</v>
      </c>
      <c r="F4014" t="str">
        <f>HYPERLINK("https://www.google.com/maps/search/?api=1&amp;query=24.57374243,46.59319472", "View Map")</f>
        <v>View Map</v>
      </c>
    </row>
    <row r="4015" spans="1:7" x14ac:dyDescent="0.3">
      <c r="A4015" t="s">
        <v>6919</v>
      </c>
      <c r="B4015" t="s">
        <v>6920</v>
      </c>
      <c r="C4015" t="s">
        <v>8</v>
      </c>
      <c r="D4015">
        <v>1.9750000000000001</v>
      </c>
      <c r="E4015">
        <v>632</v>
      </c>
      <c r="F4015" t="str">
        <f>HYPERLINK("https://www.google.com/maps/search/?api=1&amp;query=24.58556811,46.73896285", "View Map")</f>
        <v>View Map</v>
      </c>
    </row>
    <row r="4016" spans="1:7" x14ac:dyDescent="0.3">
      <c r="A4016" t="s">
        <v>6921</v>
      </c>
      <c r="B4016" t="s">
        <v>6922</v>
      </c>
      <c r="C4016" t="s">
        <v>8</v>
      </c>
      <c r="D4016">
        <v>1.9750000000000001</v>
      </c>
      <c r="E4016">
        <v>632</v>
      </c>
      <c r="F4016" t="str">
        <f>HYPERLINK("https://www.google.com/maps/search/?api=1&amp;query=24.57812328,46.76772617", "View Map")</f>
        <v>View Map</v>
      </c>
    </row>
    <row r="4017" spans="1:7" x14ac:dyDescent="0.3">
      <c r="A4017" t="s">
        <v>6923</v>
      </c>
      <c r="B4017" t="s">
        <v>6924</v>
      </c>
      <c r="C4017" t="s">
        <v>8</v>
      </c>
      <c r="D4017">
        <v>1.974</v>
      </c>
      <c r="E4017">
        <v>632</v>
      </c>
      <c r="F4017" t="str">
        <f>HYPERLINK("https://www.google.com/maps/search/?api=1&amp;query=24.6040041,46.71884601", "View Map")</f>
        <v>View Map</v>
      </c>
    </row>
    <row r="4018" spans="1:7" x14ac:dyDescent="0.3">
      <c r="A4018" t="s">
        <v>6925</v>
      </c>
      <c r="B4018" t="s">
        <v>6926</v>
      </c>
      <c r="C4018" t="s">
        <v>8</v>
      </c>
      <c r="D4018">
        <v>1.974</v>
      </c>
      <c r="E4018">
        <v>632</v>
      </c>
      <c r="F4018" t="str">
        <f>HYPERLINK("https://www.google.com/maps/search/?api=1&amp;query=24.76053985,46.77389475", "View Map")</f>
        <v>View Map</v>
      </c>
    </row>
    <row r="4019" spans="1:7" x14ac:dyDescent="0.3">
      <c r="A4019" t="s">
        <v>433</v>
      </c>
      <c r="B4019" t="s">
        <v>6927</v>
      </c>
      <c r="C4019" t="s">
        <v>137</v>
      </c>
      <c r="D4019">
        <v>1.9730000000000001</v>
      </c>
      <c r="E4019">
        <v>631</v>
      </c>
      <c r="F4019" t="str">
        <f>HYPERLINK("https://www.google.com/maps/search/?api=1&amp;query=23.49091911,46.88930802", "View Map")</f>
        <v>View Map</v>
      </c>
      <c r="G4019" s="2">
        <v>0.5193107965482453</v>
      </c>
    </row>
    <row r="4020" spans="1:7" x14ac:dyDescent="0.3">
      <c r="A4020" t="s">
        <v>6928</v>
      </c>
      <c r="B4020" t="s">
        <v>6929</v>
      </c>
      <c r="C4020" t="s">
        <v>255</v>
      </c>
      <c r="D4020">
        <v>1.9730000000000001</v>
      </c>
      <c r="E4020">
        <v>632</v>
      </c>
      <c r="F4020" t="str">
        <f>HYPERLINK("https://www.google.com/maps/search/?api=1&amp;query=25.2129764,44.22070627", "View Map")</f>
        <v>View Map</v>
      </c>
      <c r="G4020" s="2">
        <v>0.36957974474314848</v>
      </c>
    </row>
    <row r="4021" spans="1:7" x14ac:dyDescent="0.3">
      <c r="A4021" t="s">
        <v>6930</v>
      </c>
      <c r="B4021" t="s">
        <v>6931</v>
      </c>
      <c r="C4021" t="s">
        <v>255</v>
      </c>
      <c r="D4021">
        <v>1.972</v>
      </c>
      <c r="E4021">
        <v>631</v>
      </c>
      <c r="F4021" t="str">
        <f>HYPERLINK("https://www.google.com/maps/search/?api=1&amp;query=25.17406758,44.59624707", "View Map")</f>
        <v>View Map</v>
      </c>
    </row>
    <row r="4022" spans="1:7" x14ac:dyDescent="0.3">
      <c r="A4022" t="s">
        <v>380</v>
      </c>
      <c r="B4022" t="s">
        <v>6932</v>
      </c>
      <c r="C4022" t="s">
        <v>214</v>
      </c>
      <c r="D4022">
        <v>1.972</v>
      </c>
      <c r="E4022">
        <v>631</v>
      </c>
      <c r="F4022" t="str">
        <f>HYPERLINK("https://www.google.com/maps/search/?api=1&amp;query=25.69715998,45.89624839", "View Map")</f>
        <v>View Map</v>
      </c>
      <c r="G4022" s="2">
        <v>0.66635730486096312</v>
      </c>
    </row>
    <row r="4023" spans="1:7" x14ac:dyDescent="0.3">
      <c r="A4023" t="s">
        <v>6933</v>
      </c>
      <c r="B4023" t="s">
        <v>6934</v>
      </c>
      <c r="C4023" t="s">
        <v>8</v>
      </c>
      <c r="D4023">
        <v>1.972</v>
      </c>
      <c r="E4023">
        <v>631</v>
      </c>
      <c r="F4023" t="str">
        <f>HYPERLINK("https://www.google.com/maps/search/?api=1&amp;query=24.68441128,46.70755887", "View Map")</f>
        <v>View Map</v>
      </c>
    </row>
    <row r="4024" spans="1:7" x14ac:dyDescent="0.3">
      <c r="A4024" t="s">
        <v>6935</v>
      </c>
      <c r="B4024" t="s">
        <v>6936</v>
      </c>
      <c r="C4024" t="s">
        <v>8</v>
      </c>
      <c r="D4024">
        <v>1.972</v>
      </c>
      <c r="E4024">
        <v>631</v>
      </c>
      <c r="F4024" t="str">
        <f>HYPERLINK("https://www.google.com/maps/search/?api=1&amp;query=24.63789255,46.72210323", "View Map")</f>
        <v>View Map</v>
      </c>
    </row>
    <row r="4025" spans="1:7" x14ac:dyDescent="0.3">
      <c r="A4025" t="s">
        <v>6937</v>
      </c>
      <c r="B4025" t="s">
        <v>6938</v>
      </c>
      <c r="C4025" t="s">
        <v>8</v>
      </c>
      <c r="D4025">
        <v>1.972</v>
      </c>
      <c r="E4025">
        <v>631</v>
      </c>
      <c r="F4025" t="str">
        <f>HYPERLINK("https://www.google.com/maps/search/?api=1&amp;query=24.77462656,46.62402705", "View Map")</f>
        <v>View Map</v>
      </c>
    </row>
    <row r="4026" spans="1:7" x14ac:dyDescent="0.3">
      <c r="A4026" t="s">
        <v>6939</v>
      </c>
      <c r="B4026" t="s">
        <v>6940</v>
      </c>
      <c r="C4026" t="s">
        <v>8</v>
      </c>
      <c r="D4026">
        <v>1.972</v>
      </c>
      <c r="E4026">
        <v>631</v>
      </c>
      <c r="F4026" t="str">
        <f>HYPERLINK("https://www.google.com/maps/search/?api=1&amp;query=24.65898538,46.73720849", "View Map")</f>
        <v>View Map</v>
      </c>
    </row>
    <row r="4027" spans="1:7" x14ac:dyDescent="0.3">
      <c r="A4027" t="s">
        <v>6941</v>
      </c>
      <c r="B4027" t="s">
        <v>6942</v>
      </c>
      <c r="C4027" t="s">
        <v>8</v>
      </c>
      <c r="D4027">
        <v>1.9710000000000001</v>
      </c>
      <c r="E4027">
        <v>631</v>
      </c>
      <c r="F4027" t="str">
        <f>HYPERLINK("https://www.google.com/maps/search/?api=1&amp;query=24.74972807,46.81182744", "View Map")</f>
        <v>View Map</v>
      </c>
    </row>
    <row r="4028" spans="1:7" x14ac:dyDescent="0.3">
      <c r="A4028" t="s">
        <v>6943</v>
      </c>
      <c r="B4028" t="s">
        <v>6944</v>
      </c>
      <c r="C4028" t="s">
        <v>738</v>
      </c>
      <c r="D4028">
        <v>1.97</v>
      </c>
      <c r="E4028">
        <v>631</v>
      </c>
      <c r="F4028" t="str">
        <f>HYPERLINK("https://www.google.com/maps/search/?api=1&amp;query=25.11710558,46.10316985", "View Map")</f>
        <v>View Map</v>
      </c>
      <c r="G4028" s="2">
        <v>0.54780152968605311</v>
      </c>
    </row>
    <row r="4029" spans="1:7" x14ac:dyDescent="0.3">
      <c r="A4029" t="s">
        <v>6945</v>
      </c>
      <c r="B4029" t="s">
        <v>6946</v>
      </c>
      <c r="C4029" t="s">
        <v>77</v>
      </c>
      <c r="D4029">
        <v>1.97</v>
      </c>
      <c r="E4029">
        <v>630</v>
      </c>
      <c r="F4029" t="str">
        <f>HYPERLINK("https://www.google.com/maps/search/?api=1&amp;query=22.29261946,46.70152718", "View Map")</f>
        <v>View Map</v>
      </c>
    </row>
    <row r="4030" spans="1:7" x14ac:dyDescent="0.3">
      <c r="A4030" t="s">
        <v>576</v>
      </c>
      <c r="B4030" t="s">
        <v>6947</v>
      </c>
      <c r="C4030" t="s">
        <v>8</v>
      </c>
      <c r="D4030">
        <v>1.9690000000000001</v>
      </c>
      <c r="E4030">
        <v>630</v>
      </c>
      <c r="F4030" t="str">
        <f>HYPERLINK("https://www.google.com/maps/search/?api=1&amp;query=24.53458024,46.70329105", "View Map")</f>
        <v>View Map</v>
      </c>
    </row>
    <row r="4031" spans="1:7" x14ac:dyDescent="0.3">
      <c r="A4031" t="s">
        <v>6948</v>
      </c>
      <c r="B4031" t="s">
        <v>6949</v>
      </c>
      <c r="C4031" t="s">
        <v>137</v>
      </c>
      <c r="D4031">
        <v>1.9690000000000001</v>
      </c>
      <c r="E4031">
        <v>630</v>
      </c>
      <c r="F4031" t="str">
        <f>HYPERLINK("https://www.google.com/maps/search/?api=1&amp;query=23.48809345,46.88234365", "View Map")</f>
        <v>View Map</v>
      </c>
      <c r="G4031" s="2">
        <v>0.40557275686061472</v>
      </c>
    </row>
    <row r="4032" spans="1:7" x14ac:dyDescent="0.3">
      <c r="A4032" t="s">
        <v>6950</v>
      </c>
      <c r="B4032" t="s">
        <v>6951</v>
      </c>
      <c r="C4032" t="s">
        <v>8</v>
      </c>
      <c r="D4032">
        <v>1.968</v>
      </c>
      <c r="E4032">
        <v>630</v>
      </c>
      <c r="F4032" t="str">
        <f>HYPERLINK("https://www.google.com/maps/search/?api=1&amp;query=24.55360376,46.69328613", "View Map")</f>
        <v>View Map</v>
      </c>
    </row>
    <row r="4033" spans="1:7" x14ac:dyDescent="0.3">
      <c r="A4033" t="s">
        <v>46</v>
      </c>
      <c r="B4033" t="s">
        <v>6952</v>
      </c>
      <c r="C4033" t="s">
        <v>8</v>
      </c>
      <c r="D4033">
        <v>1.968</v>
      </c>
      <c r="E4033">
        <v>630</v>
      </c>
      <c r="F4033" t="str">
        <f>HYPERLINK("https://www.google.com/maps/search/?api=1&amp;query=24.54856517,46.80100296", "View Map")</f>
        <v>View Map</v>
      </c>
    </row>
    <row r="4034" spans="1:7" x14ac:dyDescent="0.3">
      <c r="A4034" t="s">
        <v>46</v>
      </c>
      <c r="B4034" t="s">
        <v>6953</v>
      </c>
      <c r="C4034" t="s">
        <v>8</v>
      </c>
      <c r="D4034">
        <v>1.968</v>
      </c>
      <c r="E4034">
        <v>630</v>
      </c>
      <c r="F4034" t="str">
        <f>HYPERLINK("https://www.google.com/maps/search/?api=1&amp;query=24.82635582,46.60725652", "View Map")</f>
        <v>View Map</v>
      </c>
      <c r="G4034" s="2">
        <v>0.10834638222136971</v>
      </c>
    </row>
    <row r="4035" spans="1:7" x14ac:dyDescent="0.3">
      <c r="A4035" t="s">
        <v>46</v>
      </c>
      <c r="B4035" t="s">
        <v>6954</v>
      </c>
      <c r="C4035" t="s">
        <v>8</v>
      </c>
      <c r="D4035">
        <v>1.968</v>
      </c>
      <c r="E4035">
        <v>630</v>
      </c>
      <c r="F4035" t="str">
        <f>HYPERLINK("https://www.google.com/maps/search/?api=1&amp;query=24.806819,46.82055937", "View Map")</f>
        <v>View Map</v>
      </c>
    </row>
    <row r="4036" spans="1:7" x14ac:dyDescent="0.3">
      <c r="A4036" t="s">
        <v>6955</v>
      </c>
      <c r="B4036" t="s">
        <v>6956</v>
      </c>
      <c r="C4036" t="s">
        <v>8</v>
      </c>
      <c r="D4036">
        <v>1.9670000000000001</v>
      </c>
      <c r="E4036">
        <v>629</v>
      </c>
      <c r="F4036" t="str">
        <f>HYPERLINK("https://www.google.com/maps/search/?api=1&amp;query=24.59071612,46.67004526", "View Map")</f>
        <v>View Map</v>
      </c>
      <c r="G4036" s="2">
        <v>0.37048785887847208</v>
      </c>
    </row>
    <row r="4037" spans="1:7" x14ac:dyDescent="0.3">
      <c r="A4037" t="s">
        <v>6957</v>
      </c>
      <c r="B4037" t="s">
        <v>6958</v>
      </c>
      <c r="C4037" t="s">
        <v>8</v>
      </c>
      <c r="D4037">
        <v>1.9670000000000001</v>
      </c>
      <c r="E4037">
        <v>629</v>
      </c>
      <c r="F4037" t="str">
        <f>HYPERLINK("https://www.google.com/maps/search/?api=1&amp;query=24.55442151,46.7069751", "View Map")</f>
        <v>View Map</v>
      </c>
    </row>
    <row r="4038" spans="1:7" x14ac:dyDescent="0.3">
      <c r="A4038" t="s">
        <v>6959</v>
      </c>
      <c r="B4038" t="s">
        <v>6960</v>
      </c>
      <c r="C4038" t="s">
        <v>255</v>
      </c>
      <c r="D4038">
        <v>1.9670000000000001</v>
      </c>
      <c r="E4038">
        <v>629</v>
      </c>
      <c r="F4038" t="str">
        <f>HYPERLINK("https://www.google.com/maps/search/?api=1&amp;query=24.50384924,44.391134", "View Map")</f>
        <v>View Map</v>
      </c>
    </row>
    <row r="4039" spans="1:7" x14ac:dyDescent="0.3">
      <c r="A4039" t="s">
        <v>6961</v>
      </c>
      <c r="B4039" t="s">
        <v>6962</v>
      </c>
      <c r="C4039" t="s">
        <v>21</v>
      </c>
      <c r="D4039">
        <v>1.966</v>
      </c>
      <c r="E4039">
        <v>629</v>
      </c>
      <c r="F4039" t="str">
        <f>HYPERLINK("https://www.google.com/maps/search/?api=1&amp;query=26.30219914,44.82615726", "View Map")</f>
        <v>View Map</v>
      </c>
      <c r="G4039" s="2">
        <v>0.38982857251639558</v>
      </c>
    </row>
    <row r="4040" spans="1:7" x14ac:dyDescent="0.3">
      <c r="A4040" t="s">
        <v>6963</v>
      </c>
      <c r="B4040" t="s">
        <v>6964</v>
      </c>
      <c r="C4040" t="s">
        <v>30</v>
      </c>
      <c r="D4040">
        <v>1.966</v>
      </c>
      <c r="E4040">
        <v>629</v>
      </c>
      <c r="F4040" t="str">
        <f>HYPERLINK("https://www.google.com/maps/search/?api=1&amp;query=24.16502351,47.36020408", "View Map")</f>
        <v>View Map</v>
      </c>
    </row>
    <row r="4041" spans="1:7" x14ac:dyDescent="0.3">
      <c r="A4041" t="s">
        <v>6965</v>
      </c>
      <c r="B4041" t="s">
        <v>6966</v>
      </c>
      <c r="C4041" t="s">
        <v>8</v>
      </c>
      <c r="D4041">
        <v>1.966</v>
      </c>
      <c r="E4041">
        <v>629</v>
      </c>
      <c r="F4041" t="str">
        <f>HYPERLINK("https://www.google.com/maps/search/?api=1&amp;query=24.80278674,46.73232398", "View Map")</f>
        <v>View Map</v>
      </c>
    </row>
    <row r="4042" spans="1:7" x14ac:dyDescent="0.3">
      <c r="A4042" t="s">
        <v>2848</v>
      </c>
      <c r="B4042" t="s">
        <v>6967</v>
      </c>
      <c r="C4042" t="s">
        <v>214</v>
      </c>
      <c r="D4042">
        <v>1.966</v>
      </c>
      <c r="E4042">
        <v>629</v>
      </c>
      <c r="F4042" t="str">
        <f>HYPERLINK("https://www.google.com/maps/search/?api=1&amp;query=26.50936382,45.35519277", "View Map")</f>
        <v>View Map</v>
      </c>
      <c r="G4042" s="2">
        <v>0.60759021682687342</v>
      </c>
    </row>
    <row r="4043" spans="1:7" x14ac:dyDescent="0.3">
      <c r="A4043" t="s">
        <v>6968</v>
      </c>
      <c r="B4043" t="s">
        <v>6969</v>
      </c>
      <c r="C4043" t="s">
        <v>8</v>
      </c>
      <c r="D4043">
        <v>1.966</v>
      </c>
      <c r="E4043">
        <v>629</v>
      </c>
      <c r="F4043" t="str">
        <f>HYPERLINK("https://www.google.com/maps/search/?api=1&amp;query=24.58425887,46.6022708", "View Map")</f>
        <v>View Map</v>
      </c>
    </row>
    <row r="4044" spans="1:7" x14ac:dyDescent="0.3">
      <c r="A4044" t="s">
        <v>6970</v>
      </c>
      <c r="B4044" t="s">
        <v>6971</v>
      </c>
      <c r="C4044" t="s">
        <v>8</v>
      </c>
      <c r="D4044">
        <v>1.9650000000000001</v>
      </c>
      <c r="E4044">
        <v>629</v>
      </c>
      <c r="F4044" t="str">
        <f>HYPERLINK("https://www.google.com/maps/search/?api=1&amp;query=24.62721383,46.70147249", "View Map")</f>
        <v>View Map</v>
      </c>
    </row>
    <row r="4045" spans="1:7" x14ac:dyDescent="0.3">
      <c r="A4045" t="s">
        <v>6972</v>
      </c>
      <c r="B4045" t="s">
        <v>6973</v>
      </c>
      <c r="C4045" t="s">
        <v>286</v>
      </c>
      <c r="D4045">
        <v>1.9650000000000001</v>
      </c>
      <c r="E4045">
        <v>629</v>
      </c>
      <c r="F4045" t="str">
        <f>HYPERLINK("https://www.google.com/maps/search/?api=1&amp;query=25.22967157,45.24610691", "View Map")</f>
        <v>View Map</v>
      </c>
    </row>
    <row r="4046" spans="1:7" x14ac:dyDescent="0.3">
      <c r="A4046" t="s">
        <v>6974</v>
      </c>
      <c r="B4046" t="s">
        <v>6975</v>
      </c>
      <c r="C4046" t="s">
        <v>255</v>
      </c>
      <c r="D4046">
        <v>1.964</v>
      </c>
      <c r="E4046">
        <v>628</v>
      </c>
      <c r="F4046" t="str">
        <f>HYPERLINK("https://www.google.com/maps/search/?api=1&amp;query=25.16281223,44.02974746", "View Map")</f>
        <v>View Map</v>
      </c>
      <c r="G4046" s="2">
        <v>0.56022481902184718</v>
      </c>
    </row>
    <row r="4047" spans="1:7" x14ac:dyDescent="0.3">
      <c r="A4047" t="s">
        <v>6976</v>
      </c>
      <c r="B4047" t="s">
        <v>6977</v>
      </c>
      <c r="C4047" t="s">
        <v>442</v>
      </c>
      <c r="D4047">
        <v>1.964</v>
      </c>
      <c r="E4047">
        <v>629</v>
      </c>
      <c r="F4047" t="str">
        <f>HYPERLINK("https://www.google.com/maps/search/?api=1&amp;query=23.62905167,46.50162761", "View Map")</f>
        <v>View Map</v>
      </c>
      <c r="G4047" s="2">
        <v>0.3805942198446593</v>
      </c>
    </row>
    <row r="4048" spans="1:7" x14ac:dyDescent="0.3">
      <c r="A4048" t="s">
        <v>6978</v>
      </c>
      <c r="B4048" t="s">
        <v>6979</v>
      </c>
      <c r="C4048" t="s">
        <v>8</v>
      </c>
      <c r="D4048">
        <v>1.964</v>
      </c>
      <c r="E4048">
        <v>628</v>
      </c>
      <c r="F4048" t="str">
        <f>HYPERLINK("https://www.google.com/maps/search/?api=1&amp;query=24.58819779,46.69403313", "View Map")</f>
        <v>View Map</v>
      </c>
    </row>
    <row r="4049" spans="1:7" x14ac:dyDescent="0.3">
      <c r="A4049" t="s">
        <v>1273</v>
      </c>
      <c r="B4049" t="s">
        <v>6980</v>
      </c>
      <c r="C4049" t="s">
        <v>241</v>
      </c>
      <c r="D4049">
        <v>1.964</v>
      </c>
      <c r="E4049">
        <v>628</v>
      </c>
      <c r="F4049" t="str">
        <f>HYPERLINK("https://www.google.com/maps/search/?api=1&amp;query=20.420367,44.76540525", "View Map")</f>
        <v>View Map</v>
      </c>
    </row>
    <row r="4050" spans="1:7" x14ac:dyDescent="0.3">
      <c r="A4050" t="s">
        <v>6981</v>
      </c>
      <c r="B4050" t="s">
        <v>6982</v>
      </c>
      <c r="C4050" t="s">
        <v>1112</v>
      </c>
      <c r="D4050">
        <v>1.9630000000000001</v>
      </c>
      <c r="E4050">
        <v>628</v>
      </c>
      <c r="F4050" t="str">
        <f>HYPERLINK("https://www.google.com/maps/search/?api=1&amp;query=26.03258262,44.95220886", "View Map")</f>
        <v>View Map</v>
      </c>
      <c r="G4050" s="2">
        <v>0.43691336938810021</v>
      </c>
    </row>
    <row r="4051" spans="1:7" x14ac:dyDescent="0.3">
      <c r="A4051" t="s">
        <v>6983</v>
      </c>
      <c r="B4051" t="s">
        <v>6984</v>
      </c>
      <c r="C4051" t="s">
        <v>8</v>
      </c>
      <c r="D4051">
        <v>1.9630000000000001</v>
      </c>
      <c r="E4051">
        <v>628</v>
      </c>
      <c r="F4051" t="str">
        <f>HYPERLINK("https://www.google.com/maps/search/?api=1&amp;query=24.55940824,46.79504868", "View Map")</f>
        <v>View Map</v>
      </c>
    </row>
    <row r="4052" spans="1:7" x14ac:dyDescent="0.3">
      <c r="A4052" t="s">
        <v>6985</v>
      </c>
      <c r="B4052" t="s">
        <v>6986</v>
      </c>
      <c r="C4052" t="s">
        <v>1112</v>
      </c>
      <c r="D4052">
        <v>1.9630000000000001</v>
      </c>
      <c r="E4052">
        <v>628</v>
      </c>
      <c r="F4052" t="str">
        <f>HYPERLINK("https://www.google.com/maps/search/?api=1&amp;query=26.14307655,44.91804842", "View Map")</f>
        <v>View Map</v>
      </c>
      <c r="G4052" s="2">
        <v>0.36828879319586488</v>
      </c>
    </row>
    <row r="4053" spans="1:7" x14ac:dyDescent="0.3">
      <c r="A4053" t="s">
        <v>2091</v>
      </c>
      <c r="B4053" t="s">
        <v>6987</v>
      </c>
      <c r="C4053" t="s">
        <v>8</v>
      </c>
      <c r="D4053">
        <v>1.962</v>
      </c>
      <c r="E4053">
        <v>628</v>
      </c>
      <c r="F4053" t="str">
        <f>HYPERLINK("https://www.google.com/maps/search/?api=1&amp;query=24.67283897,46.78712445", "View Map")</f>
        <v>View Map</v>
      </c>
      <c r="G4053" s="2">
        <v>0.71674943706909811</v>
      </c>
    </row>
    <row r="4054" spans="1:7" x14ac:dyDescent="0.3">
      <c r="A4054" t="s">
        <v>6988</v>
      </c>
      <c r="B4054" t="s">
        <v>6989</v>
      </c>
      <c r="C4054" t="s">
        <v>255</v>
      </c>
      <c r="D4054">
        <v>1.9610000000000001</v>
      </c>
      <c r="E4054">
        <v>627</v>
      </c>
      <c r="F4054" t="str">
        <f>HYPERLINK("https://www.google.com/maps/search/?api=1&amp;query=24.49154112,44.36429884", "View Map")</f>
        <v>View Map</v>
      </c>
    </row>
    <row r="4055" spans="1:7" x14ac:dyDescent="0.3">
      <c r="A4055" t="s">
        <v>6990</v>
      </c>
      <c r="B4055" t="s">
        <v>6991</v>
      </c>
      <c r="C4055" t="s">
        <v>8</v>
      </c>
      <c r="D4055">
        <v>1.96</v>
      </c>
      <c r="E4055">
        <v>627</v>
      </c>
      <c r="F4055" t="str">
        <f>HYPERLINK("https://www.google.com/maps/search/?api=1&amp;query=24.71284546,46.82683447", "View Map")</f>
        <v>View Map</v>
      </c>
    </row>
    <row r="4056" spans="1:7" x14ac:dyDescent="0.3">
      <c r="A4056" t="s">
        <v>46</v>
      </c>
      <c r="B4056" t="s">
        <v>6992</v>
      </c>
      <c r="C4056" t="s">
        <v>8</v>
      </c>
      <c r="D4056">
        <v>1.96</v>
      </c>
      <c r="E4056">
        <v>627</v>
      </c>
      <c r="F4056" t="str">
        <f>HYPERLINK("https://www.google.com/maps/search/?api=1&amp;query=24.73259865,46.74387485", "View Map")</f>
        <v>View Map</v>
      </c>
    </row>
    <row r="4057" spans="1:7" x14ac:dyDescent="0.3">
      <c r="A4057" t="s">
        <v>6993</v>
      </c>
      <c r="B4057" t="s">
        <v>6994</v>
      </c>
      <c r="C4057" t="s">
        <v>8</v>
      </c>
      <c r="D4057">
        <v>1.9590000000000001</v>
      </c>
      <c r="E4057">
        <v>627</v>
      </c>
      <c r="F4057" t="str">
        <f>HYPERLINK("https://www.google.com/maps/search/?api=1&amp;query=24.76451056,46.65835252", "View Map")</f>
        <v>View Map</v>
      </c>
    </row>
    <row r="4058" spans="1:7" x14ac:dyDescent="0.3">
      <c r="A4058" t="s">
        <v>6995</v>
      </c>
      <c r="B4058" t="s">
        <v>6996</v>
      </c>
      <c r="C4058" t="s">
        <v>8</v>
      </c>
      <c r="D4058">
        <v>1.9570000000000001</v>
      </c>
      <c r="E4058">
        <v>626</v>
      </c>
      <c r="F4058" t="str">
        <f>HYPERLINK("https://www.google.com/maps/search/?api=1&amp;query=24.61582741,46.7245446", "View Map")</f>
        <v>View Map</v>
      </c>
    </row>
    <row r="4059" spans="1:7" x14ac:dyDescent="0.3">
      <c r="A4059" t="s">
        <v>2867</v>
      </c>
      <c r="B4059" t="s">
        <v>6997</v>
      </c>
      <c r="C4059" t="s">
        <v>8</v>
      </c>
      <c r="D4059">
        <v>1.956</v>
      </c>
      <c r="E4059">
        <v>626</v>
      </c>
      <c r="F4059" t="str">
        <f>HYPERLINK("https://www.google.com/maps/search/?api=1&amp;query=24.5773279,46.78669752", "View Map")</f>
        <v>View Map</v>
      </c>
    </row>
    <row r="4060" spans="1:7" x14ac:dyDescent="0.3">
      <c r="A4060" t="s">
        <v>6998</v>
      </c>
      <c r="B4060" t="s">
        <v>6999</v>
      </c>
      <c r="C4060" t="s">
        <v>8</v>
      </c>
      <c r="D4060">
        <v>1.956</v>
      </c>
      <c r="E4060">
        <v>626</v>
      </c>
      <c r="F4060" t="str">
        <f>HYPERLINK("https://www.google.com/maps/search/?api=1&amp;query=24.76169465,46.70262289", "View Map")</f>
        <v>View Map</v>
      </c>
    </row>
    <row r="4061" spans="1:7" x14ac:dyDescent="0.3">
      <c r="A4061" t="s">
        <v>7000</v>
      </c>
      <c r="B4061" t="s">
        <v>7001</v>
      </c>
      <c r="C4061" t="s">
        <v>8</v>
      </c>
      <c r="D4061">
        <v>1.956</v>
      </c>
      <c r="E4061">
        <v>626</v>
      </c>
      <c r="F4061" t="str">
        <f>HYPERLINK("https://www.google.com/maps/search/?api=1&amp;query=24.65014502,46.55361744", "View Map")</f>
        <v>View Map</v>
      </c>
    </row>
    <row r="4062" spans="1:7" x14ac:dyDescent="0.3">
      <c r="A4062" t="s">
        <v>7002</v>
      </c>
      <c r="B4062" t="s">
        <v>7003</v>
      </c>
      <c r="C4062" t="s">
        <v>214</v>
      </c>
      <c r="D4062">
        <v>1.956</v>
      </c>
      <c r="E4062">
        <v>626</v>
      </c>
      <c r="F4062" t="str">
        <f>HYPERLINK("https://www.google.com/maps/search/?api=1&amp;query=26.42125965,45.1805067", "View Map")</f>
        <v>View Map</v>
      </c>
      <c r="G4062" s="2">
        <v>0.38075370786269552</v>
      </c>
    </row>
    <row r="4063" spans="1:7" x14ac:dyDescent="0.3">
      <c r="A4063" t="s">
        <v>7004</v>
      </c>
      <c r="B4063" t="s">
        <v>7005</v>
      </c>
      <c r="C4063" t="s">
        <v>8</v>
      </c>
      <c r="D4063">
        <v>1.956</v>
      </c>
      <c r="E4063">
        <v>626</v>
      </c>
      <c r="F4063" t="str">
        <f>HYPERLINK("https://www.google.com/maps/search/?api=1&amp;query=24.77518909,46.62713351", "View Map")</f>
        <v>View Map</v>
      </c>
    </row>
    <row r="4064" spans="1:7" x14ac:dyDescent="0.3">
      <c r="A4064" t="s">
        <v>3763</v>
      </c>
      <c r="B4064" t="s">
        <v>7006</v>
      </c>
      <c r="C4064" t="s">
        <v>137</v>
      </c>
      <c r="D4064">
        <v>1.9550000000000001</v>
      </c>
      <c r="E4064">
        <v>625</v>
      </c>
      <c r="F4064" t="str">
        <f>HYPERLINK("https://www.google.com/maps/search/?api=1&amp;query=23.48706965,46.87760113", "View Map")</f>
        <v>View Map</v>
      </c>
      <c r="G4064" s="2">
        <v>0.37347195866532229</v>
      </c>
    </row>
    <row r="4065" spans="1:7" x14ac:dyDescent="0.3">
      <c r="A4065" t="s">
        <v>7007</v>
      </c>
      <c r="B4065" t="s">
        <v>7008</v>
      </c>
      <c r="C4065" t="s">
        <v>8</v>
      </c>
      <c r="D4065">
        <v>1.9550000000000001</v>
      </c>
      <c r="E4065">
        <v>626</v>
      </c>
      <c r="F4065" t="str">
        <f>HYPERLINK("https://www.google.com/maps/search/?api=1&amp;query=24.62234533,46.71892535", "View Map")</f>
        <v>View Map</v>
      </c>
    </row>
    <row r="4066" spans="1:7" x14ac:dyDescent="0.3">
      <c r="A4066" t="s">
        <v>7009</v>
      </c>
      <c r="B4066" t="s">
        <v>7010</v>
      </c>
      <c r="C4066" t="s">
        <v>55</v>
      </c>
      <c r="D4066">
        <v>1.9550000000000001</v>
      </c>
      <c r="E4066">
        <v>626</v>
      </c>
      <c r="F4066" t="str">
        <f>HYPERLINK("https://www.google.com/maps/search/?api=1&amp;query=24.76524244,46.53854941", "View Map")</f>
        <v>View Map</v>
      </c>
      <c r="G4066" s="2">
        <v>0.41938249447808518</v>
      </c>
    </row>
    <row r="4067" spans="1:7" x14ac:dyDescent="0.3">
      <c r="A4067" t="s">
        <v>7011</v>
      </c>
      <c r="B4067" t="s">
        <v>7012</v>
      </c>
      <c r="C4067" t="s">
        <v>291</v>
      </c>
      <c r="D4067">
        <v>1.954</v>
      </c>
      <c r="E4067">
        <v>625</v>
      </c>
      <c r="F4067" t="str">
        <f>HYPERLINK("https://www.google.com/maps/search/?api=1&amp;query=23.17014983,44.83726282", "View Map")</f>
        <v>View Map</v>
      </c>
      <c r="G4067" s="2">
        <v>0.78128968840905022</v>
      </c>
    </row>
    <row r="4068" spans="1:7" x14ac:dyDescent="0.3">
      <c r="A4068" t="s">
        <v>7013</v>
      </c>
      <c r="B4068" t="s">
        <v>7014</v>
      </c>
      <c r="C4068" t="s">
        <v>738</v>
      </c>
      <c r="D4068">
        <v>1.954</v>
      </c>
      <c r="E4068">
        <v>625</v>
      </c>
      <c r="F4068" t="str">
        <f>HYPERLINK("https://www.google.com/maps/search/?api=1&amp;query=25.16980664,46.32993704", "View Map")</f>
        <v>View Map</v>
      </c>
      <c r="G4068" s="2">
        <v>0.35468710646596457</v>
      </c>
    </row>
    <row r="4069" spans="1:7" x14ac:dyDescent="0.3">
      <c r="A4069" t="s">
        <v>7015</v>
      </c>
      <c r="B4069" t="s">
        <v>7016</v>
      </c>
      <c r="C4069" t="s">
        <v>8</v>
      </c>
      <c r="D4069">
        <v>1.954</v>
      </c>
      <c r="E4069">
        <v>625</v>
      </c>
      <c r="F4069" t="str">
        <f>HYPERLINK("https://www.google.com/maps/search/?api=1&amp;query=24.60680673,46.76526728", "View Map")</f>
        <v>View Map</v>
      </c>
    </row>
    <row r="4070" spans="1:7" x14ac:dyDescent="0.3">
      <c r="A4070" t="s">
        <v>46</v>
      </c>
      <c r="B4070" t="s">
        <v>7017</v>
      </c>
      <c r="C4070" t="s">
        <v>55</v>
      </c>
      <c r="D4070">
        <v>1.9530000000000001</v>
      </c>
      <c r="E4070">
        <v>625</v>
      </c>
      <c r="F4070" t="str">
        <f>HYPERLINK("https://www.google.com/maps/search/?api=1&amp;query=24.91306254,46.46192095", "View Map")</f>
        <v>View Map</v>
      </c>
    </row>
    <row r="4071" spans="1:7" x14ac:dyDescent="0.3">
      <c r="A4071" t="s">
        <v>7018</v>
      </c>
      <c r="B4071" t="s">
        <v>7019</v>
      </c>
      <c r="C4071" t="s">
        <v>8</v>
      </c>
      <c r="D4071">
        <v>1.952</v>
      </c>
      <c r="E4071">
        <v>625</v>
      </c>
      <c r="F4071" t="str">
        <f>HYPERLINK("https://www.google.com/maps/search/?api=1&amp;query=24.66992772,46.78432899", "View Map")</f>
        <v>View Map</v>
      </c>
    </row>
    <row r="4072" spans="1:7" x14ac:dyDescent="0.3">
      <c r="A4072" t="s">
        <v>7020</v>
      </c>
      <c r="B4072" t="s">
        <v>7021</v>
      </c>
      <c r="C4072" t="s">
        <v>255</v>
      </c>
      <c r="D4072">
        <v>1.9510000000000001</v>
      </c>
      <c r="E4072">
        <v>624</v>
      </c>
      <c r="F4072" t="str">
        <f>HYPERLINK("https://www.google.com/maps/search/?api=1&amp;query=24.50208155,44.38422317", "View Map")</f>
        <v>View Map</v>
      </c>
      <c r="G4072" s="2">
        <v>0.40991061073675328</v>
      </c>
    </row>
    <row r="4073" spans="1:7" x14ac:dyDescent="0.3">
      <c r="A4073" t="s">
        <v>7022</v>
      </c>
      <c r="B4073" t="s">
        <v>7023</v>
      </c>
      <c r="C4073" t="s">
        <v>255</v>
      </c>
      <c r="D4073">
        <v>1.9510000000000001</v>
      </c>
      <c r="E4073">
        <v>624</v>
      </c>
      <c r="F4073" t="str">
        <f>HYPERLINK("https://www.google.com/maps/search/?api=1&amp;query=25.19855617,44.20171961", "View Map")</f>
        <v>View Map</v>
      </c>
      <c r="G4073" s="2">
        <v>0.39749663076794628</v>
      </c>
    </row>
    <row r="4074" spans="1:7" x14ac:dyDescent="0.3">
      <c r="A4074" t="s">
        <v>7024</v>
      </c>
      <c r="B4074" t="s">
        <v>7025</v>
      </c>
      <c r="C4074" t="s">
        <v>8</v>
      </c>
      <c r="D4074">
        <v>1.9510000000000001</v>
      </c>
      <c r="E4074">
        <v>624</v>
      </c>
      <c r="F4074" t="str">
        <f>HYPERLINK("https://www.google.com/maps/search/?api=1&amp;query=24.61245219,46.67157611", "View Map")</f>
        <v>View Map</v>
      </c>
    </row>
    <row r="4075" spans="1:7" x14ac:dyDescent="0.3">
      <c r="A4075" t="s">
        <v>1788</v>
      </c>
      <c r="B4075" t="s">
        <v>7026</v>
      </c>
      <c r="C4075" t="s">
        <v>393</v>
      </c>
      <c r="D4075">
        <v>1.95</v>
      </c>
      <c r="E4075">
        <v>624</v>
      </c>
      <c r="F4075" t="str">
        <f>HYPERLINK("https://www.google.com/maps/search/?api=1&amp;query=23.53573018,45.50690058", "View Map")</f>
        <v>View Map</v>
      </c>
      <c r="G4075" s="2">
        <v>0.37215935253959048</v>
      </c>
    </row>
    <row r="4076" spans="1:7" x14ac:dyDescent="0.3">
      <c r="A4076" t="s">
        <v>150</v>
      </c>
      <c r="B4076" t="s">
        <v>7027</v>
      </c>
      <c r="C4076" t="s">
        <v>8</v>
      </c>
      <c r="D4076">
        <v>1.95</v>
      </c>
      <c r="E4076">
        <v>624</v>
      </c>
      <c r="F4076" t="str">
        <f>HYPERLINK("https://www.google.com/maps/search/?api=1&amp;query=24.77805939,46.7745381", "View Map")</f>
        <v>View Map</v>
      </c>
    </row>
    <row r="4077" spans="1:7" x14ac:dyDescent="0.3">
      <c r="A4077" t="s">
        <v>7028</v>
      </c>
      <c r="B4077" t="s">
        <v>7029</v>
      </c>
      <c r="C4077" t="s">
        <v>8</v>
      </c>
      <c r="D4077">
        <v>1.9490000000000001</v>
      </c>
      <c r="E4077">
        <v>624</v>
      </c>
      <c r="F4077" t="str">
        <f>HYPERLINK("https://www.google.com/maps/search/?api=1&amp;query=24.68129367,46.80878535", "View Map")</f>
        <v>View Map</v>
      </c>
    </row>
    <row r="4078" spans="1:7" x14ac:dyDescent="0.3">
      <c r="A4078" t="s">
        <v>7030</v>
      </c>
      <c r="B4078" t="s">
        <v>7031</v>
      </c>
      <c r="C4078" t="s">
        <v>8</v>
      </c>
      <c r="D4078">
        <v>1.9490000000000001</v>
      </c>
      <c r="E4078">
        <v>624</v>
      </c>
      <c r="F4078" t="str">
        <f>HYPERLINK("https://www.google.com/maps/search/?api=1&amp;query=24.56765304,46.75370021", "View Map")</f>
        <v>View Map</v>
      </c>
    </row>
    <row r="4079" spans="1:7" x14ac:dyDescent="0.3">
      <c r="A4079" t="s">
        <v>1143</v>
      </c>
      <c r="B4079" t="s">
        <v>7032</v>
      </c>
      <c r="C4079" t="s">
        <v>296</v>
      </c>
      <c r="D4079">
        <v>1.9490000000000001</v>
      </c>
      <c r="E4079">
        <v>624</v>
      </c>
      <c r="F4079" t="str">
        <f>HYPERLINK("https://www.google.com/maps/search/?api=1&amp;query=24.47600827,46.29257611", "View Map")</f>
        <v>View Map</v>
      </c>
    </row>
    <row r="4080" spans="1:7" x14ac:dyDescent="0.3">
      <c r="A4080" t="s">
        <v>7033</v>
      </c>
      <c r="B4080" t="s">
        <v>7034</v>
      </c>
      <c r="C4080" t="s">
        <v>8</v>
      </c>
      <c r="D4080">
        <v>1.9490000000000001</v>
      </c>
      <c r="E4080">
        <v>624</v>
      </c>
      <c r="F4080" t="str">
        <f>HYPERLINK("https://www.google.com/maps/search/?api=1&amp;query=24.80715256,46.60924339", "View Map")</f>
        <v>View Map</v>
      </c>
    </row>
    <row r="4081" spans="1:7" x14ac:dyDescent="0.3">
      <c r="A4081" t="s">
        <v>7035</v>
      </c>
      <c r="B4081" t="s">
        <v>7036</v>
      </c>
      <c r="C4081" t="s">
        <v>8</v>
      </c>
      <c r="D4081">
        <v>1.948</v>
      </c>
      <c r="E4081">
        <v>623</v>
      </c>
      <c r="F4081" t="str">
        <f>HYPERLINK("https://www.google.com/maps/search/?api=1&amp;query=24.81871042,46.74988871", "View Map")</f>
        <v>View Map</v>
      </c>
    </row>
    <row r="4082" spans="1:7" x14ac:dyDescent="0.3">
      <c r="A4082" t="s">
        <v>7037</v>
      </c>
      <c r="B4082" t="s">
        <v>7038</v>
      </c>
      <c r="C4082" t="s">
        <v>8</v>
      </c>
      <c r="D4082">
        <v>1.948</v>
      </c>
      <c r="E4082">
        <v>623</v>
      </c>
      <c r="F4082" t="str">
        <f>HYPERLINK("https://www.google.com/maps/search/?api=1&amp;query=24.5965079,46.74344273", "View Map")</f>
        <v>View Map</v>
      </c>
    </row>
    <row r="4083" spans="1:7" x14ac:dyDescent="0.3">
      <c r="A4083" t="s">
        <v>7039</v>
      </c>
      <c r="B4083" t="s">
        <v>7040</v>
      </c>
      <c r="C4083" t="s">
        <v>255</v>
      </c>
      <c r="D4083">
        <v>1.9470000000000001</v>
      </c>
      <c r="E4083">
        <v>623</v>
      </c>
      <c r="F4083" t="str">
        <f>HYPERLINK("https://www.google.com/maps/search/?api=1&amp;query=24.53662283,44.27582667", "View Map")</f>
        <v>View Map</v>
      </c>
      <c r="G4083" s="2">
        <v>0.43568053915690202</v>
      </c>
    </row>
    <row r="4084" spans="1:7" x14ac:dyDescent="0.3">
      <c r="A4084" t="s">
        <v>289</v>
      </c>
      <c r="B4084" t="s">
        <v>7041</v>
      </c>
      <c r="C4084" t="s">
        <v>393</v>
      </c>
      <c r="D4084">
        <v>1.9470000000000001</v>
      </c>
      <c r="E4084">
        <v>623</v>
      </c>
      <c r="F4084" t="str">
        <f>HYPERLINK("https://www.google.com/maps/search/?api=1&amp;query=22.73749652,45.03240146", "View Map")</f>
        <v>View Map</v>
      </c>
      <c r="G4084" s="2">
        <v>0.86522399689886986</v>
      </c>
    </row>
    <row r="4085" spans="1:7" x14ac:dyDescent="0.3">
      <c r="A4085" t="s">
        <v>7042</v>
      </c>
      <c r="B4085" t="s">
        <v>7043</v>
      </c>
      <c r="C4085" t="s">
        <v>255</v>
      </c>
      <c r="D4085">
        <v>1.946</v>
      </c>
      <c r="E4085">
        <v>623</v>
      </c>
      <c r="F4085" t="str">
        <f>HYPERLINK("https://www.google.com/maps/search/?api=1&amp;query=24.20917421,43.3479982", "View Map")</f>
        <v>View Map</v>
      </c>
      <c r="G4085" s="2">
        <v>0.46324220473779082</v>
      </c>
    </row>
    <row r="4086" spans="1:7" x14ac:dyDescent="0.3">
      <c r="A4086" t="s">
        <v>7044</v>
      </c>
      <c r="B4086" t="s">
        <v>7045</v>
      </c>
      <c r="C4086" t="s">
        <v>296</v>
      </c>
      <c r="D4086">
        <v>1.946</v>
      </c>
      <c r="E4086">
        <v>623</v>
      </c>
      <c r="F4086" t="str">
        <f>HYPERLINK("https://www.google.com/maps/search/?api=1&amp;query=24.49253937,46.32304037", "View Map")</f>
        <v>View Map</v>
      </c>
      <c r="G4086" s="2">
        <v>0.64977475562447029</v>
      </c>
    </row>
    <row r="4087" spans="1:7" x14ac:dyDescent="0.3">
      <c r="A4087" t="s">
        <v>7046</v>
      </c>
      <c r="B4087" t="s">
        <v>7047</v>
      </c>
      <c r="C4087" t="s">
        <v>8</v>
      </c>
      <c r="D4087">
        <v>1.946</v>
      </c>
      <c r="E4087">
        <v>623</v>
      </c>
      <c r="F4087" t="str">
        <f>HYPERLINK("https://www.google.com/maps/search/?api=1&amp;query=24.68751392,46.80119424", "View Map")</f>
        <v>View Map</v>
      </c>
    </row>
    <row r="4088" spans="1:7" x14ac:dyDescent="0.3">
      <c r="A4088" t="s">
        <v>7048</v>
      </c>
      <c r="B4088" t="s">
        <v>7049</v>
      </c>
      <c r="C4088" t="s">
        <v>137</v>
      </c>
      <c r="D4088">
        <v>1.9450000000000001</v>
      </c>
      <c r="E4088">
        <v>622</v>
      </c>
      <c r="F4088" t="str">
        <f>HYPERLINK("https://www.google.com/maps/search/?api=1&amp;query=23.48690881,46.84985787", "View Map")</f>
        <v>View Map</v>
      </c>
      <c r="G4088" s="2">
        <v>0.3665845928807151</v>
      </c>
    </row>
    <row r="4089" spans="1:7" x14ac:dyDescent="0.3">
      <c r="A4089" t="s">
        <v>7050</v>
      </c>
      <c r="B4089" t="s">
        <v>7051</v>
      </c>
      <c r="C4089" t="s">
        <v>214</v>
      </c>
      <c r="D4089">
        <v>1.9450000000000001</v>
      </c>
      <c r="E4089">
        <v>622</v>
      </c>
      <c r="F4089" t="str">
        <f>HYPERLINK("https://www.google.com/maps/search/?api=1&amp;query=25.71867485,45.85883406", "View Map")</f>
        <v>View Map</v>
      </c>
      <c r="G4089" s="2">
        <v>0.67249263782235247</v>
      </c>
    </row>
    <row r="4090" spans="1:7" x14ac:dyDescent="0.3">
      <c r="A4090" t="s">
        <v>7052</v>
      </c>
      <c r="B4090" t="s">
        <v>7053</v>
      </c>
      <c r="C4090" t="s">
        <v>8</v>
      </c>
      <c r="D4090">
        <v>1.944</v>
      </c>
      <c r="E4090">
        <v>622</v>
      </c>
      <c r="F4090" t="str">
        <f>HYPERLINK("https://www.google.com/maps/search/?api=1&amp;query=24.73937506,46.70818929", "View Map")</f>
        <v>View Map</v>
      </c>
    </row>
    <row r="4091" spans="1:7" x14ac:dyDescent="0.3">
      <c r="A4091" t="s">
        <v>7054</v>
      </c>
      <c r="B4091" t="s">
        <v>7055</v>
      </c>
      <c r="C4091" t="s">
        <v>270</v>
      </c>
      <c r="D4091">
        <v>1.944</v>
      </c>
      <c r="E4091">
        <v>622</v>
      </c>
      <c r="F4091" t="str">
        <f>HYPERLINK("https://www.google.com/maps/search/?api=1&amp;query=24.07704939,46.87847575", "View Map")</f>
        <v>View Map</v>
      </c>
      <c r="G4091" s="2">
        <v>0.60245495259047133</v>
      </c>
    </row>
    <row r="4092" spans="1:7" x14ac:dyDescent="0.3">
      <c r="A4092" t="s">
        <v>7056</v>
      </c>
      <c r="B4092" t="s">
        <v>7057</v>
      </c>
      <c r="C4092" t="s">
        <v>1112</v>
      </c>
      <c r="D4092">
        <v>1.9430000000000001</v>
      </c>
      <c r="E4092">
        <v>622</v>
      </c>
      <c r="F4092" t="str">
        <f>HYPERLINK("https://www.google.com/maps/search/?api=1&amp;query=26.03777222,44.93781717", "View Map")</f>
        <v>View Map</v>
      </c>
      <c r="G4092" s="2">
        <v>0.54434610525009786</v>
      </c>
    </row>
    <row r="4093" spans="1:7" x14ac:dyDescent="0.3">
      <c r="A4093" t="s">
        <v>7058</v>
      </c>
      <c r="B4093" t="s">
        <v>7059</v>
      </c>
      <c r="C4093" t="s">
        <v>8</v>
      </c>
      <c r="D4093">
        <v>1.9430000000000001</v>
      </c>
      <c r="E4093">
        <v>622</v>
      </c>
      <c r="F4093" t="str">
        <f>HYPERLINK("https://www.google.com/maps/search/?api=1&amp;query=24.5976122,46.86700742", "View Map")</f>
        <v>View Map</v>
      </c>
    </row>
    <row r="4094" spans="1:7" x14ac:dyDescent="0.3">
      <c r="A4094" t="s">
        <v>7060</v>
      </c>
      <c r="B4094" t="s">
        <v>7061</v>
      </c>
      <c r="C4094" t="s">
        <v>393</v>
      </c>
      <c r="D4094">
        <v>1.9419999999999999</v>
      </c>
      <c r="E4094">
        <v>622</v>
      </c>
      <c r="F4094" t="str">
        <f>HYPERLINK("https://www.google.com/maps/search/?api=1&amp;query=23.79661057,45.32992681", "View Map")</f>
        <v>View Map</v>
      </c>
      <c r="G4094" s="2">
        <v>0.33211249467188908</v>
      </c>
    </row>
    <row r="4095" spans="1:7" x14ac:dyDescent="0.3">
      <c r="A4095" t="s">
        <v>918</v>
      </c>
      <c r="B4095" t="s">
        <v>7062</v>
      </c>
      <c r="C4095" t="s">
        <v>8</v>
      </c>
      <c r="D4095">
        <v>1.9410000000000001</v>
      </c>
      <c r="E4095">
        <v>621</v>
      </c>
      <c r="F4095" t="str">
        <f>HYPERLINK("https://www.google.com/maps/search/?api=1&amp;query=24.70231294,46.75759735", "View Map")</f>
        <v>View Map</v>
      </c>
    </row>
    <row r="4096" spans="1:7" x14ac:dyDescent="0.3">
      <c r="A4096" t="s">
        <v>7063</v>
      </c>
      <c r="B4096" t="s">
        <v>7064</v>
      </c>
      <c r="C4096" t="s">
        <v>255</v>
      </c>
      <c r="D4096">
        <v>1.9410000000000001</v>
      </c>
      <c r="E4096">
        <v>621</v>
      </c>
      <c r="F4096" t="str">
        <f>HYPERLINK("https://www.google.com/maps/search/?api=1&amp;query=24.53277053,44.4336796", "View Map")</f>
        <v>View Map</v>
      </c>
    </row>
    <row r="4097" spans="1:7" x14ac:dyDescent="0.3">
      <c r="A4097" t="s">
        <v>7065</v>
      </c>
      <c r="B4097" t="s">
        <v>7066</v>
      </c>
      <c r="C4097" t="s">
        <v>214</v>
      </c>
      <c r="D4097">
        <v>1.9410000000000001</v>
      </c>
      <c r="E4097">
        <v>621</v>
      </c>
      <c r="F4097" t="str">
        <f>HYPERLINK("https://www.google.com/maps/search/?api=1&amp;query=25.92037661,45.35834893", "View Map")</f>
        <v>View Map</v>
      </c>
    </row>
    <row r="4098" spans="1:7" x14ac:dyDescent="0.3">
      <c r="A4098" t="s">
        <v>7067</v>
      </c>
      <c r="B4098" t="s">
        <v>7068</v>
      </c>
      <c r="C4098" t="s">
        <v>8</v>
      </c>
      <c r="D4098">
        <v>1.94</v>
      </c>
      <c r="E4098">
        <v>621</v>
      </c>
      <c r="F4098" t="str">
        <f>HYPERLINK("https://www.google.com/maps/search/?api=1&amp;query=24.636778,46.701024", "View Map")</f>
        <v>View Map</v>
      </c>
    </row>
    <row r="4099" spans="1:7" x14ac:dyDescent="0.3">
      <c r="A4099" t="s">
        <v>7069</v>
      </c>
      <c r="B4099" t="s">
        <v>7070</v>
      </c>
      <c r="C4099" t="s">
        <v>241</v>
      </c>
      <c r="D4099">
        <v>1.94</v>
      </c>
      <c r="E4099">
        <v>621</v>
      </c>
      <c r="F4099" t="str">
        <f>HYPERLINK("https://www.google.com/maps/search/?api=1&amp;query=20.45715855,44.7467372", "View Map")</f>
        <v>View Map</v>
      </c>
    </row>
    <row r="4100" spans="1:7" x14ac:dyDescent="0.3">
      <c r="A4100" t="s">
        <v>7071</v>
      </c>
      <c r="B4100" t="s">
        <v>7072</v>
      </c>
      <c r="C4100" t="s">
        <v>8</v>
      </c>
      <c r="D4100">
        <v>1.94</v>
      </c>
      <c r="E4100">
        <v>621</v>
      </c>
      <c r="F4100" t="str">
        <f>HYPERLINK("https://www.google.com/maps/search/?api=1&amp;query=24.68156398,46.66570811", "View Map")</f>
        <v>View Map</v>
      </c>
      <c r="G4100" s="2">
        <v>0.4106409666877992</v>
      </c>
    </row>
    <row r="4101" spans="1:7" x14ac:dyDescent="0.3">
      <c r="A4101" t="s">
        <v>7073</v>
      </c>
      <c r="B4101" t="s">
        <v>7074</v>
      </c>
      <c r="C4101" t="s">
        <v>8</v>
      </c>
      <c r="D4101">
        <v>1.94</v>
      </c>
      <c r="E4101">
        <v>621</v>
      </c>
      <c r="F4101" t="str">
        <f>HYPERLINK("https://www.google.com/maps/search/?api=1&amp;query=24.7878944,46.80593822", "View Map")</f>
        <v>View Map</v>
      </c>
    </row>
    <row r="4102" spans="1:7" x14ac:dyDescent="0.3">
      <c r="A4102" t="s">
        <v>1594</v>
      </c>
      <c r="B4102" t="s">
        <v>7075</v>
      </c>
      <c r="C4102" t="s">
        <v>296</v>
      </c>
      <c r="D4102">
        <v>1.9390000000000001</v>
      </c>
      <c r="E4102">
        <v>620</v>
      </c>
      <c r="F4102" t="str">
        <f>HYPERLINK("https://www.google.com/maps/search/?api=1&amp;query=24.45073409,46.30022976", "View Map")</f>
        <v>View Map</v>
      </c>
      <c r="G4102" s="2">
        <v>0.33557926850446462</v>
      </c>
    </row>
    <row r="4103" spans="1:7" x14ac:dyDescent="0.3">
      <c r="A4103" t="s">
        <v>146</v>
      </c>
      <c r="B4103" t="s">
        <v>7076</v>
      </c>
      <c r="C4103" t="s">
        <v>8</v>
      </c>
      <c r="D4103">
        <v>1.9379999999999999</v>
      </c>
      <c r="E4103">
        <v>620</v>
      </c>
      <c r="F4103" t="str">
        <f>HYPERLINK("https://www.google.com/maps/search/?api=1&amp;query=24.55363955,46.6674507", "View Map")</f>
        <v>View Map</v>
      </c>
    </row>
    <row r="4104" spans="1:7" x14ac:dyDescent="0.3">
      <c r="A4104" t="s">
        <v>7077</v>
      </c>
      <c r="B4104" t="s">
        <v>7078</v>
      </c>
      <c r="C4104" t="s">
        <v>1112</v>
      </c>
      <c r="D4104">
        <v>1.9379999999999999</v>
      </c>
      <c r="E4104">
        <v>620</v>
      </c>
      <c r="F4104" t="str">
        <f>HYPERLINK("https://www.google.com/maps/search/?api=1&amp;query=26.02417732,44.94293467", "View Map")</f>
        <v>View Map</v>
      </c>
      <c r="G4104" s="2">
        <v>0.70830063095493867</v>
      </c>
    </row>
    <row r="4105" spans="1:7" x14ac:dyDescent="0.3">
      <c r="A4105" t="s">
        <v>7079</v>
      </c>
      <c r="B4105" t="s">
        <v>7080</v>
      </c>
      <c r="C4105" t="s">
        <v>30</v>
      </c>
      <c r="D4105">
        <v>1.9379999999999999</v>
      </c>
      <c r="E4105">
        <v>620</v>
      </c>
      <c r="F4105" t="str">
        <f>HYPERLINK("https://www.google.com/maps/search/?api=1&amp;query=24.15267235,47.35944117", "View Map")</f>
        <v>View Map</v>
      </c>
    </row>
    <row r="4106" spans="1:7" x14ac:dyDescent="0.3">
      <c r="A4106" t="s">
        <v>7081</v>
      </c>
      <c r="B4106" t="s">
        <v>7082</v>
      </c>
      <c r="C4106" t="s">
        <v>255</v>
      </c>
      <c r="D4106">
        <v>1.9370000000000001</v>
      </c>
      <c r="E4106">
        <v>620</v>
      </c>
      <c r="F4106" t="str">
        <f>HYPERLINK("https://www.google.com/maps/search/?api=1&amp;query=24.61841351,43.65445251", "View Map")</f>
        <v>View Map</v>
      </c>
      <c r="G4106" s="2">
        <v>0.47919510287439471</v>
      </c>
    </row>
    <row r="4107" spans="1:7" x14ac:dyDescent="0.3">
      <c r="A4107" t="s">
        <v>7083</v>
      </c>
      <c r="B4107" t="s">
        <v>7084</v>
      </c>
      <c r="C4107" t="s">
        <v>214</v>
      </c>
      <c r="D4107">
        <v>1.9370000000000001</v>
      </c>
      <c r="E4107">
        <v>620</v>
      </c>
      <c r="F4107" t="str">
        <f>HYPERLINK("https://www.google.com/maps/search/?api=1&amp;query=25.92605,45.37525", "View Map")</f>
        <v>View Map</v>
      </c>
    </row>
    <row r="4108" spans="1:7" x14ac:dyDescent="0.3">
      <c r="A4108" t="s">
        <v>7085</v>
      </c>
      <c r="B4108" t="s">
        <v>7086</v>
      </c>
      <c r="C4108" t="s">
        <v>699</v>
      </c>
      <c r="D4108">
        <v>1.9359999999999999</v>
      </c>
      <c r="E4108">
        <v>620</v>
      </c>
      <c r="F4108" t="str">
        <f>HYPERLINK("https://www.google.com/maps/search/?api=1&amp;query=25.06817734,45.46543435", "View Map")</f>
        <v>View Map</v>
      </c>
      <c r="G4108" s="2">
        <v>0.44676929036771829</v>
      </c>
    </row>
    <row r="4109" spans="1:7" x14ac:dyDescent="0.3">
      <c r="A4109" t="s">
        <v>7087</v>
      </c>
      <c r="B4109" t="s">
        <v>7088</v>
      </c>
      <c r="C4109" t="s">
        <v>16</v>
      </c>
      <c r="D4109">
        <v>1.9359999999999999</v>
      </c>
      <c r="E4109">
        <v>619</v>
      </c>
      <c r="F4109" t="str">
        <f>HYPERLINK("https://www.google.com/maps/search/?api=1&amp;query=23.90962689,42.91353972", "View Map")</f>
        <v>View Map</v>
      </c>
      <c r="G4109" s="2">
        <v>0.7819257826720597</v>
      </c>
    </row>
    <row r="4110" spans="1:7" x14ac:dyDescent="0.3">
      <c r="A4110" t="s">
        <v>7089</v>
      </c>
      <c r="B4110" t="s">
        <v>7090</v>
      </c>
      <c r="C4110" t="s">
        <v>296</v>
      </c>
      <c r="D4110">
        <v>1.9350000000000001</v>
      </c>
      <c r="E4110">
        <v>619</v>
      </c>
      <c r="F4110" t="str">
        <f>HYPERLINK("https://www.google.com/maps/search/?api=1&amp;query=24.47706295,46.27303775", "View Map")</f>
        <v>View Map</v>
      </c>
      <c r="G4110" s="2">
        <v>0.41348951372410742</v>
      </c>
    </row>
    <row r="4111" spans="1:7" x14ac:dyDescent="0.3">
      <c r="A4111" t="s">
        <v>289</v>
      </c>
      <c r="B4111" t="s">
        <v>7091</v>
      </c>
      <c r="C4111" t="s">
        <v>241</v>
      </c>
      <c r="D4111">
        <v>1.9350000000000001</v>
      </c>
      <c r="E4111">
        <v>619</v>
      </c>
      <c r="F4111" t="str">
        <f>HYPERLINK("https://www.google.com/maps/search/?api=1&amp;query=22.14068043,44.8637787", "View Map")</f>
        <v>View Map</v>
      </c>
      <c r="G4111" s="2">
        <v>0.75451485858873257</v>
      </c>
    </row>
    <row r="4112" spans="1:7" x14ac:dyDescent="0.3">
      <c r="A4112" t="s">
        <v>7092</v>
      </c>
      <c r="B4112" t="s">
        <v>7093</v>
      </c>
      <c r="C4112" t="s">
        <v>291</v>
      </c>
      <c r="D4112">
        <v>1.9339999999999999</v>
      </c>
      <c r="E4112">
        <v>619</v>
      </c>
      <c r="F4112" t="str">
        <f>HYPERLINK("https://www.google.com/maps/search/?api=1&amp;query=23.99056126,45.15889324", "View Map")</f>
        <v>View Map</v>
      </c>
      <c r="G4112" s="2">
        <v>0.47420237176143099</v>
      </c>
    </row>
    <row r="4113" spans="1:7" x14ac:dyDescent="0.3">
      <c r="A4113" t="s">
        <v>7094</v>
      </c>
      <c r="B4113" t="s">
        <v>7095</v>
      </c>
      <c r="C4113" t="s">
        <v>8</v>
      </c>
      <c r="D4113">
        <v>1.9319999999999999</v>
      </c>
      <c r="E4113">
        <v>618</v>
      </c>
      <c r="F4113" t="str">
        <f>HYPERLINK("https://www.google.com/maps/search/?api=1&amp;query=24.80220353,46.64023386", "View Map")</f>
        <v>View Map</v>
      </c>
    </row>
    <row r="4114" spans="1:7" x14ac:dyDescent="0.3">
      <c r="A4114" t="s">
        <v>5219</v>
      </c>
      <c r="B4114" t="s">
        <v>7096</v>
      </c>
      <c r="C4114" t="s">
        <v>241</v>
      </c>
      <c r="D4114">
        <v>1.931</v>
      </c>
      <c r="E4114">
        <v>618</v>
      </c>
      <c r="F4114" t="str">
        <f>HYPERLINK("https://www.google.com/maps/search/?api=1&amp;query=20.46249339,44.81624768", "View Map")</f>
        <v>View Map</v>
      </c>
      <c r="G4114" s="2">
        <v>0.75806785144129529</v>
      </c>
    </row>
    <row r="4115" spans="1:7" x14ac:dyDescent="0.3">
      <c r="A4115" t="s">
        <v>7097</v>
      </c>
      <c r="B4115" t="s">
        <v>7098</v>
      </c>
      <c r="C4115" t="s">
        <v>255</v>
      </c>
      <c r="D4115">
        <v>1.931</v>
      </c>
      <c r="E4115">
        <v>618</v>
      </c>
      <c r="F4115" t="str">
        <f>HYPERLINK("https://www.google.com/maps/search/?api=1&amp;query=24.20045799,43.84274351", "View Map")</f>
        <v>View Map</v>
      </c>
      <c r="G4115" s="2">
        <v>0.48774200687617808</v>
      </c>
    </row>
    <row r="4116" spans="1:7" x14ac:dyDescent="0.3">
      <c r="A4116" t="s">
        <v>7099</v>
      </c>
      <c r="B4116" t="s">
        <v>7100</v>
      </c>
      <c r="C4116" t="s">
        <v>291</v>
      </c>
      <c r="D4116">
        <v>1.931</v>
      </c>
      <c r="E4116">
        <v>618</v>
      </c>
      <c r="F4116" t="str">
        <f>HYPERLINK("https://www.google.com/maps/search/?api=1&amp;query=23.84568173,45.64976864", "View Map")</f>
        <v>View Map</v>
      </c>
      <c r="G4116" s="2">
        <v>0.69399263270379874</v>
      </c>
    </row>
    <row r="4117" spans="1:7" x14ac:dyDescent="0.3">
      <c r="A4117" t="s">
        <v>7101</v>
      </c>
      <c r="B4117" t="s">
        <v>7102</v>
      </c>
      <c r="C4117" t="s">
        <v>16</v>
      </c>
      <c r="D4117">
        <v>1.93</v>
      </c>
      <c r="E4117">
        <v>617</v>
      </c>
      <c r="F4117" t="str">
        <f>HYPERLINK("https://www.google.com/maps/search/?api=1&amp;query=24.35525875,43.00245828", "View Map")</f>
        <v>View Map</v>
      </c>
      <c r="G4117" s="2">
        <v>0.87447780756689286</v>
      </c>
    </row>
    <row r="4118" spans="1:7" x14ac:dyDescent="0.3">
      <c r="A4118" t="s">
        <v>7103</v>
      </c>
      <c r="B4118" t="s">
        <v>7104</v>
      </c>
      <c r="C4118" t="s">
        <v>255</v>
      </c>
      <c r="D4118">
        <v>1.929</v>
      </c>
      <c r="E4118">
        <v>617</v>
      </c>
      <c r="F4118" t="str">
        <f>HYPERLINK("https://www.google.com/maps/search/?api=1&amp;query=24.47208822,44.34718941", "View Map")</f>
        <v>View Map</v>
      </c>
      <c r="G4118" s="2">
        <v>0.89189789565799993</v>
      </c>
    </row>
    <row r="4119" spans="1:7" x14ac:dyDescent="0.3">
      <c r="A4119" t="s">
        <v>7105</v>
      </c>
      <c r="B4119" t="s">
        <v>7106</v>
      </c>
      <c r="C4119" t="s">
        <v>8</v>
      </c>
      <c r="D4119">
        <v>1.929</v>
      </c>
      <c r="E4119">
        <v>617</v>
      </c>
      <c r="F4119" t="str">
        <f>HYPERLINK("https://www.google.com/maps/search/?api=1&amp;query=24.66505504,46.73443238", "View Map")</f>
        <v>View Map</v>
      </c>
      <c r="G4119" s="2">
        <v>0.80042257298956121</v>
      </c>
    </row>
    <row r="4120" spans="1:7" x14ac:dyDescent="0.3">
      <c r="A4120" t="s">
        <v>7107</v>
      </c>
      <c r="B4120" t="s">
        <v>7108</v>
      </c>
      <c r="C4120" t="s">
        <v>296</v>
      </c>
      <c r="D4120">
        <v>1.9279999999999999</v>
      </c>
      <c r="E4120">
        <v>617</v>
      </c>
      <c r="F4120" t="str">
        <f>HYPERLINK("https://www.google.com/maps/search/?api=1&amp;query=24.45989258,46.29394155", "View Map")</f>
        <v>View Map</v>
      </c>
    </row>
    <row r="4121" spans="1:7" x14ac:dyDescent="0.3">
      <c r="A4121" t="s">
        <v>7109</v>
      </c>
      <c r="B4121" t="s">
        <v>7110</v>
      </c>
      <c r="C4121" t="s">
        <v>8</v>
      </c>
      <c r="D4121">
        <v>1.9279999999999999</v>
      </c>
      <c r="E4121">
        <v>617</v>
      </c>
      <c r="F4121" t="str">
        <f>HYPERLINK("https://www.google.com/maps/search/?api=1&amp;query=24.70409773,46.76719183", "View Map")</f>
        <v>View Map</v>
      </c>
    </row>
    <row r="4122" spans="1:7" x14ac:dyDescent="0.3">
      <c r="A4122" t="s">
        <v>7111</v>
      </c>
      <c r="B4122" t="s">
        <v>7112</v>
      </c>
      <c r="C4122" t="s">
        <v>291</v>
      </c>
      <c r="D4122">
        <v>1.9279999999999999</v>
      </c>
      <c r="E4122">
        <v>617</v>
      </c>
      <c r="F4122" t="str">
        <f>HYPERLINK("https://www.google.com/maps/search/?api=1&amp;query=24.06606922,45.29991077", "View Map")</f>
        <v>View Map</v>
      </c>
      <c r="G4122" s="2">
        <v>0.35032487033788418</v>
      </c>
    </row>
    <row r="4123" spans="1:7" x14ac:dyDescent="0.3">
      <c r="A4123" t="s">
        <v>7113</v>
      </c>
      <c r="B4123" t="s">
        <v>7114</v>
      </c>
      <c r="C4123" t="s">
        <v>21</v>
      </c>
      <c r="D4123">
        <v>1.9279999999999999</v>
      </c>
      <c r="E4123">
        <v>617</v>
      </c>
      <c r="F4123" t="str">
        <f>HYPERLINK("https://www.google.com/maps/search/?api=1&amp;query=26.31026501,44.80328055", "View Map")</f>
        <v>View Map</v>
      </c>
    </row>
    <row r="4124" spans="1:7" x14ac:dyDescent="0.3">
      <c r="A4124" t="s">
        <v>7115</v>
      </c>
      <c r="B4124" t="s">
        <v>7116</v>
      </c>
      <c r="C4124" t="s">
        <v>883</v>
      </c>
      <c r="D4124">
        <v>1.9279999999999999</v>
      </c>
      <c r="E4124">
        <v>617</v>
      </c>
      <c r="F4124" t="str">
        <f>HYPERLINK("https://www.google.com/maps/search/?api=1&amp;query=25.40775821,47.21124846", "View Map")</f>
        <v>View Map</v>
      </c>
      <c r="G4124" s="2">
        <v>0.56816640388596296</v>
      </c>
    </row>
    <row r="4125" spans="1:7" x14ac:dyDescent="0.3">
      <c r="A4125" t="s">
        <v>7117</v>
      </c>
      <c r="B4125" t="s">
        <v>7118</v>
      </c>
      <c r="C4125" t="s">
        <v>30</v>
      </c>
      <c r="D4125">
        <v>1.9259999999999999</v>
      </c>
      <c r="E4125">
        <v>616</v>
      </c>
      <c r="F4125" t="str">
        <f>HYPERLINK("https://www.google.com/maps/search/?api=1&amp;query=24.1371347,47.35865942", "View Map")</f>
        <v>View Map</v>
      </c>
    </row>
    <row r="4126" spans="1:7" x14ac:dyDescent="0.3">
      <c r="A4126" t="s">
        <v>7119</v>
      </c>
      <c r="B4126" t="s">
        <v>7120</v>
      </c>
      <c r="C4126" t="s">
        <v>393</v>
      </c>
      <c r="D4126">
        <v>1.9259999999999999</v>
      </c>
      <c r="E4126">
        <v>616</v>
      </c>
      <c r="F4126" t="str">
        <f>HYPERLINK("https://www.google.com/maps/search/?api=1&amp;query=23.5529337,45.56590553", "View Map")</f>
        <v>View Map</v>
      </c>
      <c r="G4126" s="2">
        <v>0.95770774202093278</v>
      </c>
    </row>
    <row r="4127" spans="1:7" x14ac:dyDescent="0.3">
      <c r="A4127" t="s">
        <v>7121</v>
      </c>
      <c r="B4127" t="s">
        <v>7122</v>
      </c>
      <c r="C4127" t="s">
        <v>137</v>
      </c>
      <c r="D4127">
        <v>1.9259999999999999</v>
      </c>
      <c r="E4127">
        <v>616</v>
      </c>
      <c r="F4127" t="str">
        <f>HYPERLINK("https://www.google.com/maps/search/?api=1&amp;query=23.26630789,46.68240901", "View Map")</f>
        <v>View Map</v>
      </c>
      <c r="G4127" s="2">
        <v>0.3921711577026627</v>
      </c>
    </row>
    <row r="4128" spans="1:7" x14ac:dyDescent="0.3">
      <c r="A4128" t="s">
        <v>146</v>
      </c>
      <c r="B4128" t="s">
        <v>7123</v>
      </c>
      <c r="C4128" t="s">
        <v>8</v>
      </c>
      <c r="D4128">
        <v>1.9259999999999999</v>
      </c>
      <c r="E4128">
        <v>616</v>
      </c>
      <c r="F4128" t="str">
        <f>HYPERLINK("https://www.google.com/maps/search/?api=1&amp;query=24.557567,46.55944384", "View Map")</f>
        <v>View Map</v>
      </c>
    </row>
    <row r="4129" spans="1:7" x14ac:dyDescent="0.3">
      <c r="A4129" t="s">
        <v>7124</v>
      </c>
      <c r="B4129" t="s">
        <v>7125</v>
      </c>
      <c r="C4129" t="s">
        <v>291</v>
      </c>
      <c r="D4129">
        <v>1.9259999999999999</v>
      </c>
      <c r="E4129">
        <v>616</v>
      </c>
      <c r="F4129" t="str">
        <f>HYPERLINK("https://www.google.com/maps/search/?api=1&amp;query=24.34781892,45.83587262", "View Map")</f>
        <v>View Map</v>
      </c>
      <c r="G4129" s="2">
        <v>0.37443445396970237</v>
      </c>
    </row>
    <row r="4130" spans="1:7" x14ac:dyDescent="0.3">
      <c r="A4130" t="s">
        <v>7126</v>
      </c>
      <c r="B4130" t="s">
        <v>7127</v>
      </c>
      <c r="C4130" t="s">
        <v>8</v>
      </c>
      <c r="D4130">
        <v>1.925</v>
      </c>
      <c r="E4130">
        <v>616</v>
      </c>
      <c r="F4130" t="str">
        <f>HYPERLINK("https://www.google.com/maps/search/?api=1&amp;query=24.59622395,46.59430408", "View Map")</f>
        <v>View Map</v>
      </c>
    </row>
    <row r="4131" spans="1:7" x14ac:dyDescent="0.3">
      <c r="A4131" t="s">
        <v>7128</v>
      </c>
      <c r="B4131" t="s">
        <v>7129</v>
      </c>
      <c r="C4131" t="s">
        <v>214</v>
      </c>
      <c r="D4131">
        <v>1.9239999999999999</v>
      </c>
      <c r="E4131">
        <v>616</v>
      </c>
      <c r="F4131" t="str">
        <f>HYPERLINK("https://www.google.com/maps/search/?api=1&amp;query=25.62820918,45.58380264", "View Map")</f>
        <v>View Map</v>
      </c>
    </row>
    <row r="4132" spans="1:7" x14ac:dyDescent="0.3">
      <c r="A4132" t="s">
        <v>7130</v>
      </c>
      <c r="B4132" t="s">
        <v>7131</v>
      </c>
      <c r="C4132" t="s">
        <v>8</v>
      </c>
      <c r="D4132">
        <v>1.9239999999999999</v>
      </c>
      <c r="E4132">
        <v>616</v>
      </c>
      <c r="F4132" t="str">
        <f>HYPERLINK("https://www.google.com/maps/search/?api=1&amp;query=24.55498659,46.77619899", "View Map")</f>
        <v>View Map</v>
      </c>
    </row>
    <row r="4133" spans="1:7" x14ac:dyDescent="0.3">
      <c r="A4133" t="s">
        <v>1262</v>
      </c>
      <c r="B4133" t="s">
        <v>7132</v>
      </c>
      <c r="C4133" t="s">
        <v>8</v>
      </c>
      <c r="D4133">
        <v>1.9239999999999999</v>
      </c>
      <c r="E4133">
        <v>616</v>
      </c>
      <c r="F4133" t="str">
        <f>HYPERLINK("https://www.google.com/maps/search/?api=1&amp;query=24.76393654,46.80558081", "View Map")</f>
        <v>View Map</v>
      </c>
    </row>
    <row r="4134" spans="1:7" x14ac:dyDescent="0.3">
      <c r="A4134" t="s">
        <v>7133</v>
      </c>
      <c r="B4134" t="s">
        <v>7134</v>
      </c>
      <c r="C4134" t="s">
        <v>77</v>
      </c>
      <c r="D4134">
        <v>1.923</v>
      </c>
      <c r="E4134">
        <v>615</v>
      </c>
      <c r="F4134" t="str">
        <f>HYPERLINK("https://www.google.com/maps/search/?api=1&amp;query=22.075193,46.59952712", "View Map")</f>
        <v>View Map</v>
      </c>
      <c r="G4134" s="2">
        <v>0.44338149097665902</v>
      </c>
    </row>
    <row r="4135" spans="1:7" x14ac:dyDescent="0.3">
      <c r="A4135" t="s">
        <v>7135</v>
      </c>
      <c r="B4135" t="s">
        <v>7136</v>
      </c>
      <c r="C4135" t="s">
        <v>30</v>
      </c>
      <c r="D4135">
        <v>1.923</v>
      </c>
      <c r="E4135">
        <v>615</v>
      </c>
      <c r="F4135" t="str">
        <f>HYPERLINK("https://www.google.com/maps/search/?api=1&amp;query=24.14865334,47.35248476", "View Map")</f>
        <v>View Map</v>
      </c>
    </row>
    <row r="4136" spans="1:7" x14ac:dyDescent="0.3">
      <c r="A4136" t="s">
        <v>7137</v>
      </c>
      <c r="B4136" t="s">
        <v>7138</v>
      </c>
      <c r="C4136" t="s">
        <v>8</v>
      </c>
      <c r="D4136">
        <v>1.923</v>
      </c>
      <c r="E4136">
        <v>615</v>
      </c>
      <c r="F4136" t="str">
        <f>HYPERLINK("https://www.google.com/maps/search/?api=1&amp;query=24.53152096,46.72424144", "View Map")</f>
        <v>View Map</v>
      </c>
    </row>
    <row r="4137" spans="1:7" x14ac:dyDescent="0.3">
      <c r="A4137" t="s">
        <v>1262</v>
      </c>
      <c r="B4137" t="s">
        <v>7139</v>
      </c>
      <c r="C4137" t="s">
        <v>8</v>
      </c>
      <c r="D4137">
        <v>1.923</v>
      </c>
      <c r="E4137">
        <v>615</v>
      </c>
      <c r="F4137" t="str">
        <f>HYPERLINK("https://www.google.com/maps/search/?api=1&amp;query=24.7624132,46.83222347", "View Map")</f>
        <v>View Map</v>
      </c>
    </row>
    <row r="4138" spans="1:7" x14ac:dyDescent="0.3">
      <c r="A4138" t="s">
        <v>7140</v>
      </c>
      <c r="B4138" t="s">
        <v>7141</v>
      </c>
      <c r="C4138" t="s">
        <v>8</v>
      </c>
      <c r="D4138">
        <v>1.923</v>
      </c>
      <c r="E4138">
        <v>615</v>
      </c>
      <c r="F4138" t="str">
        <f>HYPERLINK("https://www.google.com/maps/search/?api=1&amp;query=24.67219664,46.80932935", "View Map")</f>
        <v>View Map</v>
      </c>
    </row>
    <row r="4139" spans="1:7" x14ac:dyDescent="0.3">
      <c r="A4139" t="s">
        <v>7142</v>
      </c>
      <c r="B4139" t="s">
        <v>7143</v>
      </c>
      <c r="C4139" t="s">
        <v>8</v>
      </c>
      <c r="D4139">
        <v>1.9219999999999999</v>
      </c>
      <c r="E4139">
        <v>615</v>
      </c>
      <c r="F4139" t="str">
        <f>HYPERLINK("https://www.google.com/maps/search/?api=1&amp;query=24.58358253,46.58996799", "View Map")</f>
        <v>View Map</v>
      </c>
    </row>
    <row r="4140" spans="1:7" x14ac:dyDescent="0.3">
      <c r="A4140" t="s">
        <v>28</v>
      </c>
      <c r="B4140" t="s">
        <v>7144</v>
      </c>
      <c r="C4140" t="s">
        <v>30</v>
      </c>
      <c r="D4140">
        <v>1.9219999999999999</v>
      </c>
      <c r="E4140">
        <v>615</v>
      </c>
      <c r="F4140" t="str">
        <f>HYPERLINK("https://www.google.com/maps/search/?api=1&amp;query=24.15223722,47.29734301", "View Map")</f>
        <v>View Map</v>
      </c>
    </row>
    <row r="4141" spans="1:7" x14ac:dyDescent="0.3">
      <c r="A4141" t="s">
        <v>7145</v>
      </c>
      <c r="B4141" t="s">
        <v>7146</v>
      </c>
      <c r="C4141" t="s">
        <v>241</v>
      </c>
      <c r="D4141">
        <v>1.921</v>
      </c>
      <c r="E4141">
        <v>615</v>
      </c>
      <c r="F4141" t="str">
        <f>HYPERLINK("https://www.google.com/maps/search/?api=1&amp;query=20.44597739,44.6898883", "View Map")</f>
        <v>View Map</v>
      </c>
    </row>
    <row r="4142" spans="1:7" x14ac:dyDescent="0.3">
      <c r="A4142" t="s">
        <v>7147</v>
      </c>
      <c r="B4142" t="s">
        <v>7148</v>
      </c>
      <c r="C4142" t="s">
        <v>255</v>
      </c>
      <c r="D4142">
        <v>1.921</v>
      </c>
      <c r="E4142">
        <v>615</v>
      </c>
      <c r="F4142" t="str">
        <f>HYPERLINK("https://www.google.com/maps/search/?api=1&amp;query=24.53839163,44.41077419", "View Map")</f>
        <v>View Map</v>
      </c>
      <c r="G4142" s="2">
        <v>0.48649414815886749</v>
      </c>
    </row>
    <row r="4143" spans="1:7" x14ac:dyDescent="0.3">
      <c r="A4143" t="s">
        <v>7149</v>
      </c>
      <c r="B4143" t="s">
        <v>7150</v>
      </c>
      <c r="C4143" t="s">
        <v>8</v>
      </c>
      <c r="D4143">
        <v>1.92</v>
      </c>
      <c r="E4143">
        <v>614</v>
      </c>
      <c r="F4143" t="str">
        <f>HYPERLINK("https://www.google.com/maps/search/?api=1&amp;query=24.62204231,46.71914289", "View Map")</f>
        <v>View Map</v>
      </c>
    </row>
    <row r="4144" spans="1:7" x14ac:dyDescent="0.3">
      <c r="A4144" t="s">
        <v>1273</v>
      </c>
      <c r="B4144" t="s">
        <v>7151</v>
      </c>
      <c r="C4144" t="s">
        <v>241</v>
      </c>
      <c r="D4144">
        <v>1.92</v>
      </c>
      <c r="E4144">
        <v>615</v>
      </c>
      <c r="F4144" t="str">
        <f>HYPERLINK("https://www.google.com/maps/search/?api=1&amp;query=20.47805559,44.76451486", "View Map")</f>
        <v>View Map</v>
      </c>
    </row>
    <row r="4145" spans="1:7" x14ac:dyDescent="0.3">
      <c r="A4145" t="s">
        <v>7152</v>
      </c>
      <c r="B4145" t="s">
        <v>7153</v>
      </c>
      <c r="C4145" t="s">
        <v>255</v>
      </c>
      <c r="D4145">
        <v>1.92</v>
      </c>
      <c r="E4145">
        <v>614</v>
      </c>
      <c r="F4145" t="str">
        <f>HYPERLINK("https://www.google.com/maps/search/?api=1&amp;query=24.81194067,43.80421887", "View Map")</f>
        <v>View Map</v>
      </c>
      <c r="G4145" s="2">
        <v>0.82242384356547038</v>
      </c>
    </row>
    <row r="4146" spans="1:7" x14ac:dyDescent="0.3">
      <c r="A4146" t="s">
        <v>479</v>
      </c>
      <c r="B4146" t="s">
        <v>7154</v>
      </c>
      <c r="C4146" t="s">
        <v>738</v>
      </c>
      <c r="D4146">
        <v>1.919</v>
      </c>
      <c r="E4146">
        <v>614</v>
      </c>
      <c r="F4146" t="str">
        <f>HYPERLINK("https://www.google.com/maps/search/?api=1&amp;query=25.15353347,46.21261612", "View Map")</f>
        <v>View Map</v>
      </c>
      <c r="G4146" s="2">
        <v>0.72008751782629232</v>
      </c>
    </row>
    <row r="4147" spans="1:7" x14ac:dyDescent="0.3">
      <c r="A4147" t="s">
        <v>7155</v>
      </c>
      <c r="B4147" t="s">
        <v>7156</v>
      </c>
      <c r="C4147" t="s">
        <v>8</v>
      </c>
      <c r="D4147">
        <v>1.919</v>
      </c>
      <c r="E4147">
        <v>614</v>
      </c>
      <c r="F4147" t="str">
        <f>HYPERLINK("https://www.google.com/maps/search/?api=1&amp;query=24.65893769,46.66787632", "View Map")</f>
        <v>View Map</v>
      </c>
    </row>
    <row r="4148" spans="1:7" x14ac:dyDescent="0.3">
      <c r="A4148" t="s">
        <v>7157</v>
      </c>
      <c r="B4148" t="s">
        <v>7158</v>
      </c>
      <c r="C4148" t="s">
        <v>393</v>
      </c>
      <c r="D4148">
        <v>1.919</v>
      </c>
      <c r="E4148">
        <v>614</v>
      </c>
      <c r="F4148" t="str">
        <f>HYPERLINK("https://www.google.com/maps/search/?api=1&amp;query=23.56696507,45.44158408", "View Map")</f>
        <v>View Map</v>
      </c>
      <c r="G4148" s="2">
        <v>0.47137143275964422</v>
      </c>
    </row>
    <row r="4149" spans="1:7" x14ac:dyDescent="0.3">
      <c r="A4149" t="s">
        <v>6950</v>
      </c>
      <c r="B4149" t="s">
        <v>7159</v>
      </c>
      <c r="C4149" t="s">
        <v>8</v>
      </c>
      <c r="D4149">
        <v>1.919</v>
      </c>
      <c r="E4149">
        <v>614</v>
      </c>
      <c r="F4149" t="str">
        <f>HYPERLINK("https://www.google.com/maps/search/?api=1&amp;query=24.54903582,46.68769823", "View Map")</f>
        <v>View Map</v>
      </c>
    </row>
    <row r="4150" spans="1:7" x14ac:dyDescent="0.3">
      <c r="A4150" t="s">
        <v>7160</v>
      </c>
      <c r="B4150" t="s">
        <v>7161</v>
      </c>
      <c r="C4150" t="s">
        <v>214</v>
      </c>
      <c r="D4150">
        <v>1.9179999999999999</v>
      </c>
      <c r="E4150">
        <v>614</v>
      </c>
      <c r="F4150" t="str">
        <f>HYPERLINK("https://www.google.com/maps/search/?api=1&amp;query=25.58933834,45.69960717", "View Map")</f>
        <v>View Map</v>
      </c>
      <c r="G4150" s="2">
        <v>0.77089814158871195</v>
      </c>
    </row>
    <row r="4151" spans="1:7" x14ac:dyDescent="0.3">
      <c r="A4151" t="s">
        <v>7162</v>
      </c>
      <c r="B4151" t="s">
        <v>7163</v>
      </c>
      <c r="C4151" t="s">
        <v>699</v>
      </c>
      <c r="D4151">
        <v>1.9179999999999999</v>
      </c>
      <c r="E4151">
        <v>614</v>
      </c>
      <c r="F4151" t="str">
        <f>HYPERLINK("https://www.google.com/maps/search/?api=1&amp;query=24.9425595,45.71276749", "View Map")</f>
        <v>View Map</v>
      </c>
      <c r="G4151" s="2">
        <v>0.53987762373447012</v>
      </c>
    </row>
    <row r="4152" spans="1:7" x14ac:dyDescent="0.3">
      <c r="A4152" t="s">
        <v>644</v>
      </c>
      <c r="B4152" t="s">
        <v>7164</v>
      </c>
      <c r="C4152" t="s">
        <v>646</v>
      </c>
      <c r="D4152">
        <v>1.9179999999999999</v>
      </c>
      <c r="E4152">
        <v>614</v>
      </c>
      <c r="F4152" t="str">
        <f>HYPERLINK("https://www.google.com/maps/search/?api=1&amp;query=20.41301735,45.4333519", "View Map")</f>
        <v>View Map</v>
      </c>
      <c r="G4152" s="2">
        <v>0.90525902856557294</v>
      </c>
    </row>
    <row r="4153" spans="1:7" x14ac:dyDescent="0.3">
      <c r="A4153" t="s">
        <v>7165</v>
      </c>
      <c r="B4153" t="s">
        <v>7166</v>
      </c>
      <c r="C4153" t="s">
        <v>8</v>
      </c>
      <c r="D4153">
        <v>1.917</v>
      </c>
      <c r="E4153">
        <v>613</v>
      </c>
      <c r="F4153" t="str">
        <f>HYPERLINK("https://www.google.com/maps/search/?api=1&amp;query=24.72492138,46.82604662", "View Map")</f>
        <v>View Map</v>
      </c>
    </row>
    <row r="4154" spans="1:7" x14ac:dyDescent="0.3">
      <c r="A4154" t="s">
        <v>7167</v>
      </c>
      <c r="B4154" t="s">
        <v>7168</v>
      </c>
      <c r="C4154" t="s">
        <v>214</v>
      </c>
      <c r="D4154">
        <v>1.9159999999999999</v>
      </c>
      <c r="E4154">
        <v>613</v>
      </c>
      <c r="F4154" t="str">
        <f>HYPERLINK("https://www.google.com/maps/search/?api=1&amp;query=25.64518873,45.5580776", "View Map")</f>
        <v>View Map</v>
      </c>
      <c r="G4154" s="2">
        <v>0.78729042551863104</v>
      </c>
    </row>
    <row r="4155" spans="1:7" x14ac:dyDescent="0.3">
      <c r="A4155" t="s">
        <v>46</v>
      </c>
      <c r="B4155" t="s">
        <v>7169</v>
      </c>
      <c r="C4155" t="s">
        <v>8</v>
      </c>
      <c r="D4155">
        <v>1.915</v>
      </c>
      <c r="E4155">
        <v>613</v>
      </c>
      <c r="F4155" t="str">
        <f>HYPERLINK("https://www.google.com/maps/search/?api=1&amp;query=24.8276279,46.80258216", "View Map")</f>
        <v>View Map</v>
      </c>
      <c r="G4155" s="2">
        <v>0.66763813343300782</v>
      </c>
    </row>
    <row r="4156" spans="1:7" x14ac:dyDescent="0.3">
      <c r="A4156" t="s">
        <v>7170</v>
      </c>
      <c r="B4156" t="s">
        <v>7171</v>
      </c>
      <c r="C4156" t="s">
        <v>8</v>
      </c>
      <c r="D4156">
        <v>1.913</v>
      </c>
      <c r="E4156">
        <v>612</v>
      </c>
      <c r="F4156" t="str">
        <f>HYPERLINK("https://www.google.com/maps/search/?api=1&amp;query=24.82874793,46.77754085", "View Map")</f>
        <v>View Map</v>
      </c>
    </row>
    <row r="4157" spans="1:7" x14ac:dyDescent="0.3">
      <c r="A4157" t="s">
        <v>7172</v>
      </c>
      <c r="B4157" t="s">
        <v>7173</v>
      </c>
      <c r="C4157" t="s">
        <v>8</v>
      </c>
      <c r="D4157">
        <v>1.9119999999999999</v>
      </c>
      <c r="E4157">
        <v>612</v>
      </c>
      <c r="F4157" t="str">
        <f>HYPERLINK("https://www.google.com/maps/search/?api=1&amp;query=24.74386157,46.69515679", "View Map")</f>
        <v>View Map</v>
      </c>
    </row>
    <row r="4158" spans="1:7" x14ac:dyDescent="0.3">
      <c r="A4158" t="s">
        <v>7174</v>
      </c>
      <c r="B4158" t="s">
        <v>7175</v>
      </c>
      <c r="C4158" t="s">
        <v>286</v>
      </c>
      <c r="D4158">
        <v>1.9119999999999999</v>
      </c>
      <c r="E4158">
        <v>612</v>
      </c>
      <c r="F4158" t="str">
        <f>HYPERLINK("https://www.google.com/maps/search/?api=1&amp;query=25.29597092,45.53238578", "View Map")</f>
        <v>View Map</v>
      </c>
      <c r="G4158" s="2">
        <v>0.36468999507507122</v>
      </c>
    </row>
    <row r="4159" spans="1:7" x14ac:dyDescent="0.3">
      <c r="A4159" t="s">
        <v>7176</v>
      </c>
      <c r="B4159" t="s">
        <v>7177</v>
      </c>
      <c r="C4159" t="s">
        <v>255</v>
      </c>
      <c r="D4159">
        <v>1.911</v>
      </c>
      <c r="E4159">
        <v>612</v>
      </c>
      <c r="F4159" t="str">
        <f>HYPERLINK("https://www.google.com/maps/search/?api=1&amp;query=24.55618761,44.4447462", "View Map")</f>
        <v>View Map</v>
      </c>
      <c r="G4159" s="2">
        <v>0.71780312738192498</v>
      </c>
    </row>
    <row r="4160" spans="1:7" x14ac:dyDescent="0.3">
      <c r="A4160" t="s">
        <v>661</v>
      </c>
      <c r="B4160" t="s">
        <v>7178</v>
      </c>
      <c r="C4160" t="s">
        <v>214</v>
      </c>
      <c r="D4160">
        <v>1.911</v>
      </c>
      <c r="E4160">
        <v>611</v>
      </c>
      <c r="F4160" t="str">
        <f>HYPERLINK("https://www.google.com/maps/search/?api=1&amp;query=25.58527916,45.69534916", "View Map")</f>
        <v>View Map</v>
      </c>
      <c r="G4160" s="2">
        <v>0.59074838301795651</v>
      </c>
    </row>
    <row r="4161" spans="1:7" x14ac:dyDescent="0.3">
      <c r="A4161" t="s">
        <v>7179</v>
      </c>
      <c r="B4161" t="s">
        <v>7180</v>
      </c>
      <c r="C4161" t="s">
        <v>8</v>
      </c>
      <c r="D4161">
        <v>1.911</v>
      </c>
      <c r="E4161">
        <v>611</v>
      </c>
      <c r="F4161" t="str">
        <f>HYPERLINK("https://www.google.com/maps/search/?api=1&amp;query=24.59904216,46.69045667", "View Map")</f>
        <v>View Map</v>
      </c>
    </row>
    <row r="4162" spans="1:7" x14ac:dyDescent="0.3">
      <c r="A4162" t="s">
        <v>678</v>
      </c>
      <c r="B4162" t="s">
        <v>7181</v>
      </c>
      <c r="C4162" t="s">
        <v>21</v>
      </c>
      <c r="D4162">
        <v>1.911</v>
      </c>
      <c r="E4162">
        <v>611</v>
      </c>
      <c r="F4162" t="str">
        <f>HYPERLINK("https://www.google.com/maps/search/?api=1&amp;query=26.31496264,44.87398356", "View Map")</f>
        <v>View Map</v>
      </c>
      <c r="G4162" s="2">
        <v>0.74290431414973002</v>
      </c>
    </row>
    <row r="4163" spans="1:7" x14ac:dyDescent="0.3">
      <c r="A4163" t="s">
        <v>7182</v>
      </c>
      <c r="B4163" t="s">
        <v>7183</v>
      </c>
      <c r="C4163" t="s">
        <v>738</v>
      </c>
      <c r="D4163">
        <v>1.91</v>
      </c>
      <c r="E4163">
        <v>611</v>
      </c>
      <c r="F4163" t="str">
        <f>HYPERLINK("https://www.google.com/maps/search/?api=1&amp;query=25.12847699,46.12479004", "View Map")</f>
        <v>View Map</v>
      </c>
      <c r="G4163" s="2">
        <v>0.50495789793896051</v>
      </c>
    </row>
    <row r="4164" spans="1:7" x14ac:dyDescent="0.3">
      <c r="A4164" t="s">
        <v>1002</v>
      </c>
      <c r="B4164" t="s">
        <v>7184</v>
      </c>
      <c r="C4164" t="s">
        <v>214</v>
      </c>
      <c r="D4164">
        <v>1.909</v>
      </c>
      <c r="E4164">
        <v>611</v>
      </c>
      <c r="F4164" t="str">
        <f>HYPERLINK("https://www.google.com/maps/search/?api=1&amp;query=25.91948315,45.40002801", "View Map")</f>
        <v>View Map</v>
      </c>
      <c r="G4164" s="2">
        <v>0.36530338402381551</v>
      </c>
    </row>
    <row r="4165" spans="1:7" x14ac:dyDescent="0.3">
      <c r="A4165" t="s">
        <v>7185</v>
      </c>
      <c r="B4165" t="s">
        <v>7186</v>
      </c>
      <c r="C4165" t="s">
        <v>8</v>
      </c>
      <c r="D4165">
        <v>1.909</v>
      </c>
      <c r="E4165">
        <v>611</v>
      </c>
      <c r="F4165" t="str">
        <f>HYPERLINK("https://www.google.com/maps/search/?api=1&amp;query=24.82343883,46.76047918", "View Map")</f>
        <v>View Map</v>
      </c>
    </row>
    <row r="4166" spans="1:7" x14ac:dyDescent="0.3">
      <c r="A4166" t="s">
        <v>7187</v>
      </c>
      <c r="B4166" t="s">
        <v>7188</v>
      </c>
      <c r="C4166" t="s">
        <v>8</v>
      </c>
      <c r="D4166">
        <v>1.909</v>
      </c>
      <c r="E4166">
        <v>611</v>
      </c>
      <c r="F4166" t="str">
        <f>HYPERLINK("https://www.google.com/maps/search/?api=1&amp;query=24.59881213,46.61439579", "View Map")</f>
        <v>View Map</v>
      </c>
    </row>
    <row r="4167" spans="1:7" x14ac:dyDescent="0.3">
      <c r="A4167" t="s">
        <v>150</v>
      </c>
      <c r="B4167" t="s">
        <v>7189</v>
      </c>
      <c r="C4167" t="s">
        <v>8</v>
      </c>
      <c r="D4167">
        <v>1.909</v>
      </c>
      <c r="E4167">
        <v>611</v>
      </c>
      <c r="F4167" t="str">
        <f>HYPERLINK("https://www.google.com/maps/search/?api=1&amp;query=24.8436,46.8181", "View Map")</f>
        <v>View Map</v>
      </c>
    </row>
    <row r="4168" spans="1:7" x14ac:dyDescent="0.3">
      <c r="A4168" t="s">
        <v>7190</v>
      </c>
      <c r="B4168" t="s">
        <v>7191</v>
      </c>
      <c r="C4168" t="s">
        <v>393</v>
      </c>
      <c r="D4168">
        <v>1.909</v>
      </c>
      <c r="E4168">
        <v>611</v>
      </c>
      <c r="F4168" t="str">
        <f>HYPERLINK("https://www.google.com/maps/search/?api=1&amp;query=22.66914164,44.73575916", "View Map")</f>
        <v>View Map</v>
      </c>
      <c r="G4168" s="2">
        <v>0.78033525759241673</v>
      </c>
    </row>
    <row r="4169" spans="1:7" x14ac:dyDescent="0.3">
      <c r="A4169" t="s">
        <v>7192</v>
      </c>
      <c r="B4169" t="s">
        <v>7193</v>
      </c>
      <c r="C4169" t="s">
        <v>214</v>
      </c>
      <c r="D4169">
        <v>1.909</v>
      </c>
      <c r="E4169">
        <v>611</v>
      </c>
      <c r="F4169" t="str">
        <f>HYPERLINK("https://www.google.com/maps/search/?api=1&amp;query=25.62102925,45.54415371", "View Map")</f>
        <v>View Map</v>
      </c>
      <c r="G4169" s="2">
        <v>0.57164240310806302</v>
      </c>
    </row>
    <row r="4170" spans="1:7" x14ac:dyDescent="0.3">
      <c r="A4170" t="s">
        <v>7194</v>
      </c>
      <c r="B4170" t="s">
        <v>7195</v>
      </c>
      <c r="C4170" t="s">
        <v>8</v>
      </c>
      <c r="D4170">
        <v>1.9079999999999999</v>
      </c>
      <c r="E4170">
        <v>611</v>
      </c>
      <c r="F4170" t="str">
        <f>HYPERLINK("https://www.google.com/maps/search/?api=1&amp;query=24.81081046,46.869733", "View Map")</f>
        <v>View Map</v>
      </c>
    </row>
    <row r="4171" spans="1:7" x14ac:dyDescent="0.3">
      <c r="A4171" t="s">
        <v>146</v>
      </c>
      <c r="B4171" t="s">
        <v>7196</v>
      </c>
      <c r="C4171" t="s">
        <v>8</v>
      </c>
      <c r="D4171">
        <v>1.9079999999999999</v>
      </c>
      <c r="E4171">
        <v>611</v>
      </c>
      <c r="F4171" t="str">
        <f>HYPERLINK("https://www.google.com/maps/search/?api=1&amp;query=24.55363955,46.6674507", "View Map")</f>
        <v>View Map</v>
      </c>
    </row>
    <row r="4172" spans="1:7" x14ac:dyDescent="0.3">
      <c r="A4172" t="s">
        <v>7197</v>
      </c>
      <c r="B4172" t="s">
        <v>7198</v>
      </c>
      <c r="C4172" t="s">
        <v>30</v>
      </c>
      <c r="D4172">
        <v>1.907</v>
      </c>
      <c r="E4172">
        <v>610</v>
      </c>
      <c r="F4172" t="str">
        <f>HYPERLINK("https://www.google.com/maps/search/?api=1&amp;query=24.16278977,47.34621904", "View Map")</f>
        <v>View Map</v>
      </c>
    </row>
    <row r="4173" spans="1:7" x14ac:dyDescent="0.3">
      <c r="A4173" t="s">
        <v>7199</v>
      </c>
      <c r="B4173" t="s">
        <v>7200</v>
      </c>
      <c r="C4173" t="s">
        <v>8</v>
      </c>
      <c r="D4173">
        <v>1.907</v>
      </c>
      <c r="E4173">
        <v>610</v>
      </c>
      <c r="F4173" t="str">
        <f>HYPERLINK("https://www.google.com/maps/search/?api=1&amp;query=24.56420999,46.68005908", "View Map")</f>
        <v>View Map</v>
      </c>
    </row>
    <row r="4174" spans="1:7" x14ac:dyDescent="0.3">
      <c r="A4174" t="s">
        <v>46</v>
      </c>
      <c r="B4174" t="s">
        <v>7201</v>
      </c>
      <c r="C4174" t="s">
        <v>8</v>
      </c>
      <c r="D4174">
        <v>1.907</v>
      </c>
      <c r="E4174">
        <v>610</v>
      </c>
      <c r="F4174" t="str">
        <f>HYPERLINK("https://www.google.com/maps/search/?api=1&amp;query=24.83368578,46.78245431", "View Map")</f>
        <v>View Map</v>
      </c>
    </row>
    <row r="4175" spans="1:7" x14ac:dyDescent="0.3">
      <c r="A4175" t="s">
        <v>7202</v>
      </c>
      <c r="B4175" t="s">
        <v>7203</v>
      </c>
      <c r="C4175" t="s">
        <v>8</v>
      </c>
      <c r="D4175">
        <v>1.9059999999999999</v>
      </c>
      <c r="E4175">
        <v>610</v>
      </c>
      <c r="F4175" t="str">
        <f>HYPERLINK("https://www.google.com/maps/search/?api=1&amp;query=24.59384368,46.64208415", "View Map")</f>
        <v>View Map</v>
      </c>
    </row>
    <row r="4176" spans="1:7" x14ac:dyDescent="0.3">
      <c r="A4176" t="s">
        <v>7204</v>
      </c>
      <c r="B4176" t="s">
        <v>7205</v>
      </c>
      <c r="C4176" t="s">
        <v>8</v>
      </c>
      <c r="D4176">
        <v>1.9059999999999999</v>
      </c>
      <c r="E4176">
        <v>610</v>
      </c>
      <c r="F4176" t="str">
        <f>HYPERLINK("https://www.google.com/maps/search/?api=1&amp;query=24.80334741,46.68383473", "View Map")</f>
        <v>View Map</v>
      </c>
    </row>
    <row r="4177" spans="1:7" x14ac:dyDescent="0.3">
      <c r="A4177" t="s">
        <v>7206</v>
      </c>
      <c r="B4177" t="s">
        <v>7207</v>
      </c>
      <c r="C4177" t="s">
        <v>296</v>
      </c>
      <c r="D4177">
        <v>1.9059999999999999</v>
      </c>
      <c r="E4177">
        <v>610</v>
      </c>
      <c r="F4177" t="str">
        <f>HYPERLINK("https://www.google.com/maps/search/?api=1&amp;query=24.47564708,46.25107348", "View Map")</f>
        <v>View Map</v>
      </c>
    </row>
    <row r="4178" spans="1:7" x14ac:dyDescent="0.3">
      <c r="A4178" t="s">
        <v>1046</v>
      </c>
      <c r="B4178" t="s">
        <v>7208</v>
      </c>
      <c r="C4178" t="s">
        <v>8</v>
      </c>
      <c r="D4178">
        <v>1.9059999999999999</v>
      </c>
      <c r="E4178">
        <v>610</v>
      </c>
      <c r="F4178" t="str">
        <f>HYPERLINK("https://www.google.com/maps/search/?api=1&amp;query=24.71101036,46.80786874", "View Map")</f>
        <v>View Map</v>
      </c>
    </row>
    <row r="4179" spans="1:7" x14ac:dyDescent="0.3">
      <c r="A4179" t="s">
        <v>7209</v>
      </c>
      <c r="B4179" t="s">
        <v>7210</v>
      </c>
      <c r="C4179" t="s">
        <v>291</v>
      </c>
      <c r="D4179">
        <v>1.905</v>
      </c>
      <c r="E4179">
        <v>610</v>
      </c>
      <c r="F4179" t="str">
        <f>HYPERLINK("https://www.google.com/maps/search/?api=1&amp;query=24.27676845,45.18481862", "View Map")</f>
        <v>View Map</v>
      </c>
      <c r="G4179" s="2">
        <v>0.30612778926656059</v>
      </c>
    </row>
    <row r="4180" spans="1:7" x14ac:dyDescent="0.3">
      <c r="A4180" t="s">
        <v>7211</v>
      </c>
      <c r="B4180" t="s">
        <v>7212</v>
      </c>
      <c r="C4180" t="s">
        <v>8</v>
      </c>
      <c r="D4180">
        <v>1.905</v>
      </c>
      <c r="E4180">
        <v>610</v>
      </c>
      <c r="F4180" t="str">
        <f>HYPERLINK("https://www.google.com/maps/search/?api=1&amp;query=24.71551367,46.67279954", "View Map")</f>
        <v>View Map</v>
      </c>
    </row>
    <row r="4181" spans="1:7" x14ac:dyDescent="0.3">
      <c r="A4181" t="s">
        <v>7213</v>
      </c>
      <c r="B4181" t="s">
        <v>7214</v>
      </c>
      <c r="C4181" t="s">
        <v>8</v>
      </c>
      <c r="D4181">
        <v>1.905</v>
      </c>
      <c r="E4181">
        <v>609</v>
      </c>
      <c r="F4181" t="str">
        <f>HYPERLINK("https://www.google.com/maps/search/?api=1&amp;query=24.62691815,46.54646608", "View Map")</f>
        <v>View Map</v>
      </c>
    </row>
    <row r="4182" spans="1:7" x14ac:dyDescent="0.3">
      <c r="A4182" t="s">
        <v>7215</v>
      </c>
      <c r="B4182" t="s">
        <v>7216</v>
      </c>
      <c r="C4182" t="s">
        <v>883</v>
      </c>
      <c r="D4182">
        <v>1.9039999999999999</v>
      </c>
      <c r="E4182">
        <v>609</v>
      </c>
      <c r="F4182" t="str">
        <f>HYPERLINK("https://www.google.com/maps/search/?api=1&amp;query=25.56640742,47.15029653", "View Map")</f>
        <v>View Map</v>
      </c>
      <c r="G4182" s="2">
        <v>0.61341328426404151</v>
      </c>
    </row>
    <row r="4183" spans="1:7" x14ac:dyDescent="0.3">
      <c r="A4183" t="s">
        <v>7217</v>
      </c>
      <c r="B4183" t="s">
        <v>7218</v>
      </c>
      <c r="C4183" t="s">
        <v>296</v>
      </c>
      <c r="D4183">
        <v>1.9039999999999999</v>
      </c>
      <c r="E4183">
        <v>609</v>
      </c>
      <c r="F4183" t="str">
        <f>HYPERLINK("https://www.google.com/maps/search/?api=1&amp;query=24.48352168,46.29171373", "View Map")</f>
        <v>View Map</v>
      </c>
      <c r="G4183" s="2">
        <v>0.46067529015896819</v>
      </c>
    </row>
    <row r="4184" spans="1:7" x14ac:dyDescent="0.3">
      <c r="A4184" t="s">
        <v>46</v>
      </c>
      <c r="B4184" t="s">
        <v>7219</v>
      </c>
      <c r="C4184" t="s">
        <v>8</v>
      </c>
      <c r="D4184">
        <v>1.9039999999999999</v>
      </c>
      <c r="E4184">
        <v>609</v>
      </c>
      <c r="F4184" t="str">
        <f>HYPERLINK("https://www.google.com/maps/search/?api=1&amp;query=24.87661559,46.64199031", "View Map")</f>
        <v>View Map</v>
      </c>
    </row>
    <row r="4185" spans="1:7" x14ac:dyDescent="0.3">
      <c r="A4185" t="s">
        <v>7220</v>
      </c>
      <c r="B4185" t="s">
        <v>7221</v>
      </c>
      <c r="C4185" t="s">
        <v>77</v>
      </c>
      <c r="D4185">
        <v>1.903</v>
      </c>
      <c r="E4185">
        <v>609</v>
      </c>
      <c r="F4185" t="str">
        <f>HYPERLINK("https://www.google.com/maps/search/?api=1&amp;query=22.29468787,46.72562696", "View Map")</f>
        <v>View Map</v>
      </c>
    </row>
    <row r="4186" spans="1:7" x14ac:dyDescent="0.3">
      <c r="A4186" t="s">
        <v>305</v>
      </c>
      <c r="B4186" t="s">
        <v>7222</v>
      </c>
      <c r="C4186" t="s">
        <v>8</v>
      </c>
      <c r="D4186">
        <v>1.903</v>
      </c>
      <c r="E4186">
        <v>609</v>
      </c>
      <c r="F4186" t="str">
        <f>HYPERLINK("https://www.google.com/maps/search/?api=1&amp;query=24.80246098,46.79034228", "View Map")</f>
        <v>View Map</v>
      </c>
    </row>
    <row r="4187" spans="1:7" x14ac:dyDescent="0.3">
      <c r="A4187" t="s">
        <v>28</v>
      </c>
      <c r="B4187" t="s">
        <v>7223</v>
      </c>
      <c r="C4187" t="s">
        <v>30</v>
      </c>
      <c r="D4187">
        <v>1.903</v>
      </c>
      <c r="E4187">
        <v>609</v>
      </c>
      <c r="F4187" t="str">
        <f>HYPERLINK("https://www.google.com/maps/search/?api=1&amp;query=24.1650608,47.31684525", "View Map")</f>
        <v>View Map</v>
      </c>
    </row>
    <row r="4188" spans="1:7" x14ac:dyDescent="0.3">
      <c r="A4188" t="s">
        <v>7224</v>
      </c>
      <c r="B4188" t="s">
        <v>7225</v>
      </c>
      <c r="C4188" t="s">
        <v>8</v>
      </c>
      <c r="D4188">
        <v>1.9019999999999999</v>
      </c>
      <c r="E4188">
        <v>609</v>
      </c>
      <c r="F4188" t="str">
        <f>HYPERLINK("https://www.google.com/maps/search/?api=1&amp;query=24.77944254,46.76738078", "View Map")</f>
        <v>View Map</v>
      </c>
    </row>
    <row r="4189" spans="1:7" x14ac:dyDescent="0.3">
      <c r="A4189" t="s">
        <v>7226</v>
      </c>
      <c r="B4189" t="s">
        <v>7227</v>
      </c>
      <c r="C4189" t="s">
        <v>16</v>
      </c>
      <c r="D4189">
        <v>1.9019999999999999</v>
      </c>
      <c r="E4189">
        <v>609</v>
      </c>
      <c r="F4189" t="str">
        <f>HYPERLINK("https://www.google.com/maps/search/?api=1&amp;query=23.66208455,43.13087435", "View Map")</f>
        <v>View Map</v>
      </c>
      <c r="G4189" s="2">
        <v>0.49532898868936159</v>
      </c>
    </row>
    <row r="4190" spans="1:7" x14ac:dyDescent="0.3">
      <c r="A4190" t="s">
        <v>7228</v>
      </c>
      <c r="B4190" t="s">
        <v>7229</v>
      </c>
      <c r="C4190" t="s">
        <v>214</v>
      </c>
      <c r="D4190">
        <v>1.9019999999999999</v>
      </c>
      <c r="E4190">
        <v>609</v>
      </c>
      <c r="F4190" t="str">
        <f>HYPERLINK("https://www.google.com/maps/search/?api=1&amp;query=25.81818704,45.40432196", "View Map")</f>
        <v>View Map</v>
      </c>
      <c r="G4190" s="2">
        <v>0.53243155149934807</v>
      </c>
    </row>
    <row r="4191" spans="1:7" x14ac:dyDescent="0.3">
      <c r="A4191" t="s">
        <v>7230</v>
      </c>
      <c r="B4191" t="s">
        <v>7231</v>
      </c>
      <c r="C4191" t="s">
        <v>8</v>
      </c>
      <c r="D4191">
        <v>1.9019999999999999</v>
      </c>
      <c r="E4191">
        <v>609</v>
      </c>
      <c r="F4191" t="str">
        <f>HYPERLINK("https://www.google.com/maps/search/?api=1&amp;query=24.77754758,46.75447248", "View Map")</f>
        <v>View Map</v>
      </c>
    </row>
    <row r="4192" spans="1:7" x14ac:dyDescent="0.3">
      <c r="A4192" t="s">
        <v>7232</v>
      </c>
      <c r="B4192" t="s">
        <v>7233</v>
      </c>
      <c r="C4192" t="s">
        <v>30</v>
      </c>
      <c r="D4192">
        <v>1.901</v>
      </c>
      <c r="E4192">
        <v>608</v>
      </c>
      <c r="F4192" t="str">
        <f>HYPERLINK("https://www.google.com/maps/search/?api=1&amp;query=24.11948786,47.27212604", "View Map")</f>
        <v>View Map</v>
      </c>
      <c r="G4192" s="2">
        <v>0.64697106841122509</v>
      </c>
    </row>
    <row r="4193" spans="1:7" x14ac:dyDescent="0.3">
      <c r="A4193" t="s">
        <v>7234</v>
      </c>
      <c r="B4193" t="s">
        <v>7235</v>
      </c>
      <c r="C4193" t="s">
        <v>8</v>
      </c>
      <c r="D4193">
        <v>1.899</v>
      </c>
      <c r="E4193">
        <v>608</v>
      </c>
      <c r="F4193" t="str">
        <f>HYPERLINK("https://www.google.com/maps/search/?api=1&amp;query=24.7789,46.6286", "View Map")</f>
        <v>View Map</v>
      </c>
    </row>
    <row r="4194" spans="1:7" x14ac:dyDescent="0.3">
      <c r="A4194" t="s">
        <v>2258</v>
      </c>
      <c r="B4194" t="s">
        <v>7236</v>
      </c>
      <c r="C4194" t="s">
        <v>8</v>
      </c>
      <c r="D4194">
        <v>1.899</v>
      </c>
      <c r="E4194">
        <v>608</v>
      </c>
      <c r="F4194" t="str">
        <f>HYPERLINK("https://www.google.com/maps/search/?api=1&amp;query=24.81079084,46.87439714", "View Map")</f>
        <v>View Map</v>
      </c>
    </row>
    <row r="4195" spans="1:7" x14ac:dyDescent="0.3">
      <c r="A4195" t="s">
        <v>7237</v>
      </c>
      <c r="B4195" t="s">
        <v>7238</v>
      </c>
      <c r="C4195" t="s">
        <v>296</v>
      </c>
      <c r="D4195">
        <v>1.8979999999999999</v>
      </c>
      <c r="E4195">
        <v>607</v>
      </c>
      <c r="F4195" t="str">
        <f>HYPERLINK("https://www.google.com/maps/search/?api=1&amp;query=24.49387947,45.82209246", "View Map")</f>
        <v>View Map</v>
      </c>
      <c r="G4195" s="2">
        <v>0.54291044241069808</v>
      </c>
    </row>
    <row r="4196" spans="1:7" x14ac:dyDescent="0.3">
      <c r="A4196" t="s">
        <v>7239</v>
      </c>
      <c r="B4196" t="s">
        <v>7240</v>
      </c>
      <c r="C4196" t="s">
        <v>8</v>
      </c>
      <c r="D4196">
        <v>1.897</v>
      </c>
      <c r="E4196">
        <v>607</v>
      </c>
      <c r="F4196" t="str">
        <f>HYPERLINK("https://www.google.com/maps/search/?api=1&amp;query=24.60913518,46.73610417", "View Map")</f>
        <v>View Map</v>
      </c>
    </row>
    <row r="4197" spans="1:7" x14ac:dyDescent="0.3">
      <c r="A4197" t="s">
        <v>7241</v>
      </c>
      <c r="B4197" t="s">
        <v>7242</v>
      </c>
      <c r="C4197" t="s">
        <v>214</v>
      </c>
      <c r="D4197">
        <v>1.897</v>
      </c>
      <c r="E4197">
        <v>607</v>
      </c>
      <c r="F4197" t="str">
        <f>HYPERLINK("https://www.google.com/maps/search/?api=1&amp;query=25.71852347,45.85190797", "View Map")</f>
        <v>View Map</v>
      </c>
      <c r="G4197" s="2">
        <v>0.54723812721444365</v>
      </c>
    </row>
    <row r="4198" spans="1:7" x14ac:dyDescent="0.3">
      <c r="A4198" t="s">
        <v>7243</v>
      </c>
      <c r="B4198" t="s">
        <v>7244</v>
      </c>
      <c r="C4198" t="s">
        <v>255</v>
      </c>
      <c r="D4198">
        <v>1.8959999999999999</v>
      </c>
      <c r="E4198">
        <v>607</v>
      </c>
      <c r="F4198" t="str">
        <f>HYPERLINK("https://www.google.com/maps/search/?api=1&amp;query=25.16181981,44.58827158", "View Map")</f>
        <v>View Map</v>
      </c>
      <c r="G4198" s="2">
        <v>0.44376956243239352</v>
      </c>
    </row>
    <row r="4199" spans="1:7" x14ac:dyDescent="0.3">
      <c r="A4199" t="s">
        <v>46</v>
      </c>
      <c r="B4199" t="s">
        <v>7245</v>
      </c>
      <c r="C4199" t="s">
        <v>8</v>
      </c>
      <c r="D4199">
        <v>1.895</v>
      </c>
      <c r="E4199">
        <v>606</v>
      </c>
      <c r="F4199" t="str">
        <f>HYPERLINK("https://www.google.com/maps/search/?api=1&amp;query=24.7822,46.5958", "View Map")</f>
        <v>View Map</v>
      </c>
    </row>
    <row r="4200" spans="1:7" x14ac:dyDescent="0.3">
      <c r="A4200" t="s">
        <v>7246</v>
      </c>
      <c r="B4200" t="s">
        <v>7247</v>
      </c>
      <c r="C4200" t="s">
        <v>16</v>
      </c>
      <c r="D4200">
        <v>1.895</v>
      </c>
      <c r="E4200">
        <v>606</v>
      </c>
      <c r="F4200" t="str">
        <f>HYPERLINK("https://www.google.com/maps/search/?api=1&amp;query=23.91767046,42.91636982", "View Map")</f>
        <v>View Map</v>
      </c>
      <c r="G4200" s="2">
        <v>0.37043193463753071</v>
      </c>
    </row>
    <row r="4201" spans="1:7" x14ac:dyDescent="0.3">
      <c r="A4201" t="s">
        <v>7248</v>
      </c>
      <c r="B4201" t="s">
        <v>7249</v>
      </c>
      <c r="C4201" t="s">
        <v>214</v>
      </c>
      <c r="D4201">
        <v>1.895</v>
      </c>
      <c r="E4201">
        <v>606</v>
      </c>
      <c r="F4201" t="str">
        <f>HYPERLINK("https://www.google.com/maps/search/?api=1&amp;query=25.74443176,45.84126251", "View Map")</f>
        <v>View Map</v>
      </c>
    </row>
    <row r="4202" spans="1:7" x14ac:dyDescent="0.3">
      <c r="A4202" t="s">
        <v>146</v>
      </c>
      <c r="B4202" t="s">
        <v>7250</v>
      </c>
      <c r="C4202" t="s">
        <v>8</v>
      </c>
      <c r="D4202">
        <v>1.895</v>
      </c>
      <c r="E4202">
        <v>606</v>
      </c>
      <c r="F4202" t="str">
        <f>HYPERLINK("https://www.google.com/maps/search/?api=1&amp;query=24.51664533,46.66644697", "View Map")</f>
        <v>View Map</v>
      </c>
    </row>
    <row r="4203" spans="1:7" x14ac:dyDescent="0.3">
      <c r="A4203" t="s">
        <v>7251</v>
      </c>
      <c r="B4203" t="s">
        <v>7252</v>
      </c>
      <c r="C4203" t="s">
        <v>8</v>
      </c>
      <c r="D4203">
        <v>1.8939999999999999</v>
      </c>
      <c r="E4203">
        <v>606</v>
      </c>
      <c r="F4203" t="str">
        <f>HYPERLINK("https://www.google.com/maps/search/?api=1&amp;query=24.65032942,46.7048459", "View Map")</f>
        <v>View Map</v>
      </c>
    </row>
    <row r="4204" spans="1:7" x14ac:dyDescent="0.3">
      <c r="A4204" t="s">
        <v>7253</v>
      </c>
      <c r="B4204" t="s">
        <v>7254</v>
      </c>
      <c r="C4204" t="s">
        <v>8</v>
      </c>
      <c r="D4204">
        <v>1.8939999999999999</v>
      </c>
      <c r="E4204">
        <v>606</v>
      </c>
      <c r="F4204" t="str">
        <f>HYPERLINK("https://www.google.com/maps/search/?api=1&amp;query=24.80233229,46.77597799", "View Map")</f>
        <v>View Map</v>
      </c>
    </row>
    <row r="4205" spans="1:7" x14ac:dyDescent="0.3">
      <c r="A4205" t="s">
        <v>7255</v>
      </c>
      <c r="B4205" t="s">
        <v>7256</v>
      </c>
      <c r="C4205" t="s">
        <v>8</v>
      </c>
      <c r="D4205">
        <v>1.8939999999999999</v>
      </c>
      <c r="E4205">
        <v>606</v>
      </c>
      <c r="F4205" t="str">
        <f>HYPERLINK("https://www.google.com/maps/search/?api=1&amp;query=24.60534329,46.68414725", "View Map")</f>
        <v>View Map</v>
      </c>
    </row>
    <row r="4206" spans="1:7" x14ac:dyDescent="0.3">
      <c r="A4206" t="s">
        <v>7257</v>
      </c>
      <c r="B4206" t="s">
        <v>7258</v>
      </c>
      <c r="C4206" t="s">
        <v>16</v>
      </c>
      <c r="D4206">
        <v>1.8939999999999999</v>
      </c>
      <c r="E4206">
        <v>606</v>
      </c>
      <c r="F4206" t="str">
        <f>HYPERLINK("https://www.google.com/maps/search/?api=1&amp;query=23.967795,43.33463", "View Map")</f>
        <v>View Map</v>
      </c>
      <c r="G4206" s="2">
        <v>0.83938155200613163</v>
      </c>
    </row>
    <row r="4207" spans="1:7" x14ac:dyDescent="0.3">
      <c r="A4207" t="s">
        <v>7259</v>
      </c>
      <c r="B4207" t="s">
        <v>7260</v>
      </c>
      <c r="C4207" t="s">
        <v>255</v>
      </c>
      <c r="D4207">
        <v>1.8939999999999999</v>
      </c>
      <c r="E4207">
        <v>606</v>
      </c>
      <c r="F4207" t="str">
        <f>HYPERLINK("https://www.google.com/maps/search/?api=1&amp;query=24.86204555,43.80042127", "View Map")</f>
        <v>View Map</v>
      </c>
      <c r="G4207" s="2">
        <v>0.67140311151150234</v>
      </c>
    </row>
    <row r="4208" spans="1:7" x14ac:dyDescent="0.3">
      <c r="A4208" t="s">
        <v>7261</v>
      </c>
      <c r="B4208" t="s">
        <v>7262</v>
      </c>
      <c r="C4208" t="s">
        <v>8</v>
      </c>
      <c r="D4208">
        <v>1.893</v>
      </c>
      <c r="E4208">
        <v>606</v>
      </c>
      <c r="F4208" t="str">
        <f>HYPERLINK("https://www.google.com/maps/search/?api=1&amp;query=24.57657698,46.55136564", "View Map")</f>
        <v>View Map</v>
      </c>
    </row>
    <row r="4209" spans="1:7" x14ac:dyDescent="0.3">
      <c r="A4209" t="s">
        <v>7263</v>
      </c>
      <c r="B4209" t="s">
        <v>7264</v>
      </c>
      <c r="C4209" t="s">
        <v>8</v>
      </c>
      <c r="D4209">
        <v>1.893</v>
      </c>
      <c r="E4209">
        <v>606</v>
      </c>
      <c r="F4209" t="str">
        <f>HYPERLINK("https://www.google.com/maps/search/?api=1&amp;query=24.82222788,46.79064717", "View Map")</f>
        <v>View Map</v>
      </c>
    </row>
    <row r="4210" spans="1:7" x14ac:dyDescent="0.3">
      <c r="A4210" t="s">
        <v>261</v>
      </c>
      <c r="B4210" t="s">
        <v>7265</v>
      </c>
      <c r="C4210" t="s">
        <v>8</v>
      </c>
      <c r="D4210">
        <v>1.8919999999999999</v>
      </c>
      <c r="E4210">
        <v>605</v>
      </c>
      <c r="F4210" t="str">
        <f>HYPERLINK("https://www.google.com/maps/search/?api=1&amp;query=24.67118064,46.85395964", "View Map")</f>
        <v>View Map</v>
      </c>
    </row>
    <row r="4211" spans="1:7" x14ac:dyDescent="0.3">
      <c r="A4211" t="s">
        <v>7266</v>
      </c>
      <c r="B4211" t="s">
        <v>7267</v>
      </c>
      <c r="C4211" t="s">
        <v>8</v>
      </c>
      <c r="D4211">
        <v>1.891</v>
      </c>
      <c r="E4211">
        <v>605</v>
      </c>
      <c r="F4211" t="str">
        <f>HYPERLINK("https://www.google.com/maps/search/?api=1&amp;query=24.69527587,46.65150975", "View Map")</f>
        <v>View Map</v>
      </c>
    </row>
    <row r="4212" spans="1:7" x14ac:dyDescent="0.3">
      <c r="A4212" t="s">
        <v>7268</v>
      </c>
      <c r="B4212" t="s">
        <v>7269</v>
      </c>
      <c r="C4212" t="s">
        <v>364</v>
      </c>
      <c r="D4212">
        <v>1.891</v>
      </c>
      <c r="E4212">
        <v>605</v>
      </c>
      <c r="F4212" t="str">
        <f>HYPERLINK("https://www.google.com/maps/search/?api=1&amp;query=25.65687391,46.36395624", "View Map")</f>
        <v>View Map</v>
      </c>
      <c r="G4212" s="2">
        <v>0.73808843951138403</v>
      </c>
    </row>
    <row r="4213" spans="1:7" x14ac:dyDescent="0.3">
      <c r="A4213" t="s">
        <v>7270</v>
      </c>
      <c r="B4213" t="s">
        <v>7271</v>
      </c>
      <c r="C4213" t="s">
        <v>8</v>
      </c>
      <c r="D4213">
        <v>1.89</v>
      </c>
      <c r="E4213">
        <v>605</v>
      </c>
      <c r="F4213" t="str">
        <f>HYPERLINK("https://www.google.com/maps/search/?api=1&amp;query=24.75385273,46.82017761", "View Map")</f>
        <v>View Map</v>
      </c>
    </row>
    <row r="4214" spans="1:7" x14ac:dyDescent="0.3">
      <c r="A4214" t="s">
        <v>7272</v>
      </c>
      <c r="B4214" t="s">
        <v>7273</v>
      </c>
      <c r="C4214" t="s">
        <v>270</v>
      </c>
      <c r="D4214">
        <v>1.89</v>
      </c>
      <c r="E4214">
        <v>605</v>
      </c>
      <c r="F4214" t="str">
        <f>HYPERLINK("https://www.google.com/maps/search/?api=1&amp;query=24.01221902,47.13818089", "View Map")</f>
        <v>View Map</v>
      </c>
      <c r="G4214" s="2">
        <v>0.56499022831260215</v>
      </c>
    </row>
    <row r="4215" spans="1:7" x14ac:dyDescent="0.3">
      <c r="A4215" t="s">
        <v>7274</v>
      </c>
      <c r="B4215" t="s">
        <v>7275</v>
      </c>
      <c r="C4215" t="s">
        <v>364</v>
      </c>
      <c r="D4215">
        <v>1.89</v>
      </c>
      <c r="E4215">
        <v>605</v>
      </c>
      <c r="F4215" t="str">
        <f>HYPERLINK("https://www.google.com/maps/search/?api=1&amp;query=25.27932406,45.86395241", "View Map")</f>
        <v>View Map</v>
      </c>
      <c r="G4215" s="2">
        <v>0.45361256432440461</v>
      </c>
    </row>
    <row r="4216" spans="1:7" x14ac:dyDescent="0.3">
      <c r="A4216" t="s">
        <v>7276</v>
      </c>
      <c r="B4216" t="s">
        <v>7277</v>
      </c>
      <c r="C4216" t="s">
        <v>8</v>
      </c>
      <c r="D4216">
        <v>1.8879999999999999</v>
      </c>
      <c r="E4216">
        <v>604</v>
      </c>
      <c r="F4216" t="str">
        <f>HYPERLINK("https://www.google.com/maps/search/?api=1&amp;query=24.5781489,46.84223411", "View Map")</f>
        <v>View Map</v>
      </c>
    </row>
    <row r="4217" spans="1:7" x14ac:dyDescent="0.3">
      <c r="A4217" t="s">
        <v>7278</v>
      </c>
      <c r="B4217" t="s">
        <v>7279</v>
      </c>
      <c r="C4217" t="s">
        <v>214</v>
      </c>
      <c r="D4217">
        <v>1.8879999999999999</v>
      </c>
      <c r="E4217">
        <v>604</v>
      </c>
      <c r="F4217" t="str">
        <f>HYPERLINK("https://www.google.com/maps/search/?api=1&amp;query=25.90578298,45.34073835", "View Map")</f>
        <v>View Map</v>
      </c>
      <c r="G4217" s="2">
        <v>0.59564142109699025</v>
      </c>
    </row>
    <row r="4218" spans="1:7" x14ac:dyDescent="0.3">
      <c r="A4218" t="s">
        <v>7280</v>
      </c>
      <c r="B4218" t="s">
        <v>7281</v>
      </c>
      <c r="C4218" t="s">
        <v>8</v>
      </c>
      <c r="D4218">
        <v>1.887</v>
      </c>
      <c r="E4218">
        <v>604</v>
      </c>
      <c r="F4218" t="str">
        <f>HYPERLINK("https://www.google.com/maps/search/?api=1&amp;query=24.79320934,46.8664439", "View Map")</f>
        <v>View Map</v>
      </c>
    </row>
    <row r="4219" spans="1:7" x14ac:dyDescent="0.3">
      <c r="A4219" t="s">
        <v>627</v>
      </c>
      <c r="B4219" t="s">
        <v>7282</v>
      </c>
      <c r="C4219" t="s">
        <v>8</v>
      </c>
      <c r="D4219">
        <v>1.887</v>
      </c>
      <c r="E4219">
        <v>604</v>
      </c>
      <c r="F4219" t="str">
        <f>HYPERLINK("https://www.google.com/maps/search/?api=1&amp;query=24.64427,46.5459", "View Map")</f>
        <v>View Map</v>
      </c>
    </row>
    <row r="4220" spans="1:7" x14ac:dyDescent="0.3">
      <c r="A4220" t="s">
        <v>7283</v>
      </c>
      <c r="B4220" t="s">
        <v>7284</v>
      </c>
      <c r="C4220" t="s">
        <v>296</v>
      </c>
      <c r="D4220">
        <v>1.8859999999999999</v>
      </c>
      <c r="E4220">
        <v>603</v>
      </c>
      <c r="F4220" t="str">
        <f>HYPERLINK("https://www.google.com/maps/search/?api=1&amp;query=24.46509299,46.28382652", "View Map")</f>
        <v>View Map</v>
      </c>
      <c r="G4220" s="2">
        <v>0.34586730061500598</v>
      </c>
    </row>
    <row r="4221" spans="1:7" x14ac:dyDescent="0.3">
      <c r="A4221" t="s">
        <v>7285</v>
      </c>
      <c r="B4221" t="s">
        <v>7286</v>
      </c>
      <c r="C4221" t="s">
        <v>77</v>
      </c>
      <c r="D4221">
        <v>1.8859999999999999</v>
      </c>
      <c r="E4221">
        <v>604</v>
      </c>
      <c r="F4221" t="str">
        <f>HYPERLINK("https://www.google.com/maps/search/?api=1&amp;query=22.29978619,46.73050899", "View Map")</f>
        <v>View Map</v>
      </c>
      <c r="G4221" s="2">
        <v>0.50863010754759153</v>
      </c>
    </row>
    <row r="4222" spans="1:7" x14ac:dyDescent="0.3">
      <c r="A4222" t="s">
        <v>7287</v>
      </c>
      <c r="B4222" t="s">
        <v>7288</v>
      </c>
      <c r="C4222" t="s">
        <v>8</v>
      </c>
      <c r="D4222">
        <v>1.8859999999999999</v>
      </c>
      <c r="E4222">
        <v>604</v>
      </c>
      <c r="F4222" t="str">
        <f>HYPERLINK("https://www.google.com/maps/search/?api=1&amp;query=24.59052494,46.68066397", "View Map")</f>
        <v>View Map</v>
      </c>
    </row>
    <row r="4223" spans="1:7" x14ac:dyDescent="0.3">
      <c r="A4223" t="s">
        <v>7289</v>
      </c>
      <c r="B4223" t="s">
        <v>7290</v>
      </c>
      <c r="C4223" t="s">
        <v>8</v>
      </c>
      <c r="D4223">
        <v>1.8859999999999999</v>
      </c>
      <c r="E4223">
        <v>604</v>
      </c>
      <c r="F4223" t="str">
        <f>HYPERLINK("https://www.google.com/maps/search/?api=1&amp;query=24.68792032,46.63903792", "View Map")</f>
        <v>View Map</v>
      </c>
    </row>
    <row r="4224" spans="1:7" x14ac:dyDescent="0.3">
      <c r="A4224" t="s">
        <v>7291</v>
      </c>
      <c r="B4224" t="s">
        <v>7292</v>
      </c>
      <c r="C4224" t="s">
        <v>8</v>
      </c>
      <c r="D4224">
        <v>1.8859999999999999</v>
      </c>
      <c r="E4224">
        <v>603</v>
      </c>
      <c r="F4224" t="str">
        <f>HYPERLINK("https://www.google.com/maps/search/?api=1&amp;query=24.6416418,46.73128458", "View Map")</f>
        <v>View Map</v>
      </c>
    </row>
    <row r="4225" spans="1:7" x14ac:dyDescent="0.3">
      <c r="A4225" t="s">
        <v>7293</v>
      </c>
      <c r="B4225" t="s">
        <v>7294</v>
      </c>
      <c r="C4225" t="s">
        <v>214</v>
      </c>
      <c r="D4225">
        <v>1.885</v>
      </c>
      <c r="E4225">
        <v>603</v>
      </c>
      <c r="F4225" t="str">
        <f>HYPERLINK("https://www.google.com/maps/search/?api=1&amp;query=26.42771947,45.58176617", "View Map")</f>
        <v>View Map</v>
      </c>
    </row>
    <row r="4226" spans="1:7" x14ac:dyDescent="0.3">
      <c r="A4226" t="s">
        <v>4167</v>
      </c>
      <c r="B4226" t="s">
        <v>7295</v>
      </c>
      <c r="C4226" t="s">
        <v>8</v>
      </c>
      <c r="D4226">
        <v>1.885</v>
      </c>
      <c r="E4226">
        <v>603</v>
      </c>
      <c r="F4226" t="str">
        <f>HYPERLINK("https://www.google.com/maps/search/?api=1&amp;query=24.5900787,46.60434661", "View Map")</f>
        <v>View Map</v>
      </c>
    </row>
    <row r="4227" spans="1:7" x14ac:dyDescent="0.3">
      <c r="A4227" t="s">
        <v>7296</v>
      </c>
      <c r="B4227" t="s">
        <v>7297</v>
      </c>
      <c r="C4227" t="s">
        <v>8</v>
      </c>
      <c r="D4227">
        <v>1.8839999999999999</v>
      </c>
      <c r="E4227">
        <v>603</v>
      </c>
      <c r="F4227" t="str">
        <f>HYPERLINK("https://www.google.com/maps/search/?api=1&amp;query=24.55588667,46.69380051", "View Map")</f>
        <v>View Map</v>
      </c>
    </row>
    <row r="4228" spans="1:7" x14ac:dyDescent="0.3">
      <c r="A4228" t="s">
        <v>7298</v>
      </c>
      <c r="B4228" t="s">
        <v>7299</v>
      </c>
      <c r="C4228" t="s">
        <v>8</v>
      </c>
      <c r="D4228">
        <v>1.8839999999999999</v>
      </c>
      <c r="E4228">
        <v>603</v>
      </c>
      <c r="F4228" t="str">
        <f>HYPERLINK("https://www.google.com/maps/search/?api=1&amp;query=24.59339545,46.71400375", "View Map")</f>
        <v>View Map</v>
      </c>
    </row>
    <row r="4229" spans="1:7" x14ac:dyDescent="0.3">
      <c r="A4229" t="s">
        <v>7300</v>
      </c>
      <c r="B4229" t="s">
        <v>7301</v>
      </c>
      <c r="C4229" t="s">
        <v>8</v>
      </c>
      <c r="D4229">
        <v>1.8839999999999999</v>
      </c>
      <c r="E4229">
        <v>603</v>
      </c>
      <c r="F4229" t="str">
        <f>HYPERLINK("https://www.google.com/maps/search/?api=1&amp;query=24.59170063,46.7111747", "View Map")</f>
        <v>View Map</v>
      </c>
    </row>
    <row r="4230" spans="1:7" x14ac:dyDescent="0.3">
      <c r="A4230" t="s">
        <v>7302</v>
      </c>
      <c r="B4230" t="s">
        <v>7303</v>
      </c>
      <c r="C4230" t="s">
        <v>55</v>
      </c>
      <c r="D4230">
        <v>1.8839999999999999</v>
      </c>
      <c r="E4230">
        <v>603</v>
      </c>
      <c r="F4230" t="str">
        <f>HYPERLINK("https://www.google.com/maps/search/?api=1&amp;query=24.99390048,46.20736634", "View Map")</f>
        <v>View Map</v>
      </c>
      <c r="G4230" s="2">
        <v>0.4420211308900861</v>
      </c>
    </row>
    <row r="4231" spans="1:7" x14ac:dyDescent="0.3">
      <c r="A4231" t="s">
        <v>7304</v>
      </c>
      <c r="B4231" t="s">
        <v>7305</v>
      </c>
      <c r="C4231" t="s">
        <v>255</v>
      </c>
      <c r="D4231">
        <v>1.8839999999999999</v>
      </c>
      <c r="E4231">
        <v>603</v>
      </c>
      <c r="F4231" t="str">
        <f>HYPERLINK("https://www.google.com/maps/search/?api=1&amp;query=24.53277053,44.4336796", "View Map")</f>
        <v>View Map</v>
      </c>
    </row>
    <row r="4232" spans="1:7" x14ac:dyDescent="0.3">
      <c r="A4232" t="s">
        <v>7306</v>
      </c>
      <c r="B4232" t="s">
        <v>7307</v>
      </c>
      <c r="C4232" t="s">
        <v>291</v>
      </c>
      <c r="D4232">
        <v>1.8839999999999999</v>
      </c>
      <c r="E4232">
        <v>603</v>
      </c>
      <c r="F4232" t="str">
        <f>HYPERLINK("https://www.google.com/maps/search/?api=1&amp;query=24.33667782,45.79779409", "View Map")</f>
        <v>View Map</v>
      </c>
      <c r="G4232" s="2">
        <v>0.42761086785850339</v>
      </c>
    </row>
    <row r="4233" spans="1:7" x14ac:dyDescent="0.3">
      <c r="A4233" t="s">
        <v>7308</v>
      </c>
      <c r="B4233" t="s">
        <v>7309</v>
      </c>
      <c r="C4233" t="s">
        <v>241</v>
      </c>
      <c r="D4233">
        <v>1.883</v>
      </c>
      <c r="E4233">
        <v>603</v>
      </c>
      <c r="F4233" t="str">
        <f>HYPERLINK("https://www.google.com/maps/search/?api=1&amp;query=20.46521864,44.78945013", "View Map")</f>
        <v>View Map</v>
      </c>
    </row>
    <row r="4234" spans="1:7" x14ac:dyDescent="0.3">
      <c r="A4234" t="s">
        <v>146</v>
      </c>
      <c r="B4234" t="s">
        <v>7310</v>
      </c>
      <c r="C4234" t="s">
        <v>8</v>
      </c>
      <c r="D4234">
        <v>1.883</v>
      </c>
      <c r="E4234">
        <v>602</v>
      </c>
      <c r="F4234" t="str">
        <f>HYPERLINK("https://www.google.com/maps/search/?api=1&amp;query=24.52749365,46.72755615", "View Map")</f>
        <v>View Map</v>
      </c>
    </row>
    <row r="4235" spans="1:7" x14ac:dyDescent="0.3">
      <c r="A4235" t="s">
        <v>7311</v>
      </c>
      <c r="B4235" t="s">
        <v>7312</v>
      </c>
      <c r="C4235" t="s">
        <v>8</v>
      </c>
      <c r="D4235">
        <v>1.883</v>
      </c>
      <c r="E4235">
        <v>602</v>
      </c>
      <c r="F4235" t="str">
        <f>HYPERLINK("https://www.google.com/maps/search/?api=1&amp;query=24.50294325,46.62841406", "View Map")</f>
        <v>View Map</v>
      </c>
    </row>
    <row r="4236" spans="1:7" x14ac:dyDescent="0.3">
      <c r="A4236" t="s">
        <v>6878</v>
      </c>
      <c r="B4236" t="s">
        <v>7313</v>
      </c>
      <c r="C4236" t="s">
        <v>8</v>
      </c>
      <c r="D4236">
        <v>1.8819999999999999</v>
      </c>
      <c r="E4236">
        <v>602</v>
      </c>
      <c r="F4236" t="str">
        <f>HYPERLINK("https://www.google.com/maps/search/?api=1&amp;query=24.58890957,46.68414001", "View Map")</f>
        <v>View Map</v>
      </c>
    </row>
    <row r="4237" spans="1:7" x14ac:dyDescent="0.3">
      <c r="A4237" t="s">
        <v>7314</v>
      </c>
      <c r="B4237" t="s">
        <v>7315</v>
      </c>
      <c r="C4237" t="s">
        <v>883</v>
      </c>
      <c r="D4237">
        <v>1.8819999999999999</v>
      </c>
      <c r="E4237">
        <v>602</v>
      </c>
      <c r="F4237" t="str">
        <f>HYPERLINK("https://www.google.com/maps/search/?api=1&amp;query=25.56842147,47.16239665", "View Map")</f>
        <v>View Map</v>
      </c>
      <c r="G4237" s="2">
        <v>0.44746782145197789</v>
      </c>
    </row>
    <row r="4238" spans="1:7" x14ac:dyDescent="0.3">
      <c r="A4238" t="s">
        <v>7316</v>
      </c>
      <c r="B4238" t="s">
        <v>7317</v>
      </c>
      <c r="C4238" t="s">
        <v>8</v>
      </c>
      <c r="D4238">
        <v>1.8819999999999999</v>
      </c>
      <c r="E4238">
        <v>602</v>
      </c>
      <c r="F4238" t="str">
        <f>HYPERLINK("https://www.google.com/maps/search/?api=1&amp;query=24.59872643,46.70370813", "View Map")</f>
        <v>View Map</v>
      </c>
    </row>
    <row r="4239" spans="1:7" x14ac:dyDescent="0.3">
      <c r="A4239" t="s">
        <v>7318</v>
      </c>
      <c r="B4239" t="s">
        <v>7319</v>
      </c>
      <c r="C4239" t="s">
        <v>8</v>
      </c>
      <c r="D4239">
        <v>1.8819999999999999</v>
      </c>
      <c r="E4239">
        <v>602</v>
      </c>
      <c r="F4239" t="str">
        <f>HYPERLINK("https://www.google.com/maps/search/?api=1&amp;query=24.56605515,46.5487791", "View Map")</f>
        <v>View Map</v>
      </c>
    </row>
    <row r="4240" spans="1:7" x14ac:dyDescent="0.3">
      <c r="A4240" t="s">
        <v>7320</v>
      </c>
      <c r="B4240" t="s">
        <v>7321</v>
      </c>
      <c r="C4240" t="s">
        <v>8</v>
      </c>
      <c r="D4240">
        <v>1.8819999999999999</v>
      </c>
      <c r="E4240">
        <v>602</v>
      </c>
      <c r="F4240" t="str">
        <f>HYPERLINK("https://www.google.com/maps/search/?api=1&amp;query=24.63137116,46.71816224", "View Map")</f>
        <v>View Map</v>
      </c>
    </row>
    <row r="4241" spans="1:7" x14ac:dyDescent="0.3">
      <c r="A4241" t="s">
        <v>46</v>
      </c>
      <c r="B4241" t="s">
        <v>7322</v>
      </c>
      <c r="C4241" t="s">
        <v>8</v>
      </c>
      <c r="D4241">
        <v>1.881</v>
      </c>
      <c r="E4241">
        <v>602</v>
      </c>
      <c r="F4241" t="str">
        <f>HYPERLINK("https://www.google.com/maps/search/?api=1&amp;query=24.81638137,46.59606545", "View Map")</f>
        <v>View Map</v>
      </c>
    </row>
    <row r="4242" spans="1:7" x14ac:dyDescent="0.3">
      <c r="A4242" t="s">
        <v>7323</v>
      </c>
      <c r="B4242" t="s">
        <v>7324</v>
      </c>
      <c r="C4242" t="s">
        <v>137</v>
      </c>
      <c r="D4242">
        <v>1.881</v>
      </c>
      <c r="E4242">
        <v>602</v>
      </c>
      <c r="F4242" t="str">
        <f>HYPERLINK("https://www.google.com/maps/search/?api=1&amp;query=23.48582135,46.87168117", "View Map")</f>
        <v>View Map</v>
      </c>
      <c r="G4242" s="2">
        <v>0.37373672456137957</v>
      </c>
    </row>
    <row r="4243" spans="1:7" x14ac:dyDescent="0.3">
      <c r="A4243" t="s">
        <v>7325</v>
      </c>
      <c r="B4243" t="s">
        <v>7326</v>
      </c>
      <c r="C4243" t="s">
        <v>699</v>
      </c>
      <c r="D4243">
        <v>1.881</v>
      </c>
      <c r="E4243">
        <v>602</v>
      </c>
      <c r="F4243" t="str">
        <f>HYPERLINK("https://www.google.com/maps/search/?api=1&amp;query=24.51969224,45.36491023", "View Map")</f>
        <v>View Map</v>
      </c>
      <c r="G4243" s="2">
        <v>0.65545200007877791</v>
      </c>
    </row>
    <row r="4244" spans="1:7" x14ac:dyDescent="0.3">
      <c r="A4244" t="s">
        <v>7327</v>
      </c>
      <c r="B4244" t="s">
        <v>7328</v>
      </c>
      <c r="C4244" t="s">
        <v>8</v>
      </c>
      <c r="D4244">
        <v>1.881</v>
      </c>
      <c r="E4244">
        <v>602</v>
      </c>
      <c r="F4244" t="str">
        <f>HYPERLINK("https://www.google.com/maps/search/?api=1&amp;query=24.54567425,46.67219982", "View Map")</f>
        <v>View Map</v>
      </c>
    </row>
    <row r="4245" spans="1:7" x14ac:dyDescent="0.3">
      <c r="A4245" t="s">
        <v>146</v>
      </c>
      <c r="B4245" t="s">
        <v>7329</v>
      </c>
      <c r="C4245" t="s">
        <v>55</v>
      </c>
      <c r="D4245">
        <v>1.88</v>
      </c>
      <c r="E4245">
        <v>602</v>
      </c>
      <c r="F4245" t="str">
        <f>HYPERLINK("https://www.google.com/maps/search/?api=1&amp;query=24.907124,46.429818", "View Map")</f>
        <v>View Map</v>
      </c>
    </row>
    <row r="4246" spans="1:7" x14ac:dyDescent="0.3">
      <c r="A4246" t="s">
        <v>7330</v>
      </c>
      <c r="B4246" t="s">
        <v>7331</v>
      </c>
      <c r="C4246" t="s">
        <v>241</v>
      </c>
      <c r="D4246">
        <v>1.88</v>
      </c>
      <c r="E4246">
        <v>602</v>
      </c>
      <c r="F4246" t="str">
        <f>HYPERLINK("https://www.google.com/maps/search/?api=1&amp;query=20.47571818,45.13377983", "View Map")</f>
        <v>View Map</v>
      </c>
      <c r="G4246" s="2">
        <v>0.41248169420305397</v>
      </c>
    </row>
    <row r="4247" spans="1:7" x14ac:dyDescent="0.3">
      <c r="A4247" t="s">
        <v>3554</v>
      </c>
      <c r="B4247" t="s">
        <v>7332</v>
      </c>
      <c r="C4247" t="s">
        <v>8</v>
      </c>
      <c r="D4247">
        <v>1.88</v>
      </c>
      <c r="E4247">
        <v>601</v>
      </c>
      <c r="F4247" t="str">
        <f>HYPERLINK("https://www.google.com/maps/search/?api=1&amp;query=24.58620477,46.77999275", "View Map")</f>
        <v>View Map</v>
      </c>
    </row>
    <row r="4248" spans="1:7" x14ac:dyDescent="0.3">
      <c r="A4248" t="s">
        <v>7333</v>
      </c>
      <c r="B4248" t="s">
        <v>7334</v>
      </c>
      <c r="C4248" t="s">
        <v>255</v>
      </c>
      <c r="D4248">
        <v>1.88</v>
      </c>
      <c r="E4248">
        <v>602</v>
      </c>
      <c r="F4248" t="str">
        <f>HYPERLINK("https://www.google.com/maps/search/?api=1&amp;query=24.52523711,44.28189732", "View Map")</f>
        <v>View Map</v>
      </c>
      <c r="G4248" s="2">
        <v>0.73026852570701895</v>
      </c>
    </row>
    <row r="4249" spans="1:7" x14ac:dyDescent="0.3">
      <c r="A4249" t="s">
        <v>7335</v>
      </c>
      <c r="B4249" t="s">
        <v>7336</v>
      </c>
      <c r="C4249" t="s">
        <v>77</v>
      </c>
      <c r="D4249">
        <v>1.88</v>
      </c>
      <c r="E4249">
        <v>602</v>
      </c>
      <c r="F4249" t="str">
        <f>HYPERLINK("https://www.google.com/maps/search/?api=1&amp;query=21.98898155,45.9684757", "View Map")</f>
        <v>View Map</v>
      </c>
      <c r="G4249" s="2">
        <v>0.73304772432099297</v>
      </c>
    </row>
    <row r="4250" spans="1:7" x14ac:dyDescent="0.3">
      <c r="A4250" t="s">
        <v>7337</v>
      </c>
      <c r="B4250" t="s">
        <v>7338</v>
      </c>
      <c r="C4250" t="s">
        <v>442</v>
      </c>
      <c r="D4250">
        <v>1.879</v>
      </c>
      <c r="E4250">
        <v>601</v>
      </c>
      <c r="F4250" t="str">
        <f>HYPERLINK("https://www.google.com/maps/search/?api=1&amp;query=23.63548615,46.50674346", "View Map")</f>
        <v>View Map</v>
      </c>
      <c r="G4250" s="2">
        <v>0.37556311685447719</v>
      </c>
    </row>
    <row r="4251" spans="1:7" x14ac:dyDescent="0.3">
      <c r="A4251" t="s">
        <v>7339</v>
      </c>
      <c r="B4251" t="s">
        <v>7340</v>
      </c>
      <c r="C4251" t="s">
        <v>214</v>
      </c>
      <c r="D4251">
        <v>1.879</v>
      </c>
      <c r="E4251">
        <v>601</v>
      </c>
      <c r="F4251" t="str">
        <f>HYPERLINK("https://www.google.com/maps/search/?api=1&amp;query=25.59788567,45.6459508", "View Map")</f>
        <v>View Map</v>
      </c>
      <c r="G4251" s="2">
        <v>0.76605424071340911</v>
      </c>
    </row>
    <row r="4252" spans="1:7" x14ac:dyDescent="0.3">
      <c r="A4252" t="s">
        <v>150</v>
      </c>
      <c r="B4252" t="s">
        <v>7341</v>
      </c>
      <c r="C4252" t="s">
        <v>8</v>
      </c>
      <c r="D4252">
        <v>1.879</v>
      </c>
      <c r="E4252">
        <v>601</v>
      </c>
      <c r="F4252" t="str">
        <f>HYPERLINK("https://www.google.com/maps/search/?api=1&amp;query=24.83885086,46.79183085", "View Map")</f>
        <v>View Map</v>
      </c>
    </row>
    <row r="4253" spans="1:7" x14ac:dyDescent="0.3">
      <c r="A4253" t="s">
        <v>7342</v>
      </c>
      <c r="B4253" t="s">
        <v>7343</v>
      </c>
      <c r="C4253" t="s">
        <v>255</v>
      </c>
      <c r="D4253">
        <v>1.8779999999999999</v>
      </c>
      <c r="E4253">
        <v>601</v>
      </c>
      <c r="F4253" t="str">
        <f>HYPERLINK("https://www.google.com/maps/search/?api=1&amp;query=24.60389947,43.61729692", "View Map")</f>
        <v>View Map</v>
      </c>
      <c r="G4253" s="2">
        <v>0.43141328453718158</v>
      </c>
    </row>
    <row r="4254" spans="1:7" x14ac:dyDescent="0.3">
      <c r="A4254" t="s">
        <v>7344</v>
      </c>
      <c r="B4254" t="s">
        <v>7345</v>
      </c>
      <c r="C4254" t="s">
        <v>8</v>
      </c>
      <c r="D4254">
        <v>1.8779999999999999</v>
      </c>
      <c r="E4254">
        <v>601</v>
      </c>
      <c r="F4254" t="str">
        <f>HYPERLINK("https://www.google.com/maps/search/?api=1&amp;query=24.7584119,46.70393947", "View Map")</f>
        <v>View Map</v>
      </c>
    </row>
    <row r="4255" spans="1:7" x14ac:dyDescent="0.3">
      <c r="A4255" t="s">
        <v>7346</v>
      </c>
      <c r="B4255" t="s">
        <v>7347</v>
      </c>
      <c r="C4255" t="s">
        <v>8</v>
      </c>
      <c r="D4255">
        <v>1.8779999999999999</v>
      </c>
      <c r="E4255">
        <v>601</v>
      </c>
      <c r="F4255" t="str">
        <f>HYPERLINK("https://www.google.com/maps/search/?api=1&amp;query=24.78753967,46.67607239", "View Map")</f>
        <v>View Map</v>
      </c>
    </row>
    <row r="4256" spans="1:7" x14ac:dyDescent="0.3">
      <c r="A4256" t="s">
        <v>7348</v>
      </c>
      <c r="B4256" t="s">
        <v>7349</v>
      </c>
      <c r="C4256" t="s">
        <v>364</v>
      </c>
      <c r="D4256">
        <v>1.877</v>
      </c>
      <c r="E4256">
        <v>601</v>
      </c>
      <c r="F4256" t="str">
        <f>HYPERLINK("https://www.google.com/maps/search/?api=1&amp;query=25.45714089,45.98515805", "View Map")</f>
        <v>View Map</v>
      </c>
      <c r="G4256" s="2">
        <v>0.51140571768160148</v>
      </c>
    </row>
    <row r="4257" spans="1:7" x14ac:dyDescent="0.3">
      <c r="A4257" t="s">
        <v>146</v>
      </c>
      <c r="B4257" t="s">
        <v>7350</v>
      </c>
      <c r="C4257" t="s">
        <v>8</v>
      </c>
      <c r="D4257">
        <v>1.877</v>
      </c>
      <c r="E4257">
        <v>601</v>
      </c>
      <c r="F4257" t="str">
        <f>HYPERLINK("https://www.google.com/maps/search/?api=1&amp;query=24.5584096,46.56725514", "View Map")</f>
        <v>View Map</v>
      </c>
    </row>
    <row r="4258" spans="1:7" x14ac:dyDescent="0.3">
      <c r="A4258" t="s">
        <v>7351</v>
      </c>
      <c r="B4258" t="s">
        <v>7352</v>
      </c>
      <c r="C4258" t="s">
        <v>8</v>
      </c>
      <c r="D4258">
        <v>1.877</v>
      </c>
      <c r="E4258">
        <v>601</v>
      </c>
      <c r="F4258" t="str">
        <f>HYPERLINK("https://www.google.com/maps/search/?api=1&amp;query=24.8016151,46.64619247", "View Map")</f>
        <v>View Map</v>
      </c>
    </row>
    <row r="4259" spans="1:7" x14ac:dyDescent="0.3">
      <c r="A4259" t="s">
        <v>7353</v>
      </c>
      <c r="B4259" t="s">
        <v>7354</v>
      </c>
      <c r="C4259" t="s">
        <v>8</v>
      </c>
      <c r="D4259">
        <v>1.8759999999999999</v>
      </c>
      <c r="E4259">
        <v>600</v>
      </c>
      <c r="F4259" t="str">
        <f>HYPERLINK("https://www.google.com/maps/search/?api=1&amp;query=24.81391481,46.6502242", "View Map")</f>
        <v>View Map</v>
      </c>
    </row>
    <row r="4260" spans="1:7" x14ac:dyDescent="0.3">
      <c r="A4260" t="s">
        <v>7355</v>
      </c>
      <c r="B4260" t="s">
        <v>7356</v>
      </c>
      <c r="C4260" t="s">
        <v>8</v>
      </c>
      <c r="D4260">
        <v>1.875</v>
      </c>
      <c r="E4260">
        <v>600</v>
      </c>
      <c r="F4260" t="str">
        <f>HYPERLINK("https://www.google.com/maps/search/?api=1&amp;query=24.62848236,46.68284861", "View Map")</f>
        <v>View Map</v>
      </c>
    </row>
    <row r="4261" spans="1:7" x14ac:dyDescent="0.3">
      <c r="A4261" t="s">
        <v>7357</v>
      </c>
      <c r="B4261" t="s">
        <v>7358</v>
      </c>
      <c r="C4261" t="s">
        <v>8</v>
      </c>
      <c r="D4261">
        <v>1.875</v>
      </c>
      <c r="E4261">
        <v>600</v>
      </c>
      <c r="F4261" t="str">
        <f>HYPERLINK("https://www.google.com/maps/search/?api=1&amp;query=24.53028886,46.68527284", "View Map")</f>
        <v>View Map</v>
      </c>
    </row>
    <row r="4262" spans="1:7" x14ac:dyDescent="0.3">
      <c r="A4262" t="s">
        <v>362</v>
      </c>
      <c r="B4262" t="s">
        <v>7359</v>
      </c>
      <c r="C4262" t="s">
        <v>364</v>
      </c>
      <c r="D4262">
        <v>1.875</v>
      </c>
      <c r="E4262">
        <v>600</v>
      </c>
      <c r="F4262" t="str">
        <f>HYPERLINK("https://www.google.com/maps/search/?api=1&amp;query=25.2454998,45.87630579", "View Map")</f>
        <v>View Map</v>
      </c>
      <c r="G4262" s="2">
        <v>0.39353468782439388</v>
      </c>
    </row>
    <row r="4263" spans="1:7" x14ac:dyDescent="0.3">
      <c r="A4263" t="s">
        <v>7360</v>
      </c>
      <c r="B4263" t="s">
        <v>7361</v>
      </c>
      <c r="C4263" t="s">
        <v>255</v>
      </c>
      <c r="D4263">
        <v>1.875</v>
      </c>
      <c r="E4263">
        <v>600</v>
      </c>
      <c r="F4263" t="str">
        <f>HYPERLINK("https://www.google.com/maps/search/?api=1&amp;query=25.49400449,44.4118385", "View Map")</f>
        <v>View Map</v>
      </c>
      <c r="G4263" s="2">
        <v>0.45545958334078951</v>
      </c>
    </row>
    <row r="4264" spans="1:7" x14ac:dyDescent="0.3">
      <c r="A4264" t="s">
        <v>1118</v>
      </c>
      <c r="B4264" t="s">
        <v>7362</v>
      </c>
      <c r="C4264" t="s">
        <v>8</v>
      </c>
      <c r="D4264">
        <v>1.875</v>
      </c>
      <c r="E4264">
        <v>600</v>
      </c>
      <c r="F4264" t="str">
        <f>HYPERLINK("https://www.google.com/maps/search/?api=1&amp;query=24.73873252,46.82683067", "View Map")</f>
        <v>View Map</v>
      </c>
    </row>
    <row r="4265" spans="1:7" x14ac:dyDescent="0.3">
      <c r="A4265" t="s">
        <v>1391</v>
      </c>
      <c r="B4265" t="s">
        <v>7363</v>
      </c>
      <c r="C4265" t="s">
        <v>8</v>
      </c>
      <c r="D4265">
        <v>1.8740000000000001</v>
      </c>
      <c r="E4265">
        <v>600</v>
      </c>
      <c r="F4265" t="str">
        <f>HYPERLINK("https://www.google.com/maps/search/?api=1&amp;query=24.73878948,46.84631879", "View Map")</f>
        <v>View Map</v>
      </c>
    </row>
    <row r="4266" spans="1:7" x14ac:dyDescent="0.3">
      <c r="A4266" t="s">
        <v>7364</v>
      </c>
      <c r="B4266" t="s">
        <v>7365</v>
      </c>
      <c r="C4266" t="s">
        <v>8</v>
      </c>
      <c r="D4266">
        <v>1.8740000000000001</v>
      </c>
      <c r="E4266">
        <v>600</v>
      </c>
      <c r="F4266" t="str">
        <f>HYPERLINK("https://www.google.com/maps/search/?api=1&amp;query=24.72577575,46.83063556", "View Map")</f>
        <v>View Map</v>
      </c>
    </row>
    <row r="4267" spans="1:7" x14ac:dyDescent="0.3">
      <c r="A4267" t="s">
        <v>7366</v>
      </c>
      <c r="B4267" t="s">
        <v>7367</v>
      </c>
      <c r="C4267" t="s">
        <v>255</v>
      </c>
      <c r="D4267">
        <v>1.8740000000000001</v>
      </c>
      <c r="E4267">
        <v>600</v>
      </c>
      <c r="F4267" t="str">
        <f>HYPERLINK("https://www.google.com/maps/search/?api=1&amp;query=24.31017508,43.50979521", "View Map")</f>
        <v>View Map</v>
      </c>
      <c r="G4267" s="2">
        <v>0.83552214393858104</v>
      </c>
    </row>
    <row r="4268" spans="1:7" x14ac:dyDescent="0.3">
      <c r="A4268" t="s">
        <v>7368</v>
      </c>
      <c r="B4268" t="s">
        <v>7369</v>
      </c>
      <c r="C4268" t="s">
        <v>286</v>
      </c>
      <c r="D4268">
        <v>1.8740000000000001</v>
      </c>
      <c r="E4268">
        <v>600</v>
      </c>
      <c r="F4268" t="str">
        <f>HYPERLINK("https://www.google.com/maps/search/?api=1&amp;query=25.29597092,45.53238578", "View Map")</f>
        <v>View Map</v>
      </c>
    </row>
    <row r="4269" spans="1:7" x14ac:dyDescent="0.3">
      <c r="A4269" t="s">
        <v>7370</v>
      </c>
      <c r="B4269" t="s">
        <v>7371</v>
      </c>
      <c r="C4269" t="s">
        <v>8</v>
      </c>
      <c r="D4269">
        <v>1.873</v>
      </c>
      <c r="E4269">
        <v>599</v>
      </c>
      <c r="F4269" t="str">
        <f>HYPERLINK("https://www.google.com/maps/search/?api=1&amp;query=24.62839024,46.72038493", "View Map")</f>
        <v>View Map</v>
      </c>
    </row>
    <row r="4270" spans="1:7" x14ac:dyDescent="0.3">
      <c r="A4270" t="s">
        <v>3735</v>
      </c>
      <c r="B4270" t="s">
        <v>7372</v>
      </c>
      <c r="C4270" t="s">
        <v>255</v>
      </c>
      <c r="D4270">
        <v>1.873</v>
      </c>
      <c r="E4270">
        <v>599</v>
      </c>
      <c r="F4270" t="str">
        <f>HYPERLINK("https://www.google.com/maps/search/?api=1&amp;query=25.16683454,44.60725864", "View Map")</f>
        <v>View Map</v>
      </c>
    </row>
    <row r="4271" spans="1:7" x14ac:dyDescent="0.3">
      <c r="A4271" t="s">
        <v>7373</v>
      </c>
      <c r="B4271" t="s">
        <v>7374</v>
      </c>
      <c r="C4271" t="s">
        <v>270</v>
      </c>
      <c r="D4271">
        <v>1.873</v>
      </c>
      <c r="E4271">
        <v>599</v>
      </c>
      <c r="F4271" t="str">
        <f>HYPERLINK("https://www.google.com/maps/search/?api=1&amp;query=23.99319,47.16886", "View Map")</f>
        <v>View Map</v>
      </c>
    </row>
    <row r="4272" spans="1:7" x14ac:dyDescent="0.3">
      <c r="A4272" t="s">
        <v>7375</v>
      </c>
      <c r="B4272" t="s">
        <v>7376</v>
      </c>
      <c r="C4272" t="s">
        <v>8</v>
      </c>
      <c r="D4272">
        <v>1.873</v>
      </c>
      <c r="E4272">
        <v>599</v>
      </c>
      <c r="F4272" t="str">
        <f>HYPERLINK("https://www.google.com/maps/search/?api=1&amp;query=24.61205914,46.73509434", "View Map")</f>
        <v>View Map</v>
      </c>
    </row>
    <row r="4273" spans="1:7" x14ac:dyDescent="0.3">
      <c r="A4273" t="s">
        <v>678</v>
      </c>
      <c r="B4273" t="s">
        <v>7377</v>
      </c>
      <c r="C4273" t="s">
        <v>21</v>
      </c>
      <c r="D4273">
        <v>1.873</v>
      </c>
      <c r="E4273">
        <v>599</v>
      </c>
      <c r="F4273" t="str">
        <f>HYPERLINK("https://www.google.com/maps/search/?api=1&amp;query=26.31521226,44.84150048", "View Map")</f>
        <v>View Map</v>
      </c>
      <c r="G4273" s="2">
        <v>0.35087698278576152</v>
      </c>
    </row>
    <row r="4274" spans="1:7" x14ac:dyDescent="0.3">
      <c r="A4274" t="s">
        <v>7378</v>
      </c>
      <c r="B4274" t="s">
        <v>7379</v>
      </c>
      <c r="C4274" t="s">
        <v>8</v>
      </c>
      <c r="D4274">
        <v>1.873</v>
      </c>
      <c r="E4274">
        <v>599</v>
      </c>
      <c r="F4274" t="str">
        <f>HYPERLINK("https://www.google.com/maps/search/?api=1&amp;query=24.67615268,46.74511819", "View Map")</f>
        <v>View Map</v>
      </c>
    </row>
    <row r="4275" spans="1:7" x14ac:dyDescent="0.3">
      <c r="A4275" t="s">
        <v>990</v>
      </c>
      <c r="B4275" t="s">
        <v>7380</v>
      </c>
      <c r="C4275" t="s">
        <v>8</v>
      </c>
      <c r="D4275">
        <v>1.8720000000000001</v>
      </c>
      <c r="E4275">
        <v>599</v>
      </c>
      <c r="F4275" t="str">
        <f>HYPERLINK("https://www.google.com/maps/search/?api=1&amp;query=24.69406624,46.79645886", "View Map")</f>
        <v>View Map</v>
      </c>
    </row>
    <row r="4276" spans="1:7" x14ac:dyDescent="0.3">
      <c r="A4276" t="s">
        <v>887</v>
      </c>
      <c r="B4276" t="s">
        <v>7381</v>
      </c>
      <c r="C4276" t="s">
        <v>30</v>
      </c>
      <c r="D4276">
        <v>1.8720000000000001</v>
      </c>
      <c r="E4276">
        <v>599</v>
      </c>
      <c r="F4276" t="str">
        <f>HYPERLINK("https://www.google.com/maps/search/?api=1&amp;query=24.15359366,47.32684448", "View Map")</f>
        <v>View Map</v>
      </c>
    </row>
    <row r="4277" spans="1:7" x14ac:dyDescent="0.3">
      <c r="A4277" t="s">
        <v>7382</v>
      </c>
      <c r="B4277" t="s">
        <v>7383</v>
      </c>
      <c r="C4277" t="s">
        <v>291</v>
      </c>
      <c r="D4277">
        <v>1.8720000000000001</v>
      </c>
      <c r="E4277">
        <v>599</v>
      </c>
      <c r="F4277" t="str">
        <f>HYPERLINK("https://www.google.com/maps/search/?api=1&amp;query=24.07152363,45.28004902", "View Map")</f>
        <v>View Map</v>
      </c>
      <c r="G4277" s="2">
        <v>0.65690349527359215</v>
      </c>
    </row>
    <row r="4278" spans="1:7" x14ac:dyDescent="0.3">
      <c r="A4278" t="s">
        <v>881</v>
      </c>
      <c r="B4278" t="s">
        <v>7384</v>
      </c>
      <c r="C4278" t="s">
        <v>820</v>
      </c>
      <c r="D4278">
        <v>1.8720000000000001</v>
      </c>
      <c r="E4278">
        <v>599</v>
      </c>
      <c r="F4278" t="str">
        <f>HYPERLINK("https://www.google.com/maps/search/?api=1&amp;query=0.0,0.0", "View Map")</f>
        <v>View Map</v>
      </c>
      <c r="G4278" s="2">
        <v>0.46586735489726661</v>
      </c>
    </row>
    <row r="4279" spans="1:7" x14ac:dyDescent="0.3">
      <c r="A4279" t="s">
        <v>146</v>
      </c>
      <c r="B4279" t="s">
        <v>7385</v>
      </c>
      <c r="C4279" t="s">
        <v>8</v>
      </c>
      <c r="D4279">
        <v>1.871</v>
      </c>
      <c r="E4279">
        <v>599</v>
      </c>
      <c r="F4279" t="str">
        <f>HYPERLINK("https://www.google.com/maps/search/?api=1&amp;query=24.57003182,46.55154105", "View Map")</f>
        <v>View Map</v>
      </c>
    </row>
    <row r="4280" spans="1:7" x14ac:dyDescent="0.3">
      <c r="A4280" t="s">
        <v>7386</v>
      </c>
      <c r="B4280" t="s">
        <v>7387</v>
      </c>
      <c r="C4280" t="s">
        <v>214</v>
      </c>
      <c r="D4280">
        <v>1.871</v>
      </c>
      <c r="E4280">
        <v>599</v>
      </c>
      <c r="F4280" t="str">
        <f>HYPERLINK("https://www.google.com/maps/search/?api=1&amp;query=25.69664192,45.88027634", "View Map")</f>
        <v>View Map</v>
      </c>
      <c r="G4280" s="2">
        <v>0.57154564131400221</v>
      </c>
    </row>
    <row r="4281" spans="1:7" x14ac:dyDescent="0.3">
      <c r="A4281" t="s">
        <v>7388</v>
      </c>
      <c r="B4281" t="s">
        <v>7389</v>
      </c>
      <c r="C4281" t="s">
        <v>8</v>
      </c>
      <c r="D4281">
        <v>1.871</v>
      </c>
      <c r="E4281">
        <v>599</v>
      </c>
      <c r="F4281" t="str">
        <f>HYPERLINK("https://www.google.com/maps/search/?api=1&amp;query=24.78796894,46.79437624", "View Map")</f>
        <v>View Map</v>
      </c>
    </row>
    <row r="4282" spans="1:7" x14ac:dyDescent="0.3">
      <c r="A4282" t="s">
        <v>7390</v>
      </c>
      <c r="B4282" t="s">
        <v>7391</v>
      </c>
      <c r="C4282" t="s">
        <v>8</v>
      </c>
      <c r="D4282">
        <v>1.87</v>
      </c>
      <c r="E4282">
        <v>598</v>
      </c>
      <c r="F4282" t="str">
        <f>HYPERLINK("https://www.google.com/maps/search/?api=1&amp;query=24.58503308,46.66263164", "View Map")</f>
        <v>View Map</v>
      </c>
    </row>
    <row r="4283" spans="1:7" x14ac:dyDescent="0.3">
      <c r="A4283" t="s">
        <v>7392</v>
      </c>
      <c r="B4283" t="s">
        <v>7393</v>
      </c>
      <c r="C4283" t="s">
        <v>8</v>
      </c>
      <c r="D4283">
        <v>1.87</v>
      </c>
      <c r="E4283">
        <v>598</v>
      </c>
      <c r="F4283" t="str">
        <f>HYPERLINK("https://www.google.com/maps/search/?api=1&amp;query=24.79892065,46.89519252", "View Map")</f>
        <v>View Map</v>
      </c>
    </row>
    <row r="4284" spans="1:7" x14ac:dyDescent="0.3">
      <c r="A4284" t="s">
        <v>7394</v>
      </c>
      <c r="B4284" t="s">
        <v>7395</v>
      </c>
      <c r="C4284" t="s">
        <v>393</v>
      </c>
      <c r="D4284">
        <v>1.87</v>
      </c>
      <c r="E4284">
        <v>598</v>
      </c>
      <c r="F4284" t="str">
        <f>HYPERLINK("https://www.google.com/maps/search/?api=1&amp;query=22.67442649,44.73603511", "View Map")</f>
        <v>View Map</v>
      </c>
      <c r="G4284" s="2">
        <v>0.73012860880231956</v>
      </c>
    </row>
    <row r="4285" spans="1:7" x14ac:dyDescent="0.3">
      <c r="A4285" t="s">
        <v>459</v>
      </c>
      <c r="B4285" t="s">
        <v>7396</v>
      </c>
      <c r="C4285" t="s">
        <v>286</v>
      </c>
      <c r="D4285">
        <v>1.87</v>
      </c>
      <c r="E4285">
        <v>598</v>
      </c>
      <c r="F4285" t="str">
        <f>HYPERLINK("https://www.google.com/maps/search/?api=1&amp;query=25.20453519,45.23333758", "View Map")</f>
        <v>View Map</v>
      </c>
      <c r="G4285" s="2">
        <v>0.55038059268437445</v>
      </c>
    </row>
    <row r="4286" spans="1:7" x14ac:dyDescent="0.3">
      <c r="A4286" t="s">
        <v>7397</v>
      </c>
      <c r="B4286" t="s">
        <v>7398</v>
      </c>
      <c r="C4286" t="s">
        <v>8</v>
      </c>
      <c r="D4286">
        <v>1.87</v>
      </c>
      <c r="E4286">
        <v>598</v>
      </c>
      <c r="F4286" t="str">
        <f>HYPERLINK("https://www.google.com/maps/search/?api=1&amp;query=24.61779707,46.72759564", "View Map")</f>
        <v>View Map</v>
      </c>
    </row>
    <row r="4287" spans="1:7" x14ac:dyDescent="0.3">
      <c r="A4287" t="s">
        <v>678</v>
      </c>
      <c r="B4287" t="s">
        <v>7399</v>
      </c>
      <c r="C4287" t="s">
        <v>21</v>
      </c>
      <c r="D4287">
        <v>1.869</v>
      </c>
      <c r="E4287">
        <v>598</v>
      </c>
      <c r="F4287" t="str">
        <f>HYPERLINK("https://www.google.com/maps/search/?api=1&amp;query=26.32490228,44.81931053", "View Map")</f>
        <v>View Map</v>
      </c>
      <c r="G4287" s="2">
        <v>0.44784554415704608</v>
      </c>
    </row>
    <row r="4288" spans="1:7" x14ac:dyDescent="0.3">
      <c r="A4288" t="s">
        <v>7400</v>
      </c>
      <c r="B4288" t="s">
        <v>7401</v>
      </c>
      <c r="C4288" t="s">
        <v>214</v>
      </c>
      <c r="D4288">
        <v>1.869</v>
      </c>
      <c r="E4288">
        <v>598</v>
      </c>
      <c r="F4288" t="str">
        <f>HYPERLINK("https://www.google.com/maps/search/?api=1&amp;query=25.64798259,45.56017068", "View Map")</f>
        <v>View Map</v>
      </c>
      <c r="G4288" s="2">
        <v>0.3099098790694092</v>
      </c>
    </row>
    <row r="4289" spans="1:7" x14ac:dyDescent="0.3">
      <c r="A4289" t="s">
        <v>146</v>
      </c>
      <c r="B4289" t="s">
        <v>7402</v>
      </c>
      <c r="C4289" t="s">
        <v>8</v>
      </c>
      <c r="D4289">
        <v>1.8680000000000001</v>
      </c>
      <c r="E4289">
        <v>598</v>
      </c>
      <c r="F4289" t="str">
        <f>HYPERLINK("https://www.google.com/maps/search/?api=1&amp;query=24.56030096,46.54348166", "View Map")</f>
        <v>View Map</v>
      </c>
    </row>
    <row r="4290" spans="1:7" x14ac:dyDescent="0.3">
      <c r="A4290" t="s">
        <v>7403</v>
      </c>
      <c r="B4290" t="s">
        <v>7404</v>
      </c>
      <c r="C4290" t="s">
        <v>21</v>
      </c>
      <c r="D4290">
        <v>1.8680000000000001</v>
      </c>
      <c r="E4290">
        <v>598</v>
      </c>
      <c r="F4290" t="str">
        <f>HYPERLINK("https://www.google.com/maps/search/?api=1&amp;query=26.25151732,44.80696679", "View Map")</f>
        <v>View Map</v>
      </c>
      <c r="G4290" s="2">
        <v>0.44230773995236528</v>
      </c>
    </row>
    <row r="4291" spans="1:7" x14ac:dyDescent="0.3">
      <c r="A4291" t="s">
        <v>7405</v>
      </c>
      <c r="B4291" t="s">
        <v>7406</v>
      </c>
      <c r="C4291" t="s">
        <v>8</v>
      </c>
      <c r="D4291">
        <v>1.867</v>
      </c>
      <c r="E4291">
        <v>597</v>
      </c>
      <c r="F4291" t="str">
        <f>HYPERLINK("https://www.google.com/maps/search/?api=1&amp;query=24.57248513,46.59060284", "View Map")</f>
        <v>View Map</v>
      </c>
    </row>
    <row r="4292" spans="1:7" x14ac:dyDescent="0.3">
      <c r="A4292" t="s">
        <v>1594</v>
      </c>
      <c r="B4292" t="s">
        <v>7407</v>
      </c>
      <c r="C4292" t="s">
        <v>296</v>
      </c>
      <c r="D4292">
        <v>1.867</v>
      </c>
      <c r="E4292">
        <v>598</v>
      </c>
      <c r="F4292" t="str">
        <f>HYPERLINK("https://www.google.com/maps/search/?api=1&amp;query=24.48144511,46.27451997", "View Map")</f>
        <v>View Map</v>
      </c>
    </row>
    <row r="4293" spans="1:7" x14ac:dyDescent="0.3">
      <c r="A4293" t="s">
        <v>7408</v>
      </c>
      <c r="B4293" t="s">
        <v>7409</v>
      </c>
      <c r="C4293" t="s">
        <v>8</v>
      </c>
      <c r="D4293">
        <v>1.8660000000000001</v>
      </c>
      <c r="E4293">
        <v>597</v>
      </c>
      <c r="F4293" t="str">
        <f>HYPERLINK("https://www.google.com/maps/search/?api=1&amp;query=24.64448808,46.78393456", "View Map")</f>
        <v>View Map</v>
      </c>
    </row>
    <row r="4294" spans="1:7" x14ac:dyDescent="0.3">
      <c r="A4294" t="s">
        <v>7410</v>
      </c>
      <c r="B4294" t="s">
        <v>7411</v>
      </c>
      <c r="C4294" t="s">
        <v>286</v>
      </c>
      <c r="D4294">
        <v>1.8660000000000001</v>
      </c>
      <c r="E4294">
        <v>597</v>
      </c>
      <c r="F4294" t="str">
        <f>HYPERLINK("https://www.google.com/maps/search/?api=1&amp;query=25.33741741,45.17638344", "View Map")</f>
        <v>View Map</v>
      </c>
      <c r="G4294" s="2">
        <v>0.56592562416491399</v>
      </c>
    </row>
    <row r="4295" spans="1:7" x14ac:dyDescent="0.3">
      <c r="A4295" t="s">
        <v>3948</v>
      </c>
      <c r="B4295" t="s">
        <v>7412</v>
      </c>
      <c r="C4295" t="s">
        <v>8</v>
      </c>
      <c r="D4295">
        <v>1.8660000000000001</v>
      </c>
      <c r="E4295">
        <v>597</v>
      </c>
      <c r="F4295" t="str">
        <f>HYPERLINK("https://www.google.com/maps/search/?api=1&amp;query=24.65852504,46.71152194", "View Map")</f>
        <v>View Map</v>
      </c>
    </row>
    <row r="4296" spans="1:7" x14ac:dyDescent="0.3">
      <c r="A4296" t="s">
        <v>7413</v>
      </c>
      <c r="B4296" t="s">
        <v>7414</v>
      </c>
      <c r="C4296" t="s">
        <v>8</v>
      </c>
      <c r="D4296">
        <v>1.8660000000000001</v>
      </c>
      <c r="E4296">
        <v>597</v>
      </c>
      <c r="F4296" t="str">
        <f>HYPERLINK("https://www.google.com/maps/search/?api=1&amp;query=24.53675286,46.65911455", "View Map")</f>
        <v>View Map</v>
      </c>
    </row>
    <row r="4297" spans="1:7" x14ac:dyDescent="0.3">
      <c r="A4297" t="s">
        <v>7415</v>
      </c>
      <c r="B4297" t="s">
        <v>7416</v>
      </c>
      <c r="C4297" t="s">
        <v>8</v>
      </c>
      <c r="D4297">
        <v>1.8660000000000001</v>
      </c>
      <c r="E4297">
        <v>597</v>
      </c>
      <c r="F4297" t="str">
        <f>HYPERLINK("https://www.google.com/maps/search/?api=1&amp;query=24.78822247,46.87915918", "View Map")</f>
        <v>View Map</v>
      </c>
    </row>
    <row r="4298" spans="1:7" x14ac:dyDescent="0.3">
      <c r="A4298" t="s">
        <v>7417</v>
      </c>
      <c r="B4298" t="s">
        <v>7418</v>
      </c>
      <c r="C4298" t="s">
        <v>270</v>
      </c>
      <c r="D4298">
        <v>1.8660000000000001</v>
      </c>
      <c r="E4298">
        <v>597</v>
      </c>
      <c r="F4298" t="str">
        <f>HYPERLINK("https://www.google.com/maps/search/?api=1&amp;query=23.99650315,47.11416247", "View Map")</f>
        <v>View Map</v>
      </c>
      <c r="G4298" s="2">
        <v>0.34916959948986931</v>
      </c>
    </row>
    <row r="4299" spans="1:7" x14ac:dyDescent="0.3">
      <c r="A4299" t="s">
        <v>7419</v>
      </c>
      <c r="B4299" t="s">
        <v>7420</v>
      </c>
      <c r="C4299" t="s">
        <v>8</v>
      </c>
      <c r="D4299">
        <v>1.865</v>
      </c>
      <c r="E4299">
        <v>597</v>
      </c>
      <c r="F4299" t="str">
        <f>HYPERLINK("https://www.google.com/maps/search/?api=1&amp;query=24.65819426,46.5860862", "View Map")</f>
        <v>View Map</v>
      </c>
      <c r="G4299" s="2">
        <v>0.56110873812245676</v>
      </c>
    </row>
    <row r="4300" spans="1:7" x14ac:dyDescent="0.3">
      <c r="A4300" t="s">
        <v>46</v>
      </c>
      <c r="B4300" t="s">
        <v>7421</v>
      </c>
      <c r="C4300" t="s">
        <v>8</v>
      </c>
      <c r="D4300">
        <v>1.8640000000000001</v>
      </c>
      <c r="E4300">
        <v>597</v>
      </c>
      <c r="F4300" t="str">
        <f>HYPERLINK("https://www.google.com/maps/search/?api=1&amp;query=24.5894657,46.79147885", "View Map")</f>
        <v>View Map</v>
      </c>
    </row>
    <row r="4301" spans="1:7" x14ac:dyDescent="0.3">
      <c r="A4301" t="s">
        <v>433</v>
      </c>
      <c r="B4301" t="s">
        <v>7422</v>
      </c>
      <c r="C4301" t="s">
        <v>137</v>
      </c>
      <c r="D4301">
        <v>1.8640000000000001</v>
      </c>
      <c r="E4301">
        <v>597</v>
      </c>
      <c r="F4301" t="str">
        <f>HYPERLINK("https://www.google.com/maps/search/?api=1&amp;query=23.19956041,46.44972739", "View Map")</f>
        <v>View Map</v>
      </c>
      <c r="G4301" s="2">
        <v>0.55695997324679025</v>
      </c>
    </row>
    <row r="4302" spans="1:7" x14ac:dyDescent="0.3">
      <c r="A4302" t="s">
        <v>46</v>
      </c>
      <c r="B4302" t="s">
        <v>7423</v>
      </c>
      <c r="C4302" t="s">
        <v>8</v>
      </c>
      <c r="D4302">
        <v>1.8640000000000001</v>
      </c>
      <c r="E4302">
        <v>596</v>
      </c>
      <c r="F4302" t="str">
        <f>HYPERLINK("https://www.google.com/maps/search/?api=1&amp;query=24.64433971,46.5514691", "View Map")</f>
        <v>View Map</v>
      </c>
    </row>
    <row r="4303" spans="1:7" x14ac:dyDescent="0.3">
      <c r="A4303" t="s">
        <v>1273</v>
      </c>
      <c r="B4303" t="s">
        <v>7424</v>
      </c>
      <c r="C4303" t="s">
        <v>241</v>
      </c>
      <c r="D4303">
        <v>1.8620000000000001</v>
      </c>
      <c r="E4303">
        <v>596</v>
      </c>
      <c r="F4303" t="str">
        <f>HYPERLINK("https://www.google.com/maps/search/?api=1&amp;query=20.42068501,44.87260016", "View Map")</f>
        <v>View Map</v>
      </c>
    </row>
    <row r="4304" spans="1:7" x14ac:dyDescent="0.3">
      <c r="A4304" t="s">
        <v>4324</v>
      </c>
      <c r="B4304" t="s">
        <v>7425</v>
      </c>
      <c r="C4304" t="s">
        <v>8</v>
      </c>
      <c r="D4304">
        <v>1.8620000000000001</v>
      </c>
      <c r="E4304">
        <v>596</v>
      </c>
      <c r="F4304" t="str">
        <f>HYPERLINK("https://www.google.com/maps/search/?api=1&amp;query=24.50427467,46.63007483", "View Map")</f>
        <v>View Map</v>
      </c>
    </row>
    <row r="4305" spans="1:7" x14ac:dyDescent="0.3">
      <c r="A4305" t="s">
        <v>46</v>
      </c>
      <c r="B4305" t="s">
        <v>7426</v>
      </c>
      <c r="C4305" t="s">
        <v>8</v>
      </c>
      <c r="D4305">
        <v>1.8620000000000001</v>
      </c>
      <c r="E4305">
        <v>596</v>
      </c>
      <c r="F4305" t="str">
        <f>HYPERLINK("https://www.google.com/maps/search/?api=1&amp;query=24.82015369,46.83870204", "View Map")</f>
        <v>View Map</v>
      </c>
    </row>
    <row r="4306" spans="1:7" x14ac:dyDescent="0.3">
      <c r="A4306" t="s">
        <v>7427</v>
      </c>
      <c r="B4306" t="s">
        <v>7428</v>
      </c>
      <c r="C4306" t="s">
        <v>255</v>
      </c>
      <c r="D4306">
        <v>1.8620000000000001</v>
      </c>
      <c r="E4306">
        <v>596</v>
      </c>
      <c r="F4306" t="str">
        <f>HYPERLINK("https://www.google.com/maps/search/?api=1&amp;query=24.73173517,43.77935401", "View Map")</f>
        <v>View Map</v>
      </c>
      <c r="G4306" s="2">
        <v>0.71606927894177241</v>
      </c>
    </row>
    <row r="4307" spans="1:7" x14ac:dyDescent="0.3">
      <c r="A4307" t="s">
        <v>7429</v>
      </c>
      <c r="B4307" t="s">
        <v>7430</v>
      </c>
      <c r="C4307" t="s">
        <v>8</v>
      </c>
      <c r="D4307">
        <v>1.8620000000000001</v>
      </c>
      <c r="E4307">
        <v>596</v>
      </c>
      <c r="F4307" t="str">
        <f>HYPERLINK("https://www.google.com/maps/search/?api=1&amp;query=24.81552698,46.83827553", "View Map")</f>
        <v>View Map</v>
      </c>
    </row>
    <row r="4308" spans="1:7" x14ac:dyDescent="0.3">
      <c r="A4308" t="s">
        <v>7431</v>
      </c>
      <c r="B4308" t="s">
        <v>7432</v>
      </c>
      <c r="C4308" t="s">
        <v>8</v>
      </c>
      <c r="D4308">
        <v>1.861</v>
      </c>
      <c r="E4308">
        <v>596</v>
      </c>
      <c r="F4308" t="str">
        <f>HYPERLINK("https://www.google.com/maps/search/?api=1&amp;query=24.57565732,46.5703181", "View Map")</f>
        <v>View Map</v>
      </c>
    </row>
    <row r="4309" spans="1:7" x14ac:dyDescent="0.3">
      <c r="A4309" t="s">
        <v>7433</v>
      </c>
      <c r="B4309" t="s">
        <v>7434</v>
      </c>
      <c r="C4309" t="s">
        <v>8</v>
      </c>
      <c r="D4309">
        <v>1.861</v>
      </c>
      <c r="E4309">
        <v>596</v>
      </c>
      <c r="F4309" t="str">
        <f>HYPERLINK("https://www.google.com/maps/search/?api=1&amp;query=24.68982516,46.64392024", "View Map")</f>
        <v>View Map</v>
      </c>
    </row>
    <row r="4310" spans="1:7" x14ac:dyDescent="0.3">
      <c r="A4310" t="s">
        <v>627</v>
      </c>
      <c r="B4310" t="s">
        <v>7435</v>
      </c>
      <c r="C4310" t="s">
        <v>8</v>
      </c>
      <c r="D4310">
        <v>1.861</v>
      </c>
      <c r="E4310">
        <v>595</v>
      </c>
      <c r="F4310" t="str">
        <f>HYPERLINK("https://www.google.com/maps/search/?api=1&amp;query=24.82690155,46.64332979", "View Map")</f>
        <v>View Map</v>
      </c>
    </row>
    <row r="4311" spans="1:7" x14ac:dyDescent="0.3">
      <c r="A4311" t="s">
        <v>7436</v>
      </c>
      <c r="B4311" t="s">
        <v>7437</v>
      </c>
      <c r="C4311" t="s">
        <v>296</v>
      </c>
      <c r="D4311">
        <v>1.86</v>
      </c>
      <c r="E4311">
        <v>595</v>
      </c>
      <c r="F4311" t="str">
        <f>HYPERLINK("https://www.google.com/maps/search/?api=1&amp;query=24.44211885,46.26818143", "View Map")</f>
        <v>View Map</v>
      </c>
    </row>
    <row r="4312" spans="1:7" x14ac:dyDescent="0.3">
      <c r="A4312" t="s">
        <v>146</v>
      </c>
      <c r="B4312" t="s">
        <v>7438</v>
      </c>
      <c r="C4312" t="s">
        <v>8</v>
      </c>
      <c r="D4312">
        <v>1.86</v>
      </c>
      <c r="E4312">
        <v>595</v>
      </c>
      <c r="F4312" t="str">
        <f>HYPERLINK("https://www.google.com/maps/search/?api=1&amp;query=24.56492783,46.56110241", "View Map")</f>
        <v>View Map</v>
      </c>
    </row>
    <row r="4313" spans="1:7" x14ac:dyDescent="0.3">
      <c r="A4313" t="s">
        <v>7439</v>
      </c>
      <c r="B4313" t="s">
        <v>7440</v>
      </c>
      <c r="C4313" t="s">
        <v>291</v>
      </c>
      <c r="D4313">
        <v>1.86</v>
      </c>
      <c r="E4313">
        <v>595</v>
      </c>
      <c r="F4313" t="str">
        <f>HYPERLINK("https://www.google.com/maps/search/?api=1&amp;query=22.59503046,44.67905066", "View Map")</f>
        <v>View Map</v>
      </c>
      <c r="G4313" s="2">
        <v>0.87635386144631755</v>
      </c>
    </row>
    <row r="4314" spans="1:7" x14ac:dyDescent="0.3">
      <c r="A4314" t="s">
        <v>7441</v>
      </c>
      <c r="B4314" t="s">
        <v>7442</v>
      </c>
      <c r="C4314" t="s">
        <v>393</v>
      </c>
      <c r="D4314">
        <v>1.86</v>
      </c>
      <c r="E4314">
        <v>595</v>
      </c>
      <c r="F4314" t="str">
        <f>HYPERLINK("https://www.google.com/maps/search/?api=1&amp;query=22.48739232,45.0480052", "View Map")</f>
        <v>View Map</v>
      </c>
      <c r="G4314" s="2">
        <v>0.77130642327358911</v>
      </c>
    </row>
    <row r="4315" spans="1:7" x14ac:dyDescent="0.3">
      <c r="A4315" t="s">
        <v>7443</v>
      </c>
      <c r="B4315" t="s">
        <v>7444</v>
      </c>
      <c r="C4315" t="s">
        <v>8</v>
      </c>
      <c r="D4315">
        <v>1.8580000000000001</v>
      </c>
      <c r="E4315">
        <v>595</v>
      </c>
      <c r="F4315" t="str">
        <f>HYPERLINK("https://www.google.com/maps/search/?api=1&amp;query=24.64993149,46.70709396", "View Map")</f>
        <v>View Map</v>
      </c>
    </row>
    <row r="4316" spans="1:7" x14ac:dyDescent="0.3">
      <c r="A4316" t="s">
        <v>7445</v>
      </c>
      <c r="B4316" t="s">
        <v>7446</v>
      </c>
      <c r="C4316" t="s">
        <v>8</v>
      </c>
      <c r="D4316">
        <v>1.8580000000000001</v>
      </c>
      <c r="E4316">
        <v>594</v>
      </c>
      <c r="F4316" t="str">
        <f>HYPERLINK("https://www.google.com/maps/search/?api=1&amp;query=24.7928126,46.89781046", "View Map")</f>
        <v>View Map</v>
      </c>
    </row>
    <row r="4317" spans="1:7" x14ac:dyDescent="0.3">
      <c r="A4317" t="s">
        <v>7447</v>
      </c>
      <c r="B4317" t="s">
        <v>7448</v>
      </c>
      <c r="C4317" t="s">
        <v>8</v>
      </c>
      <c r="D4317">
        <v>1.857</v>
      </c>
      <c r="E4317">
        <v>594</v>
      </c>
      <c r="F4317" t="str">
        <f>HYPERLINK("https://www.google.com/maps/search/?api=1&amp;query=24.56315532,46.71478928", "View Map")</f>
        <v>View Map</v>
      </c>
    </row>
    <row r="4318" spans="1:7" x14ac:dyDescent="0.3">
      <c r="A4318" t="s">
        <v>7449</v>
      </c>
      <c r="B4318" t="s">
        <v>7450</v>
      </c>
      <c r="C4318" t="s">
        <v>8</v>
      </c>
      <c r="D4318">
        <v>1.857</v>
      </c>
      <c r="E4318">
        <v>594</v>
      </c>
      <c r="F4318" t="str">
        <f>HYPERLINK("https://www.google.com/maps/search/?api=1&amp;query=24.74531529,46.82844759", "View Map")</f>
        <v>View Map</v>
      </c>
    </row>
    <row r="4319" spans="1:7" x14ac:dyDescent="0.3">
      <c r="A4319" t="s">
        <v>46</v>
      </c>
      <c r="B4319" t="s">
        <v>7451</v>
      </c>
      <c r="C4319" t="s">
        <v>8</v>
      </c>
      <c r="D4319">
        <v>1.857</v>
      </c>
      <c r="E4319">
        <v>594</v>
      </c>
      <c r="F4319" t="str">
        <f>HYPERLINK("https://www.google.com/maps/search/?api=1&amp;query=24.74721727,46.62628386", "View Map")</f>
        <v>View Map</v>
      </c>
    </row>
    <row r="4320" spans="1:7" x14ac:dyDescent="0.3">
      <c r="A4320" t="s">
        <v>3090</v>
      </c>
      <c r="B4320" t="s">
        <v>7452</v>
      </c>
      <c r="C4320" t="s">
        <v>8</v>
      </c>
      <c r="D4320">
        <v>1.8560000000000001</v>
      </c>
      <c r="E4320">
        <v>594</v>
      </c>
      <c r="F4320" t="str">
        <f>HYPERLINK("https://www.google.com/maps/search/?api=1&amp;query=24.78883732,46.68569906", "View Map")</f>
        <v>View Map</v>
      </c>
    </row>
    <row r="4321" spans="1:7" x14ac:dyDescent="0.3">
      <c r="A4321" t="s">
        <v>661</v>
      </c>
      <c r="B4321" t="s">
        <v>7453</v>
      </c>
      <c r="C4321" t="s">
        <v>214</v>
      </c>
      <c r="D4321">
        <v>1.855</v>
      </c>
      <c r="E4321">
        <v>594</v>
      </c>
      <c r="F4321" t="str">
        <f>HYPERLINK("https://www.google.com/maps/search/?api=1&amp;query=25.55627753,45.69258235", "View Map")</f>
        <v>View Map</v>
      </c>
      <c r="G4321" s="2">
        <v>0.53064941756116912</v>
      </c>
    </row>
    <row r="4322" spans="1:7" x14ac:dyDescent="0.3">
      <c r="A4322" t="s">
        <v>7454</v>
      </c>
      <c r="B4322" t="s">
        <v>7455</v>
      </c>
      <c r="C4322" t="s">
        <v>8</v>
      </c>
      <c r="D4322">
        <v>1.855</v>
      </c>
      <c r="E4322">
        <v>594</v>
      </c>
      <c r="F4322" t="str">
        <f>HYPERLINK("https://www.google.com/maps/search/?api=1&amp;query=24.60857789,46.73029463", "View Map")</f>
        <v>View Map</v>
      </c>
    </row>
    <row r="4323" spans="1:7" x14ac:dyDescent="0.3">
      <c r="A4323" t="s">
        <v>7456</v>
      </c>
      <c r="B4323" t="s">
        <v>7457</v>
      </c>
      <c r="C4323" t="s">
        <v>8</v>
      </c>
      <c r="D4323">
        <v>1.8540000000000001</v>
      </c>
      <c r="E4323">
        <v>593</v>
      </c>
      <c r="F4323" t="str">
        <f>HYPERLINK("https://www.google.com/maps/search/?api=1&amp;query=24.67583465,46.82624978", "View Map")</f>
        <v>View Map</v>
      </c>
    </row>
    <row r="4324" spans="1:7" x14ac:dyDescent="0.3">
      <c r="A4324" t="s">
        <v>7458</v>
      </c>
      <c r="B4324" t="s">
        <v>7459</v>
      </c>
      <c r="C4324" t="s">
        <v>8</v>
      </c>
      <c r="D4324">
        <v>1.8540000000000001</v>
      </c>
      <c r="E4324">
        <v>593</v>
      </c>
      <c r="F4324" t="str">
        <f>HYPERLINK("https://www.google.com/maps/search/?api=1&amp;query=24.57453587,46.58848251", "View Map")</f>
        <v>View Map</v>
      </c>
    </row>
    <row r="4325" spans="1:7" x14ac:dyDescent="0.3">
      <c r="A4325" t="s">
        <v>7460</v>
      </c>
      <c r="B4325" t="s">
        <v>7461</v>
      </c>
      <c r="C4325" t="s">
        <v>8</v>
      </c>
      <c r="D4325">
        <v>1.853</v>
      </c>
      <c r="E4325">
        <v>593</v>
      </c>
      <c r="F4325" t="str">
        <f>HYPERLINK("https://www.google.com/maps/search/?api=1&amp;query=24.58412341,46.55240009", "View Map")</f>
        <v>View Map</v>
      </c>
    </row>
    <row r="4326" spans="1:7" x14ac:dyDescent="0.3">
      <c r="A4326" t="s">
        <v>7462</v>
      </c>
      <c r="B4326" t="s">
        <v>7463</v>
      </c>
      <c r="C4326" t="s">
        <v>291</v>
      </c>
      <c r="D4326">
        <v>1.853</v>
      </c>
      <c r="E4326">
        <v>593</v>
      </c>
      <c r="F4326" t="str">
        <f>HYPERLINK("https://www.google.com/maps/search/?api=1&amp;query=24.27453971,45.18168505", "View Map")</f>
        <v>View Map</v>
      </c>
      <c r="G4326" s="2">
        <v>0.58865428781506313</v>
      </c>
    </row>
    <row r="4327" spans="1:7" x14ac:dyDescent="0.3">
      <c r="A4327" t="s">
        <v>7464</v>
      </c>
      <c r="B4327" t="s">
        <v>7465</v>
      </c>
      <c r="C4327" t="s">
        <v>16</v>
      </c>
      <c r="D4327">
        <v>1.853</v>
      </c>
      <c r="E4327">
        <v>593</v>
      </c>
      <c r="F4327" t="str">
        <f>HYPERLINK("https://www.google.com/maps/search/?api=1&amp;query=24.2716162,43.38823934", "View Map")</f>
        <v>View Map</v>
      </c>
      <c r="G4327" s="2">
        <v>0.42489719042786711</v>
      </c>
    </row>
    <row r="4328" spans="1:7" x14ac:dyDescent="0.3">
      <c r="A4328" t="s">
        <v>7466</v>
      </c>
      <c r="B4328" t="s">
        <v>7467</v>
      </c>
      <c r="C4328" t="s">
        <v>8</v>
      </c>
      <c r="D4328">
        <v>1.853</v>
      </c>
      <c r="E4328">
        <v>593</v>
      </c>
      <c r="F4328" t="str">
        <f>HYPERLINK("https://www.google.com/maps/search/?api=1&amp;query=24.6378,46.7019", "View Map")</f>
        <v>View Map</v>
      </c>
    </row>
    <row r="4329" spans="1:7" x14ac:dyDescent="0.3">
      <c r="A4329" t="s">
        <v>7468</v>
      </c>
      <c r="B4329" t="s">
        <v>7469</v>
      </c>
      <c r="C4329" t="s">
        <v>8</v>
      </c>
      <c r="D4329">
        <v>1.8520000000000001</v>
      </c>
      <c r="E4329">
        <v>593</v>
      </c>
      <c r="F4329" t="str">
        <f>HYPERLINK("https://www.google.com/maps/search/?api=1&amp;query=24.80205412,46.70658444", "View Map")</f>
        <v>View Map</v>
      </c>
    </row>
    <row r="4330" spans="1:7" x14ac:dyDescent="0.3">
      <c r="A4330" t="s">
        <v>7470</v>
      </c>
      <c r="B4330" t="s">
        <v>7471</v>
      </c>
      <c r="C4330" t="s">
        <v>137</v>
      </c>
      <c r="D4330">
        <v>1.8520000000000001</v>
      </c>
      <c r="E4330">
        <v>593</v>
      </c>
      <c r="F4330" t="str">
        <f>HYPERLINK("https://www.google.com/maps/search/?api=1&amp;query=23.49477475,46.88498823", "View Map")</f>
        <v>View Map</v>
      </c>
      <c r="G4330" s="2">
        <v>0.45953281648782413</v>
      </c>
    </row>
    <row r="4331" spans="1:7" x14ac:dyDescent="0.3">
      <c r="A4331" t="s">
        <v>7472</v>
      </c>
      <c r="B4331" t="s">
        <v>7473</v>
      </c>
      <c r="C4331" t="s">
        <v>30</v>
      </c>
      <c r="D4331">
        <v>1.8520000000000001</v>
      </c>
      <c r="E4331">
        <v>593</v>
      </c>
      <c r="F4331" t="str">
        <f>HYPERLINK("https://www.google.com/maps/search/?api=1&amp;query=24.15973508,47.32334967", "View Map")</f>
        <v>View Map</v>
      </c>
    </row>
    <row r="4332" spans="1:7" x14ac:dyDescent="0.3">
      <c r="A4332" t="s">
        <v>7474</v>
      </c>
      <c r="B4332" t="s">
        <v>7475</v>
      </c>
      <c r="C4332" t="s">
        <v>8</v>
      </c>
      <c r="D4332">
        <v>1.8520000000000001</v>
      </c>
      <c r="E4332">
        <v>593</v>
      </c>
      <c r="F4332" t="str">
        <f>HYPERLINK("https://www.google.com/maps/search/?api=1&amp;query=24.76543416,46.71266227", "View Map")</f>
        <v>View Map</v>
      </c>
    </row>
    <row r="4333" spans="1:7" x14ac:dyDescent="0.3">
      <c r="A4333" t="s">
        <v>7476</v>
      </c>
      <c r="B4333" t="s">
        <v>7477</v>
      </c>
      <c r="C4333" t="s">
        <v>8</v>
      </c>
      <c r="D4333">
        <v>1.851</v>
      </c>
      <c r="E4333">
        <v>592</v>
      </c>
      <c r="F4333" t="str">
        <f>HYPERLINK("https://www.google.com/maps/search/?api=1&amp;query=24.64296183,46.78394715", "View Map")</f>
        <v>View Map</v>
      </c>
    </row>
    <row r="4334" spans="1:7" x14ac:dyDescent="0.3">
      <c r="A4334" t="s">
        <v>46</v>
      </c>
      <c r="B4334" t="s">
        <v>7478</v>
      </c>
      <c r="C4334" t="s">
        <v>8</v>
      </c>
      <c r="D4334">
        <v>1.851</v>
      </c>
      <c r="E4334">
        <v>592</v>
      </c>
      <c r="F4334" t="str">
        <f>HYPERLINK("https://www.google.com/maps/search/?api=1&amp;query=24.82558304,46.65672149", "View Map")</f>
        <v>View Map</v>
      </c>
    </row>
    <row r="4335" spans="1:7" x14ac:dyDescent="0.3">
      <c r="A4335" t="s">
        <v>7479</v>
      </c>
      <c r="B4335" t="s">
        <v>7480</v>
      </c>
      <c r="C4335" t="s">
        <v>296</v>
      </c>
      <c r="D4335">
        <v>1.851</v>
      </c>
      <c r="E4335">
        <v>592</v>
      </c>
      <c r="F4335" t="str">
        <f>HYPERLINK("https://www.google.com/maps/search/?api=1&amp;query=24.47357178,46.30125989", "View Map")</f>
        <v>View Map</v>
      </c>
    </row>
    <row r="4336" spans="1:7" x14ac:dyDescent="0.3">
      <c r="A4336" t="s">
        <v>7481</v>
      </c>
      <c r="B4336" t="s">
        <v>7482</v>
      </c>
      <c r="C4336" t="s">
        <v>21</v>
      </c>
      <c r="D4336">
        <v>1.851</v>
      </c>
      <c r="E4336">
        <v>592</v>
      </c>
      <c r="F4336" t="str">
        <f>HYPERLINK("https://www.google.com/maps/search/?api=1&amp;query=26.29082864,44.81532607", "View Map")</f>
        <v>View Map</v>
      </c>
    </row>
    <row r="4337" spans="1:7" x14ac:dyDescent="0.3">
      <c r="A4337" t="s">
        <v>259</v>
      </c>
      <c r="B4337" t="s">
        <v>7483</v>
      </c>
      <c r="C4337" t="s">
        <v>8</v>
      </c>
      <c r="D4337">
        <v>1.85</v>
      </c>
      <c r="E4337">
        <v>592</v>
      </c>
      <c r="F4337" t="str">
        <f>HYPERLINK("https://www.google.com/maps/search/?api=1&amp;query=24.72051339,46.79714379", "View Map")</f>
        <v>View Map</v>
      </c>
      <c r="G4337" s="2">
        <v>0.28464638314952828</v>
      </c>
    </row>
    <row r="4338" spans="1:7" x14ac:dyDescent="0.3">
      <c r="A4338" t="s">
        <v>7484</v>
      </c>
      <c r="B4338" t="s">
        <v>7485</v>
      </c>
      <c r="C4338" t="s">
        <v>255</v>
      </c>
      <c r="D4338">
        <v>1.85</v>
      </c>
      <c r="E4338">
        <v>592</v>
      </c>
      <c r="F4338" t="str">
        <f>HYPERLINK("https://www.google.com/maps/search/?api=1&amp;query=24.50403327,44.37559598", "View Map")</f>
        <v>View Map</v>
      </c>
      <c r="G4338" s="2">
        <v>0.33638515592811219</v>
      </c>
    </row>
    <row r="4339" spans="1:7" x14ac:dyDescent="0.3">
      <c r="A4339" t="s">
        <v>7486</v>
      </c>
      <c r="B4339" t="s">
        <v>7487</v>
      </c>
      <c r="C4339" t="s">
        <v>1112</v>
      </c>
      <c r="D4339">
        <v>1.85</v>
      </c>
      <c r="E4339">
        <v>592</v>
      </c>
      <c r="F4339" t="str">
        <f>HYPERLINK("https://www.google.com/maps/search/?api=1&amp;query=26.02372756,44.96091353", "View Map")</f>
        <v>View Map</v>
      </c>
      <c r="G4339" s="2">
        <v>0.43259538708606948</v>
      </c>
    </row>
    <row r="4340" spans="1:7" x14ac:dyDescent="0.3">
      <c r="A4340" t="s">
        <v>46</v>
      </c>
      <c r="B4340" t="s">
        <v>7488</v>
      </c>
      <c r="C4340" t="s">
        <v>8</v>
      </c>
      <c r="D4340">
        <v>1.849</v>
      </c>
      <c r="E4340">
        <v>592</v>
      </c>
      <c r="F4340" t="str">
        <f>HYPERLINK("https://www.google.com/maps/search/?api=1&amp;query=24.92334319,46.82037301", "View Map")</f>
        <v>View Map</v>
      </c>
    </row>
    <row r="4341" spans="1:7" x14ac:dyDescent="0.3">
      <c r="A4341" t="s">
        <v>7489</v>
      </c>
      <c r="B4341" t="s">
        <v>7490</v>
      </c>
      <c r="C4341" t="s">
        <v>738</v>
      </c>
      <c r="D4341">
        <v>1.849</v>
      </c>
      <c r="E4341">
        <v>592</v>
      </c>
      <c r="F4341" t="str">
        <f>HYPERLINK("https://www.google.com/maps/search/?api=1&amp;query=25.09845129,46.10171106", "View Map")</f>
        <v>View Map</v>
      </c>
      <c r="G4341" s="2">
        <v>0.84932398442328316</v>
      </c>
    </row>
    <row r="4342" spans="1:7" x14ac:dyDescent="0.3">
      <c r="A4342" t="s">
        <v>46</v>
      </c>
      <c r="B4342" t="s">
        <v>7491</v>
      </c>
      <c r="C4342" t="s">
        <v>8</v>
      </c>
      <c r="D4342">
        <v>1.849</v>
      </c>
      <c r="E4342">
        <v>592</v>
      </c>
      <c r="F4342" t="str">
        <f>HYPERLINK("https://www.google.com/maps/search/?api=1&amp;query=24.82549,46.62724", "View Map")</f>
        <v>View Map</v>
      </c>
    </row>
    <row r="4343" spans="1:7" x14ac:dyDescent="0.3">
      <c r="A4343" t="s">
        <v>7492</v>
      </c>
      <c r="B4343" t="s">
        <v>7493</v>
      </c>
      <c r="C4343" t="s">
        <v>30</v>
      </c>
      <c r="D4343">
        <v>1.8480000000000001</v>
      </c>
      <c r="E4343">
        <v>591</v>
      </c>
      <c r="F4343" t="str">
        <f>HYPERLINK("https://www.google.com/maps/search/?api=1&amp;query=24.15043842,47.31149558", "View Map")</f>
        <v>View Map</v>
      </c>
    </row>
    <row r="4344" spans="1:7" x14ac:dyDescent="0.3">
      <c r="A4344" t="s">
        <v>4014</v>
      </c>
      <c r="B4344" t="s">
        <v>7494</v>
      </c>
      <c r="C4344" t="s">
        <v>8</v>
      </c>
      <c r="D4344">
        <v>1.8480000000000001</v>
      </c>
      <c r="E4344">
        <v>591</v>
      </c>
      <c r="F4344" t="str">
        <f>HYPERLINK("https://www.google.com/maps/search/?api=1&amp;query=24.58763653,46.58601355", "View Map")</f>
        <v>View Map</v>
      </c>
    </row>
    <row r="4345" spans="1:7" x14ac:dyDescent="0.3">
      <c r="A4345" t="s">
        <v>5485</v>
      </c>
      <c r="B4345" t="s">
        <v>7495</v>
      </c>
      <c r="C4345" t="s">
        <v>214</v>
      </c>
      <c r="D4345">
        <v>1.847</v>
      </c>
      <c r="E4345">
        <v>591</v>
      </c>
      <c r="F4345" t="str">
        <f>HYPERLINK("https://www.google.com/maps/search/?api=1&amp;query=25.57334388,45.64161194", "View Map")</f>
        <v>View Map</v>
      </c>
      <c r="G4345" s="2">
        <v>0.7134259714142891</v>
      </c>
    </row>
    <row r="4346" spans="1:7" x14ac:dyDescent="0.3">
      <c r="A4346" t="s">
        <v>7496</v>
      </c>
      <c r="B4346" t="s">
        <v>7497</v>
      </c>
      <c r="C4346" t="s">
        <v>8</v>
      </c>
      <c r="D4346">
        <v>1.8460000000000001</v>
      </c>
      <c r="E4346">
        <v>591</v>
      </c>
      <c r="F4346" t="str">
        <f>HYPERLINK("https://www.google.com/maps/search/?api=1&amp;query=24.62239097,46.74077855", "View Map")</f>
        <v>View Map</v>
      </c>
    </row>
    <row r="4347" spans="1:7" x14ac:dyDescent="0.3">
      <c r="A4347" t="s">
        <v>7498</v>
      </c>
      <c r="B4347" t="s">
        <v>7499</v>
      </c>
      <c r="C4347" t="s">
        <v>241</v>
      </c>
      <c r="D4347">
        <v>1.8460000000000001</v>
      </c>
      <c r="E4347">
        <v>591</v>
      </c>
      <c r="F4347" t="str">
        <f>HYPERLINK("https://www.google.com/maps/search/?api=1&amp;query=20.52925643,44.6718017", "View Map")</f>
        <v>View Map</v>
      </c>
    </row>
    <row r="4348" spans="1:7" x14ac:dyDescent="0.3">
      <c r="A4348" t="s">
        <v>7500</v>
      </c>
      <c r="B4348" t="s">
        <v>7501</v>
      </c>
      <c r="C4348" t="s">
        <v>55</v>
      </c>
      <c r="D4348">
        <v>1.845</v>
      </c>
      <c r="E4348">
        <v>591</v>
      </c>
      <c r="F4348" t="str">
        <f>HYPERLINK("https://www.google.com/maps/search/?api=1&amp;query=24.75239549,46.5322028", "View Map")</f>
        <v>View Map</v>
      </c>
    </row>
    <row r="4349" spans="1:7" x14ac:dyDescent="0.3">
      <c r="A4349" t="s">
        <v>1219</v>
      </c>
      <c r="B4349" t="s">
        <v>7502</v>
      </c>
      <c r="C4349" t="s">
        <v>255</v>
      </c>
      <c r="D4349">
        <v>1.845</v>
      </c>
      <c r="E4349">
        <v>590</v>
      </c>
      <c r="F4349" t="str">
        <f>HYPERLINK("https://www.google.com/maps/search/?api=1&amp;query=25.07539509,44.70075041", "View Map")</f>
        <v>View Map</v>
      </c>
      <c r="G4349" s="2">
        <v>0.70160480582508822</v>
      </c>
    </row>
    <row r="4350" spans="1:7" x14ac:dyDescent="0.3">
      <c r="A4350" t="s">
        <v>932</v>
      </c>
      <c r="B4350" t="s">
        <v>7503</v>
      </c>
      <c r="C4350" t="s">
        <v>8</v>
      </c>
      <c r="D4350">
        <v>1.845</v>
      </c>
      <c r="E4350">
        <v>590</v>
      </c>
      <c r="F4350" t="str">
        <f>HYPERLINK("https://www.google.com/maps/search/?api=1&amp;query=24.74777031,46.83822862", "View Map")</f>
        <v>View Map</v>
      </c>
    </row>
    <row r="4351" spans="1:7" x14ac:dyDescent="0.3">
      <c r="A4351" t="s">
        <v>6863</v>
      </c>
      <c r="B4351" t="s">
        <v>7504</v>
      </c>
      <c r="C4351" t="s">
        <v>255</v>
      </c>
      <c r="D4351">
        <v>1.845</v>
      </c>
      <c r="E4351">
        <v>591</v>
      </c>
      <c r="F4351" t="str">
        <f>HYPERLINK("https://www.google.com/maps/search/?api=1&amp;query=24.50972325,44.3747644", "View Map")</f>
        <v>View Map</v>
      </c>
    </row>
    <row r="4352" spans="1:7" x14ac:dyDescent="0.3">
      <c r="A4352" t="s">
        <v>7505</v>
      </c>
      <c r="B4352" t="s">
        <v>7506</v>
      </c>
      <c r="C4352" t="s">
        <v>1112</v>
      </c>
      <c r="D4352">
        <v>1.845</v>
      </c>
      <c r="E4352">
        <v>590</v>
      </c>
      <c r="F4352" t="str">
        <f>HYPERLINK("https://www.google.com/maps/search/?api=1&amp;query=26.1473412,44.91178461", "View Map")</f>
        <v>View Map</v>
      </c>
      <c r="G4352" s="2">
        <v>0.67757241562474557</v>
      </c>
    </row>
    <row r="4353" spans="1:7" x14ac:dyDescent="0.3">
      <c r="A4353" t="s">
        <v>52</v>
      </c>
      <c r="B4353" t="s">
        <v>7507</v>
      </c>
      <c r="C4353" t="s">
        <v>8</v>
      </c>
      <c r="D4353">
        <v>1.845</v>
      </c>
      <c r="E4353">
        <v>590</v>
      </c>
      <c r="F4353" t="str">
        <f>HYPERLINK("https://www.google.com/maps/search/?api=1&amp;query=24.71499473,46.67692544", "View Map")</f>
        <v>View Map</v>
      </c>
    </row>
    <row r="4354" spans="1:7" x14ac:dyDescent="0.3">
      <c r="A4354" t="s">
        <v>1273</v>
      </c>
      <c r="B4354" t="s">
        <v>7508</v>
      </c>
      <c r="C4354" t="s">
        <v>241</v>
      </c>
      <c r="D4354">
        <v>1.8440000000000001</v>
      </c>
      <c r="E4354">
        <v>590</v>
      </c>
      <c r="F4354" t="str">
        <f>HYPERLINK("https://www.google.com/maps/search/?api=1&amp;query=20.4503241,44.8405842", "View Map")</f>
        <v>View Map</v>
      </c>
    </row>
    <row r="4355" spans="1:7" x14ac:dyDescent="0.3">
      <c r="A4355" t="s">
        <v>479</v>
      </c>
      <c r="B4355" t="s">
        <v>7509</v>
      </c>
      <c r="C4355" t="s">
        <v>738</v>
      </c>
      <c r="D4355">
        <v>1.8440000000000001</v>
      </c>
      <c r="E4355">
        <v>590</v>
      </c>
      <c r="F4355" t="str">
        <f>HYPERLINK("https://www.google.com/maps/search/?api=1&amp;query=25.17941254,46.31704628", "View Map")</f>
        <v>View Map</v>
      </c>
      <c r="G4355" s="2">
        <v>0.42256884435275299</v>
      </c>
    </row>
    <row r="4356" spans="1:7" x14ac:dyDescent="0.3">
      <c r="A4356" t="s">
        <v>7510</v>
      </c>
      <c r="B4356" t="s">
        <v>7511</v>
      </c>
      <c r="C4356" t="s">
        <v>364</v>
      </c>
      <c r="D4356">
        <v>1.843</v>
      </c>
      <c r="E4356">
        <v>590</v>
      </c>
      <c r="F4356" t="str">
        <f>HYPERLINK("https://www.google.com/maps/search/?api=1&amp;query=25.17511556,45.80038916", "View Map")</f>
        <v>View Map</v>
      </c>
    </row>
    <row r="4357" spans="1:7" x14ac:dyDescent="0.3">
      <c r="A4357" t="s">
        <v>7512</v>
      </c>
      <c r="B4357" t="s">
        <v>7513</v>
      </c>
      <c r="C4357" t="s">
        <v>8</v>
      </c>
      <c r="D4357">
        <v>1.843</v>
      </c>
      <c r="E4357">
        <v>590</v>
      </c>
      <c r="F4357" t="str">
        <f>HYPERLINK("https://www.google.com/maps/search/?api=1&amp;query=24.73343771,46.81230815", "View Map")</f>
        <v>View Map</v>
      </c>
    </row>
    <row r="4358" spans="1:7" x14ac:dyDescent="0.3">
      <c r="A4358" t="s">
        <v>7514</v>
      </c>
      <c r="B4358" t="s">
        <v>7515</v>
      </c>
      <c r="C4358" t="s">
        <v>8</v>
      </c>
      <c r="D4358">
        <v>1.843</v>
      </c>
      <c r="E4358">
        <v>590</v>
      </c>
      <c r="F4358" t="str">
        <f>HYPERLINK("https://www.google.com/maps/search/?api=1&amp;query=24.69909441,46.82676965", "View Map")</f>
        <v>View Map</v>
      </c>
    </row>
    <row r="4359" spans="1:7" x14ac:dyDescent="0.3">
      <c r="A4359" t="s">
        <v>7516</v>
      </c>
      <c r="B4359" t="s">
        <v>7517</v>
      </c>
      <c r="C4359" t="s">
        <v>8</v>
      </c>
      <c r="D4359">
        <v>1.8420000000000001</v>
      </c>
      <c r="E4359">
        <v>590</v>
      </c>
      <c r="F4359" t="str">
        <f>HYPERLINK("https://www.google.com/maps/search/?api=1&amp;query=24.60962188,46.64449755", "View Map")</f>
        <v>View Map</v>
      </c>
    </row>
    <row r="4360" spans="1:7" x14ac:dyDescent="0.3">
      <c r="A4360" t="s">
        <v>46</v>
      </c>
      <c r="B4360" t="s">
        <v>7518</v>
      </c>
      <c r="C4360" t="s">
        <v>8</v>
      </c>
      <c r="D4360">
        <v>1.8420000000000001</v>
      </c>
      <c r="E4360">
        <v>590</v>
      </c>
      <c r="F4360" t="str">
        <f>HYPERLINK("https://www.google.com/maps/search/?api=1&amp;query=24.88801077,46.63703612", "View Map")</f>
        <v>View Map</v>
      </c>
    </row>
    <row r="4361" spans="1:7" x14ac:dyDescent="0.3">
      <c r="A4361" t="s">
        <v>7519</v>
      </c>
      <c r="B4361" t="s">
        <v>7520</v>
      </c>
      <c r="C4361" t="s">
        <v>214</v>
      </c>
      <c r="D4361">
        <v>1.841</v>
      </c>
      <c r="E4361">
        <v>589</v>
      </c>
      <c r="F4361" t="str">
        <f>HYPERLINK("https://www.google.com/maps/search/?api=1&amp;query=25.69391774,45.88508463", "View Map")</f>
        <v>View Map</v>
      </c>
      <c r="G4361" s="2">
        <v>0.4967788273675221</v>
      </c>
    </row>
    <row r="4362" spans="1:7" x14ac:dyDescent="0.3">
      <c r="A4362" t="s">
        <v>3735</v>
      </c>
      <c r="B4362" t="s">
        <v>7521</v>
      </c>
      <c r="C4362" t="s">
        <v>255</v>
      </c>
      <c r="D4362">
        <v>1.841</v>
      </c>
      <c r="E4362">
        <v>589</v>
      </c>
      <c r="F4362" t="str">
        <f>HYPERLINK("https://www.google.com/maps/search/?api=1&amp;query=25.38489026,44.46240998", "View Map")</f>
        <v>View Map</v>
      </c>
      <c r="G4362" s="2">
        <v>0.63137027488230157</v>
      </c>
    </row>
    <row r="4363" spans="1:7" x14ac:dyDescent="0.3">
      <c r="A4363" t="s">
        <v>7522</v>
      </c>
      <c r="B4363" t="s">
        <v>7523</v>
      </c>
      <c r="C4363" t="s">
        <v>30</v>
      </c>
      <c r="D4363">
        <v>1.841</v>
      </c>
      <c r="E4363">
        <v>589</v>
      </c>
      <c r="F4363" t="str">
        <f>HYPERLINK("https://www.google.com/maps/search/?api=1&amp;query=23.99090964,47.33743806", "View Map")</f>
        <v>View Map</v>
      </c>
      <c r="G4363" s="2">
        <v>0.34753705254843731</v>
      </c>
    </row>
    <row r="4364" spans="1:7" x14ac:dyDescent="0.3">
      <c r="A4364" t="s">
        <v>7524</v>
      </c>
      <c r="B4364" t="s">
        <v>7525</v>
      </c>
      <c r="C4364" t="s">
        <v>8</v>
      </c>
      <c r="D4364">
        <v>1.841</v>
      </c>
      <c r="E4364">
        <v>589</v>
      </c>
      <c r="F4364" t="str">
        <f>HYPERLINK("https://www.google.com/maps/search/?api=1&amp;query=24.73463634,46.77801906", "View Map")</f>
        <v>View Map</v>
      </c>
      <c r="G4364" s="2">
        <v>0.60780718911029097</v>
      </c>
    </row>
    <row r="4365" spans="1:7" x14ac:dyDescent="0.3">
      <c r="A4365" t="s">
        <v>7526</v>
      </c>
      <c r="B4365" t="s">
        <v>7527</v>
      </c>
      <c r="C4365" t="s">
        <v>8</v>
      </c>
      <c r="D4365">
        <v>1.841</v>
      </c>
      <c r="E4365">
        <v>589</v>
      </c>
      <c r="F4365" t="str">
        <f>HYPERLINK("https://www.google.com/maps/search/?api=1&amp;query=24.71516667,46.68078879", "View Map")</f>
        <v>View Map</v>
      </c>
    </row>
    <row r="4366" spans="1:7" x14ac:dyDescent="0.3">
      <c r="A4366" t="s">
        <v>7528</v>
      </c>
      <c r="B4366" t="s">
        <v>7529</v>
      </c>
      <c r="C4366" t="s">
        <v>21</v>
      </c>
      <c r="D4366">
        <v>1.84</v>
      </c>
      <c r="E4366">
        <v>589</v>
      </c>
      <c r="F4366" t="str">
        <f>HYPERLINK("https://www.google.com/maps/search/?api=1&amp;query=26.30136161,44.80806519", "View Map")</f>
        <v>View Map</v>
      </c>
      <c r="G4366" s="2">
        <v>0.47177935692575779</v>
      </c>
    </row>
    <row r="4367" spans="1:7" x14ac:dyDescent="0.3">
      <c r="A4367" t="s">
        <v>275</v>
      </c>
      <c r="B4367" t="s">
        <v>7530</v>
      </c>
      <c r="C4367" t="s">
        <v>8</v>
      </c>
      <c r="D4367">
        <v>1.839</v>
      </c>
      <c r="E4367">
        <v>589</v>
      </c>
      <c r="F4367" t="str">
        <f>HYPERLINK("https://www.google.com/maps/search/?api=1&amp;query=24.76762151,46.73791755", "View Map")</f>
        <v>View Map</v>
      </c>
      <c r="G4367" s="2">
        <v>0.33550537494049648</v>
      </c>
    </row>
    <row r="4368" spans="1:7" x14ac:dyDescent="0.3">
      <c r="A4368" t="s">
        <v>7531</v>
      </c>
      <c r="B4368" t="s">
        <v>7532</v>
      </c>
      <c r="C4368" t="s">
        <v>393</v>
      </c>
      <c r="D4368">
        <v>1.839</v>
      </c>
      <c r="E4368">
        <v>588</v>
      </c>
      <c r="F4368" t="str">
        <f>HYPERLINK("https://www.google.com/maps/search/?api=1&amp;query=22.81362301,45.41484123", "View Map")</f>
        <v>View Map</v>
      </c>
      <c r="G4368" s="2">
        <v>0.6172097095297514</v>
      </c>
    </row>
    <row r="4369" spans="1:7" x14ac:dyDescent="0.3">
      <c r="A4369" t="s">
        <v>7533</v>
      </c>
      <c r="B4369" t="s">
        <v>7534</v>
      </c>
      <c r="C4369" t="s">
        <v>214</v>
      </c>
      <c r="D4369">
        <v>1.8380000000000001</v>
      </c>
      <c r="E4369">
        <v>588</v>
      </c>
      <c r="F4369" t="str">
        <f>HYPERLINK("https://www.google.com/maps/search/?api=1&amp;query=25.67305151,45.45895749", "View Map")</f>
        <v>View Map</v>
      </c>
      <c r="G4369" s="2">
        <v>0.49400390354959689</v>
      </c>
    </row>
    <row r="4370" spans="1:7" x14ac:dyDescent="0.3">
      <c r="A4370" t="s">
        <v>7535</v>
      </c>
      <c r="B4370" t="s">
        <v>7536</v>
      </c>
      <c r="C4370" t="s">
        <v>8</v>
      </c>
      <c r="D4370">
        <v>1.8380000000000001</v>
      </c>
      <c r="E4370">
        <v>588</v>
      </c>
      <c r="F4370" t="str">
        <f>HYPERLINK("https://www.google.com/maps/search/?api=1&amp;query=24.59827896,46.80672086", "View Map")</f>
        <v>View Map</v>
      </c>
    </row>
    <row r="4371" spans="1:7" x14ac:dyDescent="0.3">
      <c r="A4371" t="s">
        <v>7537</v>
      </c>
      <c r="B4371" t="s">
        <v>7538</v>
      </c>
      <c r="C4371" t="s">
        <v>8</v>
      </c>
      <c r="D4371">
        <v>1.837</v>
      </c>
      <c r="E4371">
        <v>588</v>
      </c>
      <c r="F4371" t="str">
        <f>HYPERLINK("https://www.google.com/maps/search/?api=1&amp;query=24.71166402,46.77993013", "View Map")</f>
        <v>View Map</v>
      </c>
    </row>
    <row r="4372" spans="1:7" x14ac:dyDescent="0.3">
      <c r="A4372" t="s">
        <v>7539</v>
      </c>
      <c r="B4372" t="s">
        <v>7540</v>
      </c>
      <c r="C4372" t="s">
        <v>255</v>
      </c>
      <c r="D4372">
        <v>1.837</v>
      </c>
      <c r="E4372">
        <v>588</v>
      </c>
      <c r="F4372" t="str">
        <f>HYPERLINK("https://www.google.com/maps/search/?api=1&amp;query=24.45646052,44.70920896", "View Map")</f>
        <v>View Map</v>
      </c>
      <c r="G4372" s="2">
        <v>0.39138181976217701</v>
      </c>
    </row>
    <row r="4373" spans="1:7" x14ac:dyDescent="0.3">
      <c r="A4373" t="s">
        <v>7541</v>
      </c>
      <c r="B4373" t="s">
        <v>7542</v>
      </c>
      <c r="C4373" t="s">
        <v>214</v>
      </c>
      <c r="D4373">
        <v>1.8360000000000001</v>
      </c>
      <c r="E4373">
        <v>588</v>
      </c>
      <c r="F4373" t="str">
        <f>HYPERLINK("https://www.google.com/maps/search/?api=1&amp;query=25.67345744,45.45611219", "View Map")</f>
        <v>View Map</v>
      </c>
      <c r="G4373" s="2">
        <v>0.6843011143697143</v>
      </c>
    </row>
    <row r="4374" spans="1:7" x14ac:dyDescent="0.3">
      <c r="A4374" t="s">
        <v>7543</v>
      </c>
      <c r="B4374" t="s">
        <v>7544</v>
      </c>
      <c r="C4374" t="s">
        <v>8</v>
      </c>
      <c r="D4374">
        <v>1.8360000000000001</v>
      </c>
      <c r="E4374">
        <v>588</v>
      </c>
      <c r="F4374" t="str">
        <f>HYPERLINK("https://www.google.com/maps/search/?api=1&amp;query=24.55335453,46.86842219", "View Map")</f>
        <v>View Map</v>
      </c>
    </row>
    <row r="4375" spans="1:7" x14ac:dyDescent="0.3">
      <c r="A4375" t="s">
        <v>7545</v>
      </c>
      <c r="B4375" t="s">
        <v>7546</v>
      </c>
      <c r="C4375" t="s">
        <v>8</v>
      </c>
      <c r="D4375">
        <v>1.8340000000000001</v>
      </c>
      <c r="E4375">
        <v>587</v>
      </c>
      <c r="F4375" t="str">
        <f>HYPERLINK("https://www.google.com/maps/search/?api=1&amp;query=24.74331575,46.77019181", "View Map")</f>
        <v>View Map</v>
      </c>
    </row>
    <row r="4376" spans="1:7" x14ac:dyDescent="0.3">
      <c r="A4376" t="s">
        <v>7547</v>
      </c>
      <c r="B4376" t="s">
        <v>7548</v>
      </c>
      <c r="C4376" t="s">
        <v>291</v>
      </c>
      <c r="D4376">
        <v>1.8340000000000001</v>
      </c>
      <c r="E4376">
        <v>587</v>
      </c>
      <c r="F4376" t="str">
        <f>HYPERLINK("https://www.google.com/maps/search/?api=1&amp;query=23.764479,45.08108117", "View Map")</f>
        <v>View Map</v>
      </c>
      <c r="G4376" s="2">
        <v>0.67540460740928909</v>
      </c>
    </row>
    <row r="4377" spans="1:7" x14ac:dyDescent="0.3">
      <c r="A4377" t="s">
        <v>7549</v>
      </c>
      <c r="B4377" t="s">
        <v>7550</v>
      </c>
      <c r="C4377" t="s">
        <v>8</v>
      </c>
      <c r="D4377">
        <v>1.8340000000000001</v>
      </c>
      <c r="E4377">
        <v>587</v>
      </c>
      <c r="F4377" t="str">
        <f>HYPERLINK("https://www.google.com/maps/search/?api=1&amp;query=24.58181362,46.60334269", "View Map")</f>
        <v>View Map</v>
      </c>
    </row>
    <row r="4378" spans="1:7" x14ac:dyDescent="0.3">
      <c r="A4378" t="s">
        <v>7551</v>
      </c>
      <c r="B4378" t="s">
        <v>7552</v>
      </c>
      <c r="C4378" t="s">
        <v>8</v>
      </c>
      <c r="D4378">
        <v>1.8340000000000001</v>
      </c>
      <c r="E4378">
        <v>587</v>
      </c>
      <c r="F4378" t="str">
        <f>HYPERLINK("https://www.google.com/maps/search/?api=1&amp;query=24.57364803,46.64415569", "View Map")</f>
        <v>View Map</v>
      </c>
    </row>
    <row r="4379" spans="1:7" x14ac:dyDescent="0.3">
      <c r="A4379" t="s">
        <v>7553</v>
      </c>
      <c r="B4379" t="s">
        <v>7554</v>
      </c>
      <c r="C4379" t="s">
        <v>214</v>
      </c>
      <c r="D4379">
        <v>1.8340000000000001</v>
      </c>
      <c r="E4379">
        <v>587</v>
      </c>
      <c r="F4379" t="str">
        <f>HYPERLINK("https://www.google.com/maps/search/?api=1&amp;query=25.70010917,45.87852906", "View Map")</f>
        <v>View Map</v>
      </c>
    </row>
    <row r="4380" spans="1:7" x14ac:dyDescent="0.3">
      <c r="A4380" t="s">
        <v>4220</v>
      </c>
      <c r="B4380" t="s">
        <v>7555</v>
      </c>
      <c r="C4380" t="s">
        <v>214</v>
      </c>
      <c r="D4380">
        <v>1.833</v>
      </c>
      <c r="E4380">
        <v>587</v>
      </c>
      <c r="F4380" t="str">
        <f>HYPERLINK("https://www.google.com/maps/search/?api=1&amp;query=25.69066785,45.88582793", "View Map")</f>
        <v>View Map</v>
      </c>
      <c r="G4380" s="2">
        <v>0.60435019948118018</v>
      </c>
    </row>
    <row r="4381" spans="1:7" x14ac:dyDescent="0.3">
      <c r="A4381" t="s">
        <v>46</v>
      </c>
      <c r="B4381" t="s">
        <v>7556</v>
      </c>
      <c r="C4381" t="s">
        <v>8</v>
      </c>
      <c r="D4381">
        <v>1.833</v>
      </c>
      <c r="E4381">
        <v>587</v>
      </c>
      <c r="F4381" t="str">
        <f>HYPERLINK("https://www.google.com/maps/search/?api=1&amp;query=24.6058,46.5139", "View Map")</f>
        <v>View Map</v>
      </c>
    </row>
    <row r="4382" spans="1:7" x14ac:dyDescent="0.3">
      <c r="A4382" t="s">
        <v>7557</v>
      </c>
      <c r="B4382" t="s">
        <v>7558</v>
      </c>
      <c r="C4382" t="s">
        <v>8</v>
      </c>
      <c r="D4382">
        <v>1.8320000000000001</v>
      </c>
      <c r="E4382">
        <v>586</v>
      </c>
      <c r="F4382" t="str">
        <f>HYPERLINK("https://www.google.com/maps/search/?api=1&amp;query=24.52476539,46.70703789", "View Map")</f>
        <v>View Map</v>
      </c>
    </row>
    <row r="4383" spans="1:7" x14ac:dyDescent="0.3">
      <c r="A4383" t="s">
        <v>7559</v>
      </c>
      <c r="B4383" t="s">
        <v>7560</v>
      </c>
      <c r="C4383" t="s">
        <v>8</v>
      </c>
      <c r="D4383">
        <v>1.8320000000000001</v>
      </c>
      <c r="E4383">
        <v>586</v>
      </c>
      <c r="F4383" t="str">
        <f>HYPERLINK("https://www.google.com/maps/search/?api=1&amp;query=24.71854783,46.81383625", "View Map")</f>
        <v>View Map</v>
      </c>
    </row>
    <row r="4384" spans="1:7" x14ac:dyDescent="0.3">
      <c r="A4384" t="s">
        <v>7561</v>
      </c>
      <c r="B4384" t="s">
        <v>7562</v>
      </c>
      <c r="C4384" t="s">
        <v>255</v>
      </c>
      <c r="D4384">
        <v>1.8320000000000001</v>
      </c>
      <c r="E4384">
        <v>586</v>
      </c>
      <c r="F4384" t="str">
        <f>HYPERLINK("https://www.google.com/maps/search/?api=1&amp;query=25.33984738,44.51033243", "View Map")</f>
        <v>View Map</v>
      </c>
      <c r="G4384" s="2">
        <v>0.47932577005406191</v>
      </c>
    </row>
    <row r="4385" spans="1:7" x14ac:dyDescent="0.3">
      <c r="A4385" t="s">
        <v>840</v>
      </c>
      <c r="B4385" t="s">
        <v>7563</v>
      </c>
      <c r="C4385" t="s">
        <v>8</v>
      </c>
      <c r="D4385">
        <v>1.8320000000000001</v>
      </c>
      <c r="E4385">
        <v>586</v>
      </c>
      <c r="F4385" t="str">
        <f>HYPERLINK("https://www.google.com/maps/search/?api=1&amp;query=24.56528104,46.63626444", "View Map")</f>
        <v>View Map</v>
      </c>
    </row>
    <row r="4386" spans="1:7" x14ac:dyDescent="0.3">
      <c r="A4386" t="s">
        <v>7564</v>
      </c>
      <c r="B4386" t="s">
        <v>7565</v>
      </c>
      <c r="C4386" t="s">
        <v>241</v>
      </c>
      <c r="D4386">
        <v>1.831</v>
      </c>
      <c r="E4386">
        <v>586</v>
      </c>
      <c r="F4386" t="str">
        <f>HYPERLINK("https://www.google.com/maps/search/?api=1&amp;query=20.44626217,44.85257081", "View Map")</f>
        <v>View Map</v>
      </c>
    </row>
    <row r="4387" spans="1:7" x14ac:dyDescent="0.3">
      <c r="A4387" t="s">
        <v>7566</v>
      </c>
      <c r="B4387" t="s">
        <v>7567</v>
      </c>
      <c r="C4387" t="s">
        <v>214</v>
      </c>
      <c r="D4387">
        <v>1.831</v>
      </c>
      <c r="E4387">
        <v>586</v>
      </c>
      <c r="F4387" t="str">
        <f>HYPERLINK("https://www.google.com/maps/search/?api=1&amp;query=25.90771261,45.36668735", "View Map")</f>
        <v>View Map</v>
      </c>
      <c r="G4387" s="2">
        <v>0.39895615465778811</v>
      </c>
    </row>
    <row r="4388" spans="1:7" x14ac:dyDescent="0.3">
      <c r="A4388" t="s">
        <v>678</v>
      </c>
      <c r="B4388" t="s">
        <v>7568</v>
      </c>
      <c r="C4388" t="s">
        <v>21</v>
      </c>
      <c r="D4388">
        <v>1.83</v>
      </c>
      <c r="E4388">
        <v>586</v>
      </c>
      <c r="F4388" t="str">
        <f>HYPERLINK("https://www.google.com/maps/search/?api=1&amp;query=26.27988985,44.81217049", "View Map")</f>
        <v>View Map</v>
      </c>
      <c r="G4388" s="2">
        <v>0.44118157453290391</v>
      </c>
    </row>
    <row r="4389" spans="1:7" x14ac:dyDescent="0.3">
      <c r="A4389" t="s">
        <v>146</v>
      </c>
      <c r="B4389" t="s">
        <v>7569</v>
      </c>
      <c r="C4389" t="s">
        <v>8</v>
      </c>
      <c r="D4389">
        <v>1.83</v>
      </c>
      <c r="E4389">
        <v>586</v>
      </c>
      <c r="F4389" t="str">
        <f>HYPERLINK("https://www.google.com/maps/search/?api=1&amp;query=24.55363955,46.6674507", "View Map")</f>
        <v>View Map</v>
      </c>
    </row>
    <row r="4390" spans="1:7" x14ac:dyDescent="0.3">
      <c r="A4390" t="s">
        <v>46</v>
      </c>
      <c r="B4390" t="s">
        <v>7570</v>
      </c>
      <c r="C4390" t="s">
        <v>8</v>
      </c>
      <c r="D4390">
        <v>1.829</v>
      </c>
      <c r="E4390">
        <v>585</v>
      </c>
      <c r="F4390" t="str">
        <f>HYPERLINK("https://www.google.com/maps/search/?api=1&amp;query=24.60823321,46.47230012", "View Map")</f>
        <v>View Map</v>
      </c>
    </row>
    <row r="4391" spans="1:7" x14ac:dyDescent="0.3">
      <c r="A4391" t="s">
        <v>1788</v>
      </c>
      <c r="B4391" t="s">
        <v>7571</v>
      </c>
      <c r="C4391" t="s">
        <v>291</v>
      </c>
      <c r="D4391">
        <v>1.8280000000000001</v>
      </c>
      <c r="E4391">
        <v>585</v>
      </c>
      <c r="F4391" t="str">
        <f>HYPERLINK("https://www.google.com/maps/search/?api=1&amp;query=24.08258881,45.3255726", "View Map")</f>
        <v>View Map</v>
      </c>
      <c r="G4391" s="2">
        <v>0.50501371117774041</v>
      </c>
    </row>
    <row r="4392" spans="1:7" x14ac:dyDescent="0.3">
      <c r="A4392" t="s">
        <v>7572</v>
      </c>
      <c r="B4392" t="s">
        <v>7573</v>
      </c>
      <c r="C4392" t="s">
        <v>393</v>
      </c>
      <c r="D4392">
        <v>1.8280000000000001</v>
      </c>
      <c r="E4392">
        <v>585</v>
      </c>
      <c r="F4392" t="str">
        <f>HYPERLINK("https://www.google.com/maps/search/?api=1&amp;query=22.48379003,44.91095822", "View Map")</f>
        <v>View Map</v>
      </c>
      <c r="G4392" s="2">
        <v>0.74755768575377857</v>
      </c>
    </row>
    <row r="4393" spans="1:7" x14ac:dyDescent="0.3">
      <c r="A4393" t="s">
        <v>46</v>
      </c>
      <c r="B4393" t="s">
        <v>7574</v>
      </c>
      <c r="C4393" t="s">
        <v>8</v>
      </c>
      <c r="D4393">
        <v>1.827</v>
      </c>
      <c r="E4393">
        <v>585</v>
      </c>
      <c r="F4393" t="str">
        <f>HYPERLINK("https://www.google.com/maps/search/?api=1&amp;query=24.84077763,46.81525419", "View Map")</f>
        <v>View Map</v>
      </c>
    </row>
    <row r="4394" spans="1:7" x14ac:dyDescent="0.3">
      <c r="A4394" t="s">
        <v>289</v>
      </c>
      <c r="B4394" t="s">
        <v>7575</v>
      </c>
      <c r="C4394" t="s">
        <v>291</v>
      </c>
      <c r="D4394">
        <v>1.827</v>
      </c>
      <c r="E4394">
        <v>585</v>
      </c>
      <c r="F4394" t="str">
        <f>HYPERLINK("https://www.google.com/maps/search/?api=1&amp;query=24.08869157,45.31015267", "View Map")</f>
        <v>View Map</v>
      </c>
      <c r="G4394" s="2">
        <v>0.55155043975662554</v>
      </c>
    </row>
    <row r="4395" spans="1:7" x14ac:dyDescent="0.3">
      <c r="A4395" t="s">
        <v>7576</v>
      </c>
      <c r="B4395" t="s">
        <v>7577</v>
      </c>
      <c r="C4395" t="s">
        <v>21</v>
      </c>
      <c r="D4395">
        <v>1.827</v>
      </c>
      <c r="E4395">
        <v>585</v>
      </c>
      <c r="F4395" t="str">
        <f>HYPERLINK("https://www.google.com/maps/search/?api=1&amp;query=26.28038118,44.79490487", "View Map")</f>
        <v>View Map</v>
      </c>
      <c r="G4395" s="2">
        <v>0.4668000737094099</v>
      </c>
    </row>
    <row r="4396" spans="1:7" x14ac:dyDescent="0.3">
      <c r="A4396" t="s">
        <v>958</v>
      </c>
      <c r="B4396" t="s">
        <v>7578</v>
      </c>
      <c r="C4396" t="s">
        <v>8</v>
      </c>
      <c r="D4396">
        <v>1.8260000000000001</v>
      </c>
      <c r="E4396">
        <v>584</v>
      </c>
      <c r="F4396" t="str">
        <f>HYPERLINK("https://www.google.com/maps/search/?api=1&amp;query=24.54831987,46.71781307", "View Map")</f>
        <v>View Map</v>
      </c>
    </row>
    <row r="4397" spans="1:7" x14ac:dyDescent="0.3">
      <c r="A4397" t="s">
        <v>7579</v>
      </c>
      <c r="B4397" t="s">
        <v>7580</v>
      </c>
      <c r="C4397" t="s">
        <v>738</v>
      </c>
      <c r="D4397">
        <v>1.825</v>
      </c>
      <c r="E4397">
        <v>584</v>
      </c>
      <c r="F4397" t="str">
        <f>HYPERLINK("https://www.google.com/maps/search/?api=1&amp;query=25.16525364,46.32879618", "View Map")</f>
        <v>View Map</v>
      </c>
      <c r="G4397" s="2">
        <v>0.48586735624848731</v>
      </c>
    </row>
    <row r="4398" spans="1:7" x14ac:dyDescent="0.3">
      <c r="A4398" t="s">
        <v>464</v>
      </c>
      <c r="B4398" t="s">
        <v>7581</v>
      </c>
      <c r="C4398" t="s">
        <v>466</v>
      </c>
      <c r="D4398">
        <v>1.825</v>
      </c>
      <c r="E4398">
        <v>584</v>
      </c>
      <c r="F4398" t="str">
        <f>HYPERLINK("https://www.google.com/maps/search/?api=1&amp;query=24.66996188,45.91387333", "View Map")</f>
        <v>View Map</v>
      </c>
    </row>
    <row r="4399" spans="1:7" x14ac:dyDescent="0.3">
      <c r="A4399" t="s">
        <v>46</v>
      </c>
      <c r="B4399" t="s">
        <v>7582</v>
      </c>
      <c r="C4399" t="s">
        <v>8</v>
      </c>
      <c r="D4399">
        <v>1.825</v>
      </c>
      <c r="E4399">
        <v>584</v>
      </c>
      <c r="F4399" t="str">
        <f>HYPERLINK("https://www.google.com/maps/search/?api=1&amp;query=24.62517551,46.53833924", "View Map")</f>
        <v>View Map</v>
      </c>
    </row>
    <row r="4400" spans="1:7" x14ac:dyDescent="0.3">
      <c r="A4400" t="s">
        <v>7583</v>
      </c>
      <c r="B4400" t="s">
        <v>7584</v>
      </c>
      <c r="C4400" t="s">
        <v>8</v>
      </c>
      <c r="D4400">
        <v>1.8240000000000001</v>
      </c>
      <c r="E4400">
        <v>584</v>
      </c>
      <c r="F4400" t="str">
        <f>HYPERLINK("https://www.google.com/maps/search/?api=1&amp;query=24.61126672,46.71976765", "View Map")</f>
        <v>View Map</v>
      </c>
    </row>
    <row r="4401" spans="1:7" x14ac:dyDescent="0.3">
      <c r="A4401" t="s">
        <v>7585</v>
      </c>
      <c r="B4401" t="s">
        <v>7586</v>
      </c>
      <c r="C4401" t="s">
        <v>8</v>
      </c>
      <c r="D4401">
        <v>1.8240000000000001</v>
      </c>
      <c r="E4401">
        <v>584</v>
      </c>
      <c r="F4401" t="str">
        <f>HYPERLINK("https://www.google.com/maps/search/?api=1&amp;query=24.80691605,46.64255231", "View Map")</f>
        <v>View Map</v>
      </c>
    </row>
    <row r="4402" spans="1:7" x14ac:dyDescent="0.3">
      <c r="A4402" t="s">
        <v>7587</v>
      </c>
      <c r="B4402" t="s">
        <v>7588</v>
      </c>
      <c r="C4402" t="s">
        <v>8</v>
      </c>
      <c r="D4402">
        <v>1.8240000000000001</v>
      </c>
      <c r="E4402">
        <v>584</v>
      </c>
      <c r="F4402" t="str">
        <f>HYPERLINK("https://www.google.com/maps/search/?api=1&amp;query=24.70458709,46.82045029", "View Map")</f>
        <v>View Map</v>
      </c>
    </row>
    <row r="4403" spans="1:7" x14ac:dyDescent="0.3">
      <c r="A4403" t="s">
        <v>7589</v>
      </c>
      <c r="B4403" t="s">
        <v>7590</v>
      </c>
      <c r="C4403" t="s">
        <v>8</v>
      </c>
      <c r="D4403">
        <v>1.823</v>
      </c>
      <c r="E4403">
        <v>583</v>
      </c>
      <c r="F4403" t="str">
        <f>HYPERLINK("https://www.google.com/maps/search/?api=1&amp;query=24.58400131,46.57588952", "View Map")</f>
        <v>View Map</v>
      </c>
    </row>
    <row r="4404" spans="1:7" x14ac:dyDescent="0.3">
      <c r="A4404" t="s">
        <v>28</v>
      </c>
      <c r="B4404" t="s">
        <v>7591</v>
      </c>
      <c r="C4404" t="s">
        <v>30</v>
      </c>
      <c r="D4404">
        <v>1.823</v>
      </c>
      <c r="E4404">
        <v>583</v>
      </c>
      <c r="F4404" t="str">
        <f>HYPERLINK("https://www.google.com/maps/search/?api=1&amp;query=24.0945035,47.27503035", "View Map")</f>
        <v>View Map</v>
      </c>
    </row>
    <row r="4405" spans="1:7" x14ac:dyDescent="0.3">
      <c r="A4405" t="s">
        <v>7592</v>
      </c>
      <c r="B4405" t="s">
        <v>7593</v>
      </c>
      <c r="C4405" t="s">
        <v>8</v>
      </c>
      <c r="D4405">
        <v>1.823</v>
      </c>
      <c r="E4405">
        <v>583</v>
      </c>
      <c r="F4405" t="str">
        <f>HYPERLINK("https://www.google.com/maps/search/?api=1&amp;query=24.56263167,46.7726167", "View Map")</f>
        <v>View Map</v>
      </c>
    </row>
    <row r="4406" spans="1:7" x14ac:dyDescent="0.3">
      <c r="A4406" t="s">
        <v>7594</v>
      </c>
      <c r="B4406" t="s">
        <v>7595</v>
      </c>
      <c r="C4406" t="s">
        <v>8</v>
      </c>
      <c r="D4406">
        <v>1.823</v>
      </c>
      <c r="E4406">
        <v>583</v>
      </c>
      <c r="F4406" t="str">
        <f>HYPERLINK("https://www.google.com/maps/search/?api=1&amp;query=24.64047627,46.80225862", "View Map")</f>
        <v>View Map</v>
      </c>
      <c r="G4406" s="2">
        <v>0.36810805842906019</v>
      </c>
    </row>
    <row r="4407" spans="1:7" x14ac:dyDescent="0.3">
      <c r="A4407" t="s">
        <v>7596</v>
      </c>
      <c r="B4407" t="s">
        <v>7597</v>
      </c>
      <c r="C4407" t="s">
        <v>77</v>
      </c>
      <c r="D4407">
        <v>1.8220000000000001</v>
      </c>
      <c r="E4407">
        <v>583</v>
      </c>
      <c r="F4407" t="str">
        <f>HYPERLINK("https://www.google.com/maps/search/?api=1&amp;query=22.22274896,46.76939288", "View Map")</f>
        <v>View Map</v>
      </c>
      <c r="G4407" s="2">
        <v>0.81811848666105658</v>
      </c>
    </row>
    <row r="4408" spans="1:7" x14ac:dyDescent="0.3">
      <c r="A4408" t="s">
        <v>7598</v>
      </c>
      <c r="B4408" t="s">
        <v>7599</v>
      </c>
      <c r="C4408" t="s">
        <v>214</v>
      </c>
      <c r="D4408">
        <v>1.8220000000000001</v>
      </c>
      <c r="E4408">
        <v>583</v>
      </c>
      <c r="F4408" t="str">
        <f>HYPERLINK("https://www.google.com/maps/search/?api=1&amp;query=25.90981806,45.37935646", "View Map")</f>
        <v>View Map</v>
      </c>
      <c r="G4408" s="2">
        <v>0.3928575090124472</v>
      </c>
    </row>
    <row r="4409" spans="1:7" x14ac:dyDescent="0.3">
      <c r="A4409" t="s">
        <v>7600</v>
      </c>
      <c r="B4409" t="s">
        <v>7601</v>
      </c>
      <c r="C4409" t="s">
        <v>8</v>
      </c>
      <c r="D4409">
        <v>1.8220000000000001</v>
      </c>
      <c r="E4409">
        <v>583</v>
      </c>
      <c r="F4409" t="str">
        <f>HYPERLINK("https://www.google.com/maps/search/?api=1&amp;query=24.76200218,46.68089273", "View Map")</f>
        <v>View Map</v>
      </c>
    </row>
    <row r="4410" spans="1:7" x14ac:dyDescent="0.3">
      <c r="A4410" t="s">
        <v>459</v>
      </c>
      <c r="B4410" t="s">
        <v>7602</v>
      </c>
      <c r="C4410" t="s">
        <v>286</v>
      </c>
      <c r="D4410">
        <v>1.8220000000000001</v>
      </c>
      <c r="E4410">
        <v>583</v>
      </c>
      <c r="F4410" t="str">
        <f>HYPERLINK("https://www.google.com/maps/search/?api=1&amp;query=25.23727226,45.26997706", "View Map")</f>
        <v>View Map</v>
      </c>
    </row>
    <row r="4411" spans="1:7" x14ac:dyDescent="0.3">
      <c r="A4411" t="s">
        <v>2597</v>
      </c>
      <c r="B4411" t="s">
        <v>7603</v>
      </c>
      <c r="C4411" t="s">
        <v>291</v>
      </c>
      <c r="D4411">
        <v>1.8220000000000001</v>
      </c>
      <c r="E4411">
        <v>583</v>
      </c>
      <c r="F4411" t="str">
        <f>HYPERLINK("https://www.google.com/maps/search/?api=1&amp;query=23.78397548,44.78167713", "View Map")</f>
        <v>View Map</v>
      </c>
      <c r="G4411" s="2">
        <v>0.63909709438666396</v>
      </c>
    </row>
    <row r="4412" spans="1:7" x14ac:dyDescent="0.3">
      <c r="A4412" t="s">
        <v>7604</v>
      </c>
      <c r="B4412" t="s">
        <v>7605</v>
      </c>
      <c r="C4412" t="s">
        <v>393</v>
      </c>
      <c r="D4412">
        <v>1.8220000000000001</v>
      </c>
      <c r="E4412">
        <v>583</v>
      </c>
      <c r="F4412" t="str">
        <f>HYPERLINK("https://www.google.com/maps/search/?api=1&amp;query=23.54912626,45.51715621", "View Map")</f>
        <v>View Map</v>
      </c>
      <c r="G4412" s="2">
        <v>0.82601922003542216</v>
      </c>
    </row>
    <row r="4413" spans="1:7" x14ac:dyDescent="0.3">
      <c r="A4413" t="s">
        <v>2285</v>
      </c>
      <c r="B4413" t="s">
        <v>7606</v>
      </c>
      <c r="C4413" t="s">
        <v>8</v>
      </c>
      <c r="D4413">
        <v>1.8220000000000001</v>
      </c>
      <c r="E4413">
        <v>583</v>
      </c>
      <c r="F4413" t="str">
        <f>HYPERLINK("https://www.google.com/maps/search/?api=1&amp;query=24.74503079,46.77066792", "View Map")</f>
        <v>View Map</v>
      </c>
    </row>
    <row r="4414" spans="1:7" x14ac:dyDescent="0.3">
      <c r="A4414" t="s">
        <v>7607</v>
      </c>
      <c r="B4414" t="s">
        <v>7608</v>
      </c>
      <c r="C4414" t="s">
        <v>8</v>
      </c>
      <c r="D4414">
        <v>1.821</v>
      </c>
      <c r="E4414">
        <v>583</v>
      </c>
      <c r="F4414" t="str">
        <f>HYPERLINK("https://www.google.com/maps/search/?api=1&amp;query=24.6889969,46.81374669", "View Map")</f>
        <v>View Map</v>
      </c>
    </row>
    <row r="4415" spans="1:7" x14ac:dyDescent="0.3">
      <c r="A4415" t="s">
        <v>7609</v>
      </c>
      <c r="B4415" t="s">
        <v>7610</v>
      </c>
      <c r="C4415" t="s">
        <v>296</v>
      </c>
      <c r="D4415">
        <v>1.821</v>
      </c>
      <c r="E4415">
        <v>583</v>
      </c>
      <c r="F4415" t="str">
        <f>HYPERLINK("https://www.google.com/maps/search/?api=1&amp;query=24.13847835,46.31380971", "View Map")</f>
        <v>View Map</v>
      </c>
      <c r="G4415" s="2">
        <v>0.79088688781617567</v>
      </c>
    </row>
    <row r="4416" spans="1:7" x14ac:dyDescent="0.3">
      <c r="A4416" t="s">
        <v>7611</v>
      </c>
      <c r="B4416" t="s">
        <v>7612</v>
      </c>
      <c r="C4416" t="s">
        <v>77</v>
      </c>
      <c r="D4416">
        <v>1.821</v>
      </c>
      <c r="E4416">
        <v>583</v>
      </c>
      <c r="F4416" t="str">
        <f>HYPERLINK("https://www.google.com/maps/search/?api=1&amp;query=22.29076697,46.71336212", "View Map")</f>
        <v>View Map</v>
      </c>
    </row>
    <row r="4417" spans="1:7" x14ac:dyDescent="0.3">
      <c r="A4417" t="s">
        <v>7613</v>
      </c>
      <c r="B4417" t="s">
        <v>7614</v>
      </c>
      <c r="C4417" t="s">
        <v>214</v>
      </c>
      <c r="D4417">
        <v>1.821</v>
      </c>
      <c r="E4417">
        <v>583</v>
      </c>
      <c r="F4417" t="str">
        <f>HYPERLINK("https://www.google.com/maps/search/?api=1&amp;query=25.92662524,45.37010619", "View Map")</f>
        <v>View Map</v>
      </c>
      <c r="G4417" s="2">
        <v>0.83172783469273182</v>
      </c>
    </row>
    <row r="4418" spans="1:7" x14ac:dyDescent="0.3">
      <c r="A4418" t="s">
        <v>7615</v>
      </c>
      <c r="B4418" t="s">
        <v>7616</v>
      </c>
      <c r="C4418" t="s">
        <v>137</v>
      </c>
      <c r="D4418">
        <v>1.82</v>
      </c>
      <c r="E4418">
        <v>582</v>
      </c>
      <c r="F4418" t="str">
        <f>HYPERLINK("https://www.google.com/maps/search/?api=1&amp;query=23.43075733,46.78867726", "View Map")</f>
        <v>View Map</v>
      </c>
      <c r="G4418" s="2">
        <v>0.36131877579538219</v>
      </c>
    </row>
    <row r="4419" spans="1:7" x14ac:dyDescent="0.3">
      <c r="A4419" t="s">
        <v>7617</v>
      </c>
      <c r="B4419" t="s">
        <v>7618</v>
      </c>
      <c r="C4419" t="s">
        <v>8</v>
      </c>
      <c r="D4419">
        <v>1.82</v>
      </c>
      <c r="E4419">
        <v>582</v>
      </c>
      <c r="F4419" t="str">
        <f>HYPERLINK("https://www.google.com/maps/search/?api=1&amp;query=24.62647728,46.68203026", "View Map")</f>
        <v>View Map</v>
      </c>
    </row>
    <row r="4420" spans="1:7" x14ac:dyDescent="0.3">
      <c r="A4420" t="s">
        <v>242</v>
      </c>
      <c r="B4420" t="s">
        <v>7619</v>
      </c>
      <c r="C4420" t="s">
        <v>8</v>
      </c>
      <c r="D4420">
        <v>1.819</v>
      </c>
      <c r="E4420">
        <v>582</v>
      </c>
      <c r="F4420" t="str">
        <f>HYPERLINK("https://www.google.com/maps/search/?api=1&amp;query=24.76573903,46.79209436", "View Map")</f>
        <v>View Map</v>
      </c>
    </row>
    <row r="4421" spans="1:7" x14ac:dyDescent="0.3">
      <c r="A4421" t="s">
        <v>7620</v>
      </c>
      <c r="B4421" t="s">
        <v>7621</v>
      </c>
      <c r="C4421" t="s">
        <v>883</v>
      </c>
      <c r="D4421">
        <v>1.8180000000000001</v>
      </c>
      <c r="E4421">
        <v>582</v>
      </c>
      <c r="F4421" t="str">
        <f>HYPERLINK("https://www.google.com/maps/search/?api=1&amp;query=25.57046725,47.17434443", "View Map")</f>
        <v>View Map</v>
      </c>
      <c r="G4421" s="2">
        <v>0.6269589740658168</v>
      </c>
    </row>
    <row r="4422" spans="1:7" x14ac:dyDescent="0.3">
      <c r="A4422" t="s">
        <v>46</v>
      </c>
      <c r="B4422" t="s">
        <v>7622</v>
      </c>
      <c r="C4422" t="s">
        <v>8</v>
      </c>
      <c r="D4422">
        <v>1.8180000000000001</v>
      </c>
      <c r="E4422">
        <v>582</v>
      </c>
      <c r="F4422" t="str">
        <f>HYPERLINK("https://www.google.com/maps/search/?api=1&amp;query=24.8246734,46.58086967", "View Map")</f>
        <v>View Map</v>
      </c>
    </row>
    <row r="4423" spans="1:7" x14ac:dyDescent="0.3">
      <c r="A4423" t="s">
        <v>717</v>
      </c>
      <c r="B4423" t="s">
        <v>7623</v>
      </c>
      <c r="C4423" t="s">
        <v>255</v>
      </c>
      <c r="D4423">
        <v>1.8180000000000001</v>
      </c>
      <c r="E4423">
        <v>582</v>
      </c>
      <c r="F4423" t="str">
        <f>HYPERLINK("https://www.google.com/maps/search/?api=1&amp;query=24.54971815,44.40286216", "View Map")</f>
        <v>View Map</v>
      </c>
    </row>
    <row r="4424" spans="1:7" x14ac:dyDescent="0.3">
      <c r="A4424" t="s">
        <v>7624</v>
      </c>
      <c r="B4424" t="s">
        <v>7625</v>
      </c>
      <c r="C4424" t="s">
        <v>8</v>
      </c>
      <c r="D4424">
        <v>1.8180000000000001</v>
      </c>
      <c r="E4424">
        <v>582</v>
      </c>
      <c r="F4424" t="str">
        <f>HYPERLINK("https://www.google.com/maps/search/?api=1&amp;query=24.70077596,46.8495959", "View Map")</f>
        <v>View Map</v>
      </c>
    </row>
    <row r="4425" spans="1:7" x14ac:dyDescent="0.3">
      <c r="A4425" t="s">
        <v>46</v>
      </c>
      <c r="B4425" t="s">
        <v>7626</v>
      </c>
      <c r="C4425" t="s">
        <v>8</v>
      </c>
      <c r="D4425">
        <v>1.8169999999999999</v>
      </c>
      <c r="E4425">
        <v>581</v>
      </c>
      <c r="F4425" t="str">
        <f>HYPERLINK("https://www.google.com/maps/search/?api=1&amp;query=24.80967674,46.75223609", "View Map")</f>
        <v>View Map</v>
      </c>
    </row>
    <row r="4426" spans="1:7" x14ac:dyDescent="0.3">
      <c r="A4426" t="s">
        <v>46</v>
      </c>
      <c r="B4426" t="s">
        <v>7627</v>
      </c>
      <c r="C4426" t="s">
        <v>8</v>
      </c>
      <c r="D4426">
        <v>1.8169999999999999</v>
      </c>
      <c r="E4426">
        <v>581</v>
      </c>
      <c r="F4426" t="str">
        <f>HYPERLINK("https://www.google.com/maps/search/?api=1&amp;query=24.83805597,46.73961521", "View Map")</f>
        <v>View Map</v>
      </c>
    </row>
    <row r="4427" spans="1:7" x14ac:dyDescent="0.3">
      <c r="A4427" t="s">
        <v>7628</v>
      </c>
      <c r="B4427" t="s">
        <v>7629</v>
      </c>
      <c r="C4427" t="s">
        <v>21</v>
      </c>
      <c r="D4427">
        <v>1.8149999999999999</v>
      </c>
      <c r="E4427">
        <v>581</v>
      </c>
      <c r="F4427" t="str">
        <f>HYPERLINK("https://www.google.com/maps/search/?api=1&amp;query=26.31460834,44.7940335", "View Map")</f>
        <v>View Map</v>
      </c>
      <c r="G4427" s="2">
        <v>0.59953003468538191</v>
      </c>
    </row>
    <row r="4428" spans="1:7" x14ac:dyDescent="0.3">
      <c r="A4428" t="s">
        <v>46</v>
      </c>
      <c r="B4428" t="s">
        <v>7630</v>
      </c>
      <c r="C4428" t="s">
        <v>8</v>
      </c>
      <c r="D4428">
        <v>1.8149999999999999</v>
      </c>
      <c r="E4428">
        <v>581</v>
      </c>
      <c r="F4428" t="str">
        <f>HYPERLINK("https://www.google.com/maps/search/?api=1&amp;query=24.6628,46.5247", "View Map")</f>
        <v>View Map</v>
      </c>
    </row>
    <row r="4429" spans="1:7" x14ac:dyDescent="0.3">
      <c r="A4429" t="s">
        <v>2076</v>
      </c>
      <c r="B4429" t="s">
        <v>7631</v>
      </c>
      <c r="C4429" t="s">
        <v>8</v>
      </c>
      <c r="D4429">
        <v>1.8149999999999999</v>
      </c>
      <c r="E4429">
        <v>581</v>
      </c>
      <c r="F4429" t="str">
        <f>HYPERLINK("https://www.google.com/maps/search/?api=1&amp;query=24.57157111,46.69530164", "View Map")</f>
        <v>View Map</v>
      </c>
    </row>
    <row r="4430" spans="1:7" x14ac:dyDescent="0.3">
      <c r="A4430" t="s">
        <v>7632</v>
      </c>
      <c r="B4430" t="s">
        <v>7633</v>
      </c>
      <c r="C4430" t="s">
        <v>883</v>
      </c>
      <c r="D4430">
        <v>1.8149999999999999</v>
      </c>
      <c r="E4430">
        <v>581</v>
      </c>
      <c r="F4430" t="str">
        <f>HYPERLINK("https://www.google.com/maps/search/?api=1&amp;query=25.56692605,47.16148953", "View Map")</f>
        <v>View Map</v>
      </c>
    </row>
    <row r="4431" spans="1:7" x14ac:dyDescent="0.3">
      <c r="A4431" t="s">
        <v>46</v>
      </c>
      <c r="B4431" t="s">
        <v>7634</v>
      </c>
      <c r="C4431" t="s">
        <v>8</v>
      </c>
      <c r="D4431">
        <v>1.8149999999999999</v>
      </c>
      <c r="E4431">
        <v>581</v>
      </c>
      <c r="F4431" t="str">
        <f>HYPERLINK("https://www.google.com/maps/search/?api=1&amp;query=24.61395679,46.50235749", "View Map")</f>
        <v>View Map</v>
      </c>
    </row>
    <row r="4432" spans="1:7" x14ac:dyDescent="0.3">
      <c r="A4432" t="s">
        <v>7635</v>
      </c>
      <c r="B4432" t="s">
        <v>7636</v>
      </c>
      <c r="C4432" t="s">
        <v>4447</v>
      </c>
      <c r="D4432">
        <v>1.8129999999999999</v>
      </c>
      <c r="E4432">
        <v>580</v>
      </c>
      <c r="F4432" t="str">
        <f>HYPERLINK("https://www.google.com/maps/search/?api=1&amp;query=24.44016569,41.85807789", "View Map")</f>
        <v>View Map</v>
      </c>
      <c r="G4432" s="2">
        <v>0.65216229556028726</v>
      </c>
    </row>
    <row r="4433" spans="1:7" x14ac:dyDescent="0.3">
      <c r="A4433" t="s">
        <v>7637</v>
      </c>
      <c r="B4433" t="s">
        <v>7638</v>
      </c>
      <c r="C4433" t="s">
        <v>8</v>
      </c>
      <c r="D4433">
        <v>1.8120000000000001</v>
      </c>
      <c r="E4433">
        <v>580</v>
      </c>
      <c r="F4433" t="str">
        <f>HYPERLINK("https://www.google.com/maps/search/?api=1&amp;query=24.67718239,46.85305015", "View Map")</f>
        <v>View Map</v>
      </c>
    </row>
    <row r="4434" spans="1:7" x14ac:dyDescent="0.3">
      <c r="A4434" t="s">
        <v>7639</v>
      </c>
      <c r="B4434" t="s">
        <v>7640</v>
      </c>
      <c r="C4434" t="s">
        <v>30</v>
      </c>
      <c r="D4434">
        <v>1.8109999999999999</v>
      </c>
      <c r="E4434">
        <v>579</v>
      </c>
      <c r="F4434" t="str">
        <f>HYPERLINK("https://www.google.com/maps/search/?api=1&amp;query=24.15467045,47.3694341", "View Map")</f>
        <v>View Map</v>
      </c>
      <c r="G4434" s="2">
        <v>0.2826679178885631</v>
      </c>
    </row>
    <row r="4435" spans="1:7" x14ac:dyDescent="0.3">
      <c r="A4435" t="s">
        <v>1788</v>
      </c>
      <c r="B4435" t="s">
        <v>7641</v>
      </c>
      <c r="C4435" t="s">
        <v>393</v>
      </c>
      <c r="D4435">
        <v>1.8109999999999999</v>
      </c>
      <c r="E4435">
        <v>579</v>
      </c>
      <c r="F4435" t="str">
        <f>HYPERLINK("https://www.google.com/maps/search/?api=1&amp;query=23.5311592,45.51496745", "View Map")</f>
        <v>View Map</v>
      </c>
      <c r="G4435" s="2">
        <v>0.55424373980196628</v>
      </c>
    </row>
    <row r="4436" spans="1:7" x14ac:dyDescent="0.3">
      <c r="A4436" t="s">
        <v>46</v>
      </c>
      <c r="B4436" t="s">
        <v>7642</v>
      </c>
      <c r="C4436" t="s">
        <v>8</v>
      </c>
      <c r="D4436">
        <v>1.8109999999999999</v>
      </c>
      <c r="E4436">
        <v>579</v>
      </c>
      <c r="F4436" t="str">
        <f>HYPERLINK("https://www.google.com/maps/search/?api=1&amp;query=24.780909,46.90640957", "View Map")</f>
        <v>View Map</v>
      </c>
    </row>
    <row r="4437" spans="1:7" x14ac:dyDescent="0.3">
      <c r="A4437" t="s">
        <v>7643</v>
      </c>
      <c r="B4437" t="s">
        <v>7644</v>
      </c>
      <c r="C4437" t="s">
        <v>8</v>
      </c>
      <c r="D4437">
        <v>1.8109999999999999</v>
      </c>
      <c r="E4437">
        <v>579</v>
      </c>
      <c r="F4437" t="str">
        <f>HYPERLINK("https://www.google.com/maps/search/?api=1&amp;query=24.7720249,46.70346379", "View Map")</f>
        <v>View Map</v>
      </c>
    </row>
    <row r="4438" spans="1:7" x14ac:dyDescent="0.3">
      <c r="A4438" t="s">
        <v>46</v>
      </c>
      <c r="B4438" t="s">
        <v>7645</v>
      </c>
      <c r="C4438" t="s">
        <v>8</v>
      </c>
      <c r="D4438">
        <v>1.8089999999999999</v>
      </c>
      <c r="E4438">
        <v>579</v>
      </c>
      <c r="F4438" t="str">
        <f>HYPERLINK("https://www.google.com/maps/search/?api=1&amp;query=24.65536958,46.58692233", "View Map")</f>
        <v>View Map</v>
      </c>
    </row>
    <row r="4439" spans="1:7" x14ac:dyDescent="0.3">
      <c r="A4439" t="s">
        <v>5725</v>
      </c>
      <c r="B4439" t="s">
        <v>7646</v>
      </c>
      <c r="C4439" t="s">
        <v>8</v>
      </c>
      <c r="D4439">
        <v>1.8089999999999999</v>
      </c>
      <c r="E4439">
        <v>579</v>
      </c>
      <c r="F4439" t="str">
        <f>HYPERLINK("https://www.google.com/maps/search/?api=1&amp;query=24.75143717,46.83678866", "View Map")</f>
        <v>View Map</v>
      </c>
    </row>
    <row r="4440" spans="1:7" x14ac:dyDescent="0.3">
      <c r="A4440" t="s">
        <v>7647</v>
      </c>
      <c r="B4440" t="s">
        <v>7648</v>
      </c>
      <c r="C4440" t="s">
        <v>16</v>
      </c>
      <c r="D4440">
        <v>1.8080000000000001</v>
      </c>
      <c r="E4440">
        <v>579</v>
      </c>
      <c r="F4440" t="str">
        <f>HYPERLINK("https://www.google.com/maps/search/?api=1&amp;query=23.92166739,42.91744421", "View Map")</f>
        <v>View Map</v>
      </c>
      <c r="G4440" s="2">
        <v>0.39233490677160132</v>
      </c>
    </row>
    <row r="4441" spans="1:7" x14ac:dyDescent="0.3">
      <c r="A4441" t="s">
        <v>7649</v>
      </c>
      <c r="B4441" t="s">
        <v>7650</v>
      </c>
      <c r="C4441" t="s">
        <v>241</v>
      </c>
      <c r="D4441">
        <v>1.8049999999999999</v>
      </c>
      <c r="E4441">
        <v>578</v>
      </c>
      <c r="F4441" t="str">
        <f>HYPERLINK("https://www.google.com/maps/search/?api=1&amp;query=20.38793457,44.73442008", "View Map")</f>
        <v>View Map</v>
      </c>
      <c r="G4441" s="2">
        <v>0.58981833543419004</v>
      </c>
    </row>
    <row r="4442" spans="1:7" x14ac:dyDescent="0.3">
      <c r="A4442" t="s">
        <v>7651</v>
      </c>
      <c r="B4442" t="s">
        <v>7652</v>
      </c>
      <c r="C4442" t="s">
        <v>77</v>
      </c>
      <c r="D4442">
        <v>1.804</v>
      </c>
      <c r="E4442">
        <v>577</v>
      </c>
      <c r="F4442" t="str">
        <f>HYPERLINK("https://www.google.com/maps/search/?api=1&amp;query=22.28931011,46.71558238", "View Map")</f>
        <v>View Map</v>
      </c>
    </row>
    <row r="4443" spans="1:7" x14ac:dyDescent="0.3">
      <c r="A4443" t="s">
        <v>7653</v>
      </c>
      <c r="B4443" t="s">
        <v>7654</v>
      </c>
      <c r="C4443" t="s">
        <v>8</v>
      </c>
      <c r="D4443">
        <v>1.804</v>
      </c>
      <c r="E4443">
        <v>577</v>
      </c>
      <c r="F4443" t="str">
        <f>HYPERLINK("https://www.google.com/maps/search/?api=1&amp;query=24.67436,46.71465", "View Map")</f>
        <v>View Map</v>
      </c>
      <c r="G4443" s="2">
        <v>0.64839308755387193</v>
      </c>
    </row>
    <row r="4444" spans="1:7" x14ac:dyDescent="0.3">
      <c r="A4444" t="s">
        <v>46</v>
      </c>
      <c r="B4444" t="s">
        <v>7655</v>
      </c>
      <c r="C4444" t="s">
        <v>55</v>
      </c>
      <c r="D4444">
        <v>1.804</v>
      </c>
      <c r="E4444">
        <v>577</v>
      </c>
      <c r="F4444" t="str">
        <f>HYPERLINK("https://www.google.com/maps/search/?api=1&amp;query=24.7453,46.5272", "View Map")</f>
        <v>View Map</v>
      </c>
    </row>
    <row r="4445" spans="1:7" x14ac:dyDescent="0.3">
      <c r="A4445" t="s">
        <v>7656</v>
      </c>
      <c r="B4445" t="s">
        <v>7657</v>
      </c>
      <c r="C4445" t="s">
        <v>8</v>
      </c>
      <c r="D4445">
        <v>1.804</v>
      </c>
      <c r="E4445">
        <v>577</v>
      </c>
      <c r="F4445" t="str">
        <f>HYPERLINK("https://www.google.com/maps/search/?api=1&amp;query=24.69520859,46.64810343", "View Map")</f>
        <v>View Map</v>
      </c>
    </row>
    <row r="4446" spans="1:7" x14ac:dyDescent="0.3">
      <c r="A4446" t="s">
        <v>7658</v>
      </c>
      <c r="B4446" t="s">
        <v>7659</v>
      </c>
      <c r="C4446" t="s">
        <v>8</v>
      </c>
      <c r="D4446">
        <v>1.804</v>
      </c>
      <c r="E4446">
        <v>577</v>
      </c>
      <c r="F4446" t="str">
        <f>HYPERLINK("https://www.google.com/maps/search/?api=1&amp;query=24.82298273,46.62311306", "View Map")</f>
        <v>View Map</v>
      </c>
    </row>
    <row r="4447" spans="1:7" x14ac:dyDescent="0.3">
      <c r="A4447" t="s">
        <v>1391</v>
      </c>
      <c r="B4447" t="s">
        <v>7660</v>
      </c>
      <c r="C4447" t="s">
        <v>8</v>
      </c>
      <c r="D4447">
        <v>1.804</v>
      </c>
      <c r="E4447">
        <v>577</v>
      </c>
      <c r="F4447" t="str">
        <f>HYPERLINK("https://www.google.com/maps/search/?api=1&amp;query=24.70908332,46.83667913", "View Map")</f>
        <v>View Map</v>
      </c>
    </row>
    <row r="4448" spans="1:7" x14ac:dyDescent="0.3">
      <c r="A4448" t="s">
        <v>7661</v>
      </c>
      <c r="B4448" t="s">
        <v>7662</v>
      </c>
      <c r="C4448" t="s">
        <v>393</v>
      </c>
      <c r="D4448">
        <v>1.8029999999999999</v>
      </c>
      <c r="E4448">
        <v>577</v>
      </c>
      <c r="F4448" t="str">
        <f>HYPERLINK("https://www.google.com/maps/search/?api=1&amp;query=23.66041123,45.38733481", "View Map")</f>
        <v>View Map</v>
      </c>
      <c r="G4448" s="2">
        <v>0.57243253979206965</v>
      </c>
    </row>
    <row r="4449" spans="1:7" x14ac:dyDescent="0.3">
      <c r="A4449" t="s">
        <v>7663</v>
      </c>
      <c r="B4449" t="s">
        <v>7664</v>
      </c>
      <c r="C4449" t="s">
        <v>8</v>
      </c>
      <c r="D4449">
        <v>1.8029999999999999</v>
      </c>
      <c r="E4449">
        <v>577</v>
      </c>
      <c r="F4449" t="str">
        <f>HYPERLINK("https://www.google.com/maps/search/?api=1&amp;query=24.56011764,46.78177022", "View Map")</f>
        <v>View Map</v>
      </c>
    </row>
    <row r="4450" spans="1:7" x14ac:dyDescent="0.3">
      <c r="A4450" t="s">
        <v>7665</v>
      </c>
      <c r="B4450" t="s">
        <v>7666</v>
      </c>
      <c r="C4450" t="s">
        <v>8</v>
      </c>
      <c r="D4450">
        <v>1.802</v>
      </c>
      <c r="E4450">
        <v>577</v>
      </c>
      <c r="F4450" t="str">
        <f>HYPERLINK("https://www.google.com/maps/search/?api=1&amp;query=24.62752315,46.73811851", "View Map")</f>
        <v>View Map</v>
      </c>
    </row>
    <row r="4451" spans="1:7" x14ac:dyDescent="0.3">
      <c r="A4451" t="s">
        <v>7667</v>
      </c>
      <c r="B4451" t="s">
        <v>7668</v>
      </c>
      <c r="C4451" t="s">
        <v>8</v>
      </c>
      <c r="D4451">
        <v>1.802</v>
      </c>
      <c r="E4451">
        <v>577</v>
      </c>
      <c r="F4451" t="str">
        <f>HYPERLINK("https://www.google.com/maps/search/?api=1&amp;query=24.68384044,46.76442379", "View Map")</f>
        <v>View Map</v>
      </c>
      <c r="G4451" s="2">
        <v>0.47489760553273358</v>
      </c>
    </row>
    <row r="4452" spans="1:7" x14ac:dyDescent="0.3">
      <c r="A4452" t="s">
        <v>7669</v>
      </c>
      <c r="B4452" t="s">
        <v>7670</v>
      </c>
      <c r="C4452" t="s">
        <v>241</v>
      </c>
      <c r="D4452">
        <v>1.802</v>
      </c>
      <c r="E4452">
        <v>577</v>
      </c>
      <c r="F4452" t="str">
        <f>HYPERLINK("https://www.google.com/maps/search/?api=1&amp;query=20.46241885,44.84129387", "View Map")</f>
        <v>View Map</v>
      </c>
      <c r="G4452" s="2">
        <v>0.44273602772519199</v>
      </c>
    </row>
    <row r="4453" spans="1:7" x14ac:dyDescent="0.3">
      <c r="A4453" t="s">
        <v>7671</v>
      </c>
      <c r="B4453" t="s">
        <v>7672</v>
      </c>
      <c r="C4453" t="s">
        <v>21</v>
      </c>
      <c r="D4453">
        <v>1.802</v>
      </c>
      <c r="E4453">
        <v>577</v>
      </c>
      <c r="F4453" t="str">
        <f>HYPERLINK("https://www.google.com/maps/search/?api=1&amp;query=26.30793282,44.82039906", "View Map")</f>
        <v>View Map</v>
      </c>
      <c r="G4453" s="2">
        <v>0.47998848157087248</v>
      </c>
    </row>
    <row r="4454" spans="1:7" x14ac:dyDescent="0.3">
      <c r="A4454" t="s">
        <v>7673</v>
      </c>
      <c r="B4454" t="s">
        <v>7674</v>
      </c>
      <c r="C4454" t="s">
        <v>466</v>
      </c>
      <c r="D4454">
        <v>1.8009999999999999</v>
      </c>
      <c r="E4454">
        <v>576</v>
      </c>
      <c r="F4454" t="str">
        <f>HYPERLINK("https://www.google.com/maps/search/?api=1&amp;query=24.51913682,46.37723334", "View Map")</f>
        <v>View Map</v>
      </c>
      <c r="G4454" s="2">
        <v>0.58519938514599901</v>
      </c>
    </row>
    <row r="4455" spans="1:7" x14ac:dyDescent="0.3">
      <c r="A4455" t="s">
        <v>28</v>
      </c>
      <c r="B4455" t="s">
        <v>7675</v>
      </c>
      <c r="C4455" t="s">
        <v>30</v>
      </c>
      <c r="D4455">
        <v>1.8009999999999999</v>
      </c>
      <c r="E4455">
        <v>576</v>
      </c>
      <c r="F4455" t="str">
        <f>HYPERLINK("https://www.google.com/maps/search/?api=1&amp;query=24.14509747,47.27958431", "View Map")</f>
        <v>View Map</v>
      </c>
      <c r="G4455" s="2">
        <v>0.44247656697658388</v>
      </c>
    </row>
    <row r="4456" spans="1:7" x14ac:dyDescent="0.3">
      <c r="A4456" t="s">
        <v>7676</v>
      </c>
      <c r="B4456" t="s">
        <v>7677</v>
      </c>
      <c r="C4456" t="s">
        <v>214</v>
      </c>
      <c r="D4456">
        <v>1.8009999999999999</v>
      </c>
      <c r="E4456">
        <v>576</v>
      </c>
      <c r="F4456" t="str">
        <f>HYPERLINK("https://www.google.com/maps/search/?api=1&amp;query=25.62308728,45.57784672", "View Map")</f>
        <v>View Map</v>
      </c>
      <c r="G4456" s="2">
        <v>0.45419570736276188</v>
      </c>
    </row>
    <row r="4457" spans="1:7" x14ac:dyDescent="0.3">
      <c r="A4457" t="s">
        <v>7678</v>
      </c>
      <c r="B4457" t="s">
        <v>7679</v>
      </c>
      <c r="C4457" t="s">
        <v>8</v>
      </c>
      <c r="D4457">
        <v>1.7989999999999999</v>
      </c>
      <c r="E4457">
        <v>576</v>
      </c>
      <c r="F4457" t="str">
        <f>HYPERLINK("https://www.google.com/maps/search/?api=1&amp;query=24.76838394,46.62415635", "View Map")</f>
        <v>View Map</v>
      </c>
    </row>
    <row r="4458" spans="1:7" x14ac:dyDescent="0.3">
      <c r="A4458" t="s">
        <v>7680</v>
      </c>
      <c r="B4458" t="s">
        <v>7681</v>
      </c>
      <c r="C4458" t="s">
        <v>296</v>
      </c>
      <c r="D4458">
        <v>1.7989999999999999</v>
      </c>
      <c r="E4458">
        <v>576</v>
      </c>
      <c r="F4458" t="str">
        <f>HYPERLINK("https://www.google.com/maps/search/?api=1&amp;query=24.13628627,46.31287803", "View Map")</f>
        <v>View Map</v>
      </c>
      <c r="G4458" s="2">
        <v>0.68764494495723183</v>
      </c>
    </row>
    <row r="4459" spans="1:7" x14ac:dyDescent="0.3">
      <c r="A4459" t="s">
        <v>717</v>
      </c>
      <c r="B4459" t="s">
        <v>7682</v>
      </c>
      <c r="C4459" t="s">
        <v>255</v>
      </c>
      <c r="D4459">
        <v>1.798</v>
      </c>
      <c r="E4459">
        <v>575</v>
      </c>
      <c r="F4459" t="str">
        <f>HYPERLINK("https://www.google.com/maps/search/?api=1&amp;query=24.57046526,44.45297732", "View Map")</f>
        <v>View Map</v>
      </c>
      <c r="G4459" s="2">
        <v>0.54654076377191962</v>
      </c>
    </row>
    <row r="4460" spans="1:7" x14ac:dyDescent="0.3">
      <c r="A4460" t="s">
        <v>7683</v>
      </c>
      <c r="B4460" t="s">
        <v>7684</v>
      </c>
      <c r="C4460" t="s">
        <v>8</v>
      </c>
      <c r="D4460">
        <v>1.798</v>
      </c>
      <c r="E4460">
        <v>575</v>
      </c>
      <c r="F4460" t="str">
        <f>HYPERLINK("https://www.google.com/maps/search/?api=1&amp;query=24.65774061,46.6966045", "View Map")</f>
        <v>View Map</v>
      </c>
    </row>
    <row r="4461" spans="1:7" x14ac:dyDescent="0.3">
      <c r="A4461" t="s">
        <v>7685</v>
      </c>
      <c r="B4461" t="s">
        <v>7686</v>
      </c>
      <c r="C4461" t="s">
        <v>21</v>
      </c>
      <c r="D4461">
        <v>1.798</v>
      </c>
      <c r="E4461">
        <v>575</v>
      </c>
      <c r="F4461" t="str">
        <f>HYPERLINK("https://www.google.com/maps/search/?api=1&amp;query=26.30076037,44.7985471", "View Map")</f>
        <v>View Map</v>
      </c>
      <c r="G4461" s="2">
        <v>0.42719208068782322</v>
      </c>
    </row>
    <row r="4462" spans="1:7" x14ac:dyDescent="0.3">
      <c r="A4462" t="s">
        <v>990</v>
      </c>
      <c r="B4462" t="s">
        <v>7687</v>
      </c>
      <c r="C4462" t="s">
        <v>8</v>
      </c>
      <c r="D4462">
        <v>1.798</v>
      </c>
      <c r="E4462">
        <v>575</v>
      </c>
      <c r="F4462" t="str">
        <f>HYPERLINK("https://www.google.com/maps/search/?api=1&amp;query=24.69278165,46.78913772", "View Map")</f>
        <v>View Map</v>
      </c>
    </row>
    <row r="4463" spans="1:7" x14ac:dyDescent="0.3">
      <c r="A4463" t="s">
        <v>7688</v>
      </c>
      <c r="B4463" t="s">
        <v>7689</v>
      </c>
      <c r="C4463" t="s">
        <v>393</v>
      </c>
      <c r="D4463">
        <v>1.798</v>
      </c>
      <c r="E4463">
        <v>575</v>
      </c>
      <c r="F4463" t="str">
        <f>HYPERLINK("https://www.google.com/maps/search/?api=1&amp;query=23.53489397,45.93930697", "View Map")</f>
        <v>View Map</v>
      </c>
      <c r="G4463" s="2">
        <v>0.72109977493771982</v>
      </c>
    </row>
    <row r="4464" spans="1:7" x14ac:dyDescent="0.3">
      <c r="A4464" t="s">
        <v>46</v>
      </c>
      <c r="B4464" t="s">
        <v>7690</v>
      </c>
      <c r="C4464" t="s">
        <v>8</v>
      </c>
      <c r="D4464">
        <v>1.7969999999999999</v>
      </c>
      <c r="E4464">
        <v>575</v>
      </c>
      <c r="F4464" t="str">
        <f>HYPERLINK("https://www.google.com/maps/search/?api=1&amp;query=24.83664801,46.66750039", "View Map")</f>
        <v>View Map</v>
      </c>
    </row>
    <row r="4465" spans="1:7" x14ac:dyDescent="0.3">
      <c r="A4465" t="s">
        <v>7691</v>
      </c>
      <c r="B4465" t="s">
        <v>7692</v>
      </c>
      <c r="C4465" t="s">
        <v>8</v>
      </c>
      <c r="D4465">
        <v>1.7969999999999999</v>
      </c>
      <c r="E4465">
        <v>575</v>
      </c>
      <c r="F4465" t="str">
        <f>HYPERLINK("https://www.google.com/maps/search/?api=1&amp;query=24.72908518,46.66035017", "View Map")</f>
        <v>View Map</v>
      </c>
      <c r="G4465" s="2">
        <v>0.59933901676777579</v>
      </c>
    </row>
    <row r="4466" spans="1:7" x14ac:dyDescent="0.3">
      <c r="A4466" t="s">
        <v>7693</v>
      </c>
      <c r="B4466" t="s">
        <v>7694</v>
      </c>
      <c r="C4466" t="s">
        <v>214</v>
      </c>
      <c r="D4466">
        <v>1.7969999999999999</v>
      </c>
      <c r="E4466">
        <v>575</v>
      </c>
      <c r="F4466" t="str">
        <f>HYPERLINK("https://www.google.com/maps/search/?api=1&amp;query=25.69599434,45.88491165", "View Map")</f>
        <v>View Map</v>
      </c>
      <c r="G4466" s="2">
        <v>0.56201327798122425</v>
      </c>
    </row>
    <row r="4467" spans="1:7" x14ac:dyDescent="0.3">
      <c r="A4467" t="s">
        <v>7695</v>
      </c>
      <c r="B4467" t="s">
        <v>7696</v>
      </c>
      <c r="C4467" t="s">
        <v>214</v>
      </c>
      <c r="D4467">
        <v>1.796</v>
      </c>
      <c r="E4467">
        <v>575</v>
      </c>
      <c r="F4467" t="str">
        <f>HYPERLINK("https://www.google.com/maps/search/?api=1&amp;query=25.90814858,45.40198878", "View Map")</f>
        <v>View Map</v>
      </c>
      <c r="G4467" s="2">
        <v>0.39895131646891169</v>
      </c>
    </row>
    <row r="4468" spans="1:7" x14ac:dyDescent="0.3">
      <c r="A4468" t="s">
        <v>7697</v>
      </c>
      <c r="B4468" t="s">
        <v>7698</v>
      </c>
      <c r="C4468" t="s">
        <v>8</v>
      </c>
      <c r="D4468">
        <v>1.796</v>
      </c>
      <c r="E4468">
        <v>575</v>
      </c>
      <c r="F4468" t="str">
        <f>HYPERLINK("https://www.google.com/maps/search/?api=1&amp;query=24.84973897,46.86439912", "View Map")</f>
        <v>View Map</v>
      </c>
    </row>
    <row r="4469" spans="1:7" x14ac:dyDescent="0.3">
      <c r="A4469" t="s">
        <v>150</v>
      </c>
      <c r="B4469" t="s">
        <v>7699</v>
      </c>
      <c r="C4469" t="s">
        <v>8</v>
      </c>
      <c r="D4469">
        <v>1.796</v>
      </c>
      <c r="E4469">
        <v>575</v>
      </c>
      <c r="F4469" t="str">
        <f>HYPERLINK("https://www.google.com/maps/search/?api=1&amp;query=24.83418982,46.74371809", "View Map")</f>
        <v>View Map</v>
      </c>
    </row>
    <row r="4470" spans="1:7" x14ac:dyDescent="0.3">
      <c r="A4470" t="s">
        <v>7700</v>
      </c>
      <c r="B4470" t="s">
        <v>7701</v>
      </c>
      <c r="C4470" t="s">
        <v>8</v>
      </c>
      <c r="D4470">
        <v>1.796</v>
      </c>
      <c r="E4470">
        <v>575</v>
      </c>
      <c r="F4470" t="str">
        <f>HYPERLINK("https://www.google.com/maps/search/?api=1&amp;query=24.74151523,46.81355322", "View Map")</f>
        <v>View Map</v>
      </c>
    </row>
    <row r="4471" spans="1:7" x14ac:dyDescent="0.3">
      <c r="A4471" t="s">
        <v>7702</v>
      </c>
      <c r="B4471" t="s">
        <v>7703</v>
      </c>
      <c r="C4471" t="s">
        <v>646</v>
      </c>
      <c r="D4471">
        <v>1.794</v>
      </c>
      <c r="E4471">
        <v>574</v>
      </c>
      <c r="F4471" t="str">
        <f>HYPERLINK("https://www.google.com/maps/search/?api=1&amp;query=20.46406002,45.58425451", "View Map")</f>
        <v>View Map</v>
      </c>
    </row>
    <row r="4472" spans="1:7" x14ac:dyDescent="0.3">
      <c r="A4472" t="s">
        <v>7704</v>
      </c>
      <c r="B4472" t="s">
        <v>7705</v>
      </c>
      <c r="C4472" t="s">
        <v>21</v>
      </c>
      <c r="D4472">
        <v>1.794</v>
      </c>
      <c r="E4472">
        <v>574</v>
      </c>
      <c r="F4472" t="str">
        <f>HYPERLINK("https://www.google.com/maps/search/?api=1&amp;query=26.2935095,44.78403525", "View Map")</f>
        <v>View Map</v>
      </c>
      <c r="G4472" s="2">
        <v>0.40492301423543081</v>
      </c>
    </row>
    <row r="4473" spans="1:7" x14ac:dyDescent="0.3">
      <c r="A4473" t="s">
        <v>7706</v>
      </c>
      <c r="B4473" t="s">
        <v>7707</v>
      </c>
      <c r="C4473" t="s">
        <v>30</v>
      </c>
      <c r="D4473">
        <v>1.794</v>
      </c>
      <c r="E4473">
        <v>574</v>
      </c>
      <c r="F4473" t="str">
        <f>HYPERLINK("https://www.google.com/maps/search/?api=1&amp;query=24.14735591,47.36999387", "View Map")</f>
        <v>View Map</v>
      </c>
      <c r="G4473" s="2">
        <v>0.39685849248552368</v>
      </c>
    </row>
    <row r="4474" spans="1:7" x14ac:dyDescent="0.3">
      <c r="A4474" t="s">
        <v>7708</v>
      </c>
      <c r="B4474" t="s">
        <v>7709</v>
      </c>
      <c r="C4474" t="s">
        <v>8</v>
      </c>
      <c r="D4474">
        <v>1.794</v>
      </c>
      <c r="E4474">
        <v>574</v>
      </c>
      <c r="F4474" t="str">
        <f>HYPERLINK("https://www.google.com/maps/search/?api=1&amp;query=24.80554309,46.63418568", "View Map")</f>
        <v>View Map</v>
      </c>
    </row>
    <row r="4475" spans="1:7" x14ac:dyDescent="0.3">
      <c r="A4475" t="s">
        <v>7710</v>
      </c>
      <c r="B4475" t="s">
        <v>7711</v>
      </c>
      <c r="C4475" t="s">
        <v>8</v>
      </c>
      <c r="D4475">
        <v>1.794</v>
      </c>
      <c r="E4475">
        <v>574</v>
      </c>
      <c r="F4475" t="str">
        <f>HYPERLINK("https://www.google.com/maps/search/?api=1&amp;query=24.64308693,46.73303622", "View Map")</f>
        <v>View Map</v>
      </c>
    </row>
    <row r="4476" spans="1:7" x14ac:dyDescent="0.3">
      <c r="A4476" t="s">
        <v>7712</v>
      </c>
      <c r="B4476" t="s">
        <v>7713</v>
      </c>
      <c r="C4476" t="s">
        <v>270</v>
      </c>
      <c r="D4476">
        <v>1.794</v>
      </c>
      <c r="E4476">
        <v>574</v>
      </c>
      <c r="F4476" t="str">
        <f>HYPERLINK("https://www.google.com/maps/search/?api=1&amp;query=24.01944769,47.13761625", "View Map")</f>
        <v>View Map</v>
      </c>
      <c r="G4476" s="2">
        <v>0.45149002982606229</v>
      </c>
    </row>
    <row r="4477" spans="1:7" x14ac:dyDescent="0.3">
      <c r="A4477" t="s">
        <v>7714</v>
      </c>
      <c r="B4477" t="s">
        <v>7715</v>
      </c>
      <c r="C4477" t="s">
        <v>8</v>
      </c>
      <c r="D4477">
        <v>1.7929999999999999</v>
      </c>
      <c r="E4477">
        <v>574</v>
      </c>
      <c r="F4477" t="str">
        <f>HYPERLINK("https://www.google.com/maps/search/?api=1&amp;query=24.78675189,46.81888122", "View Map")</f>
        <v>View Map</v>
      </c>
    </row>
    <row r="4478" spans="1:7" x14ac:dyDescent="0.3">
      <c r="A4478" t="s">
        <v>7716</v>
      </c>
      <c r="B4478" t="s">
        <v>7717</v>
      </c>
      <c r="C4478" t="s">
        <v>393</v>
      </c>
      <c r="D4478">
        <v>1.792</v>
      </c>
      <c r="E4478">
        <v>574</v>
      </c>
      <c r="F4478" t="str">
        <f>HYPERLINK("https://www.google.com/maps/search/?api=1&amp;query=23.22887655,45.55541257", "View Map")</f>
        <v>View Map</v>
      </c>
      <c r="G4478" s="2">
        <v>0.79948000345546344</v>
      </c>
    </row>
    <row r="4479" spans="1:7" x14ac:dyDescent="0.3">
      <c r="A4479" t="s">
        <v>7718</v>
      </c>
      <c r="B4479" t="s">
        <v>7719</v>
      </c>
      <c r="C4479" t="s">
        <v>214</v>
      </c>
      <c r="D4479">
        <v>1.792</v>
      </c>
      <c r="E4479">
        <v>574</v>
      </c>
      <c r="F4479" t="str">
        <f>HYPERLINK("https://www.google.com/maps/search/?api=1&amp;query=25.6799332,45.44756685", "View Map")</f>
        <v>View Map</v>
      </c>
      <c r="G4479" s="2">
        <v>0.77095360231307264</v>
      </c>
    </row>
    <row r="4480" spans="1:7" x14ac:dyDescent="0.3">
      <c r="A4480" t="s">
        <v>28</v>
      </c>
      <c r="B4480" t="s">
        <v>7720</v>
      </c>
      <c r="C4480" t="s">
        <v>30</v>
      </c>
      <c r="D4480">
        <v>1.792</v>
      </c>
      <c r="E4480">
        <v>574</v>
      </c>
      <c r="F4480" t="str">
        <f>HYPERLINK("https://www.google.com/maps/search/?api=1&amp;query=24.17703894,47.37008202", "View Map")</f>
        <v>View Map</v>
      </c>
    </row>
    <row r="4481" spans="1:7" x14ac:dyDescent="0.3">
      <c r="A4481" t="s">
        <v>7721</v>
      </c>
      <c r="B4481" t="s">
        <v>7722</v>
      </c>
      <c r="C4481" t="s">
        <v>30</v>
      </c>
      <c r="D4481">
        <v>1.792</v>
      </c>
      <c r="E4481">
        <v>573</v>
      </c>
      <c r="F4481" t="str">
        <f>HYPERLINK("https://www.google.com/maps/search/?api=1&amp;query=24.27894665,47.29329035", "View Map")</f>
        <v>View Map</v>
      </c>
      <c r="G4481" s="2">
        <v>0.60953662180238699</v>
      </c>
    </row>
    <row r="4482" spans="1:7" x14ac:dyDescent="0.3">
      <c r="A4482" t="s">
        <v>433</v>
      </c>
      <c r="B4482" t="s">
        <v>7723</v>
      </c>
      <c r="C4482" t="s">
        <v>137</v>
      </c>
      <c r="D4482">
        <v>1.7909999999999999</v>
      </c>
      <c r="E4482">
        <v>573</v>
      </c>
      <c r="F4482" t="str">
        <f>HYPERLINK("https://www.google.com/maps/search/?api=1&amp;query=23.4580667,46.86437699", "View Map")</f>
        <v>View Map</v>
      </c>
      <c r="G4482" s="2">
        <v>0.4376673958629006</v>
      </c>
    </row>
    <row r="4483" spans="1:7" x14ac:dyDescent="0.3">
      <c r="A4483" t="s">
        <v>46</v>
      </c>
      <c r="B4483" t="s">
        <v>7724</v>
      </c>
      <c r="C4483" t="s">
        <v>8</v>
      </c>
      <c r="D4483">
        <v>1.79</v>
      </c>
      <c r="E4483">
        <v>573</v>
      </c>
      <c r="F4483" t="str">
        <f>HYPERLINK("https://www.google.com/maps/search/?api=1&amp;query=24.80385421,46.68183238", "View Map")</f>
        <v>View Map</v>
      </c>
    </row>
    <row r="4484" spans="1:7" x14ac:dyDescent="0.3">
      <c r="A4484" t="s">
        <v>678</v>
      </c>
      <c r="B4484" t="s">
        <v>7725</v>
      </c>
      <c r="C4484" t="s">
        <v>21</v>
      </c>
      <c r="D4484">
        <v>1.79</v>
      </c>
      <c r="E4484">
        <v>573</v>
      </c>
      <c r="F4484" t="str">
        <f>HYPERLINK("https://www.google.com/maps/search/?api=1&amp;query=26.34799624,44.797501", "View Map")</f>
        <v>View Map</v>
      </c>
      <c r="G4484" s="2">
        <v>0.70901017496828134</v>
      </c>
    </row>
    <row r="4485" spans="1:7" x14ac:dyDescent="0.3">
      <c r="A4485" t="s">
        <v>7726</v>
      </c>
      <c r="B4485" t="s">
        <v>7727</v>
      </c>
      <c r="C4485" t="s">
        <v>214</v>
      </c>
      <c r="D4485">
        <v>1.7889999999999999</v>
      </c>
      <c r="E4485">
        <v>573</v>
      </c>
      <c r="F4485" t="str">
        <f>HYPERLINK("https://www.google.com/maps/search/?api=1&amp;query=25.94374224,45.35826033", "View Map")</f>
        <v>View Map</v>
      </c>
      <c r="G4485" s="2">
        <v>0.55572418087461406</v>
      </c>
    </row>
    <row r="4486" spans="1:7" x14ac:dyDescent="0.3">
      <c r="A4486" t="s">
        <v>7728</v>
      </c>
      <c r="B4486" t="s">
        <v>7729</v>
      </c>
      <c r="C4486" t="s">
        <v>8</v>
      </c>
      <c r="D4486">
        <v>1.7889999999999999</v>
      </c>
      <c r="E4486">
        <v>572</v>
      </c>
      <c r="F4486" t="str">
        <f>HYPERLINK("https://www.google.com/maps/search/?api=1&amp;query=24.72159968,46.83753929", "View Map")</f>
        <v>View Map</v>
      </c>
    </row>
    <row r="4487" spans="1:7" x14ac:dyDescent="0.3">
      <c r="A4487" t="s">
        <v>7730</v>
      </c>
      <c r="B4487" t="s">
        <v>7731</v>
      </c>
      <c r="C4487" t="s">
        <v>8</v>
      </c>
      <c r="D4487">
        <v>1.7889999999999999</v>
      </c>
      <c r="E4487">
        <v>573</v>
      </c>
      <c r="F4487" t="str">
        <f>HYPERLINK("https://www.google.com/maps/search/?api=1&amp;query=24.68282343,46.768399", "View Map")</f>
        <v>View Map</v>
      </c>
    </row>
    <row r="4488" spans="1:7" x14ac:dyDescent="0.3">
      <c r="A4488" t="s">
        <v>7732</v>
      </c>
      <c r="B4488" t="s">
        <v>7733</v>
      </c>
      <c r="C4488" t="s">
        <v>8</v>
      </c>
      <c r="D4488">
        <v>1.7889999999999999</v>
      </c>
      <c r="E4488">
        <v>572</v>
      </c>
      <c r="F4488" t="str">
        <f>HYPERLINK("https://www.google.com/maps/search/?api=1&amp;query=24.65705276,46.67542806", "View Map")</f>
        <v>View Map</v>
      </c>
    </row>
    <row r="4489" spans="1:7" x14ac:dyDescent="0.3">
      <c r="A4489" t="s">
        <v>7734</v>
      </c>
      <c r="B4489" t="s">
        <v>7735</v>
      </c>
      <c r="C4489" t="s">
        <v>8</v>
      </c>
      <c r="D4489">
        <v>1.788</v>
      </c>
      <c r="E4489">
        <v>572</v>
      </c>
      <c r="F4489" t="str">
        <f>HYPERLINK("https://www.google.com/maps/search/?api=1&amp;query=24.63989924,46.7349719", "View Map")</f>
        <v>View Map</v>
      </c>
    </row>
    <row r="4490" spans="1:7" x14ac:dyDescent="0.3">
      <c r="A4490" t="s">
        <v>46</v>
      </c>
      <c r="B4490" t="s">
        <v>7736</v>
      </c>
      <c r="C4490" t="s">
        <v>8</v>
      </c>
      <c r="D4490">
        <v>1.7869999999999999</v>
      </c>
      <c r="E4490">
        <v>572</v>
      </c>
      <c r="F4490" t="str">
        <f>HYPERLINK("https://www.google.com/maps/search/?api=1&amp;query=24.86294256,46.62975305", "View Map")</f>
        <v>View Map</v>
      </c>
    </row>
    <row r="4491" spans="1:7" x14ac:dyDescent="0.3">
      <c r="A4491" t="s">
        <v>7737</v>
      </c>
      <c r="B4491" t="s">
        <v>7738</v>
      </c>
      <c r="C4491" t="s">
        <v>8</v>
      </c>
      <c r="D4491">
        <v>1.786</v>
      </c>
      <c r="E4491">
        <v>571</v>
      </c>
      <c r="F4491" t="str">
        <f>HYPERLINK("https://www.google.com/maps/search/?api=1&amp;query=24.81021052,46.80387324", "View Map")</f>
        <v>View Map</v>
      </c>
    </row>
    <row r="4492" spans="1:7" x14ac:dyDescent="0.3">
      <c r="A4492" t="s">
        <v>7739</v>
      </c>
      <c r="B4492" t="s">
        <v>7740</v>
      </c>
      <c r="C4492" t="s">
        <v>30</v>
      </c>
      <c r="D4492">
        <v>1.786</v>
      </c>
      <c r="E4492">
        <v>571</v>
      </c>
      <c r="F4492" t="str">
        <f>HYPERLINK("https://www.google.com/maps/search/?api=1&amp;query=24.15505366,47.35055134", "View Map")</f>
        <v>View Map</v>
      </c>
    </row>
    <row r="4493" spans="1:7" x14ac:dyDescent="0.3">
      <c r="A4493" t="s">
        <v>7741</v>
      </c>
      <c r="B4493" t="s">
        <v>7742</v>
      </c>
      <c r="C4493" t="s">
        <v>8</v>
      </c>
      <c r="D4493">
        <v>1.786</v>
      </c>
      <c r="E4493">
        <v>572</v>
      </c>
      <c r="F4493" t="str">
        <f>HYPERLINK("https://www.google.com/maps/search/?api=1&amp;query=24.57774768,46.69440595", "View Map")</f>
        <v>View Map</v>
      </c>
    </row>
    <row r="4494" spans="1:7" x14ac:dyDescent="0.3">
      <c r="A4494" t="s">
        <v>7743</v>
      </c>
      <c r="B4494" t="s">
        <v>7744</v>
      </c>
      <c r="C4494" t="s">
        <v>255</v>
      </c>
      <c r="D4494">
        <v>1.786</v>
      </c>
      <c r="E4494">
        <v>572</v>
      </c>
      <c r="F4494" t="str">
        <f>HYPERLINK("https://www.google.com/maps/search/?api=1&amp;query=25.07216834,44.69933647", "View Map")</f>
        <v>View Map</v>
      </c>
      <c r="G4494" s="2">
        <v>0.41917658449169243</v>
      </c>
    </row>
    <row r="4495" spans="1:7" x14ac:dyDescent="0.3">
      <c r="A4495" t="s">
        <v>6334</v>
      </c>
      <c r="B4495" t="s">
        <v>7745</v>
      </c>
      <c r="C4495" t="s">
        <v>883</v>
      </c>
      <c r="D4495">
        <v>1.786</v>
      </c>
      <c r="E4495">
        <v>572</v>
      </c>
      <c r="F4495" t="str">
        <f>HYPERLINK("https://www.google.com/maps/search/?api=1&amp;query=25.5624204,47.1715866", "View Map")</f>
        <v>View Map</v>
      </c>
      <c r="G4495" s="2">
        <v>0.40993469274409838</v>
      </c>
    </row>
    <row r="4496" spans="1:7" x14ac:dyDescent="0.3">
      <c r="A4496" t="s">
        <v>7746</v>
      </c>
      <c r="B4496" t="s">
        <v>7747</v>
      </c>
      <c r="C4496" t="s">
        <v>8</v>
      </c>
      <c r="D4496">
        <v>1.786</v>
      </c>
      <c r="E4496">
        <v>571</v>
      </c>
      <c r="F4496" t="str">
        <f>HYPERLINK("https://www.google.com/maps/search/?api=1&amp;query=24.79444339,46.67263107", "View Map")</f>
        <v>View Map</v>
      </c>
    </row>
    <row r="4497" spans="1:7" x14ac:dyDescent="0.3">
      <c r="A4497" t="s">
        <v>717</v>
      </c>
      <c r="B4497" t="s">
        <v>7748</v>
      </c>
      <c r="C4497" t="s">
        <v>255</v>
      </c>
      <c r="D4497">
        <v>1.7849999999999999</v>
      </c>
      <c r="E4497">
        <v>571</v>
      </c>
      <c r="F4497" t="str">
        <f>HYPERLINK("https://www.google.com/maps/search/?api=1&amp;query=24.50237073,44.34834525", "View Map")</f>
        <v>View Map</v>
      </c>
      <c r="G4497" s="2">
        <v>0.43009825795688539</v>
      </c>
    </row>
    <row r="4498" spans="1:7" x14ac:dyDescent="0.3">
      <c r="A4498" t="s">
        <v>7749</v>
      </c>
      <c r="B4498" t="s">
        <v>7750</v>
      </c>
      <c r="C4498" t="s">
        <v>8</v>
      </c>
      <c r="D4498">
        <v>1.7849999999999999</v>
      </c>
      <c r="E4498">
        <v>571</v>
      </c>
      <c r="F4498" t="str">
        <f>HYPERLINK("https://www.google.com/maps/search/?api=1&amp;query=24.63183474,46.60425225", "View Map")</f>
        <v>View Map</v>
      </c>
    </row>
    <row r="4499" spans="1:7" x14ac:dyDescent="0.3">
      <c r="A4499" t="s">
        <v>46</v>
      </c>
      <c r="B4499" t="s">
        <v>7751</v>
      </c>
      <c r="C4499" t="s">
        <v>8</v>
      </c>
      <c r="D4499">
        <v>1.784</v>
      </c>
      <c r="E4499">
        <v>571</v>
      </c>
      <c r="F4499" t="str">
        <f>HYPERLINK("https://www.google.com/maps/search/?api=1&amp;query=24.80475097,46.88470169", "View Map")</f>
        <v>View Map</v>
      </c>
    </row>
    <row r="4500" spans="1:7" x14ac:dyDescent="0.3">
      <c r="A4500" t="s">
        <v>5101</v>
      </c>
      <c r="B4500" t="s">
        <v>7752</v>
      </c>
      <c r="C4500" t="s">
        <v>8</v>
      </c>
      <c r="D4500">
        <v>1.7829999999999999</v>
      </c>
      <c r="E4500">
        <v>571</v>
      </c>
      <c r="F4500" t="str">
        <f>HYPERLINK("https://www.google.com/maps/search/?api=1&amp;query=24.57836643,46.70986096", "View Map")</f>
        <v>View Map</v>
      </c>
    </row>
    <row r="4501" spans="1:7" x14ac:dyDescent="0.3">
      <c r="A4501" t="s">
        <v>7753</v>
      </c>
      <c r="B4501" t="s">
        <v>7754</v>
      </c>
      <c r="C4501" t="s">
        <v>8</v>
      </c>
      <c r="D4501">
        <v>1.782</v>
      </c>
      <c r="E4501">
        <v>570</v>
      </c>
      <c r="F4501" t="str">
        <f>HYPERLINK("https://www.google.com/maps/search/?api=1&amp;query=24.57774947,46.70604046", "View Map")</f>
        <v>View Map</v>
      </c>
    </row>
    <row r="4502" spans="1:7" x14ac:dyDescent="0.3">
      <c r="A4502" t="s">
        <v>994</v>
      </c>
      <c r="B4502" t="s">
        <v>7755</v>
      </c>
      <c r="C4502" t="s">
        <v>8</v>
      </c>
      <c r="D4502">
        <v>1.782</v>
      </c>
      <c r="E4502">
        <v>570</v>
      </c>
      <c r="F4502" t="str">
        <f>HYPERLINK("https://www.google.com/maps/search/?api=1&amp;query=24.58435564,46.76394926", "View Map")</f>
        <v>View Map</v>
      </c>
    </row>
    <row r="4503" spans="1:7" x14ac:dyDescent="0.3">
      <c r="A4503" t="s">
        <v>7756</v>
      </c>
      <c r="B4503" t="s">
        <v>7757</v>
      </c>
      <c r="C4503" t="s">
        <v>8</v>
      </c>
      <c r="D4503">
        <v>1.782</v>
      </c>
      <c r="E4503">
        <v>570</v>
      </c>
      <c r="F4503" t="str">
        <f>HYPERLINK("https://www.google.com/maps/search/?api=1&amp;query=24.52648685,46.70435573", "View Map")</f>
        <v>View Map</v>
      </c>
    </row>
    <row r="4504" spans="1:7" x14ac:dyDescent="0.3">
      <c r="A4504" t="s">
        <v>7758</v>
      </c>
      <c r="B4504" t="s">
        <v>7759</v>
      </c>
      <c r="C4504" t="s">
        <v>214</v>
      </c>
      <c r="D4504">
        <v>1.7809999999999999</v>
      </c>
      <c r="E4504">
        <v>570</v>
      </c>
      <c r="F4504" t="str">
        <f>HYPERLINK("https://www.google.com/maps/search/?api=1&amp;query=25.70407186,45.44915608", "View Map")</f>
        <v>View Map</v>
      </c>
      <c r="G4504" s="2">
        <v>0.56913334565321982</v>
      </c>
    </row>
    <row r="4505" spans="1:7" x14ac:dyDescent="0.3">
      <c r="A4505" t="s">
        <v>7760</v>
      </c>
      <c r="B4505" t="s">
        <v>7761</v>
      </c>
      <c r="C4505" t="s">
        <v>8</v>
      </c>
      <c r="D4505">
        <v>1.7809999999999999</v>
      </c>
      <c r="E4505">
        <v>570</v>
      </c>
      <c r="F4505" t="str">
        <f>HYPERLINK("https://www.google.com/maps/search/?api=1&amp;query=24.69885739,46.75856164", "View Map")</f>
        <v>View Map</v>
      </c>
    </row>
    <row r="4506" spans="1:7" x14ac:dyDescent="0.3">
      <c r="A4506" t="s">
        <v>146</v>
      </c>
      <c r="B4506" t="s">
        <v>7762</v>
      </c>
      <c r="C4506" t="s">
        <v>8</v>
      </c>
      <c r="D4506">
        <v>1.78</v>
      </c>
      <c r="E4506">
        <v>569</v>
      </c>
      <c r="F4506" t="str">
        <f>HYPERLINK("https://www.google.com/maps/search/?api=1&amp;query=24.5567,46.5722", "View Map")</f>
        <v>View Map</v>
      </c>
    </row>
    <row r="4507" spans="1:7" x14ac:dyDescent="0.3">
      <c r="A4507" t="s">
        <v>7763</v>
      </c>
      <c r="B4507" t="s">
        <v>7764</v>
      </c>
      <c r="C4507" t="s">
        <v>8</v>
      </c>
      <c r="D4507">
        <v>1.78</v>
      </c>
      <c r="E4507">
        <v>569</v>
      </c>
      <c r="F4507" t="str">
        <f>HYPERLINK("https://www.google.com/maps/search/?api=1&amp;query=24.58993496,46.78168271", "View Map")</f>
        <v>View Map</v>
      </c>
    </row>
    <row r="4508" spans="1:7" x14ac:dyDescent="0.3">
      <c r="A4508" t="s">
        <v>7765</v>
      </c>
      <c r="B4508" t="s">
        <v>7766</v>
      </c>
      <c r="C4508" t="s">
        <v>8</v>
      </c>
      <c r="D4508">
        <v>1.7789999999999999</v>
      </c>
      <c r="E4508">
        <v>569</v>
      </c>
      <c r="F4508" t="str">
        <f>HYPERLINK("https://www.google.com/maps/search/?api=1&amp;query=24.61291787,46.64048646", "View Map")</f>
        <v>View Map</v>
      </c>
    </row>
    <row r="4509" spans="1:7" x14ac:dyDescent="0.3">
      <c r="A4509" t="s">
        <v>7767</v>
      </c>
      <c r="B4509" t="s">
        <v>7768</v>
      </c>
      <c r="C4509" t="s">
        <v>8</v>
      </c>
      <c r="D4509">
        <v>1.7789999999999999</v>
      </c>
      <c r="E4509">
        <v>569</v>
      </c>
      <c r="F4509" t="str">
        <f>HYPERLINK("https://www.google.com/maps/search/?api=1&amp;query=24.56317835,46.71480819", "View Map")</f>
        <v>View Map</v>
      </c>
    </row>
    <row r="4510" spans="1:7" x14ac:dyDescent="0.3">
      <c r="A4510" t="s">
        <v>7769</v>
      </c>
      <c r="B4510" t="s">
        <v>7770</v>
      </c>
      <c r="C4510" t="s">
        <v>8</v>
      </c>
      <c r="D4510">
        <v>1.778</v>
      </c>
      <c r="E4510">
        <v>569</v>
      </c>
      <c r="F4510" t="str">
        <f>HYPERLINK("https://www.google.com/maps/search/?api=1&amp;query=24.68969,46.8557412", "View Map")</f>
        <v>View Map</v>
      </c>
    </row>
    <row r="4511" spans="1:7" x14ac:dyDescent="0.3">
      <c r="A4511" t="s">
        <v>7771</v>
      </c>
      <c r="B4511" t="s">
        <v>7772</v>
      </c>
      <c r="C4511" t="s">
        <v>8</v>
      </c>
      <c r="D4511">
        <v>1.778</v>
      </c>
      <c r="E4511">
        <v>569</v>
      </c>
      <c r="F4511" t="str">
        <f>HYPERLINK("https://www.google.com/maps/search/?api=1&amp;query=24.58995509,46.61694729", "View Map")</f>
        <v>View Map</v>
      </c>
    </row>
    <row r="4512" spans="1:7" x14ac:dyDescent="0.3">
      <c r="A4512" t="s">
        <v>627</v>
      </c>
      <c r="B4512" t="s">
        <v>7773</v>
      </c>
      <c r="C4512" t="s">
        <v>8</v>
      </c>
      <c r="D4512">
        <v>1.7769999999999999</v>
      </c>
      <c r="E4512">
        <v>569</v>
      </c>
      <c r="F4512" t="str">
        <f>HYPERLINK("https://www.google.com/maps/search/?api=1&amp;query=24.81006836,46.61501193", "View Map")</f>
        <v>View Map</v>
      </c>
    </row>
    <row r="4513" spans="1:7" x14ac:dyDescent="0.3">
      <c r="A4513" t="s">
        <v>7774</v>
      </c>
      <c r="B4513" t="s">
        <v>7775</v>
      </c>
      <c r="C4513" t="s">
        <v>21</v>
      </c>
      <c r="D4513">
        <v>1.7769999999999999</v>
      </c>
      <c r="E4513">
        <v>569</v>
      </c>
      <c r="F4513" t="str">
        <f>HYPERLINK("https://www.google.com/maps/search/?api=1&amp;query=26.29822083,44.80265733", "View Map")</f>
        <v>View Map</v>
      </c>
      <c r="G4513" s="2">
        <v>0.37806643849592819</v>
      </c>
    </row>
    <row r="4514" spans="1:7" x14ac:dyDescent="0.3">
      <c r="A4514" t="s">
        <v>7776</v>
      </c>
      <c r="B4514" t="s">
        <v>7777</v>
      </c>
      <c r="C4514" t="s">
        <v>699</v>
      </c>
      <c r="D4514">
        <v>1.776</v>
      </c>
      <c r="E4514">
        <v>568</v>
      </c>
      <c r="F4514" t="str">
        <f>HYPERLINK("https://www.google.com/maps/search/?api=1&amp;query=24.67099044,45.20881262", "View Map")</f>
        <v>View Map</v>
      </c>
      <c r="G4514" s="2">
        <v>0.58548218021242615</v>
      </c>
    </row>
    <row r="4515" spans="1:7" x14ac:dyDescent="0.3">
      <c r="A4515" t="s">
        <v>7778</v>
      </c>
      <c r="B4515" t="s">
        <v>7779</v>
      </c>
      <c r="C4515" t="s">
        <v>8</v>
      </c>
      <c r="D4515">
        <v>1.776</v>
      </c>
      <c r="E4515">
        <v>568</v>
      </c>
      <c r="F4515" t="str">
        <f>HYPERLINK("https://www.google.com/maps/search/?api=1&amp;query=24.62460714,46.71861906", "View Map")</f>
        <v>View Map</v>
      </c>
    </row>
    <row r="4516" spans="1:7" x14ac:dyDescent="0.3">
      <c r="A4516" t="s">
        <v>7780</v>
      </c>
      <c r="B4516" t="s">
        <v>7781</v>
      </c>
      <c r="C4516" t="s">
        <v>8</v>
      </c>
      <c r="D4516">
        <v>1.776</v>
      </c>
      <c r="E4516">
        <v>568</v>
      </c>
      <c r="F4516" t="str">
        <f>HYPERLINK("https://www.google.com/maps/search/?api=1&amp;query=24.58747526,46.76039766", "View Map")</f>
        <v>View Map</v>
      </c>
    </row>
    <row r="4517" spans="1:7" x14ac:dyDescent="0.3">
      <c r="A4517" t="s">
        <v>7782</v>
      </c>
      <c r="B4517" t="s">
        <v>7783</v>
      </c>
      <c r="C4517" t="s">
        <v>466</v>
      </c>
      <c r="D4517">
        <v>1.774</v>
      </c>
      <c r="E4517">
        <v>568</v>
      </c>
      <c r="F4517" t="str">
        <f>HYPERLINK("https://www.google.com/maps/search/?api=1&amp;query=24.73419814,45.79676895", "View Map")</f>
        <v>View Map</v>
      </c>
      <c r="G4517" s="2">
        <v>0.67763932476461064</v>
      </c>
    </row>
    <row r="4518" spans="1:7" x14ac:dyDescent="0.3">
      <c r="A4518" t="s">
        <v>7784</v>
      </c>
      <c r="B4518" t="s">
        <v>7785</v>
      </c>
      <c r="C4518" t="s">
        <v>8</v>
      </c>
      <c r="D4518">
        <v>1.774</v>
      </c>
      <c r="E4518">
        <v>568</v>
      </c>
      <c r="F4518" t="str">
        <f>HYPERLINK("https://www.google.com/maps/search/?api=1&amp;query=24.69532778,46.64342193", "View Map")</f>
        <v>View Map</v>
      </c>
    </row>
    <row r="4519" spans="1:7" x14ac:dyDescent="0.3">
      <c r="A4519" t="s">
        <v>7786</v>
      </c>
      <c r="B4519" t="s">
        <v>7787</v>
      </c>
      <c r="C4519" t="s">
        <v>8</v>
      </c>
      <c r="D4519">
        <v>1.772</v>
      </c>
      <c r="E4519">
        <v>567</v>
      </c>
      <c r="F4519" t="str">
        <f>HYPERLINK("https://www.google.com/maps/search/?api=1&amp;query=24.55238324,46.51014576", "View Map")</f>
        <v>View Map</v>
      </c>
    </row>
    <row r="4520" spans="1:7" x14ac:dyDescent="0.3">
      <c r="A4520" t="s">
        <v>7788</v>
      </c>
      <c r="B4520" t="s">
        <v>7789</v>
      </c>
      <c r="C4520" t="s">
        <v>291</v>
      </c>
      <c r="D4520">
        <v>1.772</v>
      </c>
      <c r="E4520">
        <v>567</v>
      </c>
      <c r="F4520" t="str">
        <f>HYPERLINK("https://www.google.com/maps/search/?api=1&amp;query=23.41699307,44.93941507", "View Map")</f>
        <v>View Map</v>
      </c>
      <c r="G4520" s="2">
        <v>0.64901541422063302</v>
      </c>
    </row>
    <row r="4521" spans="1:7" x14ac:dyDescent="0.3">
      <c r="A4521" t="s">
        <v>7790</v>
      </c>
      <c r="B4521" t="s">
        <v>7791</v>
      </c>
      <c r="C4521" t="s">
        <v>393</v>
      </c>
      <c r="D4521">
        <v>1.772</v>
      </c>
      <c r="E4521">
        <v>567</v>
      </c>
      <c r="F4521" t="str">
        <f>HYPERLINK("https://www.google.com/maps/search/?api=1&amp;query=23.47821488,45.76748388", "View Map")</f>
        <v>View Map</v>
      </c>
      <c r="G4521" s="2">
        <v>0.69618501882597528</v>
      </c>
    </row>
    <row r="4522" spans="1:7" x14ac:dyDescent="0.3">
      <c r="A4522" t="s">
        <v>7792</v>
      </c>
      <c r="B4522" t="s">
        <v>7793</v>
      </c>
      <c r="C4522" t="s">
        <v>8</v>
      </c>
      <c r="D4522">
        <v>1.772</v>
      </c>
      <c r="E4522">
        <v>567</v>
      </c>
      <c r="F4522" t="str">
        <f>HYPERLINK("https://www.google.com/maps/search/?api=1&amp;query=24.71532518,46.83074209", "View Map")</f>
        <v>View Map</v>
      </c>
    </row>
    <row r="4523" spans="1:7" x14ac:dyDescent="0.3">
      <c r="A4523" t="s">
        <v>7794</v>
      </c>
      <c r="B4523" t="s">
        <v>7795</v>
      </c>
      <c r="C4523" t="s">
        <v>21</v>
      </c>
      <c r="D4523">
        <v>1.7709999999999999</v>
      </c>
      <c r="E4523">
        <v>567</v>
      </c>
      <c r="F4523" t="str">
        <f>HYPERLINK("https://www.google.com/maps/search/?api=1&amp;query=26.29597391,44.83617347", "View Map")</f>
        <v>View Map</v>
      </c>
    </row>
    <row r="4524" spans="1:7" x14ac:dyDescent="0.3">
      <c r="A4524" t="s">
        <v>46</v>
      </c>
      <c r="B4524" t="s">
        <v>7796</v>
      </c>
      <c r="C4524" t="s">
        <v>820</v>
      </c>
      <c r="D4524">
        <v>1.77</v>
      </c>
      <c r="E4524">
        <v>567</v>
      </c>
      <c r="F4524" t="str">
        <f>HYPERLINK("https://www.google.com/maps/search/?api=1&amp;query=0.0,0.0", "View Map")</f>
        <v>View Map</v>
      </c>
    </row>
    <row r="4525" spans="1:7" x14ac:dyDescent="0.3">
      <c r="A4525" t="s">
        <v>7797</v>
      </c>
      <c r="B4525" t="s">
        <v>7798</v>
      </c>
      <c r="C4525" t="s">
        <v>699</v>
      </c>
      <c r="D4525">
        <v>1.77</v>
      </c>
      <c r="E4525">
        <v>566</v>
      </c>
      <c r="F4525" t="str">
        <f>HYPERLINK("https://www.google.com/maps/search/?api=1&amp;query=25.07120426,45.45529237", "View Map")</f>
        <v>View Map</v>
      </c>
      <c r="G4525" s="2">
        <v>0.37108964801902627</v>
      </c>
    </row>
    <row r="4526" spans="1:7" x14ac:dyDescent="0.3">
      <c r="A4526" t="s">
        <v>7799</v>
      </c>
      <c r="B4526" t="s">
        <v>7800</v>
      </c>
      <c r="C4526" t="s">
        <v>1112</v>
      </c>
      <c r="D4526">
        <v>1.77</v>
      </c>
      <c r="E4526">
        <v>566</v>
      </c>
      <c r="F4526" t="str">
        <f>HYPERLINK("https://www.google.com/maps/search/?api=1&amp;query=26.02088717,44.95291706", "View Map")</f>
        <v>View Map</v>
      </c>
      <c r="G4526" s="2">
        <v>0.5855750620338066</v>
      </c>
    </row>
    <row r="4527" spans="1:7" x14ac:dyDescent="0.3">
      <c r="A4527" t="s">
        <v>7801</v>
      </c>
      <c r="B4527" t="s">
        <v>7802</v>
      </c>
      <c r="C4527" t="s">
        <v>8</v>
      </c>
      <c r="D4527">
        <v>1.77</v>
      </c>
      <c r="E4527">
        <v>566</v>
      </c>
      <c r="F4527" t="str">
        <f>HYPERLINK("https://www.google.com/maps/search/?api=1&amp;query=24.62816711,46.74875571", "View Map")</f>
        <v>View Map</v>
      </c>
    </row>
    <row r="4528" spans="1:7" x14ac:dyDescent="0.3">
      <c r="A4528" t="s">
        <v>7803</v>
      </c>
      <c r="B4528" t="s">
        <v>7804</v>
      </c>
      <c r="C4528" t="s">
        <v>214</v>
      </c>
      <c r="D4528">
        <v>1.7689999999999999</v>
      </c>
      <c r="E4528">
        <v>566</v>
      </c>
      <c r="F4528" t="str">
        <f>HYPERLINK("https://www.google.com/maps/search/?api=1&amp;query=25.91080764,45.37800742", "View Map")</f>
        <v>View Map</v>
      </c>
    </row>
    <row r="4529" spans="1:7" x14ac:dyDescent="0.3">
      <c r="A4529" t="s">
        <v>7805</v>
      </c>
      <c r="B4529" t="s">
        <v>7806</v>
      </c>
      <c r="C4529" t="s">
        <v>255</v>
      </c>
      <c r="D4529">
        <v>1.7689999999999999</v>
      </c>
      <c r="E4529">
        <v>566</v>
      </c>
      <c r="F4529" t="str">
        <f>HYPERLINK("https://www.google.com/maps/search/?api=1&amp;query=24.53796573,44.27420281", "View Map")</f>
        <v>View Map</v>
      </c>
      <c r="G4529" s="2">
        <v>0.97437927660296064</v>
      </c>
    </row>
    <row r="4530" spans="1:7" x14ac:dyDescent="0.3">
      <c r="A4530" t="s">
        <v>7807</v>
      </c>
      <c r="B4530" t="s">
        <v>7808</v>
      </c>
      <c r="C4530" t="s">
        <v>646</v>
      </c>
      <c r="D4530">
        <v>1.7689999999999999</v>
      </c>
      <c r="E4530">
        <v>566</v>
      </c>
      <c r="F4530" t="str">
        <f>HYPERLINK("https://www.google.com/maps/search/?api=1&amp;query=20.46351658,45.58946507", "View Map")</f>
        <v>View Map</v>
      </c>
    </row>
    <row r="4531" spans="1:7" x14ac:dyDescent="0.3">
      <c r="A4531" t="s">
        <v>7809</v>
      </c>
      <c r="B4531" t="s">
        <v>7810</v>
      </c>
      <c r="C4531" t="s">
        <v>8</v>
      </c>
      <c r="D4531">
        <v>1.7689999999999999</v>
      </c>
      <c r="E4531">
        <v>566</v>
      </c>
      <c r="F4531" t="str">
        <f>HYPERLINK("https://www.google.com/maps/search/?api=1&amp;query=24.74503756,46.61500998", "View Map")</f>
        <v>View Map</v>
      </c>
    </row>
    <row r="4532" spans="1:7" x14ac:dyDescent="0.3">
      <c r="A4532" t="s">
        <v>7811</v>
      </c>
      <c r="B4532" t="s">
        <v>7812</v>
      </c>
      <c r="C4532" t="s">
        <v>8</v>
      </c>
      <c r="D4532">
        <v>1.768</v>
      </c>
      <c r="E4532">
        <v>566</v>
      </c>
      <c r="F4532" t="str">
        <f>HYPERLINK("https://www.google.com/maps/search/?api=1&amp;query=24.57239652,46.77617492", "View Map")</f>
        <v>View Map</v>
      </c>
    </row>
    <row r="4533" spans="1:7" x14ac:dyDescent="0.3">
      <c r="A4533" t="s">
        <v>7813</v>
      </c>
      <c r="B4533" t="s">
        <v>7814</v>
      </c>
      <c r="C4533" t="s">
        <v>8</v>
      </c>
      <c r="D4533">
        <v>1.768</v>
      </c>
      <c r="E4533">
        <v>566</v>
      </c>
      <c r="F4533" t="str">
        <f>HYPERLINK("https://www.google.com/maps/search/?api=1&amp;query=24.74263424,46.82524651", "View Map")</f>
        <v>View Map</v>
      </c>
    </row>
    <row r="4534" spans="1:7" x14ac:dyDescent="0.3">
      <c r="A4534" t="s">
        <v>7815</v>
      </c>
      <c r="B4534" t="s">
        <v>7816</v>
      </c>
      <c r="C4534" t="s">
        <v>30</v>
      </c>
      <c r="D4534">
        <v>1.768</v>
      </c>
      <c r="E4534">
        <v>566</v>
      </c>
      <c r="F4534" t="str">
        <f>HYPERLINK("https://www.google.com/maps/search/?api=1&amp;query=24.17098937,47.30769457", "View Map")</f>
        <v>View Map</v>
      </c>
    </row>
    <row r="4535" spans="1:7" x14ac:dyDescent="0.3">
      <c r="A4535" t="s">
        <v>7817</v>
      </c>
      <c r="B4535" t="s">
        <v>7818</v>
      </c>
      <c r="C4535" t="s">
        <v>8</v>
      </c>
      <c r="D4535">
        <v>1.7669999999999999</v>
      </c>
      <c r="E4535">
        <v>566</v>
      </c>
      <c r="F4535" t="str">
        <f>HYPERLINK("https://www.google.com/maps/search/?api=1&amp;query=24.59834724,46.67287388", "View Map")</f>
        <v>View Map</v>
      </c>
    </row>
    <row r="4536" spans="1:7" x14ac:dyDescent="0.3">
      <c r="A4536" t="s">
        <v>7819</v>
      </c>
      <c r="B4536" t="s">
        <v>7820</v>
      </c>
      <c r="C4536" t="s">
        <v>291</v>
      </c>
      <c r="D4536">
        <v>1.7669999999999999</v>
      </c>
      <c r="E4536">
        <v>566</v>
      </c>
      <c r="F4536" t="str">
        <f>HYPERLINK("https://www.google.com/maps/search/?api=1&amp;query=23.98776049,45.18537162", "View Map")</f>
        <v>View Map</v>
      </c>
      <c r="G4536" s="2">
        <v>0.55914707390790652</v>
      </c>
    </row>
    <row r="4537" spans="1:7" x14ac:dyDescent="0.3">
      <c r="A4537" t="s">
        <v>7821</v>
      </c>
      <c r="B4537" t="s">
        <v>7822</v>
      </c>
      <c r="C4537" t="s">
        <v>8</v>
      </c>
      <c r="D4537">
        <v>1.766</v>
      </c>
      <c r="E4537">
        <v>565</v>
      </c>
      <c r="F4537" t="str">
        <f>HYPERLINK("https://www.google.com/maps/search/?api=1&amp;query=24.69781453,46.71960839", "View Map")</f>
        <v>View Map</v>
      </c>
    </row>
    <row r="4538" spans="1:7" x14ac:dyDescent="0.3">
      <c r="A4538" t="s">
        <v>7823</v>
      </c>
      <c r="B4538" t="s">
        <v>7824</v>
      </c>
      <c r="C4538" t="s">
        <v>8</v>
      </c>
      <c r="D4538">
        <v>1.7649999999999999</v>
      </c>
      <c r="E4538">
        <v>565</v>
      </c>
      <c r="F4538" t="str">
        <f>HYPERLINK("https://www.google.com/maps/search/?api=1&amp;query=24.72906862,46.79982067", "View Map")</f>
        <v>View Map</v>
      </c>
    </row>
    <row r="4539" spans="1:7" x14ac:dyDescent="0.3">
      <c r="A4539" t="s">
        <v>7825</v>
      </c>
      <c r="B4539" t="s">
        <v>7826</v>
      </c>
      <c r="C4539" t="s">
        <v>442</v>
      </c>
      <c r="D4539">
        <v>1.7649999999999999</v>
      </c>
      <c r="E4539">
        <v>565</v>
      </c>
      <c r="F4539" t="str">
        <f>HYPERLINK("https://www.google.com/maps/search/?api=1&amp;query=23.62101772,46.52938998", "View Map")</f>
        <v>View Map</v>
      </c>
      <c r="G4539" s="2">
        <v>0.52819957932673212</v>
      </c>
    </row>
    <row r="4540" spans="1:7" x14ac:dyDescent="0.3">
      <c r="A4540" t="s">
        <v>7827</v>
      </c>
      <c r="B4540" t="s">
        <v>7828</v>
      </c>
      <c r="C4540" t="s">
        <v>30</v>
      </c>
      <c r="D4540">
        <v>1.7629999999999999</v>
      </c>
      <c r="E4540">
        <v>564</v>
      </c>
      <c r="F4540" t="str">
        <f>HYPERLINK("https://www.google.com/maps/search/?api=1&amp;query=24.18984163,47.39771856", "View Map")</f>
        <v>View Map</v>
      </c>
    </row>
    <row r="4541" spans="1:7" x14ac:dyDescent="0.3">
      <c r="A4541" t="s">
        <v>7829</v>
      </c>
      <c r="B4541" t="s">
        <v>7830</v>
      </c>
      <c r="C4541" t="s">
        <v>214</v>
      </c>
      <c r="D4541">
        <v>1.762</v>
      </c>
      <c r="E4541">
        <v>564</v>
      </c>
      <c r="F4541" t="str">
        <f>HYPERLINK("https://www.google.com/maps/search/?api=1&amp;query=25.91527794,45.36735315", "View Map")</f>
        <v>View Map</v>
      </c>
    </row>
    <row r="4542" spans="1:7" x14ac:dyDescent="0.3">
      <c r="A4542" t="s">
        <v>362</v>
      </c>
      <c r="B4542" t="s">
        <v>7831</v>
      </c>
      <c r="C4542" t="s">
        <v>364</v>
      </c>
      <c r="D4542">
        <v>1.7609999999999999</v>
      </c>
      <c r="E4542">
        <v>564</v>
      </c>
      <c r="F4542" t="str">
        <f>HYPERLINK("https://www.google.com/maps/search/?api=1&amp;query=25.25513442,45.86010035", "View Map")</f>
        <v>View Map</v>
      </c>
      <c r="G4542" s="2">
        <v>0.47668991176251729</v>
      </c>
    </row>
    <row r="4543" spans="1:7" x14ac:dyDescent="0.3">
      <c r="A4543" t="s">
        <v>7832</v>
      </c>
      <c r="B4543" t="s">
        <v>7833</v>
      </c>
      <c r="C4543" t="s">
        <v>8</v>
      </c>
      <c r="D4543">
        <v>1.7609999999999999</v>
      </c>
      <c r="E4543">
        <v>564</v>
      </c>
      <c r="F4543" t="str">
        <f>HYPERLINK("https://www.google.com/maps/search/?api=1&amp;query=24.73227004,46.81633594", "View Map")</f>
        <v>View Map</v>
      </c>
    </row>
    <row r="4544" spans="1:7" x14ac:dyDescent="0.3">
      <c r="A4544" t="s">
        <v>7834</v>
      </c>
      <c r="B4544" t="s">
        <v>7835</v>
      </c>
      <c r="C4544" t="s">
        <v>8</v>
      </c>
      <c r="D4544">
        <v>1.7609999999999999</v>
      </c>
      <c r="E4544">
        <v>564</v>
      </c>
      <c r="F4544" t="str">
        <f>HYPERLINK("https://www.google.com/maps/search/?api=1&amp;query=24.78694088,46.8137289", "View Map")</f>
        <v>View Map</v>
      </c>
    </row>
    <row r="4545" spans="1:7" x14ac:dyDescent="0.3">
      <c r="A4545" t="s">
        <v>7836</v>
      </c>
      <c r="B4545" t="s">
        <v>7837</v>
      </c>
      <c r="C4545" t="s">
        <v>296</v>
      </c>
      <c r="D4545">
        <v>1.7609999999999999</v>
      </c>
      <c r="E4545">
        <v>563</v>
      </c>
      <c r="F4545" t="str">
        <f>HYPERLINK("https://www.google.com/maps/search/?api=1&amp;query=24.51657862,46.27337911", "View Map")</f>
        <v>View Map</v>
      </c>
      <c r="G4545" s="2">
        <v>0.79364684046905598</v>
      </c>
    </row>
    <row r="4546" spans="1:7" x14ac:dyDescent="0.3">
      <c r="A4546" t="s">
        <v>146</v>
      </c>
      <c r="B4546" t="s">
        <v>7838</v>
      </c>
      <c r="C4546" t="s">
        <v>8</v>
      </c>
      <c r="D4546">
        <v>1.76</v>
      </c>
      <c r="E4546">
        <v>563</v>
      </c>
      <c r="F4546" t="str">
        <f>HYPERLINK("https://www.google.com/maps/search/?api=1&amp;query=24.59889249,46.61894146", "View Map")</f>
        <v>View Map</v>
      </c>
    </row>
    <row r="4547" spans="1:7" x14ac:dyDescent="0.3">
      <c r="A4547" t="s">
        <v>7839</v>
      </c>
      <c r="B4547" t="s">
        <v>7840</v>
      </c>
      <c r="C4547" t="s">
        <v>8</v>
      </c>
      <c r="D4547">
        <v>1.76</v>
      </c>
      <c r="E4547">
        <v>563</v>
      </c>
      <c r="F4547" t="str">
        <f>HYPERLINK("https://www.google.com/maps/search/?api=1&amp;query=24.61733534,46.71758049", "View Map")</f>
        <v>View Map</v>
      </c>
    </row>
    <row r="4548" spans="1:7" x14ac:dyDescent="0.3">
      <c r="A4548" t="s">
        <v>7841</v>
      </c>
      <c r="B4548" t="s">
        <v>7842</v>
      </c>
      <c r="C4548" t="s">
        <v>8</v>
      </c>
      <c r="D4548">
        <v>1.7589999999999999</v>
      </c>
      <c r="E4548">
        <v>563</v>
      </c>
      <c r="F4548" t="str">
        <f>HYPERLINK("https://www.google.com/maps/search/?api=1&amp;query=24.69657684,46.79283871", "View Map")</f>
        <v>View Map</v>
      </c>
    </row>
    <row r="4549" spans="1:7" x14ac:dyDescent="0.3">
      <c r="A4549" t="s">
        <v>7843</v>
      </c>
      <c r="B4549" t="s">
        <v>7844</v>
      </c>
      <c r="C4549" t="s">
        <v>270</v>
      </c>
      <c r="D4549">
        <v>1.7589999999999999</v>
      </c>
      <c r="E4549">
        <v>563</v>
      </c>
      <c r="F4549" t="str">
        <f>HYPERLINK("https://www.google.com/maps/search/?api=1&amp;query=24.09989848,47.17302828", "View Map")</f>
        <v>View Map</v>
      </c>
      <c r="G4549" s="2">
        <v>0.41748615573257941</v>
      </c>
    </row>
    <row r="4550" spans="1:7" x14ac:dyDescent="0.3">
      <c r="A4550" t="s">
        <v>7845</v>
      </c>
      <c r="B4550" t="s">
        <v>7846</v>
      </c>
      <c r="C4550" t="s">
        <v>286</v>
      </c>
      <c r="D4550">
        <v>1.7589999999999999</v>
      </c>
      <c r="E4550">
        <v>563</v>
      </c>
      <c r="F4550" t="str">
        <f>HYPERLINK("https://www.google.com/maps/search/?api=1&amp;query=25.34764921,45.18940087", "View Map")</f>
        <v>View Map</v>
      </c>
      <c r="G4550" s="2">
        <v>0.71409117396999977</v>
      </c>
    </row>
    <row r="4551" spans="1:7" x14ac:dyDescent="0.3">
      <c r="A4551" t="s">
        <v>627</v>
      </c>
      <c r="B4551" t="s">
        <v>7847</v>
      </c>
      <c r="C4551" t="s">
        <v>8</v>
      </c>
      <c r="D4551">
        <v>1.7589999999999999</v>
      </c>
      <c r="E4551">
        <v>563</v>
      </c>
      <c r="F4551" t="str">
        <f>HYPERLINK("https://www.google.com/maps/search/?api=1&amp;query=24.64007348,46.54325791", "View Map")</f>
        <v>View Map</v>
      </c>
      <c r="G4551" s="2">
        <v>0.35877199422460421</v>
      </c>
    </row>
    <row r="4552" spans="1:7" x14ac:dyDescent="0.3">
      <c r="A4552" t="s">
        <v>3127</v>
      </c>
      <c r="B4552" t="s">
        <v>7848</v>
      </c>
      <c r="C4552" t="s">
        <v>8</v>
      </c>
      <c r="D4552">
        <v>1.758</v>
      </c>
      <c r="E4552">
        <v>562</v>
      </c>
      <c r="F4552" t="str">
        <f>HYPERLINK("https://www.google.com/maps/search/?api=1&amp;query=24.57453479,46.69426006", "View Map")</f>
        <v>View Map</v>
      </c>
    </row>
    <row r="4553" spans="1:7" x14ac:dyDescent="0.3">
      <c r="A4553" t="s">
        <v>7849</v>
      </c>
      <c r="B4553" t="s">
        <v>7850</v>
      </c>
      <c r="C4553" t="s">
        <v>214</v>
      </c>
      <c r="D4553">
        <v>1.758</v>
      </c>
      <c r="E4553">
        <v>563</v>
      </c>
      <c r="F4553" t="str">
        <f>HYPERLINK("https://www.google.com/maps/search/?api=1&amp;query=25.59108097,45.62547194", "View Map")</f>
        <v>View Map</v>
      </c>
      <c r="G4553" s="2">
        <v>0.55991504601434972</v>
      </c>
    </row>
    <row r="4554" spans="1:7" x14ac:dyDescent="0.3">
      <c r="A4554" t="s">
        <v>7851</v>
      </c>
      <c r="B4554" t="s">
        <v>7852</v>
      </c>
      <c r="C4554" t="s">
        <v>77</v>
      </c>
      <c r="D4554">
        <v>1.7569999999999999</v>
      </c>
      <c r="E4554">
        <v>562</v>
      </c>
      <c r="F4554" t="str">
        <f>HYPERLINK("https://www.google.com/maps/search/?api=1&amp;query=22.00665238,46.60878821", "View Map")</f>
        <v>View Map</v>
      </c>
      <c r="G4554" s="2">
        <v>0.64067445554480185</v>
      </c>
    </row>
    <row r="4555" spans="1:7" x14ac:dyDescent="0.3">
      <c r="A4555" t="s">
        <v>7853</v>
      </c>
      <c r="B4555" t="s">
        <v>7854</v>
      </c>
      <c r="C4555" t="s">
        <v>8</v>
      </c>
      <c r="D4555">
        <v>1.7569999999999999</v>
      </c>
      <c r="E4555">
        <v>562</v>
      </c>
      <c r="F4555" t="str">
        <f>HYPERLINK("https://www.google.com/maps/search/?api=1&amp;query=24.5706,46.6983", "View Map")</f>
        <v>View Map</v>
      </c>
    </row>
    <row r="4556" spans="1:7" x14ac:dyDescent="0.3">
      <c r="A4556" t="s">
        <v>7855</v>
      </c>
      <c r="B4556" t="s">
        <v>7856</v>
      </c>
      <c r="C4556" t="s">
        <v>255</v>
      </c>
      <c r="D4556">
        <v>1.7569999999999999</v>
      </c>
      <c r="E4556">
        <v>562</v>
      </c>
      <c r="F4556" t="str">
        <f>HYPERLINK("https://www.google.com/maps/search/?api=1&amp;query=24.49820233,44.38569096", "View Map")</f>
        <v>View Map</v>
      </c>
      <c r="G4556" s="2">
        <v>0.48913231498318199</v>
      </c>
    </row>
    <row r="4557" spans="1:7" x14ac:dyDescent="0.3">
      <c r="A4557" t="s">
        <v>7857</v>
      </c>
      <c r="B4557" t="s">
        <v>7858</v>
      </c>
      <c r="C4557" t="s">
        <v>8</v>
      </c>
      <c r="D4557">
        <v>1.756</v>
      </c>
      <c r="E4557">
        <v>562</v>
      </c>
      <c r="F4557" t="str">
        <f>HYPERLINK("https://www.google.com/maps/search/?api=1&amp;query=24.72550707,46.6765122", "View Map")</f>
        <v>View Map</v>
      </c>
      <c r="G4557" s="2">
        <v>0.13669615174663441</v>
      </c>
    </row>
    <row r="4558" spans="1:7" x14ac:dyDescent="0.3">
      <c r="A4558" t="s">
        <v>150</v>
      </c>
      <c r="B4558" t="s">
        <v>7859</v>
      </c>
      <c r="C4558" t="s">
        <v>8</v>
      </c>
      <c r="D4558">
        <v>1.756</v>
      </c>
      <c r="E4558">
        <v>562</v>
      </c>
      <c r="F4558" t="str">
        <f>HYPERLINK("https://www.google.com/maps/search/?api=1&amp;query=24.77248273,46.78830519", "View Map")</f>
        <v>View Map</v>
      </c>
    </row>
    <row r="4559" spans="1:7" x14ac:dyDescent="0.3">
      <c r="A4559" t="s">
        <v>2478</v>
      </c>
      <c r="B4559" t="s">
        <v>7860</v>
      </c>
      <c r="C4559" t="s">
        <v>8</v>
      </c>
      <c r="D4559">
        <v>1.756</v>
      </c>
      <c r="E4559">
        <v>562</v>
      </c>
      <c r="F4559" t="str">
        <f>HYPERLINK("https://www.google.com/maps/search/?api=1&amp;query=24.80415947,46.89831973", "View Map")</f>
        <v>View Map</v>
      </c>
    </row>
    <row r="4560" spans="1:7" x14ac:dyDescent="0.3">
      <c r="A4560" t="s">
        <v>7861</v>
      </c>
      <c r="B4560" t="s">
        <v>7862</v>
      </c>
      <c r="C4560" t="s">
        <v>738</v>
      </c>
      <c r="D4560">
        <v>1.756</v>
      </c>
      <c r="E4560">
        <v>562</v>
      </c>
      <c r="F4560" t="str">
        <f>HYPERLINK("https://www.google.com/maps/search/?api=1&amp;query=25.11555308,46.09360325", "View Map")</f>
        <v>View Map</v>
      </c>
      <c r="G4560" s="2">
        <v>0.54828800173732439</v>
      </c>
    </row>
    <row r="4561" spans="1:7" x14ac:dyDescent="0.3">
      <c r="A4561" t="s">
        <v>7863</v>
      </c>
      <c r="B4561" t="s">
        <v>7864</v>
      </c>
      <c r="C4561" t="s">
        <v>8</v>
      </c>
      <c r="D4561">
        <v>1.756</v>
      </c>
      <c r="E4561">
        <v>562</v>
      </c>
      <c r="F4561" t="str">
        <f>HYPERLINK("https://www.google.com/maps/search/?api=1&amp;query=24.53897522,46.70465756", "View Map")</f>
        <v>View Map</v>
      </c>
    </row>
    <row r="4562" spans="1:7" x14ac:dyDescent="0.3">
      <c r="A4562" t="s">
        <v>7865</v>
      </c>
      <c r="B4562" t="s">
        <v>7866</v>
      </c>
      <c r="C4562" t="s">
        <v>393</v>
      </c>
      <c r="D4562">
        <v>1.7549999999999999</v>
      </c>
      <c r="E4562">
        <v>562</v>
      </c>
      <c r="F4562" t="str">
        <f>HYPERLINK("https://www.google.com/maps/search/?api=1&amp;query=22.75626,44.90633", "View Map")</f>
        <v>View Map</v>
      </c>
      <c r="G4562" s="2">
        <v>0.90580605114090873</v>
      </c>
    </row>
    <row r="4563" spans="1:7" x14ac:dyDescent="0.3">
      <c r="A4563" t="s">
        <v>46</v>
      </c>
      <c r="B4563" t="s">
        <v>7867</v>
      </c>
      <c r="C4563" t="s">
        <v>8</v>
      </c>
      <c r="D4563">
        <v>1.7549999999999999</v>
      </c>
      <c r="E4563">
        <v>562</v>
      </c>
      <c r="F4563" t="str">
        <f>HYPERLINK("https://www.google.com/maps/search/?api=1&amp;query=24.64713614,46.52066565", "View Map")</f>
        <v>View Map</v>
      </c>
    </row>
    <row r="4564" spans="1:7" x14ac:dyDescent="0.3">
      <c r="A4564" t="s">
        <v>7868</v>
      </c>
      <c r="B4564" t="s">
        <v>7869</v>
      </c>
      <c r="C4564" t="s">
        <v>296</v>
      </c>
      <c r="D4564">
        <v>1.7549999999999999</v>
      </c>
      <c r="E4564">
        <v>562</v>
      </c>
      <c r="F4564" t="str">
        <f>HYPERLINK("https://www.google.com/maps/search/?api=1&amp;query=24.49231809,46.26368629", "View Map")</f>
        <v>View Map</v>
      </c>
    </row>
    <row r="4565" spans="1:7" x14ac:dyDescent="0.3">
      <c r="A4565" t="s">
        <v>7870</v>
      </c>
      <c r="B4565" t="s">
        <v>7871</v>
      </c>
      <c r="C4565" t="s">
        <v>255</v>
      </c>
      <c r="D4565">
        <v>1.7549999999999999</v>
      </c>
      <c r="E4565">
        <v>561</v>
      </c>
      <c r="F4565" t="str">
        <f>HYPERLINK("https://www.google.com/maps/search/?api=1&amp;query=24.50445841,44.40135291", "View Map")</f>
        <v>View Map</v>
      </c>
      <c r="G4565" s="2">
        <v>0.46313759933873239</v>
      </c>
    </row>
    <row r="4566" spans="1:7" x14ac:dyDescent="0.3">
      <c r="A4566" t="s">
        <v>46</v>
      </c>
      <c r="B4566" t="s">
        <v>7872</v>
      </c>
      <c r="C4566" t="s">
        <v>8</v>
      </c>
      <c r="D4566">
        <v>1.754</v>
      </c>
      <c r="E4566">
        <v>561</v>
      </c>
      <c r="F4566" t="str">
        <f>HYPERLINK("https://www.google.com/maps/search/?api=1&amp;query=24.83315314,46.78689177", "View Map")</f>
        <v>View Map</v>
      </c>
    </row>
    <row r="4567" spans="1:7" x14ac:dyDescent="0.3">
      <c r="A4567" t="s">
        <v>22</v>
      </c>
      <c r="B4567" t="s">
        <v>7873</v>
      </c>
      <c r="C4567" t="s">
        <v>8</v>
      </c>
      <c r="D4567">
        <v>1.7529999999999999</v>
      </c>
      <c r="E4567">
        <v>561</v>
      </c>
      <c r="F4567" t="str">
        <f>HYPERLINK("https://www.google.com/maps/search/?api=1&amp;query=24.72114783,46.84855467", "View Map")</f>
        <v>View Map</v>
      </c>
    </row>
    <row r="4568" spans="1:7" x14ac:dyDescent="0.3">
      <c r="A4568" t="s">
        <v>7874</v>
      </c>
      <c r="B4568" t="s">
        <v>7875</v>
      </c>
      <c r="C4568" t="s">
        <v>21</v>
      </c>
      <c r="D4568">
        <v>1.752</v>
      </c>
      <c r="E4568">
        <v>561</v>
      </c>
      <c r="F4568" t="str">
        <f>HYPERLINK("https://www.google.com/maps/search/?api=1&amp;query=26.31086632,44.79312545", "View Map")</f>
        <v>View Map</v>
      </c>
      <c r="G4568" s="2">
        <v>0.41509619334509568</v>
      </c>
    </row>
    <row r="4569" spans="1:7" x14ac:dyDescent="0.3">
      <c r="A4569" t="s">
        <v>7876</v>
      </c>
      <c r="B4569" t="s">
        <v>7877</v>
      </c>
      <c r="C4569" t="s">
        <v>214</v>
      </c>
      <c r="D4569">
        <v>1.752</v>
      </c>
      <c r="E4569">
        <v>561</v>
      </c>
      <c r="F4569" t="str">
        <f>HYPERLINK("https://www.google.com/maps/search/?api=1&amp;query=25.95283359,45.34618831", "View Map")</f>
        <v>View Map</v>
      </c>
      <c r="G4569" s="2">
        <v>0.43726273900758178</v>
      </c>
    </row>
    <row r="4570" spans="1:7" x14ac:dyDescent="0.3">
      <c r="A4570" t="s">
        <v>7878</v>
      </c>
      <c r="B4570" t="s">
        <v>7879</v>
      </c>
      <c r="C4570" t="s">
        <v>393</v>
      </c>
      <c r="D4570">
        <v>1.752</v>
      </c>
      <c r="E4570">
        <v>560</v>
      </c>
      <c r="F4570" t="str">
        <f>HYPERLINK("https://www.google.com/maps/search/?api=1&amp;query=23.34092367,45.25286413", "View Map")</f>
        <v>View Map</v>
      </c>
      <c r="G4570" s="2">
        <v>0.8479314044679559</v>
      </c>
    </row>
    <row r="4571" spans="1:7" x14ac:dyDescent="0.3">
      <c r="A4571" t="s">
        <v>7880</v>
      </c>
      <c r="B4571" t="s">
        <v>7881</v>
      </c>
      <c r="C4571" t="s">
        <v>8</v>
      </c>
      <c r="D4571">
        <v>1.7509999999999999</v>
      </c>
      <c r="E4571">
        <v>560</v>
      </c>
      <c r="F4571" t="str">
        <f>HYPERLINK("https://www.google.com/maps/search/?api=1&amp;query=24.54,46.6586", "View Map")</f>
        <v>View Map</v>
      </c>
    </row>
    <row r="4572" spans="1:7" x14ac:dyDescent="0.3">
      <c r="A4572" t="s">
        <v>3288</v>
      </c>
      <c r="B4572" t="s">
        <v>7882</v>
      </c>
      <c r="C4572" t="s">
        <v>55</v>
      </c>
      <c r="D4572">
        <v>1.75</v>
      </c>
      <c r="E4572">
        <v>560</v>
      </c>
      <c r="F4572" t="str">
        <f>HYPERLINK("https://www.google.com/maps/search/?api=1&amp;query=24.75535609,46.54448737", "View Map")</f>
        <v>View Map</v>
      </c>
      <c r="G4572" s="2">
        <v>0.14327450903326391</v>
      </c>
    </row>
    <row r="4573" spans="1:7" x14ac:dyDescent="0.3">
      <c r="A4573" t="s">
        <v>1391</v>
      </c>
      <c r="B4573" t="s">
        <v>7883</v>
      </c>
      <c r="C4573" t="s">
        <v>8</v>
      </c>
      <c r="D4573">
        <v>1.75</v>
      </c>
      <c r="E4573">
        <v>560</v>
      </c>
      <c r="F4573" t="str">
        <f>HYPERLINK("https://www.google.com/maps/search/?api=1&amp;query=24.7325,46.8442", "View Map")</f>
        <v>View Map</v>
      </c>
    </row>
    <row r="4574" spans="1:7" x14ac:dyDescent="0.3">
      <c r="A4574" t="s">
        <v>7884</v>
      </c>
      <c r="B4574" t="s">
        <v>7885</v>
      </c>
      <c r="C4574" t="s">
        <v>270</v>
      </c>
      <c r="D4574">
        <v>1.75</v>
      </c>
      <c r="E4574">
        <v>560</v>
      </c>
      <c r="F4574" t="str">
        <f>HYPERLINK("https://www.google.com/maps/search/?api=1&amp;query=23.9545598,47.16424736", "View Map")</f>
        <v>View Map</v>
      </c>
      <c r="G4574" s="2">
        <v>0.38700813244480098</v>
      </c>
    </row>
    <row r="4575" spans="1:7" x14ac:dyDescent="0.3">
      <c r="A4575" t="s">
        <v>717</v>
      </c>
      <c r="B4575" t="s">
        <v>7886</v>
      </c>
      <c r="C4575" t="s">
        <v>255</v>
      </c>
      <c r="D4575">
        <v>1.75</v>
      </c>
      <c r="E4575">
        <v>560</v>
      </c>
      <c r="F4575" t="str">
        <f>HYPERLINK("https://www.google.com/maps/search/?api=1&amp;query=24.56953108,44.45371624", "View Map")</f>
        <v>View Map</v>
      </c>
      <c r="G4575" s="2">
        <v>0.48211197965676211</v>
      </c>
    </row>
    <row r="4576" spans="1:7" x14ac:dyDescent="0.3">
      <c r="A4576" t="s">
        <v>7887</v>
      </c>
      <c r="B4576" t="s">
        <v>7888</v>
      </c>
      <c r="C4576" t="s">
        <v>255</v>
      </c>
      <c r="D4576">
        <v>1.75</v>
      </c>
      <c r="E4576">
        <v>560</v>
      </c>
      <c r="F4576" t="str">
        <f>HYPERLINK("https://www.google.com/maps/search/?api=1&amp;query=25.15912025,44.59080021", "View Map")</f>
        <v>View Map</v>
      </c>
      <c r="G4576" s="2">
        <v>0.4830312245452078</v>
      </c>
    </row>
    <row r="4577" spans="1:7" x14ac:dyDescent="0.3">
      <c r="A4577" t="s">
        <v>7889</v>
      </c>
      <c r="B4577" t="s">
        <v>7890</v>
      </c>
      <c r="C4577" t="s">
        <v>364</v>
      </c>
      <c r="D4577">
        <v>1.7490000000000001</v>
      </c>
      <c r="E4577">
        <v>560</v>
      </c>
      <c r="F4577" t="str">
        <f>HYPERLINK("https://www.google.com/maps/search/?api=1&amp;query=25.2915635,45.78475372", "View Map")</f>
        <v>View Map</v>
      </c>
      <c r="G4577" s="2">
        <v>0.63251961394696432</v>
      </c>
    </row>
    <row r="4578" spans="1:7" x14ac:dyDescent="0.3">
      <c r="A4578" t="s">
        <v>7891</v>
      </c>
      <c r="B4578" t="s">
        <v>7892</v>
      </c>
      <c r="C4578" t="s">
        <v>55</v>
      </c>
      <c r="D4578">
        <v>1.7490000000000001</v>
      </c>
      <c r="E4578">
        <v>560</v>
      </c>
      <c r="F4578" t="str">
        <f>HYPERLINK("https://www.google.com/maps/search/?api=1&amp;query=24.73241,46.57832", "View Map")</f>
        <v>View Map</v>
      </c>
      <c r="G4578" s="2">
        <v>0.79682469623965957</v>
      </c>
    </row>
    <row r="4579" spans="1:7" x14ac:dyDescent="0.3">
      <c r="A4579" t="s">
        <v>7893</v>
      </c>
      <c r="B4579" t="s">
        <v>7894</v>
      </c>
      <c r="C4579" t="s">
        <v>270</v>
      </c>
      <c r="D4579">
        <v>1.7490000000000001</v>
      </c>
      <c r="E4579">
        <v>560</v>
      </c>
      <c r="F4579" t="str">
        <f>HYPERLINK("https://www.google.com/maps/search/?api=1&amp;query=24.13293292,47.15505113", "View Map")</f>
        <v>View Map</v>
      </c>
    </row>
    <row r="4580" spans="1:7" x14ac:dyDescent="0.3">
      <c r="A4580" t="s">
        <v>7895</v>
      </c>
      <c r="B4580" t="s">
        <v>7896</v>
      </c>
      <c r="C4580" t="s">
        <v>8</v>
      </c>
      <c r="D4580">
        <v>1.7490000000000001</v>
      </c>
      <c r="E4580">
        <v>560</v>
      </c>
      <c r="F4580" t="str">
        <f>HYPERLINK("https://www.google.com/maps/search/?api=1&amp;query=24.70018325,46.64911574", "View Map")</f>
        <v>View Map</v>
      </c>
    </row>
    <row r="4581" spans="1:7" x14ac:dyDescent="0.3">
      <c r="A4581" t="s">
        <v>7897</v>
      </c>
      <c r="B4581" t="s">
        <v>7898</v>
      </c>
      <c r="C4581" t="s">
        <v>255</v>
      </c>
      <c r="D4581">
        <v>1.748</v>
      </c>
      <c r="E4581">
        <v>559</v>
      </c>
      <c r="F4581" t="str">
        <f>HYPERLINK("https://www.google.com/maps/search/?api=1&amp;query=24.66147873,44.83254547", "View Map")</f>
        <v>View Map</v>
      </c>
      <c r="G4581" s="2">
        <v>0.35954723566550839</v>
      </c>
    </row>
    <row r="4582" spans="1:7" x14ac:dyDescent="0.3">
      <c r="A4582" t="s">
        <v>7899</v>
      </c>
      <c r="B4582" t="s">
        <v>7900</v>
      </c>
      <c r="C4582" t="s">
        <v>214</v>
      </c>
      <c r="D4582">
        <v>1.7470000000000001</v>
      </c>
      <c r="E4582">
        <v>559</v>
      </c>
      <c r="F4582" t="str">
        <f>HYPERLINK("https://www.google.com/maps/search/?api=1&amp;query=25.90238454,45.35256886", "View Map")</f>
        <v>View Map</v>
      </c>
      <c r="G4582" s="2">
        <v>0.50768341911682202</v>
      </c>
    </row>
    <row r="4583" spans="1:7" x14ac:dyDescent="0.3">
      <c r="A4583" t="s">
        <v>627</v>
      </c>
      <c r="B4583" t="s">
        <v>7901</v>
      </c>
      <c r="C4583" t="s">
        <v>8</v>
      </c>
      <c r="D4583">
        <v>1.7470000000000001</v>
      </c>
      <c r="E4583">
        <v>559</v>
      </c>
      <c r="F4583" t="str">
        <f>HYPERLINK("https://www.google.com/maps/search/?api=1&amp;query=24.63892197,46.61882601", "View Map")</f>
        <v>View Map</v>
      </c>
    </row>
    <row r="4584" spans="1:7" x14ac:dyDescent="0.3">
      <c r="A4584" t="s">
        <v>5204</v>
      </c>
      <c r="B4584" t="s">
        <v>7902</v>
      </c>
      <c r="C4584" t="s">
        <v>8</v>
      </c>
      <c r="D4584">
        <v>1.7470000000000001</v>
      </c>
      <c r="E4584">
        <v>559</v>
      </c>
      <c r="F4584" t="str">
        <f>HYPERLINK("https://www.google.com/maps/search/?api=1&amp;query=24.77318492,46.74155101", "View Map")</f>
        <v>View Map</v>
      </c>
    </row>
    <row r="4585" spans="1:7" x14ac:dyDescent="0.3">
      <c r="A4585" t="s">
        <v>7903</v>
      </c>
      <c r="B4585" t="s">
        <v>7904</v>
      </c>
      <c r="C4585" t="s">
        <v>255</v>
      </c>
      <c r="D4585">
        <v>1.746</v>
      </c>
      <c r="E4585">
        <v>559</v>
      </c>
      <c r="F4585" t="str">
        <f>HYPERLINK("https://www.google.com/maps/search/?api=1&amp;query=24.49771298,44.37919287", "View Map")</f>
        <v>View Map</v>
      </c>
    </row>
    <row r="4586" spans="1:7" x14ac:dyDescent="0.3">
      <c r="A4586" t="s">
        <v>46</v>
      </c>
      <c r="B4586" t="s">
        <v>7905</v>
      </c>
      <c r="C4586" t="s">
        <v>8</v>
      </c>
      <c r="D4586">
        <v>1.7450000000000001</v>
      </c>
      <c r="E4586">
        <v>558</v>
      </c>
      <c r="F4586" t="str">
        <f>HYPERLINK("https://www.google.com/maps/search/?api=1&amp;query=24.8867,46.6106", "View Map")</f>
        <v>View Map</v>
      </c>
    </row>
    <row r="4587" spans="1:7" x14ac:dyDescent="0.3">
      <c r="A4587" t="s">
        <v>146</v>
      </c>
      <c r="B4587" t="s">
        <v>7906</v>
      </c>
      <c r="C4587" t="s">
        <v>8</v>
      </c>
      <c r="D4587">
        <v>1.7450000000000001</v>
      </c>
      <c r="E4587">
        <v>558</v>
      </c>
      <c r="F4587" t="str">
        <f>HYPERLINK("https://www.google.com/maps/search/?api=1&amp;query=24.6159935,46.71311427", "View Map")</f>
        <v>View Map</v>
      </c>
    </row>
    <row r="4588" spans="1:7" x14ac:dyDescent="0.3">
      <c r="A4588" t="s">
        <v>7907</v>
      </c>
      <c r="B4588" t="s">
        <v>7908</v>
      </c>
      <c r="C4588" t="s">
        <v>21</v>
      </c>
      <c r="D4588">
        <v>1.7450000000000001</v>
      </c>
      <c r="E4588">
        <v>559</v>
      </c>
      <c r="F4588" t="str">
        <f>HYPERLINK("https://www.google.com/maps/search/?api=1&amp;query=26.31124244,44.79561454", "View Map")</f>
        <v>View Map</v>
      </c>
    </row>
    <row r="4589" spans="1:7" x14ac:dyDescent="0.3">
      <c r="A4589" t="s">
        <v>150</v>
      </c>
      <c r="B4589" t="s">
        <v>7909</v>
      </c>
      <c r="C4589" t="s">
        <v>8</v>
      </c>
      <c r="D4589">
        <v>1.7450000000000001</v>
      </c>
      <c r="E4589">
        <v>558</v>
      </c>
      <c r="F4589" t="str">
        <f>HYPERLINK("https://www.google.com/maps/search/?api=1&amp;query=24.81483793,46.73893518", "View Map")</f>
        <v>View Map</v>
      </c>
    </row>
    <row r="4590" spans="1:7" x14ac:dyDescent="0.3">
      <c r="A4590" t="s">
        <v>678</v>
      </c>
      <c r="B4590" t="s">
        <v>7910</v>
      </c>
      <c r="C4590" t="s">
        <v>21</v>
      </c>
      <c r="D4590">
        <v>1.7450000000000001</v>
      </c>
      <c r="E4590">
        <v>558</v>
      </c>
      <c r="F4590" t="str">
        <f>HYPERLINK("https://www.google.com/maps/search/?api=1&amp;query=26.30638294,44.88046455", "View Map")</f>
        <v>View Map</v>
      </c>
      <c r="G4590" s="2">
        <v>0.51454761547526184</v>
      </c>
    </row>
    <row r="4591" spans="1:7" x14ac:dyDescent="0.3">
      <c r="A4591" t="s">
        <v>7911</v>
      </c>
      <c r="B4591" t="s">
        <v>7912</v>
      </c>
      <c r="C4591" t="s">
        <v>291</v>
      </c>
      <c r="D4591">
        <v>1.744</v>
      </c>
      <c r="E4591">
        <v>558</v>
      </c>
      <c r="F4591" t="str">
        <f>HYPERLINK("https://www.google.com/maps/search/?api=1&amp;query=23.74861512,44.78524752", "View Map")</f>
        <v>View Map</v>
      </c>
      <c r="G4591" s="2">
        <v>0.85598444413405939</v>
      </c>
    </row>
    <row r="4592" spans="1:7" x14ac:dyDescent="0.3">
      <c r="A4592" t="s">
        <v>7913</v>
      </c>
      <c r="B4592" t="s">
        <v>7914</v>
      </c>
      <c r="C4592" t="s">
        <v>8</v>
      </c>
      <c r="D4592">
        <v>1.744</v>
      </c>
      <c r="E4592">
        <v>558</v>
      </c>
      <c r="F4592" t="str">
        <f>HYPERLINK("https://www.google.com/maps/search/?api=1&amp;query=24.5638059,46.6983198", "View Map")</f>
        <v>View Map</v>
      </c>
    </row>
    <row r="4593" spans="1:7" x14ac:dyDescent="0.3">
      <c r="A4593" t="s">
        <v>7915</v>
      </c>
      <c r="B4593" t="s">
        <v>7916</v>
      </c>
      <c r="C4593" t="s">
        <v>8</v>
      </c>
      <c r="D4593">
        <v>1.744</v>
      </c>
      <c r="E4593">
        <v>558</v>
      </c>
      <c r="F4593" t="str">
        <f>HYPERLINK("https://www.google.com/maps/search/?api=1&amp;query=24.5952346,46.64540346", "View Map")</f>
        <v>View Map</v>
      </c>
    </row>
    <row r="4594" spans="1:7" x14ac:dyDescent="0.3">
      <c r="A4594" t="s">
        <v>7917</v>
      </c>
      <c r="B4594" t="s">
        <v>7918</v>
      </c>
      <c r="C4594" t="s">
        <v>8</v>
      </c>
      <c r="D4594">
        <v>1.744</v>
      </c>
      <c r="E4594">
        <v>558</v>
      </c>
      <c r="F4594" t="str">
        <f>HYPERLINK("https://www.google.com/maps/search/?api=1&amp;query=24.69362563,46.70914528", "View Map")</f>
        <v>View Map</v>
      </c>
      <c r="G4594" s="2">
        <v>0.78459223572308046</v>
      </c>
    </row>
    <row r="4595" spans="1:7" x14ac:dyDescent="0.3">
      <c r="A4595" t="s">
        <v>7919</v>
      </c>
      <c r="B4595" t="s">
        <v>7920</v>
      </c>
      <c r="C4595" t="s">
        <v>364</v>
      </c>
      <c r="D4595">
        <v>1.7430000000000001</v>
      </c>
      <c r="E4595">
        <v>558</v>
      </c>
      <c r="F4595" t="str">
        <f>HYPERLINK("https://www.google.com/maps/search/?api=1&amp;query=25.26363987,45.86755789", "View Map")</f>
        <v>View Map</v>
      </c>
      <c r="G4595" s="2">
        <v>0.35898342711536207</v>
      </c>
    </row>
    <row r="4596" spans="1:7" x14ac:dyDescent="0.3">
      <c r="A4596" t="s">
        <v>7921</v>
      </c>
      <c r="B4596" t="s">
        <v>7922</v>
      </c>
      <c r="C4596" t="s">
        <v>291</v>
      </c>
      <c r="D4596">
        <v>1.7430000000000001</v>
      </c>
      <c r="E4596">
        <v>558</v>
      </c>
      <c r="F4596" t="str">
        <f>HYPERLINK("https://www.google.com/maps/search/?api=1&amp;query=23.84872371,44.99574978", "View Map")</f>
        <v>View Map</v>
      </c>
      <c r="G4596" s="2">
        <v>0.4183293167717258</v>
      </c>
    </row>
    <row r="4597" spans="1:7" x14ac:dyDescent="0.3">
      <c r="A4597" t="s">
        <v>7923</v>
      </c>
      <c r="B4597" t="s">
        <v>7924</v>
      </c>
      <c r="C4597" t="s">
        <v>8</v>
      </c>
      <c r="D4597">
        <v>1.742</v>
      </c>
      <c r="E4597">
        <v>557</v>
      </c>
      <c r="F4597" t="str">
        <f>HYPERLINK("https://www.google.com/maps/search/?api=1&amp;query=24.59738143,46.76602763", "View Map")</f>
        <v>View Map</v>
      </c>
    </row>
    <row r="4598" spans="1:7" x14ac:dyDescent="0.3">
      <c r="A4598" t="s">
        <v>146</v>
      </c>
      <c r="B4598" t="s">
        <v>7925</v>
      </c>
      <c r="C4598" t="s">
        <v>820</v>
      </c>
      <c r="D4598">
        <v>1.742</v>
      </c>
      <c r="E4598">
        <v>557</v>
      </c>
      <c r="F4598" t="str">
        <f>HYPERLINK("https://www.google.com/maps/search/?api=1&amp;query=0.0,0.0", "View Map")</f>
        <v>View Map</v>
      </c>
    </row>
    <row r="4599" spans="1:7" x14ac:dyDescent="0.3">
      <c r="A4599" t="s">
        <v>7926</v>
      </c>
      <c r="B4599" t="s">
        <v>7927</v>
      </c>
      <c r="C4599" t="s">
        <v>8</v>
      </c>
      <c r="D4599">
        <v>1.7410000000000001</v>
      </c>
      <c r="E4599">
        <v>557</v>
      </c>
      <c r="F4599" t="str">
        <f>HYPERLINK("https://www.google.com/maps/search/?api=1&amp;query=24.64237338,46.70168903", "View Map")</f>
        <v>View Map</v>
      </c>
    </row>
    <row r="4600" spans="1:7" x14ac:dyDescent="0.3">
      <c r="A4600" t="s">
        <v>7928</v>
      </c>
      <c r="B4600" t="s">
        <v>7929</v>
      </c>
      <c r="C4600" t="s">
        <v>30</v>
      </c>
      <c r="D4600">
        <v>1.7410000000000001</v>
      </c>
      <c r="E4600">
        <v>557</v>
      </c>
      <c r="F4600" t="str">
        <f>HYPERLINK("https://www.google.com/maps/search/?api=1&amp;query=24.1466684,47.38622608", "View Map")</f>
        <v>View Map</v>
      </c>
    </row>
    <row r="4601" spans="1:7" x14ac:dyDescent="0.3">
      <c r="A4601" t="s">
        <v>7930</v>
      </c>
      <c r="B4601" t="s">
        <v>7931</v>
      </c>
      <c r="C4601" t="s">
        <v>21</v>
      </c>
      <c r="D4601">
        <v>1.7410000000000001</v>
      </c>
      <c r="E4601">
        <v>557</v>
      </c>
      <c r="F4601" t="str">
        <f>HYPERLINK("https://www.google.com/maps/search/?api=1&amp;query=26.32035751,44.82305807", "View Map")</f>
        <v>View Map</v>
      </c>
      <c r="G4601" s="2">
        <v>0.43393928436724782</v>
      </c>
    </row>
    <row r="4602" spans="1:7" x14ac:dyDescent="0.3">
      <c r="A4602" t="s">
        <v>7932</v>
      </c>
      <c r="B4602" t="s">
        <v>7933</v>
      </c>
      <c r="C4602" t="s">
        <v>16</v>
      </c>
      <c r="D4602">
        <v>1.7410000000000001</v>
      </c>
      <c r="E4602">
        <v>557</v>
      </c>
      <c r="F4602" t="str">
        <f>HYPERLINK("https://www.google.com/maps/search/?api=1&amp;query=23.88145787,42.88846746", "View Map")</f>
        <v>View Map</v>
      </c>
      <c r="G4602" s="2">
        <v>0.27973593896076482</v>
      </c>
    </row>
    <row r="4603" spans="1:7" x14ac:dyDescent="0.3">
      <c r="A4603" t="s">
        <v>7934</v>
      </c>
      <c r="B4603" t="s">
        <v>7935</v>
      </c>
      <c r="C4603" t="s">
        <v>393</v>
      </c>
      <c r="D4603">
        <v>1.7410000000000001</v>
      </c>
      <c r="E4603">
        <v>557</v>
      </c>
      <c r="F4603" t="str">
        <f>HYPERLINK("https://www.google.com/maps/search/?api=1&amp;query=22.80417473,45.16692418", "View Map")</f>
        <v>View Map</v>
      </c>
      <c r="G4603" s="2">
        <v>0.60959152320503251</v>
      </c>
    </row>
    <row r="4604" spans="1:7" x14ac:dyDescent="0.3">
      <c r="A4604" t="s">
        <v>7936</v>
      </c>
      <c r="B4604" t="s">
        <v>7937</v>
      </c>
      <c r="C4604" t="s">
        <v>8</v>
      </c>
      <c r="D4604">
        <v>1.74</v>
      </c>
      <c r="E4604">
        <v>557</v>
      </c>
      <c r="F4604" t="str">
        <f>HYPERLINK("https://www.google.com/maps/search/?api=1&amp;query=24.82670287,46.74016395", "View Map")</f>
        <v>View Map</v>
      </c>
    </row>
    <row r="4605" spans="1:7" x14ac:dyDescent="0.3">
      <c r="A4605" t="s">
        <v>6647</v>
      </c>
      <c r="B4605" t="s">
        <v>7938</v>
      </c>
      <c r="C4605" t="s">
        <v>8</v>
      </c>
      <c r="D4605">
        <v>1.74</v>
      </c>
      <c r="E4605">
        <v>557</v>
      </c>
      <c r="F4605" t="str">
        <f>HYPERLINK("https://www.google.com/maps/search/?api=1&amp;query=24.73482398,46.81726352", "View Map")</f>
        <v>View Map</v>
      </c>
    </row>
    <row r="4606" spans="1:7" x14ac:dyDescent="0.3">
      <c r="A4606" t="s">
        <v>7939</v>
      </c>
      <c r="B4606" t="s">
        <v>7940</v>
      </c>
      <c r="C4606" t="s">
        <v>255</v>
      </c>
      <c r="D4606">
        <v>1.7390000000000001</v>
      </c>
      <c r="E4606">
        <v>557</v>
      </c>
      <c r="F4606" t="str">
        <f>HYPERLINK("https://www.google.com/maps/search/?api=1&amp;query=24.7146553,43.76642967", "View Map")</f>
        <v>View Map</v>
      </c>
      <c r="G4606" s="2">
        <v>0.39468028171785119</v>
      </c>
    </row>
    <row r="4607" spans="1:7" x14ac:dyDescent="0.3">
      <c r="A4607" t="s">
        <v>7941</v>
      </c>
      <c r="B4607" t="s">
        <v>7942</v>
      </c>
      <c r="C4607" t="s">
        <v>8</v>
      </c>
      <c r="D4607">
        <v>1.738</v>
      </c>
      <c r="E4607">
        <v>556</v>
      </c>
      <c r="F4607" t="str">
        <f>HYPERLINK("https://www.google.com/maps/search/?api=1&amp;query=24.74743239,46.79256609", "View Map")</f>
        <v>View Map</v>
      </c>
    </row>
    <row r="4608" spans="1:7" x14ac:dyDescent="0.3">
      <c r="A4608" t="s">
        <v>7943</v>
      </c>
      <c r="B4608" t="s">
        <v>7944</v>
      </c>
      <c r="C4608" t="s">
        <v>8</v>
      </c>
      <c r="D4608">
        <v>1.738</v>
      </c>
      <c r="E4608">
        <v>556</v>
      </c>
      <c r="F4608" t="str">
        <f>HYPERLINK("https://www.google.com/maps/search/?api=1&amp;query=24.76834081,46.69345578", "View Map")</f>
        <v>View Map</v>
      </c>
    </row>
    <row r="4609" spans="1:7" x14ac:dyDescent="0.3">
      <c r="A4609" t="s">
        <v>1064</v>
      </c>
      <c r="B4609" t="s">
        <v>7945</v>
      </c>
      <c r="C4609" t="s">
        <v>8</v>
      </c>
      <c r="D4609">
        <v>1.738</v>
      </c>
      <c r="E4609">
        <v>556</v>
      </c>
      <c r="F4609" t="str">
        <f>HYPERLINK("https://www.google.com/maps/search/?api=1&amp;query=24.71321018,46.81738632", "View Map")</f>
        <v>View Map</v>
      </c>
    </row>
    <row r="4610" spans="1:7" x14ac:dyDescent="0.3">
      <c r="A4610" t="s">
        <v>46</v>
      </c>
      <c r="B4610" t="s">
        <v>7946</v>
      </c>
      <c r="C4610" t="s">
        <v>8</v>
      </c>
      <c r="D4610">
        <v>1.7370000000000001</v>
      </c>
      <c r="E4610">
        <v>556</v>
      </c>
      <c r="F4610" t="str">
        <f>HYPERLINK("https://www.google.com/maps/search/?api=1&amp;query=24.93037602,46.79306524", "View Map")</f>
        <v>View Map</v>
      </c>
    </row>
    <row r="4611" spans="1:7" x14ac:dyDescent="0.3">
      <c r="A4611" t="s">
        <v>7947</v>
      </c>
      <c r="B4611" t="s">
        <v>7948</v>
      </c>
      <c r="C4611" t="s">
        <v>8</v>
      </c>
      <c r="D4611">
        <v>1.736</v>
      </c>
      <c r="E4611">
        <v>555</v>
      </c>
      <c r="F4611" t="str">
        <f>HYPERLINK("https://www.google.com/maps/search/?api=1&amp;query=24.6258664,46.76179574", "View Map")</f>
        <v>View Map</v>
      </c>
    </row>
    <row r="4612" spans="1:7" x14ac:dyDescent="0.3">
      <c r="A4612" t="s">
        <v>7949</v>
      </c>
      <c r="B4612" t="s">
        <v>7950</v>
      </c>
      <c r="C4612" t="s">
        <v>270</v>
      </c>
      <c r="D4612">
        <v>1.736</v>
      </c>
      <c r="E4612">
        <v>555</v>
      </c>
      <c r="F4612" t="str">
        <f>HYPERLINK("https://www.google.com/maps/search/?api=1&amp;query=24.08267,47.16461", "View Map")</f>
        <v>View Map</v>
      </c>
    </row>
    <row r="4613" spans="1:7" x14ac:dyDescent="0.3">
      <c r="A4613" t="s">
        <v>7951</v>
      </c>
      <c r="B4613" t="s">
        <v>7952</v>
      </c>
      <c r="C4613" t="s">
        <v>21</v>
      </c>
      <c r="D4613">
        <v>1.736</v>
      </c>
      <c r="E4613">
        <v>555</v>
      </c>
      <c r="F4613" t="str">
        <f>HYPERLINK("https://www.google.com/maps/search/?api=1&amp;query=26.34517068,44.78437661", "View Map")</f>
        <v>View Map</v>
      </c>
      <c r="G4613" s="2">
        <v>0.55295924367581784</v>
      </c>
    </row>
    <row r="4614" spans="1:7" x14ac:dyDescent="0.3">
      <c r="A4614" t="s">
        <v>7953</v>
      </c>
      <c r="B4614" t="s">
        <v>7954</v>
      </c>
      <c r="C4614" t="s">
        <v>255</v>
      </c>
      <c r="D4614">
        <v>1.7350000000000001</v>
      </c>
      <c r="E4614">
        <v>555</v>
      </c>
      <c r="F4614" t="str">
        <f>HYPERLINK("https://www.google.com/maps/search/?api=1&amp;query=24.53278433,44.28076299", "View Map")</f>
        <v>View Map</v>
      </c>
      <c r="G4614" s="2">
        <v>0.44097260471575811</v>
      </c>
    </row>
    <row r="4615" spans="1:7" x14ac:dyDescent="0.3">
      <c r="A4615" t="s">
        <v>7955</v>
      </c>
      <c r="B4615" t="s">
        <v>7956</v>
      </c>
      <c r="C4615" t="s">
        <v>296</v>
      </c>
      <c r="D4615">
        <v>1.734</v>
      </c>
      <c r="E4615">
        <v>555</v>
      </c>
      <c r="F4615" t="str">
        <f>HYPERLINK("https://www.google.com/maps/search/?api=1&amp;query=24.4820828,46.27771797", "View Map")</f>
        <v>View Map</v>
      </c>
      <c r="G4615" s="2">
        <v>0.64958386792561318</v>
      </c>
    </row>
    <row r="4616" spans="1:7" x14ac:dyDescent="0.3">
      <c r="A4616" t="s">
        <v>7957</v>
      </c>
      <c r="B4616" t="s">
        <v>7958</v>
      </c>
      <c r="C4616" t="s">
        <v>291</v>
      </c>
      <c r="D4616">
        <v>1.734</v>
      </c>
      <c r="E4616">
        <v>555</v>
      </c>
      <c r="F4616" t="str">
        <f>HYPERLINK("https://www.google.com/maps/search/?api=1&amp;query=24.07177566,45.28813596", "View Map")</f>
        <v>View Map</v>
      </c>
      <c r="G4616" s="2">
        <v>0.43601600908964838</v>
      </c>
    </row>
    <row r="4617" spans="1:7" x14ac:dyDescent="0.3">
      <c r="A4617" t="s">
        <v>46</v>
      </c>
      <c r="B4617" t="s">
        <v>7959</v>
      </c>
      <c r="C4617" t="s">
        <v>8</v>
      </c>
      <c r="D4617">
        <v>1.734</v>
      </c>
      <c r="E4617">
        <v>555</v>
      </c>
      <c r="F4617" t="str">
        <f>HYPERLINK("https://www.google.com/maps/search/?api=1&amp;query=24.39800554,46.84309455", "View Map")</f>
        <v>View Map</v>
      </c>
      <c r="G4617" s="2">
        <v>0.47795967166922559</v>
      </c>
    </row>
    <row r="4618" spans="1:7" x14ac:dyDescent="0.3">
      <c r="A4618" t="s">
        <v>459</v>
      </c>
      <c r="B4618" t="s">
        <v>7960</v>
      </c>
      <c r="C4618" t="s">
        <v>8</v>
      </c>
      <c r="D4618">
        <v>1.734</v>
      </c>
      <c r="E4618">
        <v>555</v>
      </c>
      <c r="F4618" t="str">
        <f>HYPERLINK("https://www.google.com/maps/search/?api=1&amp;query=24.63540842242,46.557078692864", "View Map")</f>
        <v>View Map</v>
      </c>
      <c r="G4618" s="2">
        <v>0.34857833447338049</v>
      </c>
    </row>
    <row r="4619" spans="1:7" x14ac:dyDescent="0.3">
      <c r="A4619" t="s">
        <v>46</v>
      </c>
      <c r="B4619" t="s">
        <v>7961</v>
      </c>
      <c r="C4619" t="s">
        <v>8</v>
      </c>
      <c r="D4619">
        <v>1.7330000000000001</v>
      </c>
      <c r="E4619">
        <v>555</v>
      </c>
      <c r="F4619" t="str">
        <f>HYPERLINK("https://www.google.com/maps/search/?api=1&amp;query=24.88832178,46.63600145", "View Map")</f>
        <v>View Map</v>
      </c>
    </row>
    <row r="4620" spans="1:7" x14ac:dyDescent="0.3">
      <c r="A4620" t="s">
        <v>150</v>
      </c>
      <c r="B4620" t="s">
        <v>7962</v>
      </c>
      <c r="C4620" t="s">
        <v>8</v>
      </c>
      <c r="D4620">
        <v>1.7330000000000001</v>
      </c>
      <c r="E4620">
        <v>555</v>
      </c>
      <c r="F4620" t="str">
        <f>HYPERLINK("https://www.google.com/maps/search/?api=1&amp;query=24.73413149,46.60833084", "View Map")</f>
        <v>View Map</v>
      </c>
    </row>
    <row r="4621" spans="1:7" x14ac:dyDescent="0.3">
      <c r="A4621" t="s">
        <v>7963</v>
      </c>
      <c r="B4621" t="s">
        <v>7964</v>
      </c>
      <c r="C4621" t="s">
        <v>8</v>
      </c>
      <c r="D4621">
        <v>1.732</v>
      </c>
      <c r="E4621">
        <v>554</v>
      </c>
      <c r="F4621" t="str">
        <f>HYPERLINK("https://www.google.com/maps/search/?api=1&amp;query=24.62227729,46.56980949", "View Map")</f>
        <v>View Map</v>
      </c>
    </row>
    <row r="4622" spans="1:7" x14ac:dyDescent="0.3">
      <c r="A4622" t="s">
        <v>7965</v>
      </c>
      <c r="B4622" t="s">
        <v>7966</v>
      </c>
      <c r="C4622" t="s">
        <v>21</v>
      </c>
      <c r="D4622">
        <v>1.732</v>
      </c>
      <c r="E4622">
        <v>554</v>
      </c>
      <c r="F4622" t="str">
        <f>HYPERLINK("https://www.google.com/maps/search/?api=1&amp;query=26.29632021,44.82781016", "View Map")</f>
        <v>View Map</v>
      </c>
    </row>
    <row r="4623" spans="1:7" x14ac:dyDescent="0.3">
      <c r="A4623" t="s">
        <v>28</v>
      </c>
      <c r="B4623" t="s">
        <v>7967</v>
      </c>
      <c r="C4623" t="s">
        <v>30</v>
      </c>
      <c r="D4623">
        <v>1.732</v>
      </c>
      <c r="E4623">
        <v>554</v>
      </c>
      <c r="F4623" t="str">
        <f>HYPERLINK("https://www.google.com/maps/search/?api=1&amp;query=24.10503441,47.28804432", "View Map")</f>
        <v>View Map</v>
      </c>
    </row>
    <row r="4624" spans="1:7" x14ac:dyDescent="0.3">
      <c r="A4624" t="s">
        <v>881</v>
      </c>
      <c r="B4624" t="s">
        <v>7968</v>
      </c>
      <c r="C4624" t="s">
        <v>883</v>
      </c>
      <c r="D4624">
        <v>1.732</v>
      </c>
      <c r="E4624">
        <v>554</v>
      </c>
      <c r="F4624" t="str">
        <f>HYPERLINK("https://www.google.com/maps/search/?api=1&amp;query=25.55198712,47.17972003", "View Map")</f>
        <v>View Map</v>
      </c>
    </row>
    <row r="4625" spans="1:7" x14ac:dyDescent="0.3">
      <c r="A4625" t="s">
        <v>7969</v>
      </c>
      <c r="B4625" t="s">
        <v>7970</v>
      </c>
      <c r="C4625" t="s">
        <v>8</v>
      </c>
      <c r="D4625">
        <v>1.732</v>
      </c>
      <c r="E4625">
        <v>554</v>
      </c>
      <c r="F4625" t="str">
        <f>HYPERLINK("https://www.google.com/maps/search/?api=1&amp;query=24.49931966,46.62987886", "View Map")</f>
        <v>View Map</v>
      </c>
    </row>
    <row r="4626" spans="1:7" x14ac:dyDescent="0.3">
      <c r="A4626" t="s">
        <v>530</v>
      </c>
      <c r="B4626" t="s">
        <v>7971</v>
      </c>
      <c r="C4626" t="s">
        <v>8</v>
      </c>
      <c r="D4626">
        <v>1.73</v>
      </c>
      <c r="E4626">
        <v>554</v>
      </c>
      <c r="F4626" t="str">
        <f>HYPERLINK("https://www.google.com/maps/search/?api=1&amp;query=24.73861982,46.75275256", "View Map")</f>
        <v>View Map</v>
      </c>
    </row>
    <row r="4627" spans="1:7" x14ac:dyDescent="0.3">
      <c r="A4627" t="s">
        <v>7972</v>
      </c>
      <c r="B4627" t="s">
        <v>7973</v>
      </c>
      <c r="C4627" t="s">
        <v>8</v>
      </c>
      <c r="D4627">
        <v>1.73</v>
      </c>
      <c r="E4627">
        <v>553</v>
      </c>
      <c r="F4627" t="str">
        <f>HYPERLINK("https://www.google.com/maps/search/?api=1&amp;query=24.67855253,46.71086464", "View Map")</f>
        <v>View Map</v>
      </c>
    </row>
    <row r="4628" spans="1:7" x14ac:dyDescent="0.3">
      <c r="A4628" t="s">
        <v>7974</v>
      </c>
      <c r="B4628" t="s">
        <v>7975</v>
      </c>
      <c r="C4628" t="s">
        <v>646</v>
      </c>
      <c r="D4628">
        <v>1.73</v>
      </c>
      <c r="E4628">
        <v>554</v>
      </c>
      <c r="F4628" t="str">
        <f>HYPERLINK("https://www.google.com/maps/search/?api=1&amp;query=20.44945717,45.58450984", "View Map")</f>
        <v>View Map</v>
      </c>
      <c r="G4628" s="2">
        <v>0.4609268581280267</v>
      </c>
    </row>
    <row r="4629" spans="1:7" x14ac:dyDescent="0.3">
      <c r="A4629" t="s">
        <v>405</v>
      </c>
      <c r="B4629" t="s">
        <v>7976</v>
      </c>
      <c r="C4629" t="s">
        <v>8</v>
      </c>
      <c r="D4629">
        <v>1.7290000000000001</v>
      </c>
      <c r="E4629">
        <v>553</v>
      </c>
      <c r="F4629" t="str">
        <f>HYPERLINK("https://www.google.com/maps/search/?api=1&amp;query=24.69643018,46.86031652", "View Map")</f>
        <v>View Map</v>
      </c>
      <c r="G4629" s="2">
        <v>0.48369102051462382</v>
      </c>
    </row>
    <row r="4630" spans="1:7" x14ac:dyDescent="0.3">
      <c r="A4630" t="s">
        <v>7977</v>
      </c>
      <c r="B4630" t="s">
        <v>7978</v>
      </c>
      <c r="C4630" t="s">
        <v>8</v>
      </c>
      <c r="D4630">
        <v>1.7290000000000001</v>
      </c>
      <c r="E4630">
        <v>553</v>
      </c>
      <c r="F4630" t="str">
        <f>HYPERLINK("https://www.google.com/maps/search/?api=1&amp;query=24.78297198,46.78210785", "View Map")</f>
        <v>View Map</v>
      </c>
    </row>
    <row r="4631" spans="1:7" x14ac:dyDescent="0.3">
      <c r="A4631" t="s">
        <v>7979</v>
      </c>
      <c r="B4631" t="s">
        <v>7980</v>
      </c>
      <c r="C4631" t="s">
        <v>8</v>
      </c>
      <c r="D4631">
        <v>1.7290000000000001</v>
      </c>
      <c r="E4631">
        <v>553</v>
      </c>
      <c r="F4631" t="str">
        <f>HYPERLINK("https://www.google.com/maps/search/?api=1&amp;query=24.789043,46.79221283", "View Map")</f>
        <v>View Map</v>
      </c>
    </row>
    <row r="4632" spans="1:7" x14ac:dyDescent="0.3">
      <c r="A4632" t="s">
        <v>7981</v>
      </c>
      <c r="B4632" t="s">
        <v>7982</v>
      </c>
      <c r="C4632" t="s">
        <v>8</v>
      </c>
      <c r="D4632">
        <v>1.7290000000000001</v>
      </c>
      <c r="E4632">
        <v>553</v>
      </c>
      <c r="F4632" t="str">
        <f>HYPERLINK("https://www.google.com/maps/search/?api=1&amp;query=24.54393524,46.70151236", "View Map")</f>
        <v>View Map</v>
      </c>
    </row>
    <row r="4633" spans="1:7" x14ac:dyDescent="0.3">
      <c r="A4633" t="s">
        <v>7983</v>
      </c>
      <c r="B4633" t="s">
        <v>7984</v>
      </c>
      <c r="C4633" t="s">
        <v>21</v>
      </c>
      <c r="D4633">
        <v>1.728</v>
      </c>
      <c r="E4633">
        <v>553</v>
      </c>
      <c r="F4633" t="str">
        <f>HYPERLINK("https://www.google.com/maps/search/?api=1&amp;query=26.31754738,44.79509351", "View Map")</f>
        <v>View Map</v>
      </c>
      <c r="G4633" s="2">
        <v>0.48515036104650261</v>
      </c>
    </row>
    <row r="4634" spans="1:7" x14ac:dyDescent="0.3">
      <c r="A4634" t="s">
        <v>7985</v>
      </c>
      <c r="B4634" t="s">
        <v>7986</v>
      </c>
      <c r="C4634" t="s">
        <v>8</v>
      </c>
      <c r="D4634">
        <v>1.728</v>
      </c>
      <c r="E4634">
        <v>553</v>
      </c>
      <c r="F4634" t="str">
        <f>HYPERLINK("https://www.google.com/maps/search/?api=1&amp;query=24.55243836,46.69424138", "View Map")</f>
        <v>View Map</v>
      </c>
    </row>
    <row r="4635" spans="1:7" x14ac:dyDescent="0.3">
      <c r="A4635" t="s">
        <v>7987</v>
      </c>
      <c r="B4635" t="s">
        <v>7988</v>
      </c>
      <c r="C4635" t="s">
        <v>8</v>
      </c>
      <c r="D4635">
        <v>1.7270000000000001</v>
      </c>
      <c r="E4635">
        <v>553</v>
      </c>
      <c r="F4635" t="str">
        <f>HYPERLINK("https://www.google.com/maps/search/?api=1&amp;query=24.70454472,46.74208885", "View Map")</f>
        <v>View Map</v>
      </c>
    </row>
    <row r="4636" spans="1:7" x14ac:dyDescent="0.3">
      <c r="A4636" t="s">
        <v>28</v>
      </c>
      <c r="B4636" t="s">
        <v>7989</v>
      </c>
      <c r="C4636" t="s">
        <v>30</v>
      </c>
      <c r="D4636">
        <v>1.7270000000000001</v>
      </c>
      <c r="E4636">
        <v>553</v>
      </c>
      <c r="F4636" t="str">
        <f>HYPERLINK("https://www.google.com/maps/search/?api=1&amp;query=24.0945035,47.27503035", "View Map")</f>
        <v>View Map</v>
      </c>
      <c r="G4636" s="2">
        <v>0.6771813075463049</v>
      </c>
    </row>
    <row r="4637" spans="1:7" x14ac:dyDescent="0.3">
      <c r="A4637" t="s">
        <v>7990</v>
      </c>
      <c r="B4637" t="s">
        <v>7991</v>
      </c>
      <c r="C4637" t="s">
        <v>8</v>
      </c>
      <c r="D4637">
        <v>1.7270000000000001</v>
      </c>
      <c r="E4637">
        <v>553</v>
      </c>
      <c r="F4637" t="str">
        <f>HYPERLINK("https://www.google.com/maps/search/?api=1&amp;query=24.58574158,46.5890097", "View Map")</f>
        <v>View Map</v>
      </c>
    </row>
    <row r="4638" spans="1:7" x14ac:dyDescent="0.3">
      <c r="A4638" t="s">
        <v>7992</v>
      </c>
      <c r="B4638" t="s">
        <v>7993</v>
      </c>
      <c r="C4638" t="s">
        <v>296</v>
      </c>
      <c r="D4638">
        <v>1.726</v>
      </c>
      <c r="E4638">
        <v>552</v>
      </c>
      <c r="F4638" t="str">
        <f>HYPERLINK("https://www.google.com/maps/search/?api=1&amp;query=24.46587334,46.28198574", "View Map")</f>
        <v>View Map</v>
      </c>
      <c r="G4638" s="2">
        <v>0.36740668653229741</v>
      </c>
    </row>
    <row r="4639" spans="1:7" x14ac:dyDescent="0.3">
      <c r="A4639" t="s">
        <v>7994</v>
      </c>
      <c r="B4639" t="s">
        <v>7995</v>
      </c>
      <c r="C4639" t="s">
        <v>8</v>
      </c>
      <c r="D4639">
        <v>1.726</v>
      </c>
      <c r="E4639">
        <v>552</v>
      </c>
      <c r="F4639" t="str">
        <f>HYPERLINK("https://www.google.com/maps/search/?api=1&amp;query=24.62069505,46.76202884", "View Map")</f>
        <v>View Map</v>
      </c>
    </row>
    <row r="4640" spans="1:7" x14ac:dyDescent="0.3">
      <c r="A4640" t="s">
        <v>7996</v>
      </c>
      <c r="B4640" t="s">
        <v>7997</v>
      </c>
      <c r="C4640" t="s">
        <v>8</v>
      </c>
      <c r="D4640">
        <v>1.726</v>
      </c>
      <c r="E4640">
        <v>552</v>
      </c>
      <c r="F4640" t="str">
        <f>HYPERLINK("https://www.google.com/maps/search/?api=1&amp;query=24.67312695,46.72081699", "View Map")</f>
        <v>View Map</v>
      </c>
    </row>
    <row r="4641" spans="1:7" x14ac:dyDescent="0.3">
      <c r="A4641" t="s">
        <v>160</v>
      </c>
      <c r="B4641" t="s">
        <v>7998</v>
      </c>
      <c r="C4641" t="s">
        <v>8</v>
      </c>
      <c r="D4641">
        <v>1.724</v>
      </c>
      <c r="E4641">
        <v>552</v>
      </c>
      <c r="F4641" t="str">
        <f>HYPERLINK("https://www.google.com/maps/search/?api=1&amp;query=24.6890308,46.64993002", "View Map")</f>
        <v>View Map</v>
      </c>
    </row>
    <row r="4642" spans="1:7" x14ac:dyDescent="0.3">
      <c r="A4642" t="s">
        <v>7999</v>
      </c>
      <c r="B4642" t="s">
        <v>8000</v>
      </c>
      <c r="C4642" t="s">
        <v>738</v>
      </c>
      <c r="D4642">
        <v>1.724</v>
      </c>
      <c r="E4642">
        <v>552</v>
      </c>
      <c r="F4642" t="str">
        <f>HYPERLINK("https://www.google.com/maps/search/?api=1&amp;query=25.12260162,46.08378967", "View Map")</f>
        <v>View Map</v>
      </c>
      <c r="G4642" s="2">
        <v>0.63433748611348628</v>
      </c>
    </row>
    <row r="4643" spans="1:7" x14ac:dyDescent="0.3">
      <c r="A4643" t="s">
        <v>8001</v>
      </c>
      <c r="B4643" t="s">
        <v>8002</v>
      </c>
      <c r="C4643" t="s">
        <v>8</v>
      </c>
      <c r="D4643">
        <v>1.724</v>
      </c>
      <c r="E4643">
        <v>552</v>
      </c>
      <c r="F4643" t="str">
        <f>HYPERLINK("https://www.google.com/maps/search/?api=1&amp;query=24.81124286,46.87934113", "View Map")</f>
        <v>View Map</v>
      </c>
    </row>
    <row r="4644" spans="1:7" x14ac:dyDescent="0.3">
      <c r="A4644" t="s">
        <v>8003</v>
      </c>
      <c r="B4644" t="s">
        <v>8004</v>
      </c>
      <c r="C4644" t="s">
        <v>286</v>
      </c>
      <c r="D4644">
        <v>1.7230000000000001</v>
      </c>
      <c r="E4644">
        <v>551</v>
      </c>
      <c r="F4644" t="str">
        <f>HYPERLINK("https://www.google.com/maps/search/?api=1&amp;query=25.29705924,45.52116583", "View Map")</f>
        <v>View Map</v>
      </c>
    </row>
    <row r="4645" spans="1:7" x14ac:dyDescent="0.3">
      <c r="A4645" t="s">
        <v>46</v>
      </c>
      <c r="B4645" t="s">
        <v>8005</v>
      </c>
      <c r="C4645" t="s">
        <v>8</v>
      </c>
      <c r="D4645">
        <v>1.722</v>
      </c>
      <c r="E4645">
        <v>551</v>
      </c>
      <c r="F4645" t="str">
        <f>HYPERLINK("https://www.google.com/maps/search/?api=1&amp;query=24.86586241,46.66731139", "View Map")</f>
        <v>View Map</v>
      </c>
    </row>
    <row r="4646" spans="1:7" x14ac:dyDescent="0.3">
      <c r="A4646" t="s">
        <v>8006</v>
      </c>
      <c r="B4646" t="s">
        <v>8007</v>
      </c>
      <c r="C4646" t="s">
        <v>8</v>
      </c>
      <c r="D4646">
        <v>1.7210000000000001</v>
      </c>
      <c r="E4646">
        <v>551</v>
      </c>
      <c r="F4646" t="str">
        <f>HYPERLINK("https://www.google.com/maps/search/?api=1&amp;query=24.63232283,46.72628008", "View Map")</f>
        <v>View Map</v>
      </c>
    </row>
    <row r="4647" spans="1:7" x14ac:dyDescent="0.3">
      <c r="A4647" t="s">
        <v>8008</v>
      </c>
      <c r="B4647" t="s">
        <v>8009</v>
      </c>
      <c r="C4647" t="s">
        <v>241</v>
      </c>
      <c r="D4647">
        <v>1.7210000000000001</v>
      </c>
      <c r="E4647">
        <v>551</v>
      </c>
      <c r="F4647" t="str">
        <f>HYPERLINK("https://www.google.com/maps/search/?api=1&amp;query=20.47446224,44.79246046", "View Map")</f>
        <v>View Map</v>
      </c>
      <c r="G4647" s="2">
        <v>0.55253040226876526</v>
      </c>
    </row>
    <row r="4648" spans="1:7" x14ac:dyDescent="0.3">
      <c r="A4648" t="s">
        <v>8010</v>
      </c>
      <c r="B4648" t="s">
        <v>8011</v>
      </c>
      <c r="C4648" t="s">
        <v>241</v>
      </c>
      <c r="D4648">
        <v>1.72</v>
      </c>
      <c r="E4648">
        <v>551</v>
      </c>
      <c r="F4648" t="str">
        <f>HYPERLINK("https://www.google.com/maps/search/?api=1&amp;query=20.45192629,44.70467169", "View Map")</f>
        <v>View Map</v>
      </c>
    </row>
    <row r="4649" spans="1:7" x14ac:dyDescent="0.3">
      <c r="A4649" t="s">
        <v>352</v>
      </c>
      <c r="B4649" t="s">
        <v>8012</v>
      </c>
      <c r="C4649" t="s">
        <v>8</v>
      </c>
      <c r="D4649">
        <v>1.72</v>
      </c>
      <c r="E4649">
        <v>551</v>
      </c>
      <c r="F4649" t="str">
        <f>HYPERLINK("https://www.google.com/maps/search/?api=1&amp;query=24.76179263,46.76630122", "View Map")</f>
        <v>View Map</v>
      </c>
    </row>
    <row r="4650" spans="1:7" x14ac:dyDescent="0.3">
      <c r="A4650" t="s">
        <v>8013</v>
      </c>
      <c r="B4650" t="s">
        <v>8014</v>
      </c>
      <c r="C4650" t="s">
        <v>8</v>
      </c>
      <c r="D4650">
        <v>1.72</v>
      </c>
      <c r="E4650">
        <v>550</v>
      </c>
      <c r="F4650" t="str">
        <f>HYPERLINK("https://www.google.com/maps/search/?api=1&amp;query=24.69490864,46.68243508", "View Map")</f>
        <v>View Map</v>
      </c>
    </row>
    <row r="4651" spans="1:7" x14ac:dyDescent="0.3">
      <c r="A4651" t="s">
        <v>8015</v>
      </c>
      <c r="B4651" t="s">
        <v>8016</v>
      </c>
      <c r="C4651" t="s">
        <v>291</v>
      </c>
      <c r="D4651">
        <v>1.7190000000000001</v>
      </c>
      <c r="E4651">
        <v>550</v>
      </c>
      <c r="F4651" t="str">
        <f>HYPERLINK("https://www.google.com/maps/search/?api=1&amp;query=24.04319253,45.25161055", "View Map")</f>
        <v>View Map</v>
      </c>
      <c r="G4651" s="2">
        <v>0.36935774047153802</v>
      </c>
    </row>
    <row r="4652" spans="1:7" x14ac:dyDescent="0.3">
      <c r="A4652" t="s">
        <v>8017</v>
      </c>
      <c r="B4652" t="s">
        <v>8018</v>
      </c>
      <c r="C4652" t="s">
        <v>393</v>
      </c>
      <c r="D4652">
        <v>1.7190000000000001</v>
      </c>
      <c r="E4652">
        <v>550</v>
      </c>
      <c r="F4652" t="str">
        <f>HYPERLINK("https://www.google.com/maps/search/?api=1&amp;query=23.51494114,45.52594087", "View Map")</f>
        <v>View Map</v>
      </c>
      <c r="G4652" s="2">
        <v>0.84977943308327786</v>
      </c>
    </row>
    <row r="4653" spans="1:7" x14ac:dyDescent="0.3">
      <c r="A4653" t="s">
        <v>8019</v>
      </c>
      <c r="B4653" t="s">
        <v>8020</v>
      </c>
      <c r="C4653" t="s">
        <v>214</v>
      </c>
      <c r="D4653">
        <v>1.718</v>
      </c>
      <c r="E4653">
        <v>550</v>
      </c>
      <c r="F4653" t="str">
        <f>HYPERLINK("https://www.google.com/maps/search/?api=1&amp;query=25.5918234,45.62538937", "View Map")</f>
        <v>View Map</v>
      </c>
      <c r="G4653" s="2">
        <v>0.47362584999193769</v>
      </c>
    </row>
    <row r="4654" spans="1:7" x14ac:dyDescent="0.3">
      <c r="A4654" t="s">
        <v>8021</v>
      </c>
      <c r="B4654" t="s">
        <v>8022</v>
      </c>
      <c r="C4654" t="s">
        <v>286</v>
      </c>
      <c r="D4654">
        <v>1.718</v>
      </c>
      <c r="E4654">
        <v>550</v>
      </c>
      <c r="F4654" t="str">
        <f>HYPERLINK("https://www.google.com/maps/search/?api=1&amp;query=25.34035645,45.18349809", "View Map")</f>
        <v>View Map</v>
      </c>
      <c r="G4654" s="2">
        <v>0.45997572692287142</v>
      </c>
    </row>
    <row r="4655" spans="1:7" x14ac:dyDescent="0.3">
      <c r="A4655" t="s">
        <v>1700</v>
      </c>
      <c r="B4655" t="s">
        <v>8023</v>
      </c>
      <c r="C4655" t="s">
        <v>8</v>
      </c>
      <c r="D4655">
        <v>1.718</v>
      </c>
      <c r="E4655">
        <v>550</v>
      </c>
      <c r="F4655" t="str">
        <f>HYPERLINK("https://www.google.com/maps/search/?api=1&amp;query=24.77707811,46.78082179", "View Map")</f>
        <v>View Map</v>
      </c>
    </row>
    <row r="4656" spans="1:7" x14ac:dyDescent="0.3">
      <c r="A4656" t="s">
        <v>8024</v>
      </c>
      <c r="B4656" t="s">
        <v>8025</v>
      </c>
      <c r="C4656" t="s">
        <v>8</v>
      </c>
      <c r="D4656">
        <v>1.718</v>
      </c>
      <c r="E4656">
        <v>550</v>
      </c>
      <c r="F4656" t="str">
        <f>HYPERLINK("https://www.google.com/maps/search/?api=1&amp;query=24.53702639,46.65281047", "View Map")</f>
        <v>View Map</v>
      </c>
    </row>
    <row r="4657" spans="1:7" x14ac:dyDescent="0.3">
      <c r="A4657" t="s">
        <v>8026</v>
      </c>
      <c r="B4657" t="s">
        <v>8027</v>
      </c>
      <c r="C4657" t="s">
        <v>364</v>
      </c>
      <c r="D4657">
        <v>1.7170000000000001</v>
      </c>
      <c r="E4657">
        <v>549</v>
      </c>
      <c r="F4657" t="str">
        <f>HYPERLINK("https://www.google.com/maps/search/?api=1&amp;query=25.16076551,45.79628386", "View Map")</f>
        <v>View Map</v>
      </c>
      <c r="G4657" s="2">
        <v>0.60265736402771308</v>
      </c>
    </row>
    <row r="4658" spans="1:7" x14ac:dyDescent="0.3">
      <c r="A4658" t="s">
        <v>46</v>
      </c>
      <c r="B4658" t="s">
        <v>8028</v>
      </c>
      <c r="C4658" t="s">
        <v>8</v>
      </c>
      <c r="D4658">
        <v>1.7170000000000001</v>
      </c>
      <c r="E4658">
        <v>549</v>
      </c>
      <c r="F4658" t="str">
        <f>HYPERLINK("https://www.google.com/maps/search/?api=1&amp;query=24.691375,46.67529229", "View Map")</f>
        <v>View Map</v>
      </c>
    </row>
    <row r="4659" spans="1:7" x14ac:dyDescent="0.3">
      <c r="A4659" t="s">
        <v>8029</v>
      </c>
      <c r="B4659" t="s">
        <v>8030</v>
      </c>
      <c r="C4659" t="s">
        <v>8</v>
      </c>
      <c r="D4659">
        <v>1.7170000000000001</v>
      </c>
      <c r="E4659">
        <v>549</v>
      </c>
      <c r="F4659" t="str">
        <f>HYPERLINK("https://www.google.com/maps/search/?api=1&amp;query=24.78872338,46.81821817", "View Map")</f>
        <v>View Map</v>
      </c>
    </row>
    <row r="4660" spans="1:7" x14ac:dyDescent="0.3">
      <c r="A4660" t="s">
        <v>1594</v>
      </c>
      <c r="B4660" t="s">
        <v>8031</v>
      </c>
      <c r="C4660" t="s">
        <v>296</v>
      </c>
      <c r="D4660">
        <v>1.7150000000000001</v>
      </c>
      <c r="E4660">
        <v>549</v>
      </c>
      <c r="F4660" t="str">
        <f>HYPERLINK("https://www.google.com/maps/search/?api=1&amp;query=24.45672382,46.27073222", "View Map")</f>
        <v>View Map</v>
      </c>
    </row>
    <row r="4661" spans="1:7" x14ac:dyDescent="0.3">
      <c r="A4661" t="s">
        <v>8032</v>
      </c>
      <c r="B4661" t="s">
        <v>8033</v>
      </c>
      <c r="C4661" t="s">
        <v>21</v>
      </c>
      <c r="D4661">
        <v>1.714</v>
      </c>
      <c r="E4661">
        <v>548</v>
      </c>
      <c r="F4661" t="str">
        <f>HYPERLINK("https://www.google.com/maps/search/?api=1&amp;query=26.29433903,44.80953842", "View Map")</f>
        <v>View Map</v>
      </c>
    </row>
    <row r="4662" spans="1:7" x14ac:dyDescent="0.3">
      <c r="A4662" t="s">
        <v>8034</v>
      </c>
      <c r="B4662" t="s">
        <v>8035</v>
      </c>
      <c r="C4662" t="s">
        <v>393</v>
      </c>
      <c r="D4662">
        <v>1.714</v>
      </c>
      <c r="E4662">
        <v>548</v>
      </c>
      <c r="F4662" t="str">
        <f>HYPERLINK("https://www.google.com/maps/search/?api=1&amp;query=22.48734252,45.04831063", "View Map")</f>
        <v>View Map</v>
      </c>
      <c r="G4662" s="2">
        <v>0.56728182746310218</v>
      </c>
    </row>
    <row r="4663" spans="1:7" x14ac:dyDescent="0.3">
      <c r="A4663" t="s">
        <v>8036</v>
      </c>
      <c r="B4663" t="s">
        <v>8037</v>
      </c>
      <c r="C4663" t="s">
        <v>8</v>
      </c>
      <c r="D4663">
        <v>1.7130000000000001</v>
      </c>
      <c r="E4663">
        <v>548</v>
      </c>
      <c r="F4663" t="str">
        <f>HYPERLINK("https://www.google.com/maps/search/?api=1&amp;query=24.7992866,46.62638328", "View Map")</f>
        <v>View Map</v>
      </c>
    </row>
    <row r="4664" spans="1:7" x14ac:dyDescent="0.3">
      <c r="A4664" t="s">
        <v>8038</v>
      </c>
      <c r="B4664" t="s">
        <v>8039</v>
      </c>
      <c r="C4664" t="s">
        <v>8</v>
      </c>
      <c r="D4664">
        <v>1.7130000000000001</v>
      </c>
      <c r="E4664">
        <v>548</v>
      </c>
      <c r="F4664" t="str">
        <f>HYPERLINK("https://www.google.com/maps/search/?api=1&amp;query=24.92223137,46.77732115", "View Map")</f>
        <v>View Map</v>
      </c>
    </row>
    <row r="4665" spans="1:7" x14ac:dyDescent="0.3">
      <c r="A4665" t="s">
        <v>8040</v>
      </c>
      <c r="B4665" t="s">
        <v>8041</v>
      </c>
      <c r="C4665" t="s">
        <v>8</v>
      </c>
      <c r="D4665">
        <v>1.7110000000000001</v>
      </c>
      <c r="E4665">
        <v>547</v>
      </c>
      <c r="F4665" t="str">
        <f>HYPERLINK("https://www.google.com/maps/search/?api=1&amp;query=24.59750659,46.64263773", "View Map")</f>
        <v>View Map</v>
      </c>
    </row>
    <row r="4666" spans="1:7" x14ac:dyDescent="0.3">
      <c r="A4666" t="s">
        <v>8042</v>
      </c>
      <c r="B4666" t="s">
        <v>8043</v>
      </c>
      <c r="C4666" t="s">
        <v>393</v>
      </c>
      <c r="D4666">
        <v>1.7110000000000001</v>
      </c>
      <c r="E4666">
        <v>548</v>
      </c>
      <c r="F4666" t="str">
        <f>HYPERLINK("https://www.google.com/maps/search/?api=1&amp;query=22.52428968,44.8090174", "View Map")</f>
        <v>View Map</v>
      </c>
      <c r="G4666" s="2">
        <v>0.56121690285706771</v>
      </c>
    </row>
    <row r="4667" spans="1:7" x14ac:dyDescent="0.3">
      <c r="A4667" t="s">
        <v>8044</v>
      </c>
      <c r="B4667" t="s">
        <v>8045</v>
      </c>
      <c r="C4667" t="s">
        <v>8</v>
      </c>
      <c r="D4667">
        <v>1.7110000000000001</v>
      </c>
      <c r="E4667">
        <v>548</v>
      </c>
      <c r="F4667" t="str">
        <f>HYPERLINK("https://www.google.com/maps/search/?api=1&amp;query=24.56541635,46.6667779", "View Map")</f>
        <v>View Map</v>
      </c>
    </row>
    <row r="4668" spans="1:7" x14ac:dyDescent="0.3">
      <c r="A4668" t="s">
        <v>8046</v>
      </c>
      <c r="B4668" t="s">
        <v>8047</v>
      </c>
      <c r="C4668" t="s">
        <v>393</v>
      </c>
      <c r="D4668">
        <v>1.71</v>
      </c>
      <c r="E4668">
        <v>547</v>
      </c>
      <c r="F4668" t="str">
        <f>HYPERLINK("https://www.google.com/maps/search/?api=1&amp;query=22.86815514,45.06090501", "View Map")</f>
        <v>View Map</v>
      </c>
      <c r="G4668" s="2">
        <v>0.84941148376390463</v>
      </c>
    </row>
    <row r="4669" spans="1:7" x14ac:dyDescent="0.3">
      <c r="A4669" t="s">
        <v>8048</v>
      </c>
      <c r="B4669" t="s">
        <v>8049</v>
      </c>
      <c r="C4669" t="s">
        <v>255</v>
      </c>
      <c r="D4669">
        <v>1.71</v>
      </c>
      <c r="E4669">
        <v>547</v>
      </c>
      <c r="F4669" t="str">
        <f>HYPERLINK("https://www.google.com/maps/search/?api=1&amp;query=24.7369979,44.2965343", "View Map")</f>
        <v>View Map</v>
      </c>
      <c r="G4669" s="2">
        <v>0.2699800245467705</v>
      </c>
    </row>
    <row r="4670" spans="1:7" x14ac:dyDescent="0.3">
      <c r="A4670" t="s">
        <v>8050</v>
      </c>
      <c r="B4670" t="s">
        <v>8051</v>
      </c>
      <c r="C4670" t="s">
        <v>8</v>
      </c>
      <c r="D4670">
        <v>1.7090000000000001</v>
      </c>
      <c r="E4670">
        <v>547</v>
      </c>
      <c r="F4670" t="str">
        <f>HYPERLINK("https://www.google.com/maps/search/?api=1&amp;query=24.72205847,46.69013546", "View Map")</f>
        <v>View Map</v>
      </c>
    </row>
    <row r="4671" spans="1:7" x14ac:dyDescent="0.3">
      <c r="A4671" t="s">
        <v>1273</v>
      </c>
      <c r="B4671" t="s">
        <v>8052</v>
      </c>
      <c r="C4671" t="s">
        <v>241</v>
      </c>
      <c r="D4671">
        <v>1.7090000000000001</v>
      </c>
      <c r="E4671">
        <v>547</v>
      </c>
      <c r="F4671" t="str">
        <f>HYPERLINK("https://www.google.com/maps/search/?api=1&amp;query=20.43164125,44.73759013", "View Map")</f>
        <v>View Map</v>
      </c>
      <c r="G4671" s="2">
        <v>0.35363738903433928</v>
      </c>
    </row>
    <row r="4672" spans="1:7" x14ac:dyDescent="0.3">
      <c r="A4672" t="s">
        <v>8053</v>
      </c>
      <c r="B4672" t="s">
        <v>8054</v>
      </c>
      <c r="C4672" t="s">
        <v>77</v>
      </c>
      <c r="D4672">
        <v>1.708</v>
      </c>
      <c r="E4672">
        <v>546</v>
      </c>
      <c r="F4672" t="str">
        <f>HYPERLINK("https://www.google.com/maps/search/?api=1&amp;query=22.29464793,46.71337978", "View Map")</f>
        <v>View Map</v>
      </c>
    </row>
    <row r="4673" spans="1:7" x14ac:dyDescent="0.3">
      <c r="A4673" t="s">
        <v>8055</v>
      </c>
      <c r="B4673" t="s">
        <v>8056</v>
      </c>
      <c r="C4673" t="s">
        <v>21</v>
      </c>
      <c r="D4673">
        <v>1.708</v>
      </c>
      <c r="E4673">
        <v>546</v>
      </c>
      <c r="F4673" t="str">
        <f>HYPERLINK("https://www.google.com/maps/search/?api=1&amp;query=26.18729674,44.82209687", "View Map")</f>
        <v>View Map</v>
      </c>
      <c r="G4673" s="2">
        <v>0.25250937204979162</v>
      </c>
    </row>
    <row r="4674" spans="1:7" x14ac:dyDescent="0.3">
      <c r="A4674" t="s">
        <v>8057</v>
      </c>
      <c r="B4674" t="s">
        <v>8058</v>
      </c>
      <c r="C4674" t="s">
        <v>214</v>
      </c>
      <c r="D4674">
        <v>1.708</v>
      </c>
      <c r="E4674">
        <v>546</v>
      </c>
      <c r="F4674" t="str">
        <f>HYPERLINK("https://www.google.com/maps/search/?api=1&amp;query=25.78886191,45.82375435", "View Map")</f>
        <v>View Map</v>
      </c>
      <c r="G4674" s="2">
        <v>0.53034053846794849</v>
      </c>
    </row>
    <row r="4675" spans="1:7" x14ac:dyDescent="0.3">
      <c r="A4675" t="s">
        <v>8059</v>
      </c>
      <c r="B4675" t="s">
        <v>8060</v>
      </c>
      <c r="C4675" t="s">
        <v>8</v>
      </c>
      <c r="D4675">
        <v>1.7070000000000001</v>
      </c>
      <c r="E4675">
        <v>546</v>
      </c>
      <c r="F4675" t="str">
        <f>HYPERLINK("https://www.google.com/maps/search/?api=1&amp;query=24.59116346,46.65047966", "View Map")</f>
        <v>View Map</v>
      </c>
    </row>
    <row r="4676" spans="1:7" x14ac:dyDescent="0.3">
      <c r="A4676" t="s">
        <v>8061</v>
      </c>
      <c r="B4676" t="s">
        <v>8062</v>
      </c>
      <c r="C4676" t="s">
        <v>286</v>
      </c>
      <c r="D4676">
        <v>1.7070000000000001</v>
      </c>
      <c r="E4676">
        <v>546</v>
      </c>
      <c r="F4676" t="str">
        <f>HYPERLINK("https://www.google.com/maps/search/?api=1&amp;query=25.29597092,45.53238578", "View Map")</f>
        <v>View Map</v>
      </c>
      <c r="G4676" s="2">
        <v>0.35575231404871582</v>
      </c>
    </row>
    <row r="4677" spans="1:7" x14ac:dyDescent="0.3">
      <c r="A4677" t="s">
        <v>8063</v>
      </c>
      <c r="B4677" t="s">
        <v>8064</v>
      </c>
      <c r="C4677" t="s">
        <v>270</v>
      </c>
      <c r="D4677">
        <v>1.7070000000000001</v>
      </c>
      <c r="E4677">
        <v>546</v>
      </c>
      <c r="F4677" t="str">
        <f>HYPERLINK("https://www.google.com/maps/search/?api=1&amp;query=24.02042264,47.13575054", "View Map")</f>
        <v>View Map</v>
      </c>
      <c r="G4677" s="2">
        <v>0.36445820676210139</v>
      </c>
    </row>
    <row r="4678" spans="1:7" x14ac:dyDescent="0.3">
      <c r="A4678" t="s">
        <v>8065</v>
      </c>
      <c r="B4678" t="s">
        <v>8066</v>
      </c>
      <c r="C4678" t="s">
        <v>291</v>
      </c>
      <c r="D4678">
        <v>1.7070000000000001</v>
      </c>
      <c r="E4678">
        <v>546</v>
      </c>
      <c r="F4678" t="str">
        <f>HYPERLINK("https://www.google.com/maps/search/?api=1&amp;query=24.41826514,45.71191409", "View Map")</f>
        <v>View Map</v>
      </c>
      <c r="G4678" s="2">
        <v>0.57183739498109365</v>
      </c>
    </row>
    <row r="4679" spans="1:7" x14ac:dyDescent="0.3">
      <c r="A4679" t="s">
        <v>8067</v>
      </c>
      <c r="B4679" t="s">
        <v>8068</v>
      </c>
      <c r="C4679" t="s">
        <v>214</v>
      </c>
      <c r="D4679">
        <v>1.7070000000000001</v>
      </c>
      <c r="E4679">
        <v>546</v>
      </c>
      <c r="F4679" t="str">
        <f>HYPERLINK("https://www.google.com/maps/search/?api=1&amp;query=25.62754224,45.5687825", "View Map")</f>
        <v>View Map</v>
      </c>
      <c r="G4679" s="2">
        <v>0.5761373264192523</v>
      </c>
    </row>
    <row r="4680" spans="1:7" x14ac:dyDescent="0.3">
      <c r="A4680" t="s">
        <v>8069</v>
      </c>
      <c r="B4680" t="s">
        <v>8070</v>
      </c>
      <c r="C4680" t="s">
        <v>21</v>
      </c>
      <c r="D4680">
        <v>1.7070000000000001</v>
      </c>
      <c r="E4680">
        <v>546</v>
      </c>
      <c r="F4680" t="str">
        <f>HYPERLINK("https://www.google.com/maps/search/?api=1&amp;query=26.28682471,44.81831496", "View Map")</f>
        <v>View Map</v>
      </c>
      <c r="G4680" s="2">
        <v>0.92502203778057013</v>
      </c>
    </row>
    <row r="4681" spans="1:7" x14ac:dyDescent="0.3">
      <c r="A4681" t="s">
        <v>8071</v>
      </c>
      <c r="B4681" t="s">
        <v>8072</v>
      </c>
      <c r="C4681" t="s">
        <v>214</v>
      </c>
      <c r="D4681">
        <v>1.706</v>
      </c>
      <c r="E4681">
        <v>546</v>
      </c>
      <c r="F4681" t="str">
        <f>HYPERLINK("https://www.google.com/maps/search/?api=1&amp;query=25.69624527,45.89435294", "View Map")</f>
        <v>View Map</v>
      </c>
      <c r="G4681" s="2">
        <v>0.31062833037635701</v>
      </c>
    </row>
    <row r="4682" spans="1:7" x14ac:dyDescent="0.3">
      <c r="A4682" t="s">
        <v>8073</v>
      </c>
      <c r="B4682" t="s">
        <v>8074</v>
      </c>
      <c r="C4682" t="s">
        <v>8</v>
      </c>
      <c r="D4682">
        <v>1.706</v>
      </c>
      <c r="E4682">
        <v>546</v>
      </c>
      <c r="F4682" t="str">
        <f>HYPERLINK("https://www.google.com/maps/search/?api=1&amp;query=24.62594388,46.69826527", "View Map")</f>
        <v>View Map</v>
      </c>
    </row>
    <row r="4683" spans="1:7" x14ac:dyDescent="0.3">
      <c r="A4683" t="s">
        <v>8075</v>
      </c>
      <c r="B4683" t="s">
        <v>8076</v>
      </c>
      <c r="C4683" t="s">
        <v>214</v>
      </c>
      <c r="D4683">
        <v>1.706</v>
      </c>
      <c r="E4683">
        <v>546</v>
      </c>
      <c r="F4683" t="str">
        <f>HYPERLINK("https://www.google.com/maps/search/?api=1&amp;query=25.91291686,45.35083554", "View Map")</f>
        <v>View Map</v>
      </c>
      <c r="G4683" s="2">
        <v>0.38578929590108768</v>
      </c>
    </row>
    <row r="4684" spans="1:7" x14ac:dyDescent="0.3">
      <c r="A4684" t="s">
        <v>8077</v>
      </c>
      <c r="B4684" t="s">
        <v>8078</v>
      </c>
      <c r="C4684" t="s">
        <v>30</v>
      </c>
      <c r="D4684">
        <v>1.7050000000000001</v>
      </c>
      <c r="E4684">
        <v>546</v>
      </c>
      <c r="F4684" t="str">
        <f>HYPERLINK("https://www.google.com/maps/search/?api=1&amp;query=24.15499071,47.31498239", "View Map")</f>
        <v>View Map</v>
      </c>
    </row>
    <row r="4685" spans="1:7" x14ac:dyDescent="0.3">
      <c r="A4685" t="s">
        <v>7268</v>
      </c>
      <c r="B4685" t="s">
        <v>8079</v>
      </c>
      <c r="C4685" t="s">
        <v>364</v>
      </c>
      <c r="D4685">
        <v>1.7050000000000001</v>
      </c>
      <c r="E4685">
        <v>546</v>
      </c>
      <c r="F4685" t="str">
        <f>HYPERLINK("https://www.google.com/maps/search/?api=1&amp;query=25.29282558,45.94999221", "View Map")</f>
        <v>View Map</v>
      </c>
      <c r="G4685" s="2">
        <v>0.35287265321623368</v>
      </c>
    </row>
    <row r="4686" spans="1:7" x14ac:dyDescent="0.3">
      <c r="A4686" t="s">
        <v>28</v>
      </c>
      <c r="B4686" t="s">
        <v>8080</v>
      </c>
      <c r="C4686" t="s">
        <v>30</v>
      </c>
      <c r="D4686">
        <v>1.7050000000000001</v>
      </c>
      <c r="E4686">
        <v>546</v>
      </c>
      <c r="F4686" t="str">
        <f>HYPERLINK("https://www.google.com/maps/search/?api=1&amp;query=24.0945035,47.27503035", "View Map")</f>
        <v>View Map</v>
      </c>
    </row>
    <row r="4687" spans="1:7" x14ac:dyDescent="0.3">
      <c r="A4687" t="s">
        <v>8081</v>
      </c>
      <c r="B4687" t="s">
        <v>8082</v>
      </c>
      <c r="C4687" t="s">
        <v>30</v>
      </c>
      <c r="D4687">
        <v>1.7030000000000001</v>
      </c>
      <c r="E4687">
        <v>545</v>
      </c>
      <c r="F4687" t="str">
        <f>HYPERLINK("https://www.google.com/maps/search/?api=1&amp;query=24.19910699,47.30005467", "View Map")</f>
        <v>View Map</v>
      </c>
      <c r="G4687" s="2">
        <v>0.55103697290057929</v>
      </c>
    </row>
    <row r="4688" spans="1:7" x14ac:dyDescent="0.3">
      <c r="A4688" t="s">
        <v>289</v>
      </c>
      <c r="B4688" t="s">
        <v>8083</v>
      </c>
      <c r="C4688" t="s">
        <v>291</v>
      </c>
      <c r="D4688">
        <v>1.7030000000000001</v>
      </c>
      <c r="E4688">
        <v>545</v>
      </c>
      <c r="F4688" t="str">
        <f>HYPERLINK("https://www.google.com/maps/search/?api=1&amp;query=24.08415734,45.33116341", "View Map")</f>
        <v>View Map</v>
      </c>
    </row>
    <row r="4689" spans="1:7" x14ac:dyDescent="0.3">
      <c r="A4689" t="s">
        <v>8084</v>
      </c>
      <c r="B4689" t="s">
        <v>8085</v>
      </c>
      <c r="C4689" t="s">
        <v>8</v>
      </c>
      <c r="D4689">
        <v>1.7030000000000001</v>
      </c>
      <c r="E4689">
        <v>545</v>
      </c>
      <c r="F4689" t="str">
        <f>HYPERLINK("https://www.google.com/maps/search/?api=1&amp;query=24.50055693,46.64093651", "View Map")</f>
        <v>View Map</v>
      </c>
      <c r="G4689" s="2">
        <v>0.37914679490473241</v>
      </c>
    </row>
    <row r="4690" spans="1:7" x14ac:dyDescent="0.3">
      <c r="A4690" t="s">
        <v>73</v>
      </c>
      <c r="B4690" t="s">
        <v>8086</v>
      </c>
      <c r="C4690" t="s">
        <v>8</v>
      </c>
      <c r="D4690">
        <v>1.7010000000000001</v>
      </c>
      <c r="E4690">
        <v>544</v>
      </c>
      <c r="F4690" t="str">
        <f>HYPERLINK("https://www.google.com/maps/search/?api=1&amp;query=24.62671177,46.57259546", "View Map")</f>
        <v>View Map</v>
      </c>
    </row>
    <row r="4691" spans="1:7" x14ac:dyDescent="0.3">
      <c r="A4691" t="s">
        <v>2202</v>
      </c>
      <c r="B4691" t="s">
        <v>8087</v>
      </c>
      <c r="C4691" t="s">
        <v>8</v>
      </c>
      <c r="D4691">
        <v>1.7010000000000001</v>
      </c>
      <c r="E4691">
        <v>544</v>
      </c>
      <c r="F4691" t="str">
        <f>HYPERLINK("https://www.google.com/maps/search/?api=1&amp;query=24.69312117,46.70222154", "View Map")</f>
        <v>View Map</v>
      </c>
    </row>
    <row r="4692" spans="1:7" x14ac:dyDescent="0.3">
      <c r="A4692" t="s">
        <v>8088</v>
      </c>
      <c r="B4692" t="s">
        <v>8089</v>
      </c>
      <c r="C4692" t="s">
        <v>8</v>
      </c>
      <c r="D4692">
        <v>1.7</v>
      </c>
      <c r="E4692">
        <v>544</v>
      </c>
      <c r="F4692" t="str">
        <f>HYPERLINK("https://www.google.com/maps/search/?api=1&amp;query=24.57269015,46.54711981", "View Map")</f>
        <v>View Map</v>
      </c>
    </row>
    <row r="4693" spans="1:7" x14ac:dyDescent="0.3">
      <c r="A4693" t="s">
        <v>8090</v>
      </c>
      <c r="B4693" t="s">
        <v>8091</v>
      </c>
      <c r="C4693" t="s">
        <v>270</v>
      </c>
      <c r="D4693">
        <v>1.7</v>
      </c>
      <c r="E4693">
        <v>544</v>
      </c>
      <c r="F4693" t="str">
        <f>HYPERLINK("https://www.google.com/maps/search/?api=1&amp;query=23.98263111,47.11820952", "View Map")</f>
        <v>View Map</v>
      </c>
    </row>
    <row r="4694" spans="1:7" x14ac:dyDescent="0.3">
      <c r="A4694" t="s">
        <v>8092</v>
      </c>
      <c r="B4694" t="s">
        <v>8093</v>
      </c>
      <c r="C4694" t="s">
        <v>296</v>
      </c>
      <c r="D4694">
        <v>1.6990000000000001</v>
      </c>
      <c r="E4694">
        <v>544</v>
      </c>
      <c r="F4694" t="str">
        <f>HYPERLINK("https://www.google.com/maps/search/?api=1&amp;query=24.16121583,46.2229782", "View Map")</f>
        <v>View Map</v>
      </c>
      <c r="G4694" s="2">
        <v>0.57409849455066075</v>
      </c>
    </row>
    <row r="4695" spans="1:7" x14ac:dyDescent="0.3">
      <c r="A4695" t="s">
        <v>8094</v>
      </c>
      <c r="B4695" t="s">
        <v>8095</v>
      </c>
      <c r="C4695" t="s">
        <v>8</v>
      </c>
      <c r="D4695">
        <v>1.6990000000000001</v>
      </c>
      <c r="E4695">
        <v>544</v>
      </c>
      <c r="F4695" t="str">
        <f>HYPERLINK("https://www.google.com/maps/search/?api=1&amp;query=24.60283617,46.6027304", "View Map")</f>
        <v>View Map</v>
      </c>
    </row>
    <row r="4696" spans="1:7" x14ac:dyDescent="0.3">
      <c r="A4696" t="s">
        <v>8096</v>
      </c>
      <c r="B4696" t="s">
        <v>8097</v>
      </c>
      <c r="C4696" t="s">
        <v>8</v>
      </c>
      <c r="D4696">
        <v>1.6990000000000001</v>
      </c>
      <c r="E4696">
        <v>544</v>
      </c>
      <c r="F4696" t="str">
        <f>HYPERLINK("https://www.google.com/maps/search/?api=1&amp;query=24.74660643,46.78485708", "View Map")</f>
        <v>View Map</v>
      </c>
    </row>
    <row r="4697" spans="1:7" x14ac:dyDescent="0.3">
      <c r="A4697" t="s">
        <v>717</v>
      </c>
      <c r="B4697" t="s">
        <v>8098</v>
      </c>
      <c r="C4697" t="s">
        <v>255</v>
      </c>
      <c r="D4697">
        <v>1.6990000000000001</v>
      </c>
      <c r="E4697">
        <v>544</v>
      </c>
      <c r="F4697" t="str">
        <f>HYPERLINK("https://www.google.com/maps/search/?api=1&amp;query=24.61838167,44.07259833", "View Map")</f>
        <v>View Map</v>
      </c>
      <c r="G4697" s="2">
        <v>0.60191808219889464</v>
      </c>
    </row>
    <row r="4698" spans="1:7" x14ac:dyDescent="0.3">
      <c r="A4698" t="s">
        <v>8099</v>
      </c>
      <c r="B4698" t="s">
        <v>8100</v>
      </c>
      <c r="C4698" t="s">
        <v>393</v>
      </c>
      <c r="D4698">
        <v>1.6990000000000001</v>
      </c>
      <c r="E4698">
        <v>544</v>
      </c>
      <c r="F4698" t="str">
        <f>HYPERLINK("https://www.google.com/maps/search/?api=1&amp;query=22.97114925,45.00906323", "View Map")</f>
        <v>View Map</v>
      </c>
      <c r="G4698" s="2">
        <v>0.55303834685220055</v>
      </c>
    </row>
    <row r="4699" spans="1:7" x14ac:dyDescent="0.3">
      <c r="A4699" t="s">
        <v>8101</v>
      </c>
      <c r="B4699" t="s">
        <v>8102</v>
      </c>
      <c r="C4699" t="s">
        <v>16</v>
      </c>
      <c r="D4699">
        <v>1.698</v>
      </c>
      <c r="E4699">
        <v>543</v>
      </c>
      <c r="F4699" t="str">
        <f>HYPERLINK("https://www.google.com/maps/search/?api=1&amp;query=24.1255451,43.29048674", "View Map")</f>
        <v>View Map</v>
      </c>
      <c r="G4699" s="2">
        <v>0.40201799374378377</v>
      </c>
    </row>
    <row r="4700" spans="1:7" x14ac:dyDescent="0.3">
      <c r="A4700" t="s">
        <v>28</v>
      </c>
      <c r="B4700" t="s">
        <v>8103</v>
      </c>
      <c r="C4700" t="s">
        <v>30</v>
      </c>
      <c r="D4700">
        <v>1.698</v>
      </c>
      <c r="E4700">
        <v>543</v>
      </c>
      <c r="F4700" t="str">
        <f>HYPERLINK("https://www.google.com/maps/search/?api=1&amp;query=24.09418362,47.29642547", "View Map")</f>
        <v>View Map</v>
      </c>
    </row>
    <row r="4701" spans="1:7" x14ac:dyDescent="0.3">
      <c r="A4701" t="s">
        <v>8104</v>
      </c>
      <c r="B4701" t="s">
        <v>8105</v>
      </c>
      <c r="C4701" t="s">
        <v>442</v>
      </c>
      <c r="D4701">
        <v>1.698</v>
      </c>
      <c r="E4701">
        <v>543</v>
      </c>
      <c r="F4701" t="str">
        <f>HYPERLINK("https://www.google.com/maps/search/?api=1&amp;query=23.60807872,46.55580045", "View Map")</f>
        <v>View Map</v>
      </c>
      <c r="G4701" s="2">
        <v>0.75355550080343237</v>
      </c>
    </row>
    <row r="4702" spans="1:7" x14ac:dyDescent="0.3">
      <c r="A4702" t="s">
        <v>8106</v>
      </c>
      <c r="B4702" t="s">
        <v>8107</v>
      </c>
      <c r="C4702" t="s">
        <v>8</v>
      </c>
      <c r="D4702">
        <v>1.698</v>
      </c>
      <c r="E4702">
        <v>543</v>
      </c>
      <c r="F4702" t="str">
        <f>HYPERLINK("https://www.google.com/maps/search/?api=1&amp;query=24.61357578,46.71669727", "View Map")</f>
        <v>View Map</v>
      </c>
    </row>
    <row r="4703" spans="1:7" x14ac:dyDescent="0.3">
      <c r="A4703" t="s">
        <v>8108</v>
      </c>
      <c r="B4703" t="s">
        <v>8109</v>
      </c>
      <c r="C4703" t="s">
        <v>21</v>
      </c>
      <c r="D4703">
        <v>1.698</v>
      </c>
      <c r="E4703">
        <v>543</v>
      </c>
      <c r="F4703" t="str">
        <f>HYPERLINK("https://www.google.com/maps/search/?api=1&amp;query=26.29039266,44.82964272", "View Map")</f>
        <v>View Map</v>
      </c>
    </row>
    <row r="4704" spans="1:7" x14ac:dyDescent="0.3">
      <c r="A4704" t="s">
        <v>8110</v>
      </c>
      <c r="B4704" t="s">
        <v>8111</v>
      </c>
      <c r="C4704" t="s">
        <v>16</v>
      </c>
      <c r="D4704">
        <v>1.698</v>
      </c>
      <c r="E4704">
        <v>543</v>
      </c>
      <c r="F4704" t="str">
        <f>HYPERLINK("https://www.google.com/maps/search/?api=1&amp;query=23.90502954,42.91094077", "View Map")</f>
        <v>View Map</v>
      </c>
      <c r="G4704" s="2">
        <v>0.24540613050251839</v>
      </c>
    </row>
    <row r="4705" spans="1:7" x14ac:dyDescent="0.3">
      <c r="A4705" t="s">
        <v>8112</v>
      </c>
      <c r="B4705" t="s">
        <v>8113</v>
      </c>
      <c r="C4705" t="s">
        <v>291</v>
      </c>
      <c r="D4705">
        <v>1.6970000000000001</v>
      </c>
      <c r="E4705">
        <v>543</v>
      </c>
      <c r="F4705" t="str">
        <f>HYPERLINK("https://www.google.com/maps/search/?api=1&amp;query=24.12490721,45.13303074", "View Map")</f>
        <v>View Map</v>
      </c>
      <c r="G4705" s="2">
        <v>0.75597698711198613</v>
      </c>
    </row>
    <row r="4706" spans="1:7" x14ac:dyDescent="0.3">
      <c r="A4706" t="s">
        <v>8114</v>
      </c>
      <c r="B4706" t="s">
        <v>8115</v>
      </c>
      <c r="C4706" t="s">
        <v>30</v>
      </c>
      <c r="D4706">
        <v>1.696</v>
      </c>
      <c r="E4706">
        <v>543</v>
      </c>
      <c r="F4706" t="str">
        <f>HYPERLINK("https://www.google.com/maps/search/?api=1&amp;query=24.17094571,47.34012958", "View Map")</f>
        <v>View Map</v>
      </c>
    </row>
    <row r="4707" spans="1:7" x14ac:dyDescent="0.3">
      <c r="A4707" t="s">
        <v>242</v>
      </c>
      <c r="B4707" t="s">
        <v>8116</v>
      </c>
      <c r="C4707" t="s">
        <v>8</v>
      </c>
      <c r="D4707">
        <v>1.6950000000000001</v>
      </c>
      <c r="E4707">
        <v>542</v>
      </c>
      <c r="F4707" t="str">
        <f>HYPERLINK("https://www.google.com/maps/search/?api=1&amp;query=24.77348636,46.80756957", "View Map")</f>
        <v>View Map</v>
      </c>
    </row>
    <row r="4708" spans="1:7" x14ac:dyDescent="0.3">
      <c r="A4708" t="s">
        <v>2485</v>
      </c>
      <c r="B4708" t="s">
        <v>8117</v>
      </c>
      <c r="C4708" t="s">
        <v>255</v>
      </c>
      <c r="D4708">
        <v>1.6950000000000001</v>
      </c>
      <c r="E4708">
        <v>543</v>
      </c>
      <c r="F4708" t="str">
        <f>HYPERLINK("https://www.google.com/maps/search/?api=1&amp;query=25.13643382,43.47864151", "View Map")</f>
        <v>View Map</v>
      </c>
      <c r="G4708" s="2">
        <v>0.68142031319124596</v>
      </c>
    </row>
    <row r="4709" spans="1:7" x14ac:dyDescent="0.3">
      <c r="A4709" t="s">
        <v>46</v>
      </c>
      <c r="B4709" t="s">
        <v>8118</v>
      </c>
      <c r="C4709" t="s">
        <v>8</v>
      </c>
      <c r="D4709">
        <v>1.6950000000000001</v>
      </c>
      <c r="E4709">
        <v>542</v>
      </c>
      <c r="F4709" t="str">
        <f>HYPERLINK("https://www.google.com/maps/search/?api=1&amp;query=24.8292511,46.62597262", "View Map")</f>
        <v>View Map</v>
      </c>
    </row>
    <row r="4710" spans="1:7" x14ac:dyDescent="0.3">
      <c r="A4710" t="s">
        <v>8119</v>
      </c>
      <c r="B4710" t="s">
        <v>8120</v>
      </c>
      <c r="C4710" t="s">
        <v>466</v>
      </c>
      <c r="D4710">
        <v>1.6950000000000001</v>
      </c>
      <c r="E4710">
        <v>542</v>
      </c>
      <c r="F4710" t="str">
        <f>HYPERLINK("https://www.google.com/maps/search/?api=1&amp;query=24.61059289,46.10492703", "View Map")</f>
        <v>View Map</v>
      </c>
      <c r="G4710" s="2">
        <v>0.44293340848769008</v>
      </c>
    </row>
    <row r="4711" spans="1:7" x14ac:dyDescent="0.3">
      <c r="A4711" t="s">
        <v>530</v>
      </c>
      <c r="B4711" t="s">
        <v>8121</v>
      </c>
      <c r="C4711" t="s">
        <v>8</v>
      </c>
      <c r="D4711">
        <v>1.6950000000000001</v>
      </c>
      <c r="E4711">
        <v>542</v>
      </c>
      <c r="F4711" t="str">
        <f>HYPERLINK("https://www.google.com/maps/search/?api=1&amp;query=24.75799411,46.74248121", "View Map")</f>
        <v>View Map</v>
      </c>
    </row>
    <row r="4712" spans="1:7" x14ac:dyDescent="0.3">
      <c r="A4712" t="s">
        <v>8122</v>
      </c>
      <c r="B4712" t="s">
        <v>8123</v>
      </c>
      <c r="C4712" t="s">
        <v>8</v>
      </c>
      <c r="D4712">
        <v>1.6950000000000001</v>
      </c>
      <c r="E4712">
        <v>543</v>
      </c>
      <c r="F4712" t="str">
        <f>HYPERLINK("https://www.google.com/maps/search/?api=1&amp;query=24.61785948,46.75006105", "View Map")</f>
        <v>View Map</v>
      </c>
    </row>
    <row r="4713" spans="1:7" x14ac:dyDescent="0.3">
      <c r="A4713" t="s">
        <v>8124</v>
      </c>
      <c r="B4713" t="s">
        <v>8125</v>
      </c>
      <c r="C4713" t="s">
        <v>214</v>
      </c>
      <c r="D4713">
        <v>1.6950000000000001</v>
      </c>
      <c r="E4713">
        <v>542</v>
      </c>
      <c r="F4713" t="str">
        <f>HYPERLINK("https://www.google.com/maps/search/?api=1&amp;query=25.90257956,45.34703512", "View Map")</f>
        <v>View Map</v>
      </c>
    </row>
    <row r="4714" spans="1:7" x14ac:dyDescent="0.3">
      <c r="A4714" t="s">
        <v>1002</v>
      </c>
      <c r="B4714" t="s">
        <v>8126</v>
      </c>
      <c r="C4714" t="s">
        <v>214</v>
      </c>
      <c r="D4714">
        <v>1.694</v>
      </c>
      <c r="E4714">
        <v>542</v>
      </c>
      <c r="F4714" t="str">
        <f>HYPERLINK("https://www.google.com/maps/search/?api=1&amp;query=25.9303779,45.37408238", "View Map")</f>
        <v>View Map</v>
      </c>
    </row>
    <row r="4715" spans="1:7" x14ac:dyDescent="0.3">
      <c r="A4715" t="s">
        <v>8127</v>
      </c>
      <c r="B4715" t="s">
        <v>8128</v>
      </c>
      <c r="C4715" t="s">
        <v>291</v>
      </c>
      <c r="D4715">
        <v>1.694</v>
      </c>
      <c r="E4715">
        <v>542</v>
      </c>
      <c r="F4715" t="str">
        <f>HYPERLINK("https://www.google.com/maps/search/?api=1&amp;query=24.33868661,45.80102998", "View Map")</f>
        <v>View Map</v>
      </c>
      <c r="G4715" s="2">
        <v>0.33565696115807631</v>
      </c>
    </row>
    <row r="4716" spans="1:7" x14ac:dyDescent="0.3">
      <c r="A4716" t="s">
        <v>8129</v>
      </c>
      <c r="B4716" t="s">
        <v>8130</v>
      </c>
      <c r="C4716" t="s">
        <v>8</v>
      </c>
      <c r="D4716">
        <v>1.6919999999999999</v>
      </c>
      <c r="E4716">
        <v>541</v>
      </c>
      <c r="F4716" t="str">
        <f>HYPERLINK("https://www.google.com/maps/search/?api=1&amp;query=24.7181423,46.80661594", "View Map")</f>
        <v>View Map</v>
      </c>
    </row>
    <row r="4717" spans="1:7" x14ac:dyDescent="0.3">
      <c r="A4717" t="s">
        <v>1349</v>
      </c>
      <c r="B4717" t="s">
        <v>8131</v>
      </c>
      <c r="C4717" t="s">
        <v>270</v>
      </c>
      <c r="D4717">
        <v>1.6919999999999999</v>
      </c>
      <c r="E4717">
        <v>541</v>
      </c>
      <c r="F4717" t="str">
        <f>HYPERLINK("https://www.google.com/maps/search/?api=1&amp;query=23.99349883,47.17797152", "View Map")</f>
        <v>View Map</v>
      </c>
    </row>
    <row r="4718" spans="1:7" x14ac:dyDescent="0.3">
      <c r="A4718" t="s">
        <v>3779</v>
      </c>
      <c r="B4718" t="s">
        <v>8132</v>
      </c>
      <c r="C4718" t="s">
        <v>8</v>
      </c>
      <c r="D4718">
        <v>1.6910000000000001</v>
      </c>
      <c r="E4718">
        <v>541</v>
      </c>
      <c r="F4718" t="str">
        <f>HYPERLINK("https://www.google.com/maps/search/?api=1&amp;query=24.61869495,46.65447809", "View Map")</f>
        <v>View Map</v>
      </c>
    </row>
    <row r="4719" spans="1:7" x14ac:dyDescent="0.3">
      <c r="A4719" t="s">
        <v>8133</v>
      </c>
      <c r="B4719" t="s">
        <v>8134</v>
      </c>
      <c r="C4719" t="s">
        <v>291</v>
      </c>
      <c r="D4719">
        <v>1.6910000000000001</v>
      </c>
      <c r="E4719">
        <v>541</v>
      </c>
      <c r="F4719" t="str">
        <f>HYPERLINK("https://www.google.com/maps/search/?api=1&amp;query=24.08666354,45.29394596", "View Map")</f>
        <v>View Map</v>
      </c>
      <c r="G4719" s="2">
        <v>0.64372225487392354</v>
      </c>
    </row>
    <row r="4720" spans="1:7" x14ac:dyDescent="0.3">
      <c r="A4720" t="s">
        <v>1273</v>
      </c>
      <c r="B4720" t="s">
        <v>8135</v>
      </c>
      <c r="C4720" t="s">
        <v>241</v>
      </c>
      <c r="D4720">
        <v>1.69</v>
      </c>
      <c r="E4720">
        <v>541</v>
      </c>
      <c r="F4720" t="str">
        <f>HYPERLINK("https://www.google.com/maps/search/?api=1&amp;query=20.48623521,44.79165297", "View Map")</f>
        <v>View Map</v>
      </c>
      <c r="G4720" s="2">
        <v>0.76532029825588976</v>
      </c>
    </row>
    <row r="4721" spans="1:7" x14ac:dyDescent="0.3">
      <c r="A4721" t="s">
        <v>2063</v>
      </c>
      <c r="B4721" t="s">
        <v>8136</v>
      </c>
      <c r="C4721" t="s">
        <v>255</v>
      </c>
      <c r="D4721">
        <v>1.69</v>
      </c>
      <c r="E4721">
        <v>541</v>
      </c>
      <c r="F4721" t="str">
        <f>HYPERLINK("https://www.google.com/maps/search/?api=1&amp;query=24.55444197,44.26472534", "View Map")</f>
        <v>View Map</v>
      </c>
      <c r="G4721" s="2">
        <v>0.78427168084972854</v>
      </c>
    </row>
    <row r="4722" spans="1:7" x14ac:dyDescent="0.3">
      <c r="A4722" t="s">
        <v>8137</v>
      </c>
      <c r="B4722" t="s">
        <v>8138</v>
      </c>
      <c r="C4722" t="s">
        <v>255</v>
      </c>
      <c r="D4722">
        <v>1.6890000000000001</v>
      </c>
      <c r="E4722">
        <v>541</v>
      </c>
      <c r="F4722" t="str">
        <f>HYPERLINK("https://www.google.com/maps/search/?api=1&amp;query=24.70557921,44.89272263", "View Map")</f>
        <v>View Map</v>
      </c>
    </row>
    <row r="4723" spans="1:7" x14ac:dyDescent="0.3">
      <c r="A4723" t="s">
        <v>362</v>
      </c>
      <c r="B4723" t="s">
        <v>8139</v>
      </c>
      <c r="C4723" t="s">
        <v>364</v>
      </c>
      <c r="D4723">
        <v>1.6890000000000001</v>
      </c>
      <c r="E4723">
        <v>540</v>
      </c>
      <c r="F4723" t="str">
        <f>HYPERLINK("https://www.google.com/maps/search/?api=1&amp;query=25.2472467,45.87261371", "View Map")</f>
        <v>View Map</v>
      </c>
    </row>
    <row r="4724" spans="1:7" x14ac:dyDescent="0.3">
      <c r="A4724" t="s">
        <v>46</v>
      </c>
      <c r="B4724" t="s">
        <v>8140</v>
      </c>
      <c r="C4724" t="s">
        <v>8</v>
      </c>
      <c r="D4724">
        <v>1.6890000000000001</v>
      </c>
      <c r="E4724">
        <v>541</v>
      </c>
      <c r="F4724" t="str">
        <f>HYPERLINK("https://www.google.com/maps/search/?api=1&amp;query=24.79006225,46.60469117", "View Map")</f>
        <v>View Map</v>
      </c>
    </row>
    <row r="4725" spans="1:7" x14ac:dyDescent="0.3">
      <c r="A4725" t="s">
        <v>46</v>
      </c>
      <c r="B4725" t="s">
        <v>8141</v>
      </c>
      <c r="C4725" t="s">
        <v>8</v>
      </c>
      <c r="D4725">
        <v>1.6890000000000001</v>
      </c>
      <c r="E4725">
        <v>541</v>
      </c>
      <c r="F4725" t="str">
        <f>HYPERLINK("https://www.google.com/maps/search/?api=1&amp;query=24.66966,46.55142", "View Map")</f>
        <v>View Map</v>
      </c>
    </row>
    <row r="4726" spans="1:7" x14ac:dyDescent="0.3">
      <c r="A4726" t="s">
        <v>8142</v>
      </c>
      <c r="B4726" t="s">
        <v>8143</v>
      </c>
      <c r="C4726" t="s">
        <v>8</v>
      </c>
      <c r="D4726">
        <v>1.6879999999999999</v>
      </c>
      <c r="E4726">
        <v>540</v>
      </c>
      <c r="F4726" t="str">
        <f>HYPERLINK("https://www.google.com/maps/search/?api=1&amp;query=24.78995232,46.66200466", "View Map")</f>
        <v>View Map</v>
      </c>
    </row>
    <row r="4727" spans="1:7" x14ac:dyDescent="0.3">
      <c r="A4727" t="s">
        <v>8144</v>
      </c>
      <c r="B4727" t="s">
        <v>8145</v>
      </c>
      <c r="C4727" t="s">
        <v>8</v>
      </c>
      <c r="D4727">
        <v>1.6879999999999999</v>
      </c>
      <c r="E4727">
        <v>540</v>
      </c>
      <c r="F4727" t="str">
        <f>HYPERLINK("https://www.google.com/maps/search/?api=1&amp;query=24.75182989,46.70293572", "View Map")</f>
        <v>View Map</v>
      </c>
    </row>
    <row r="4728" spans="1:7" x14ac:dyDescent="0.3">
      <c r="A4728" t="s">
        <v>8146</v>
      </c>
      <c r="B4728" t="s">
        <v>8147</v>
      </c>
      <c r="C4728" t="s">
        <v>8</v>
      </c>
      <c r="D4728">
        <v>1.6870000000000001</v>
      </c>
      <c r="E4728">
        <v>540</v>
      </c>
      <c r="F4728" t="str">
        <f>HYPERLINK("https://www.google.com/maps/search/?api=1&amp;query=24.50393854,46.62759254", "View Map")</f>
        <v>View Map</v>
      </c>
    </row>
    <row r="4729" spans="1:7" x14ac:dyDescent="0.3">
      <c r="A4729" t="s">
        <v>8148</v>
      </c>
      <c r="B4729" t="s">
        <v>8149</v>
      </c>
      <c r="C4729" t="s">
        <v>21</v>
      </c>
      <c r="D4729">
        <v>1.6870000000000001</v>
      </c>
      <c r="E4729">
        <v>540</v>
      </c>
      <c r="F4729" t="str">
        <f>HYPERLINK("https://www.google.com/maps/search/?api=1&amp;query=26.29079536,44.79491385", "View Map")</f>
        <v>View Map</v>
      </c>
    </row>
    <row r="4730" spans="1:7" x14ac:dyDescent="0.3">
      <c r="A4730" t="s">
        <v>8150</v>
      </c>
      <c r="B4730" t="s">
        <v>8151</v>
      </c>
      <c r="C4730" t="s">
        <v>291</v>
      </c>
      <c r="D4730">
        <v>1.6870000000000001</v>
      </c>
      <c r="E4730">
        <v>540</v>
      </c>
      <c r="F4730" t="str">
        <f>HYPERLINK("https://www.google.com/maps/search/?api=1&amp;query=24.39985146,45.84711054", "View Map")</f>
        <v>View Map</v>
      </c>
      <c r="G4730" s="2">
        <v>0.37929831872008729</v>
      </c>
    </row>
    <row r="4731" spans="1:7" x14ac:dyDescent="0.3">
      <c r="A4731" t="s">
        <v>2867</v>
      </c>
      <c r="B4731" t="s">
        <v>8152</v>
      </c>
      <c r="C4731" t="s">
        <v>8</v>
      </c>
      <c r="D4731">
        <v>1.6859999999999999</v>
      </c>
      <c r="E4731">
        <v>539</v>
      </c>
      <c r="F4731" t="str">
        <f>HYPERLINK("https://www.google.com/maps/search/?api=1&amp;query=24.77823981,46.8270548", "View Map")</f>
        <v>View Map</v>
      </c>
    </row>
    <row r="4732" spans="1:7" x14ac:dyDescent="0.3">
      <c r="A4732" t="s">
        <v>8153</v>
      </c>
      <c r="B4732" t="s">
        <v>8154</v>
      </c>
      <c r="C4732" t="s">
        <v>214</v>
      </c>
      <c r="D4732">
        <v>1.6859999999999999</v>
      </c>
      <c r="E4732">
        <v>540</v>
      </c>
      <c r="F4732" t="str">
        <f>HYPERLINK("https://www.google.com/maps/search/?api=1&amp;query=25.94861581,45.35039901", "View Map")</f>
        <v>View Map</v>
      </c>
    </row>
    <row r="4733" spans="1:7" x14ac:dyDescent="0.3">
      <c r="A4733" t="s">
        <v>289</v>
      </c>
      <c r="B4733" t="s">
        <v>8155</v>
      </c>
      <c r="C4733" t="s">
        <v>291</v>
      </c>
      <c r="D4733">
        <v>1.6859999999999999</v>
      </c>
      <c r="E4733">
        <v>540</v>
      </c>
      <c r="F4733" t="str">
        <f>HYPERLINK("https://www.google.com/maps/search/?api=1&amp;query=24.34626391,45.8062911", "View Map")</f>
        <v>View Map</v>
      </c>
      <c r="G4733" s="2">
        <v>0.48249492336186989</v>
      </c>
    </row>
    <row r="4734" spans="1:7" x14ac:dyDescent="0.3">
      <c r="A4734" t="s">
        <v>8156</v>
      </c>
      <c r="B4734" t="s">
        <v>8157</v>
      </c>
      <c r="C4734" t="s">
        <v>8</v>
      </c>
      <c r="D4734">
        <v>1.6859999999999999</v>
      </c>
      <c r="E4734">
        <v>540</v>
      </c>
      <c r="F4734" t="str">
        <f>HYPERLINK("https://www.google.com/maps/search/?api=1&amp;query=24.60534966,46.75245119", "View Map")</f>
        <v>View Map</v>
      </c>
    </row>
    <row r="4735" spans="1:7" x14ac:dyDescent="0.3">
      <c r="A4735" t="s">
        <v>46</v>
      </c>
      <c r="B4735" t="s">
        <v>8158</v>
      </c>
      <c r="C4735" t="s">
        <v>8</v>
      </c>
      <c r="D4735">
        <v>1.6850000000000001</v>
      </c>
      <c r="E4735">
        <v>539</v>
      </c>
      <c r="F4735" t="str">
        <f>HYPERLINK("https://www.google.com/maps/search/?api=1&amp;query=24.86718667,46.63469465", "View Map")</f>
        <v>View Map</v>
      </c>
    </row>
    <row r="4736" spans="1:7" x14ac:dyDescent="0.3">
      <c r="A4736" t="s">
        <v>8159</v>
      </c>
      <c r="B4736" t="s">
        <v>8160</v>
      </c>
      <c r="C4736" t="s">
        <v>241</v>
      </c>
      <c r="D4736">
        <v>1.6850000000000001</v>
      </c>
      <c r="E4736">
        <v>539</v>
      </c>
      <c r="F4736" t="str">
        <f>HYPERLINK("https://www.google.com/maps/search/?api=1&amp;query=20.45943944,44.83862587", "View Map")</f>
        <v>View Map</v>
      </c>
      <c r="G4736" s="2">
        <v>0.69249238554775172</v>
      </c>
    </row>
    <row r="4737" spans="1:7" x14ac:dyDescent="0.3">
      <c r="A4737" t="s">
        <v>8161</v>
      </c>
      <c r="B4737" t="s">
        <v>8162</v>
      </c>
      <c r="C4737" t="s">
        <v>55</v>
      </c>
      <c r="D4737">
        <v>1.6850000000000001</v>
      </c>
      <c r="E4737">
        <v>539</v>
      </c>
      <c r="F4737" t="str">
        <f>HYPERLINK("https://www.google.com/maps/search/?api=1&amp;query=24.72909,46.57294", "View Map")</f>
        <v>View Map</v>
      </c>
      <c r="G4737" s="2">
        <v>0.43389022699097252</v>
      </c>
    </row>
    <row r="4738" spans="1:7" x14ac:dyDescent="0.3">
      <c r="A4738" t="s">
        <v>706</v>
      </c>
      <c r="B4738" t="s">
        <v>8163</v>
      </c>
      <c r="C4738" t="s">
        <v>8</v>
      </c>
      <c r="D4738">
        <v>1.6850000000000001</v>
      </c>
      <c r="E4738">
        <v>539</v>
      </c>
      <c r="F4738" t="str">
        <f>HYPERLINK("https://www.google.com/maps/search/?api=1&amp;query=24.51572816,46.66250828", "View Map")</f>
        <v>View Map</v>
      </c>
    </row>
    <row r="4739" spans="1:7" x14ac:dyDescent="0.3">
      <c r="A4739" t="s">
        <v>8164</v>
      </c>
      <c r="B4739" t="s">
        <v>8165</v>
      </c>
      <c r="C4739" t="s">
        <v>241</v>
      </c>
      <c r="D4739">
        <v>1.6830000000000001</v>
      </c>
      <c r="E4739">
        <v>539</v>
      </c>
      <c r="F4739" t="str">
        <f>HYPERLINK("https://www.google.com/maps/search/?api=1&amp;query=20.4396909,44.8558737", "View Map")</f>
        <v>View Map</v>
      </c>
      <c r="G4739" s="2">
        <v>0.59568537461704385</v>
      </c>
    </row>
    <row r="4740" spans="1:7" x14ac:dyDescent="0.3">
      <c r="A4740" t="s">
        <v>8166</v>
      </c>
      <c r="B4740" t="s">
        <v>8167</v>
      </c>
      <c r="C4740" t="s">
        <v>8</v>
      </c>
      <c r="D4740">
        <v>1.6830000000000001</v>
      </c>
      <c r="E4740">
        <v>538</v>
      </c>
      <c r="F4740" t="str">
        <f>HYPERLINK("https://www.google.com/maps/search/?api=1&amp;query=24.61911986,46.71267851", "View Map")</f>
        <v>View Map</v>
      </c>
    </row>
    <row r="4741" spans="1:7" x14ac:dyDescent="0.3">
      <c r="A4741" t="s">
        <v>8168</v>
      </c>
      <c r="B4741" t="s">
        <v>8169</v>
      </c>
      <c r="C4741" t="s">
        <v>8</v>
      </c>
      <c r="D4741">
        <v>1.6830000000000001</v>
      </c>
      <c r="E4741">
        <v>539</v>
      </c>
      <c r="F4741" t="str">
        <f>HYPERLINK("https://www.google.com/maps/search/?api=1&amp;query=24.79262448,46.74572087", "View Map")</f>
        <v>View Map</v>
      </c>
    </row>
    <row r="4742" spans="1:7" x14ac:dyDescent="0.3">
      <c r="A4742" t="s">
        <v>8170</v>
      </c>
      <c r="B4742" t="s">
        <v>8171</v>
      </c>
      <c r="C4742" t="s">
        <v>8</v>
      </c>
      <c r="D4742">
        <v>1.6830000000000001</v>
      </c>
      <c r="E4742">
        <v>539</v>
      </c>
      <c r="F4742" t="str">
        <f>HYPERLINK("https://www.google.com/maps/search/?api=1&amp;query=24.74773026,46.82348913", "View Map")</f>
        <v>View Map</v>
      </c>
    </row>
    <row r="4743" spans="1:7" x14ac:dyDescent="0.3">
      <c r="A4743" t="s">
        <v>8172</v>
      </c>
      <c r="B4743" t="s">
        <v>8173</v>
      </c>
      <c r="C4743" t="s">
        <v>8</v>
      </c>
      <c r="D4743">
        <v>1.681</v>
      </c>
      <c r="E4743">
        <v>538</v>
      </c>
      <c r="F4743" t="str">
        <f>HYPERLINK("https://www.google.com/maps/search/?api=1&amp;query=24.6388695,46.79192884", "View Map")</f>
        <v>View Map</v>
      </c>
    </row>
    <row r="4744" spans="1:7" x14ac:dyDescent="0.3">
      <c r="A4744" t="s">
        <v>46</v>
      </c>
      <c r="B4744" t="s">
        <v>8174</v>
      </c>
      <c r="C4744" t="s">
        <v>8</v>
      </c>
      <c r="D4744">
        <v>1.681</v>
      </c>
      <c r="E4744">
        <v>538</v>
      </c>
      <c r="F4744" t="str">
        <f>HYPERLINK("https://www.google.com/maps/search/?api=1&amp;query=24.86492007,46.62385124", "View Map")</f>
        <v>View Map</v>
      </c>
    </row>
    <row r="4745" spans="1:7" x14ac:dyDescent="0.3">
      <c r="A4745" t="s">
        <v>46</v>
      </c>
      <c r="B4745" t="s">
        <v>8175</v>
      </c>
      <c r="C4745" t="s">
        <v>8</v>
      </c>
      <c r="D4745">
        <v>1.681</v>
      </c>
      <c r="E4745">
        <v>538</v>
      </c>
      <c r="F4745" t="str">
        <f>HYPERLINK("https://www.google.com/maps/search/?api=1&amp;query=24.8476377,46.79006813", "View Map")</f>
        <v>View Map</v>
      </c>
    </row>
    <row r="4746" spans="1:7" x14ac:dyDescent="0.3">
      <c r="A4746" t="s">
        <v>881</v>
      </c>
      <c r="B4746" t="s">
        <v>8176</v>
      </c>
      <c r="C4746" t="s">
        <v>883</v>
      </c>
      <c r="D4746">
        <v>1.681</v>
      </c>
      <c r="E4746">
        <v>538</v>
      </c>
      <c r="F4746" t="str">
        <f>HYPERLINK("https://www.google.com/maps/search/?api=1&amp;query=25.54439369,47.17898116", "View Map")</f>
        <v>View Map</v>
      </c>
    </row>
    <row r="4747" spans="1:7" x14ac:dyDescent="0.3">
      <c r="A4747" t="s">
        <v>8177</v>
      </c>
      <c r="B4747" t="s">
        <v>8178</v>
      </c>
      <c r="C4747" t="s">
        <v>270</v>
      </c>
      <c r="D4747">
        <v>1.681</v>
      </c>
      <c r="E4747">
        <v>538</v>
      </c>
      <c r="F4747" t="str">
        <f>HYPERLINK("https://www.google.com/maps/search/?api=1&amp;query=23.9163845,46.84086612", "View Map")</f>
        <v>View Map</v>
      </c>
    </row>
    <row r="4748" spans="1:7" x14ac:dyDescent="0.3">
      <c r="A4748" t="s">
        <v>8179</v>
      </c>
      <c r="B4748" t="s">
        <v>8180</v>
      </c>
      <c r="C4748" t="s">
        <v>30</v>
      </c>
      <c r="D4748">
        <v>1.681</v>
      </c>
      <c r="E4748">
        <v>538</v>
      </c>
      <c r="F4748" t="str">
        <f>HYPERLINK("https://www.google.com/maps/search/?api=1&amp;query=24.20491586,47.26169567", "View Map")</f>
        <v>View Map</v>
      </c>
    </row>
    <row r="4749" spans="1:7" x14ac:dyDescent="0.3">
      <c r="A4749" t="s">
        <v>8181</v>
      </c>
      <c r="B4749" t="s">
        <v>8182</v>
      </c>
      <c r="C4749" t="s">
        <v>255</v>
      </c>
      <c r="D4749">
        <v>1.681</v>
      </c>
      <c r="E4749">
        <v>538</v>
      </c>
      <c r="F4749" t="str">
        <f>HYPERLINK("https://www.google.com/maps/search/?api=1&amp;query=25.48794205,44.40872382", "View Map")</f>
        <v>View Map</v>
      </c>
      <c r="G4749" s="2">
        <v>0.77543341914483965</v>
      </c>
    </row>
    <row r="4750" spans="1:7" x14ac:dyDescent="0.3">
      <c r="A4750" t="s">
        <v>706</v>
      </c>
      <c r="B4750" t="s">
        <v>8183</v>
      </c>
      <c r="C4750" t="s">
        <v>8</v>
      </c>
      <c r="D4750">
        <v>1.68</v>
      </c>
      <c r="E4750">
        <v>538</v>
      </c>
      <c r="F4750" t="str">
        <f>HYPERLINK("https://www.google.com/maps/search/?api=1&amp;query=24.55604611,46.69934432", "View Map")</f>
        <v>View Map</v>
      </c>
    </row>
    <row r="4751" spans="1:7" x14ac:dyDescent="0.3">
      <c r="A4751" t="s">
        <v>8184</v>
      </c>
      <c r="B4751" t="s">
        <v>8185</v>
      </c>
      <c r="C4751" t="s">
        <v>883</v>
      </c>
      <c r="D4751">
        <v>1.68</v>
      </c>
      <c r="E4751">
        <v>538</v>
      </c>
      <c r="F4751" t="str">
        <f>HYPERLINK("https://www.google.com/maps/search/?api=1&amp;query=25.57110227,47.15455723", "View Map")</f>
        <v>View Map</v>
      </c>
      <c r="G4751" s="2">
        <v>0.51455629460060814</v>
      </c>
    </row>
    <row r="4752" spans="1:7" x14ac:dyDescent="0.3">
      <c r="A4752" t="s">
        <v>2857</v>
      </c>
      <c r="B4752" t="s">
        <v>8186</v>
      </c>
      <c r="C4752" t="s">
        <v>8</v>
      </c>
      <c r="D4752">
        <v>1.68</v>
      </c>
      <c r="E4752">
        <v>538</v>
      </c>
      <c r="F4752" t="str">
        <f>HYPERLINK("https://www.google.com/maps/search/?api=1&amp;query=24.82319623,46.65050616", "View Map")</f>
        <v>View Map</v>
      </c>
    </row>
    <row r="4753" spans="1:7" x14ac:dyDescent="0.3">
      <c r="A4753" t="s">
        <v>717</v>
      </c>
      <c r="B4753" t="s">
        <v>8187</v>
      </c>
      <c r="C4753" t="s">
        <v>255</v>
      </c>
      <c r="D4753">
        <v>1.68</v>
      </c>
      <c r="E4753">
        <v>538</v>
      </c>
      <c r="F4753" t="str">
        <f>HYPERLINK("https://www.google.com/maps/search/?api=1&amp;query=24.49640596,44.35814961", "View Map")</f>
        <v>View Map</v>
      </c>
      <c r="G4753" s="2">
        <v>0.56799732028201078</v>
      </c>
    </row>
    <row r="4754" spans="1:7" x14ac:dyDescent="0.3">
      <c r="A4754" t="s">
        <v>8188</v>
      </c>
      <c r="B4754" t="s">
        <v>8189</v>
      </c>
      <c r="C4754" t="s">
        <v>214</v>
      </c>
      <c r="D4754">
        <v>1.679</v>
      </c>
      <c r="E4754">
        <v>537</v>
      </c>
      <c r="F4754" t="str">
        <f>HYPERLINK("https://www.google.com/maps/search/?api=1&amp;query=25.92113084,45.36272064", "View Map")</f>
        <v>View Map</v>
      </c>
    </row>
    <row r="4755" spans="1:7" x14ac:dyDescent="0.3">
      <c r="A4755" t="s">
        <v>8190</v>
      </c>
      <c r="B4755" t="s">
        <v>8191</v>
      </c>
      <c r="C4755" t="s">
        <v>1112</v>
      </c>
      <c r="D4755">
        <v>1.679</v>
      </c>
      <c r="E4755">
        <v>537</v>
      </c>
      <c r="F4755" t="str">
        <f>HYPERLINK("https://www.google.com/maps/search/?api=1&amp;query=26.03669914,44.94076432", "View Map")</f>
        <v>View Map</v>
      </c>
      <c r="G4755" s="2">
        <v>0.52728207172835384</v>
      </c>
    </row>
    <row r="4756" spans="1:7" x14ac:dyDescent="0.3">
      <c r="A4756" t="s">
        <v>8192</v>
      </c>
      <c r="B4756" t="s">
        <v>8193</v>
      </c>
      <c r="C4756" t="s">
        <v>364</v>
      </c>
      <c r="D4756">
        <v>1.6779999999999999</v>
      </c>
      <c r="E4756">
        <v>537</v>
      </c>
      <c r="F4756" t="str">
        <f>HYPERLINK("https://www.google.com/maps/search/?api=1&amp;query=25.17437411,45.79239171", "View Map")</f>
        <v>View Map</v>
      </c>
      <c r="G4756" s="2">
        <v>0.50552934379690329</v>
      </c>
    </row>
    <row r="4757" spans="1:7" x14ac:dyDescent="0.3">
      <c r="A4757" t="s">
        <v>8194</v>
      </c>
      <c r="B4757" t="s">
        <v>8195</v>
      </c>
      <c r="C4757" t="s">
        <v>137</v>
      </c>
      <c r="D4757">
        <v>1.6779999999999999</v>
      </c>
      <c r="E4757">
        <v>537</v>
      </c>
      <c r="F4757" t="str">
        <f>HYPERLINK("https://www.google.com/maps/search/?api=1&amp;query=23.43246151,46.79009905", "View Map")</f>
        <v>View Map</v>
      </c>
    </row>
    <row r="4758" spans="1:7" x14ac:dyDescent="0.3">
      <c r="A4758" t="s">
        <v>8196</v>
      </c>
      <c r="B4758" t="s">
        <v>8197</v>
      </c>
      <c r="C4758" t="s">
        <v>393</v>
      </c>
      <c r="D4758">
        <v>1.6779999999999999</v>
      </c>
      <c r="E4758">
        <v>537</v>
      </c>
      <c r="F4758" t="str">
        <f>HYPERLINK("https://www.google.com/maps/search/?api=1&amp;query=23.65536317,45.39125613", "View Map")</f>
        <v>View Map</v>
      </c>
      <c r="G4758" s="2">
        <v>0.74226265834662508</v>
      </c>
    </row>
    <row r="4759" spans="1:7" x14ac:dyDescent="0.3">
      <c r="A4759" t="s">
        <v>8198</v>
      </c>
      <c r="B4759" t="s">
        <v>8199</v>
      </c>
      <c r="C4759" t="s">
        <v>296</v>
      </c>
      <c r="D4759">
        <v>1.6779999999999999</v>
      </c>
      <c r="E4759">
        <v>537</v>
      </c>
      <c r="F4759" t="str">
        <f>HYPERLINK("https://www.google.com/maps/search/?api=1&amp;query=24.13935333,46.19373947", "View Map")</f>
        <v>View Map</v>
      </c>
      <c r="G4759" s="2">
        <v>0.55615867769715821</v>
      </c>
    </row>
    <row r="4760" spans="1:7" x14ac:dyDescent="0.3">
      <c r="A4760" t="s">
        <v>362</v>
      </c>
      <c r="B4760" t="s">
        <v>8200</v>
      </c>
      <c r="C4760" t="s">
        <v>364</v>
      </c>
      <c r="D4760">
        <v>1.6779999999999999</v>
      </c>
      <c r="E4760">
        <v>537</v>
      </c>
      <c r="F4760" t="str">
        <f>HYPERLINK("https://www.google.com/maps/search/?api=1&amp;query=25.21279172,45.86798379", "View Map")</f>
        <v>View Map</v>
      </c>
    </row>
    <row r="4761" spans="1:7" x14ac:dyDescent="0.3">
      <c r="A4761" t="s">
        <v>881</v>
      </c>
      <c r="B4761" t="s">
        <v>8201</v>
      </c>
      <c r="C4761" t="s">
        <v>883</v>
      </c>
      <c r="D4761">
        <v>1.6779999999999999</v>
      </c>
      <c r="E4761">
        <v>537</v>
      </c>
      <c r="F4761" t="str">
        <f>HYPERLINK("https://www.google.com/maps/search/?api=1&amp;query=25.55826481,47.15430599", "View Map")</f>
        <v>View Map</v>
      </c>
      <c r="G4761" s="2">
        <v>0.50271246695821881</v>
      </c>
    </row>
    <row r="4762" spans="1:7" x14ac:dyDescent="0.3">
      <c r="A4762" t="s">
        <v>8202</v>
      </c>
      <c r="B4762" t="s">
        <v>8203</v>
      </c>
      <c r="C4762" t="s">
        <v>8</v>
      </c>
      <c r="D4762">
        <v>1.677</v>
      </c>
      <c r="E4762">
        <v>537</v>
      </c>
      <c r="F4762" t="str">
        <f>HYPERLINK("https://www.google.com/maps/search/?api=1&amp;query=24.77463122,46.7550923", "View Map")</f>
        <v>View Map</v>
      </c>
    </row>
    <row r="4763" spans="1:7" x14ac:dyDescent="0.3">
      <c r="A4763" t="s">
        <v>8204</v>
      </c>
      <c r="B4763" t="s">
        <v>8205</v>
      </c>
      <c r="C4763" t="s">
        <v>8</v>
      </c>
      <c r="D4763">
        <v>1.677</v>
      </c>
      <c r="E4763">
        <v>537</v>
      </c>
      <c r="F4763" t="str">
        <f>HYPERLINK("https://www.google.com/maps/search/?api=1&amp;query=24.63024458,46.84919024", "View Map")</f>
        <v>View Map</v>
      </c>
    </row>
    <row r="4764" spans="1:7" x14ac:dyDescent="0.3">
      <c r="A4764" t="s">
        <v>8206</v>
      </c>
      <c r="B4764" t="s">
        <v>8207</v>
      </c>
      <c r="C4764" t="s">
        <v>291</v>
      </c>
      <c r="D4764">
        <v>1.677</v>
      </c>
      <c r="E4764">
        <v>537</v>
      </c>
      <c r="F4764" t="str">
        <f>HYPERLINK("https://www.google.com/maps/search/?api=1&amp;query=24.01020428,45.19748755", "View Map")</f>
        <v>View Map</v>
      </c>
      <c r="G4764" s="2">
        <v>0.84225360495893331</v>
      </c>
    </row>
    <row r="4765" spans="1:7" x14ac:dyDescent="0.3">
      <c r="A4765" t="s">
        <v>7028</v>
      </c>
      <c r="B4765" t="s">
        <v>8208</v>
      </c>
      <c r="C4765" t="s">
        <v>8</v>
      </c>
      <c r="D4765">
        <v>1.677</v>
      </c>
      <c r="E4765">
        <v>537</v>
      </c>
      <c r="F4765" t="str">
        <f>HYPERLINK("https://www.google.com/maps/search/?api=1&amp;query=24.69424791,46.59730099", "View Map")</f>
        <v>View Map</v>
      </c>
    </row>
    <row r="4766" spans="1:7" x14ac:dyDescent="0.3">
      <c r="A4766" t="s">
        <v>8209</v>
      </c>
      <c r="B4766" t="s">
        <v>8210</v>
      </c>
      <c r="C4766" t="s">
        <v>255</v>
      </c>
      <c r="D4766">
        <v>1.6759999999999999</v>
      </c>
      <c r="E4766">
        <v>536</v>
      </c>
      <c r="F4766" t="str">
        <f>HYPERLINK("https://www.google.com/maps/search/?api=1&amp;query=24.53697719,44.27599619", "View Map")</f>
        <v>View Map</v>
      </c>
      <c r="G4766" s="2">
        <v>0.72860665053859319</v>
      </c>
    </row>
    <row r="4767" spans="1:7" x14ac:dyDescent="0.3">
      <c r="A4767" t="s">
        <v>8211</v>
      </c>
      <c r="B4767" t="s">
        <v>8212</v>
      </c>
      <c r="C4767" t="s">
        <v>8</v>
      </c>
      <c r="D4767">
        <v>1.6759999999999999</v>
      </c>
      <c r="E4767">
        <v>536</v>
      </c>
      <c r="F4767" t="str">
        <f>HYPERLINK("https://www.google.com/maps/search/?api=1&amp;query=24.64017628,46.55544171", "View Map")</f>
        <v>View Map</v>
      </c>
      <c r="G4767" s="2">
        <v>0.1136690394443169</v>
      </c>
    </row>
    <row r="4768" spans="1:7" x14ac:dyDescent="0.3">
      <c r="A4768" t="s">
        <v>459</v>
      </c>
      <c r="B4768" t="s">
        <v>8213</v>
      </c>
      <c r="C4768" t="s">
        <v>286</v>
      </c>
      <c r="D4768">
        <v>1.6759999999999999</v>
      </c>
      <c r="E4768">
        <v>536</v>
      </c>
      <c r="F4768" t="str">
        <f>HYPERLINK("https://www.google.com/maps/search/?api=1&amp;query=25.21584747,45.27197317", "View Map")</f>
        <v>View Map</v>
      </c>
      <c r="G4768" s="2">
        <v>0.38116357478093371</v>
      </c>
    </row>
    <row r="4769" spans="1:7" x14ac:dyDescent="0.3">
      <c r="A4769" t="s">
        <v>8214</v>
      </c>
      <c r="B4769" t="s">
        <v>8215</v>
      </c>
      <c r="C4769" t="s">
        <v>21</v>
      </c>
      <c r="D4769">
        <v>1.6759999999999999</v>
      </c>
      <c r="E4769">
        <v>536</v>
      </c>
      <c r="F4769" t="str">
        <f>HYPERLINK("https://www.google.com/maps/search/?api=1&amp;query=26.32621911,44.82480978", "View Map")</f>
        <v>View Map</v>
      </c>
      <c r="G4769" s="2">
        <v>0.46139874797516139</v>
      </c>
    </row>
    <row r="4770" spans="1:7" x14ac:dyDescent="0.3">
      <c r="A4770" t="s">
        <v>8216</v>
      </c>
      <c r="B4770" t="s">
        <v>8217</v>
      </c>
      <c r="C4770" t="s">
        <v>8</v>
      </c>
      <c r="D4770">
        <v>1.675</v>
      </c>
      <c r="E4770">
        <v>536</v>
      </c>
      <c r="F4770" t="str">
        <f>HYPERLINK("https://www.google.com/maps/search/?api=1&amp;query=24.69039092,46.679865", "View Map")</f>
        <v>View Map</v>
      </c>
    </row>
    <row r="4771" spans="1:7" x14ac:dyDescent="0.3">
      <c r="A4771" t="s">
        <v>8218</v>
      </c>
      <c r="B4771" t="s">
        <v>8219</v>
      </c>
      <c r="C4771" t="s">
        <v>1112</v>
      </c>
      <c r="D4771">
        <v>1.675</v>
      </c>
      <c r="E4771">
        <v>536</v>
      </c>
      <c r="F4771" t="str">
        <f>HYPERLINK("https://www.google.com/maps/search/?api=1&amp;query=26.03018793,44.95210767", "View Map")</f>
        <v>View Map</v>
      </c>
    </row>
    <row r="4772" spans="1:7" x14ac:dyDescent="0.3">
      <c r="A4772" t="s">
        <v>8220</v>
      </c>
      <c r="B4772" t="s">
        <v>8221</v>
      </c>
      <c r="C4772" t="s">
        <v>8</v>
      </c>
      <c r="D4772">
        <v>1.675</v>
      </c>
      <c r="E4772">
        <v>536</v>
      </c>
      <c r="F4772" t="str">
        <f>HYPERLINK("https://www.google.com/maps/search/?api=1&amp;query=24.61778779,46.67445399", "View Map")</f>
        <v>View Map</v>
      </c>
    </row>
    <row r="4773" spans="1:7" x14ac:dyDescent="0.3">
      <c r="A4773" t="s">
        <v>8222</v>
      </c>
      <c r="B4773" t="s">
        <v>8223</v>
      </c>
      <c r="C4773" t="s">
        <v>8</v>
      </c>
      <c r="D4773">
        <v>1.675</v>
      </c>
      <c r="E4773">
        <v>536</v>
      </c>
      <c r="F4773" t="str">
        <f>HYPERLINK("https://www.google.com/maps/search/?api=1&amp;query=24.56410447,46.90034296", "View Map")</f>
        <v>View Map</v>
      </c>
      <c r="G4773" s="2">
        <v>0.38341571727788287</v>
      </c>
    </row>
    <row r="4774" spans="1:7" x14ac:dyDescent="0.3">
      <c r="A4774" t="s">
        <v>8224</v>
      </c>
      <c r="B4774" t="s">
        <v>8225</v>
      </c>
      <c r="C4774" t="s">
        <v>8</v>
      </c>
      <c r="D4774">
        <v>1.675</v>
      </c>
      <c r="E4774">
        <v>536</v>
      </c>
      <c r="F4774" t="str">
        <f>HYPERLINK("https://www.google.com/maps/search/?api=1&amp;query=24.53071229,46.66097934", "View Map")</f>
        <v>View Map</v>
      </c>
    </row>
    <row r="4775" spans="1:7" x14ac:dyDescent="0.3">
      <c r="A4775" t="s">
        <v>2602</v>
      </c>
      <c r="B4775" t="s">
        <v>8226</v>
      </c>
      <c r="C4775" t="s">
        <v>8</v>
      </c>
      <c r="D4775">
        <v>1.6739999999999999</v>
      </c>
      <c r="E4775">
        <v>536</v>
      </c>
      <c r="F4775" t="str">
        <f>HYPERLINK("https://www.google.com/maps/search/?api=1&amp;query=24.57975637,46.57967382", "View Map")</f>
        <v>View Map</v>
      </c>
    </row>
    <row r="4776" spans="1:7" x14ac:dyDescent="0.3">
      <c r="A4776" t="s">
        <v>8227</v>
      </c>
      <c r="B4776" t="s">
        <v>8228</v>
      </c>
      <c r="C4776" t="s">
        <v>8</v>
      </c>
      <c r="D4776">
        <v>1.6739999999999999</v>
      </c>
      <c r="E4776">
        <v>536</v>
      </c>
      <c r="F4776" t="str">
        <f>HYPERLINK("https://www.google.com/maps/search/?api=1&amp;query=24.73820711,46.8144656", "View Map")</f>
        <v>View Map</v>
      </c>
    </row>
    <row r="4777" spans="1:7" x14ac:dyDescent="0.3">
      <c r="A4777" t="s">
        <v>8229</v>
      </c>
      <c r="B4777" t="s">
        <v>8230</v>
      </c>
      <c r="C4777" t="s">
        <v>8</v>
      </c>
      <c r="D4777">
        <v>1.6739999999999999</v>
      </c>
      <c r="E4777">
        <v>536</v>
      </c>
      <c r="F4777" t="str">
        <f>HYPERLINK("https://www.google.com/maps/search/?api=1&amp;query=24.58625121,46.69313837", "View Map")</f>
        <v>View Map</v>
      </c>
    </row>
    <row r="4778" spans="1:7" x14ac:dyDescent="0.3">
      <c r="A4778" t="s">
        <v>8231</v>
      </c>
      <c r="B4778" t="s">
        <v>8232</v>
      </c>
      <c r="C4778" t="s">
        <v>291</v>
      </c>
      <c r="D4778">
        <v>1.6739999999999999</v>
      </c>
      <c r="E4778">
        <v>536</v>
      </c>
      <c r="F4778" t="str">
        <f>HYPERLINK("https://www.google.com/maps/search/?api=1&amp;query=23.99269509,45.11236051", "View Map")</f>
        <v>View Map</v>
      </c>
      <c r="G4778" s="2">
        <v>0.49801520018635193</v>
      </c>
    </row>
    <row r="4779" spans="1:7" x14ac:dyDescent="0.3">
      <c r="A4779" t="s">
        <v>8233</v>
      </c>
      <c r="B4779" t="s">
        <v>8234</v>
      </c>
      <c r="C4779" t="s">
        <v>137</v>
      </c>
      <c r="D4779">
        <v>1.673</v>
      </c>
      <c r="E4779">
        <v>535</v>
      </c>
      <c r="F4779" t="str">
        <f>HYPERLINK("https://www.google.com/maps/search/?api=1&amp;query=23.50098371,46.8859067", "View Map")</f>
        <v>View Map</v>
      </c>
    </row>
    <row r="4780" spans="1:7" x14ac:dyDescent="0.3">
      <c r="A4780" t="s">
        <v>8235</v>
      </c>
      <c r="B4780" t="s">
        <v>8236</v>
      </c>
      <c r="C4780" t="s">
        <v>8</v>
      </c>
      <c r="D4780">
        <v>1.673</v>
      </c>
      <c r="E4780">
        <v>535</v>
      </c>
      <c r="F4780" t="str">
        <f>HYPERLINK("https://www.google.com/maps/search/?api=1&amp;query=24.66994806,46.70904892", "View Map")</f>
        <v>View Map</v>
      </c>
    </row>
    <row r="4781" spans="1:7" x14ac:dyDescent="0.3">
      <c r="A4781" t="s">
        <v>8237</v>
      </c>
      <c r="B4781" t="s">
        <v>8238</v>
      </c>
      <c r="C4781" t="s">
        <v>255</v>
      </c>
      <c r="D4781">
        <v>1.673</v>
      </c>
      <c r="E4781">
        <v>536</v>
      </c>
      <c r="F4781" t="str">
        <f>HYPERLINK("https://www.google.com/maps/search/?api=1&amp;query=24.53850248,43.94190747", "View Map")</f>
        <v>View Map</v>
      </c>
      <c r="G4781" s="2">
        <v>0.60477665541802317</v>
      </c>
    </row>
    <row r="4782" spans="1:7" x14ac:dyDescent="0.3">
      <c r="A4782" t="s">
        <v>8239</v>
      </c>
      <c r="B4782" t="s">
        <v>8240</v>
      </c>
      <c r="C4782" t="s">
        <v>8</v>
      </c>
      <c r="D4782">
        <v>1.673</v>
      </c>
      <c r="E4782">
        <v>535</v>
      </c>
      <c r="F4782" t="str">
        <f>HYPERLINK("https://www.google.com/maps/search/?api=1&amp;query=24.57693748,46.6578586", "View Map")</f>
        <v>View Map</v>
      </c>
    </row>
    <row r="4783" spans="1:7" x14ac:dyDescent="0.3">
      <c r="A4783" t="s">
        <v>146</v>
      </c>
      <c r="B4783" t="s">
        <v>8241</v>
      </c>
      <c r="C4783" t="s">
        <v>8</v>
      </c>
      <c r="D4783">
        <v>1.673</v>
      </c>
      <c r="E4783">
        <v>535</v>
      </c>
      <c r="F4783" t="str">
        <f>HYPERLINK("https://www.google.com/maps/search/?api=1&amp;query=24.55448358,46.67532304", "View Map")</f>
        <v>View Map</v>
      </c>
      <c r="G4783" s="2">
        <v>0.26196301731186461</v>
      </c>
    </row>
    <row r="4784" spans="1:7" x14ac:dyDescent="0.3">
      <c r="A4784" t="s">
        <v>8242</v>
      </c>
      <c r="B4784" t="s">
        <v>8243</v>
      </c>
      <c r="C4784" t="s">
        <v>30</v>
      </c>
      <c r="D4784">
        <v>1.673</v>
      </c>
      <c r="E4784">
        <v>536</v>
      </c>
      <c r="F4784" t="str">
        <f>HYPERLINK("https://www.google.com/maps/search/?api=1&amp;query=24.17338817,47.34686633", "View Map")</f>
        <v>View Map</v>
      </c>
      <c r="G4784" s="2">
        <v>0.41160368298778721</v>
      </c>
    </row>
    <row r="4785" spans="1:7" x14ac:dyDescent="0.3">
      <c r="A4785" t="s">
        <v>6013</v>
      </c>
      <c r="B4785" t="s">
        <v>8244</v>
      </c>
      <c r="C4785" t="s">
        <v>8</v>
      </c>
      <c r="D4785">
        <v>1.6719999999999999</v>
      </c>
      <c r="E4785">
        <v>535</v>
      </c>
      <c r="F4785" t="str">
        <f>HYPERLINK("https://www.google.com/maps/search/?api=1&amp;query=24.75861569,46.68282007", "View Map")</f>
        <v>View Map</v>
      </c>
    </row>
    <row r="4786" spans="1:7" x14ac:dyDescent="0.3">
      <c r="A4786" t="s">
        <v>8245</v>
      </c>
      <c r="B4786" t="s">
        <v>8246</v>
      </c>
      <c r="C4786" t="s">
        <v>8</v>
      </c>
      <c r="D4786">
        <v>1.6719999999999999</v>
      </c>
      <c r="E4786">
        <v>535</v>
      </c>
      <c r="F4786" t="str">
        <f>HYPERLINK("https://www.google.com/maps/search/?api=1&amp;query=24.59281078,46.67385969", "View Map")</f>
        <v>View Map</v>
      </c>
    </row>
    <row r="4787" spans="1:7" x14ac:dyDescent="0.3">
      <c r="A4787" t="s">
        <v>8247</v>
      </c>
      <c r="B4787" t="s">
        <v>8248</v>
      </c>
      <c r="C4787" t="s">
        <v>8</v>
      </c>
      <c r="D4787">
        <v>1.6719999999999999</v>
      </c>
      <c r="E4787">
        <v>535</v>
      </c>
      <c r="F4787" t="str">
        <f>HYPERLINK("https://www.google.com/maps/search/?api=1&amp;query=24.70140874,46.84621653", "View Map")</f>
        <v>View Map</v>
      </c>
    </row>
    <row r="4788" spans="1:7" x14ac:dyDescent="0.3">
      <c r="A4788" t="s">
        <v>881</v>
      </c>
      <c r="B4788" t="s">
        <v>8249</v>
      </c>
      <c r="C4788" t="s">
        <v>883</v>
      </c>
      <c r="D4788">
        <v>1.671</v>
      </c>
      <c r="E4788">
        <v>535</v>
      </c>
      <c r="F4788" t="str">
        <f>HYPERLINK("https://www.google.com/maps/search/?api=1&amp;query=25.54742231,47.1744815", "View Map")</f>
        <v>View Map</v>
      </c>
      <c r="G4788" s="2">
        <v>0.36468631142513791</v>
      </c>
    </row>
    <row r="4789" spans="1:7" x14ac:dyDescent="0.3">
      <c r="A4789" t="s">
        <v>8250</v>
      </c>
      <c r="B4789" t="s">
        <v>8251</v>
      </c>
      <c r="C4789" t="s">
        <v>255</v>
      </c>
      <c r="D4789">
        <v>1.671</v>
      </c>
      <c r="E4789">
        <v>535</v>
      </c>
      <c r="F4789" t="str">
        <f>HYPERLINK("https://www.google.com/maps/search/?api=1&amp;query=24.55031868,43.87626377", "View Map")</f>
        <v>View Map</v>
      </c>
      <c r="G4789" s="2">
        <v>0.46661638027471308</v>
      </c>
    </row>
    <row r="4790" spans="1:7" x14ac:dyDescent="0.3">
      <c r="A4790" t="s">
        <v>8252</v>
      </c>
      <c r="B4790" t="s">
        <v>8253</v>
      </c>
      <c r="C4790" t="s">
        <v>21</v>
      </c>
      <c r="D4790">
        <v>1.671</v>
      </c>
      <c r="E4790">
        <v>535</v>
      </c>
      <c r="F4790" t="str">
        <f>HYPERLINK("https://www.google.com/maps/search/?api=1&amp;query=26.33851303,44.78629002", "View Map")</f>
        <v>View Map</v>
      </c>
      <c r="G4790" s="2">
        <v>0.42521492791335169</v>
      </c>
    </row>
    <row r="4791" spans="1:7" x14ac:dyDescent="0.3">
      <c r="A4791" t="s">
        <v>28</v>
      </c>
      <c r="B4791" t="s">
        <v>8254</v>
      </c>
      <c r="C4791" t="s">
        <v>30</v>
      </c>
      <c r="D4791">
        <v>1.671</v>
      </c>
      <c r="E4791">
        <v>535</v>
      </c>
      <c r="F4791" t="str">
        <f>HYPERLINK("https://www.google.com/maps/search/?api=1&amp;query=24.16656676,47.25437701", "View Map")</f>
        <v>View Map</v>
      </c>
    </row>
    <row r="4792" spans="1:7" x14ac:dyDescent="0.3">
      <c r="A4792" t="s">
        <v>2575</v>
      </c>
      <c r="B4792" t="s">
        <v>8255</v>
      </c>
      <c r="C4792" t="s">
        <v>8</v>
      </c>
      <c r="D4792">
        <v>1.67</v>
      </c>
      <c r="E4792">
        <v>534</v>
      </c>
      <c r="F4792" t="str">
        <f>HYPERLINK("https://www.google.com/maps/search/?api=1&amp;query=24.80943836,46.64490465", "View Map")</f>
        <v>View Map</v>
      </c>
    </row>
    <row r="4793" spans="1:7" x14ac:dyDescent="0.3">
      <c r="A4793" t="s">
        <v>8256</v>
      </c>
      <c r="B4793" t="s">
        <v>8257</v>
      </c>
      <c r="C4793" t="s">
        <v>16</v>
      </c>
      <c r="D4793">
        <v>1.669</v>
      </c>
      <c r="E4793">
        <v>534</v>
      </c>
      <c r="F4793" t="str">
        <f>HYPERLINK("https://www.google.com/maps/search/?api=1&amp;query=24.38125095,42.16937967", "View Map")</f>
        <v>View Map</v>
      </c>
      <c r="G4793" s="2">
        <v>0.78096527939686056</v>
      </c>
    </row>
    <row r="4794" spans="1:7" x14ac:dyDescent="0.3">
      <c r="A4794" t="s">
        <v>2285</v>
      </c>
      <c r="B4794" t="s">
        <v>8258</v>
      </c>
      <c r="C4794" t="s">
        <v>8</v>
      </c>
      <c r="D4794">
        <v>1.669</v>
      </c>
      <c r="E4794">
        <v>534</v>
      </c>
      <c r="F4794" t="str">
        <f>HYPERLINK("https://www.google.com/maps/search/?api=1&amp;query=24.74080346,46.76538628", "View Map")</f>
        <v>View Map</v>
      </c>
    </row>
    <row r="4795" spans="1:7" x14ac:dyDescent="0.3">
      <c r="A4795" t="s">
        <v>8259</v>
      </c>
      <c r="B4795" t="s">
        <v>8260</v>
      </c>
      <c r="C4795" t="s">
        <v>8</v>
      </c>
      <c r="D4795">
        <v>1.6679999999999999</v>
      </c>
      <c r="E4795">
        <v>534</v>
      </c>
      <c r="F4795" t="str">
        <f>HYPERLINK("https://www.google.com/maps/search/?api=1&amp;query=24.67897541,46.80652705", "View Map")</f>
        <v>View Map</v>
      </c>
    </row>
    <row r="4796" spans="1:7" x14ac:dyDescent="0.3">
      <c r="A4796" t="s">
        <v>8261</v>
      </c>
      <c r="B4796" t="s">
        <v>8262</v>
      </c>
      <c r="C4796" t="s">
        <v>8</v>
      </c>
      <c r="D4796">
        <v>1.6679999999999999</v>
      </c>
      <c r="E4796">
        <v>534</v>
      </c>
      <c r="F4796" t="str">
        <f>HYPERLINK("https://www.google.com/maps/search/?api=1&amp;query=24.66271757,46.62413625", "View Map")</f>
        <v>View Map</v>
      </c>
    </row>
    <row r="4797" spans="1:7" x14ac:dyDescent="0.3">
      <c r="A4797" t="s">
        <v>8263</v>
      </c>
      <c r="B4797" t="s">
        <v>8264</v>
      </c>
      <c r="C4797" t="s">
        <v>393</v>
      </c>
      <c r="D4797">
        <v>1.667</v>
      </c>
      <c r="E4797">
        <v>533</v>
      </c>
      <c r="F4797" t="str">
        <f>HYPERLINK("https://www.google.com/maps/search/?api=1&amp;query=23.6259477,45.40687317", "View Map")</f>
        <v>View Map</v>
      </c>
      <c r="G4797" s="2">
        <v>0.91496556073983559</v>
      </c>
    </row>
    <row r="4798" spans="1:7" x14ac:dyDescent="0.3">
      <c r="A4798" t="s">
        <v>8265</v>
      </c>
      <c r="B4798" t="s">
        <v>8266</v>
      </c>
      <c r="C4798" t="s">
        <v>8</v>
      </c>
      <c r="D4798">
        <v>1.667</v>
      </c>
      <c r="E4798">
        <v>533</v>
      </c>
      <c r="F4798" t="str">
        <f>HYPERLINK("https://www.google.com/maps/search/?api=1&amp;query=24.54927959,46.66424803", "View Map")</f>
        <v>View Map</v>
      </c>
    </row>
    <row r="4799" spans="1:7" x14ac:dyDescent="0.3">
      <c r="A4799" t="s">
        <v>8267</v>
      </c>
      <c r="B4799" t="s">
        <v>8268</v>
      </c>
      <c r="C4799" t="s">
        <v>241</v>
      </c>
      <c r="D4799">
        <v>1.667</v>
      </c>
      <c r="E4799">
        <v>534</v>
      </c>
      <c r="F4799" t="str">
        <f>HYPERLINK("https://www.google.com/maps/search/?api=1&amp;query=20.44635123,44.82191721", "View Map")</f>
        <v>View Map</v>
      </c>
    </row>
    <row r="4800" spans="1:7" x14ac:dyDescent="0.3">
      <c r="A4800" t="s">
        <v>8269</v>
      </c>
      <c r="B4800" t="s">
        <v>8270</v>
      </c>
      <c r="C4800" t="s">
        <v>8</v>
      </c>
      <c r="D4800">
        <v>1.6659999999999999</v>
      </c>
      <c r="E4800">
        <v>533</v>
      </c>
      <c r="F4800" t="str">
        <f>HYPERLINK("https://www.google.com/maps/search/?api=1&amp;query=24.69733538,46.82269093", "View Map")</f>
        <v>View Map</v>
      </c>
    </row>
    <row r="4801" spans="1:7" x14ac:dyDescent="0.3">
      <c r="A4801" t="s">
        <v>8271</v>
      </c>
      <c r="B4801" t="s">
        <v>8272</v>
      </c>
      <c r="C4801" t="s">
        <v>646</v>
      </c>
      <c r="D4801">
        <v>1.6659999999999999</v>
      </c>
      <c r="E4801">
        <v>533</v>
      </c>
      <c r="F4801" t="str">
        <f>HYPERLINK("https://www.google.com/maps/search/?api=1&amp;query=20.40880588,45.43848489", "View Map")</f>
        <v>View Map</v>
      </c>
      <c r="G4801" s="2">
        <v>0.52892862252148842</v>
      </c>
    </row>
    <row r="4802" spans="1:7" x14ac:dyDescent="0.3">
      <c r="A4802" t="s">
        <v>8273</v>
      </c>
      <c r="B4802" t="s">
        <v>8274</v>
      </c>
      <c r="C4802" t="s">
        <v>8</v>
      </c>
      <c r="D4802">
        <v>1.6659999999999999</v>
      </c>
      <c r="E4802">
        <v>533</v>
      </c>
      <c r="F4802" t="str">
        <f>HYPERLINK("https://www.google.com/maps/search/?api=1&amp;query=24.64344167,46.7303838", "View Map")</f>
        <v>View Map</v>
      </c>
    </row>
    <row r="4803" spans="1:7" x14ac:dyDescent="0.3">
      <c r="A4803" t="s">
        <v>8275</v>
      </c>
      <c r="B4803" t="s">
        <v>8276</v>
      </c>
      <c r="C4803" t="s">
        <v>8</v>
      </c>
      <c r="D4803">
        <v>1.6659999999999999</v>
      </c>
      <c r="E4803">
        <v>533</v>
      </c>
      <c r="F4803" t="str">
        <f>HYPERLINK("https://www.google.com/maps/search/?api=1&amp;query=24.78145074,46.63559311", "View Map")</f>
        <v>View Map</v>
      </c>
    </row>
    <row r="4804" spans="1:7" x14ac:dyDescent="0.3">
      <c r="A4804" t="s">
        <v>8277</v>
      </c>
      <c r="B4804" t="s">
        <v>8278</v>
      </c>
      <c r="C4804" t="s">
        <v>30</v>
      </c>
      <c r="D4804">
        <v>1.6659999999999999</v>
      </c>
      <c r="E4804">
        <v>533</v>
      </c>
      <c r="F4804" t="str">
        <f>HYPERLINK("https://www.google.com/maps/search/?api=1&amp;query=24.11119,47.28556", "View Map")</f>
        <v>View Map</v>
      </c>
    </row>
    <row r="4805" spans="1:7" x14ac:dyDescent="0.3">
      <c r="A4805" t="s">
        <v>8279</v>
      </c>
      <c r="B4805" t="s">
        <v>8280</v>
      </c>
      <c r="C4805" t="s">
        <v>214</v>
      </c>
      <c r="D4805">
        <v>1.665</v>
      </c>
      <c r="E4805">
        <v>533</v>
      </c>
      <c r="F4805" t="str">
        <f>HYPERLINK("https://www.google.com/maps/search/?api=1&amp;query=25.89795472,45.36878002", "View Map")</f>
        <v>View Map</v>
      </c>
      <c r="G4805" s="2">
        <v>0.62254895589929116</v>
      </c>
    </row>
    <row r="4806" spans="1:7" x14ac:dyDescent="0.3">
      <c r="A4806" t="s">
        <v>8281</v>
      </c>
      <c r="B4806" t="s">
        <v>8282</v>
      </c>
      <c r="C4806" t="s">
        <v>8</v>
      </c>
      <c r="D4806">
        <v>1.665</v>
      </c>
      <c r="E4806">
        <v>533</v>
      </c>
      <c r="F4806" t="str">
        <f>HYPERLINK("https://www.google.com/maps/search/?api=1&amp;query=24.80240908,46.86235804", "View Map")</f>
        <v>View Map</v>
      </c>
    </row>
    <row r="4807" spans="1:7" x14ac:dyDescent="0.3">
      <c r="A4807" t="s">
        <v>8283</v>
      </c>
      <c r="B4807" t="s">
        <v>8284</v>
      </c>
      <c r="C4807" t="s">
        <v>21</v>
      </c>
      <c r="D4807">
        <v>1.6639999999999999</v>
      </c>
      <c r="E4807">
        <v>532</v>
      </c>
      <c r="F4807" t="str">
        <f>HYPERLINK("https://www.google.com/maps/search/?api=1&amp;query=26.29066099,44.81886981", "View Map")</f>
        <v>View Map</v>
      </c>
      <c r="G4807" s="2">
        <v>0.41253468914631919</v>
      </c>
    </row>
    <row r="4808" spans="1:7" x14ac:dyDescent="0.3">
      <c r="A4808" t="s">
        <v>146</v>
      </c>
      <c r="B4808" t="s">
        <v>8285</v>
      </c>
      <c r="C4808" t="s">
        <v>8</v>
      </c>
      <c r="D4808">
        <v>1.663</v>
      </c>
      <c r="E4808">
        <v>532</v>
      </c>
      <c r="F4808" t="str">
        <f>HYPERLINK("https://www.google.com/maps/search/?api=1&amp;query=24.63765118,46.7164898", "View Map")</f>
        <v>View Map</v>
      </c>
    </row>
    <row r="4809" spans="1:7" x14ac:dyDescent="0.3">
      <c r="A4809" t="s">
        <v>8286</v>
      </c>
      <c r="B4809" t="s">
        <v>8287</v>
      </c>
      <c r="C4809" t="s">
        <v>286</v>
      </c>
      <c r="D4809">
        <v>1.663</v>
      </c>
      <c r="E4809">
        <v>532</v>
      </c>
      <c r="F4809" t="str">
        <f>HYPERLINK("https://www.google.com/maps/search/?api=1&amp;query=25.23256,45.24166", "View Map")</f>
        <v>View Map</v>
      </c>
      <c r="G4809" s="2">
        <v>0.70687187764906578</v>
      </c>
    </row>
    <row r="4810" spans="1:7" x14ac:dyDescent="0.3">
      <c r="A4810" t="s">
        <v>678</v>
      </c>
      <c r="B4810" t="s">
        <v>8288</v>
      </c>
      <c r="C4810" t="s">
        <v>21</v>
      </c>
      <c r="D4810">
        <v>1.663</v>
      </c>
      <c r="E4810">
        <v>532</v>
      </c>
      <c r="F4810" t="str">
        <f>HYPERLINK("https://www.google.com/maps/search/?api=1&amp;query=26.33839227,44.79702489", "View Map")</f>
        <v>View Map</v>
      </c>
      <c r="G4810" s="2">
        <v>0.46536945934107909</v>
      </c>
    </row>
    <row r="4811" spans="1:7" x14ac:dyDescent="0.3">
      <c r="A4811" t="s">
        <v>8289</v>
      </c>
      <c r="B4811" t="s">
        <v>8290</v>
      </c>
      <c r="C4811" t="s">
        <v>214</v>
      </c>
      <c r="D4811">
        <v>1.6619999999999999</v>
      </c>
      <c r="E4811">
        <v>532</v>
      </c>
      <c r="F4811" t="str">
        <f>HYPERLINK("https://www.google.com/maps/search/?api=1&amp;query=25.6253869,45.5756217", "View Map")</f>
        <v>View Map</v>
      </c>
      <c r="G4811" s="2">
        <v>0.49807211501586429</v>
      </c>
    </row>
    <row r="4812" spans="1:7" x14ac:dyDescent="0.3">
      <c r="A4812" t="s">
        <v>8291</v>
      </c>
      <c r="B4812" t="s">
        <v>8292</v>
      </c>
      <c r="C4812" t="s">
        <v>8</v>
      </c>
      <c r="D4812">
        <v>1.6619999999999999</v>
      </c>
      <c r="E4812">
        <v>532</v>
      </c>
      <c r="F4812" t="str">
        <f>HYPERLINK("https://www.google.com/maps/search/?api=1&amp;query=24.58980718,46.62978375", "View Map")</f>
        <v>View Map</v>
      </c>
    </row>
    <row r="4813" spans="1:7" x14ac:dyDescent="0.3">
      <c r="A4813" t="s">
        <v>8293</v>
      </c>
      <c r="B4813" t="s">
        <v>8294</v>
      </c>
      <c r="C4813" t="s">
        <v>393</v>
      </c>
      <c r="D4813">
        <v>1.6619999999999999</v>
      </c>
      <c r="E4813">
        <v>532</v>
      </c>
      <c r="F4813" t="str">
        <f>HYPERLINK("https://www.google.com/maps/search/?api=1&amp;query=23.35940114,45.56717064", "View Map")</f>
        <v>View Map</v>
      </c>
      <c r="G4813" s="2">
        <v>0.8445390054922719</v>
      </c>
    </row>
    <row r="4814" spans="1:7" x14ac:dyDescent="0.3">
      <c r="A4814" t="s">
        <v>46</v>
      </c>
      <c r="B4814" t="s">
        <v>8295</v>
      </c>
      <c r="C4814" t="s">
        <v>8</v>
      </c>
      <c r="D4814">
        <v>1.661</v>
      </c>
      <c r="E4814">
        <v>532</v>
      </c>
      <c r="F4814" t="str">
        <f>HYPERLINK("https://www.google.com/maps/search/?api=1&amp;query=24.84506878,46.83515774", "View Map")</f>
        <v>View Map</v>
      </c>
    </row>
    <row r="4815" spans="1:7" x14ac:dyDescent="0.3">
      <c r="A4815" t="s">
        <v>3554</v>
      </c>
      <c r="B4815" t="s">
        <v>8296</v>
      </c>
      <c r="C4815" t="s">
        <v>8</v>
      </c>
      <c r="D4815">
        <v>1.661</v>
      </c>
      <c r="E4815">
        <v>531</v>
      </c>
      <c r="F4815" t="str">
        <f>HYPERLINK("https://www.google.com/maps/search/?api=1&amp;query=24.60159283,46.76137899", "View Map")</f>
        <v>View Map</v>
      </c>
    </row>
    <row r="4816" spans="1:7" x14ac:dyDescent="0.3">
      <c r="A4816" t="s">
        <v>8297</v>
      </c>
      <c r="B4816" t="s">
        <v>8298</v>
      </c>
      <c r="C4816" t="s">
        <v>8</v>
      </c>
      <c r="D4816">
        <v>1.66</v>
      </c>
      <c r="E4816">
        <v>531</v>
      </c>
      <c r="F4816" t="str">
        <f>HYPERLINK("https://www.google.com/maps/search/?api=1&amp;query=24.76146996,46.7665743", "View Map")</f>
        <v>View Map</v>
      </c>
      <c r="G4816" s="2">
        <v>0.70814033965650869</v>
      </c>
    </row>
    <row r="4817" spans="1:7" x14ac:dyDescent="0.3">
      <c r="A4817" t="s">
        <v>8299</v>
      </c>
      <c r="B4817" t="s">
        <v>8300</v>
      </c>
      <c r="C4817" t="s">
        <v>8</v>
      </c>
      <c r="D4817">
        <v>1.66</v>
      </c>
      <c r="E4817">
        <v>531</v>
      </c>
      <c r="F4817" t="str">
        <f>HYPERLINK("https://www.google.com/maps/search/?api=1&amp;query=24.6637176,46.80484601", "View Map")</f>
        <v>View Map</v>
      </c>
    </row>
    <row r="4818" spans="1:7" x14ac:dyDescent="0.3">
      <c r="A4818" t="s">
        <v>2619</v>
      </c>
      <c r="B4818" t="s">
        <v>8301</v>
      </c>
      <c r="C4818" t="s">
        <v>241</v>
      </c>
      <c r="D4818">
        <v>1.66</v>
      </c>
      <c r="E4818">
        <v>531</v>
      </c>
      <c r="F4818" t="str">
        <f>HYPERLINK("https://www.google.com/maps/search/?api=1&amp;query=20.45686397,44.83638008", "View Map")</f>
        <v>View Map</v>
      </c>
    </row>
    <row r="4819" spans="1:7" x14ac:dyDescent="0.3">
      <c r="A4819" t="s">
        <v>8302</v>
      </c>
      <c r="B4819" t="s">
        <v>8303</v>
      </c>
      <c r="C4819" t="s">
        <v>8</v>
      </c>
      <c r="D4819">
        <v>1.66</v>
      </c>
      <c r="E4819">
        <v>531</v>
      </c>
      <c r="F4819" t="str">
        <f>HYPERLINK("https://www.google.com/maps/search/?api=1&amp;query=24.60158635,46.62071947", "View Map")</f>
        <v>View Map</v>
      </c>
    </row>
    <row r="4820" spans="1:7" x14ac:dyDescent="0.3">
      <c r="A4820" t="s">
        <v>8304</v>
      </c>
      <c r="B4820" t="s">
        <v>8305</v>
      </c>
      <c r="C4820" t="s">
        <v>738</v>
      </c>
      <c r="D4820">
        <v>1.66</v>
      </c>
      <c r="E4820">
        <v>531</v>
      </c>
      <c r="F4820" t="str">
        <f>HYPERLINK("https://www.google.com/maps/search/?api=1&amp;query=25.17274974,46.32546343", "View Map")</f>
        <v>View Map</v>
      </c>
      <c r="G4820" s="2">
        <v>0.38497441840506469</v>
      </c>
    </row>
    <row r="4821" spans="1:7" x14ac:dyDescent="0.3">
      <c r="A4821" t="s">
        <v>8306</v>
      </c>
      <c r="B4821" t="s">
        <v>8307</v>
      </c>
      <c r="C4821" t="s">
        <v>16</v>
      </c>
      <c r="D4821">
        <v>1.659</v>
      </c>
      <c r="E4821">
        <v>531</v>
      </c>
      <c r="F4821" t="str">
        <f>HYPERLINK("https://www.google.com/maps/search/?api=1&amp;query=23.88451333,42.91173705", "View Map")</f>
        <v>View Map</v>
      </c>
      <c r="G4821" s="2">
        <v>0.47638702420604728</v>
      </c>
    </row>
    <row r="4822" spans="1:7" x14ac:dyDescent="0.3">
      <c r="A4822" t="s">
        <v>8308</v>
      </c>
      <c r="B4822" t="s">
        <v>8309</v>
      </c>
      <c r="C4822" t="s">
        <v>8</v>
      </c>
      <c r="D4822">
        <v>1.659</v>
      </c>
      <c r="E4822">
        <v>531</v>
      </c>
      <c r="F4822" t="str">
        <f>HYPERLINK("https://www.google.com/maps/search/?api=1&amp;query=24.57256528,46.68615296", "View Map")</f>
        <v>View Map</v>
      </c>
    </row>
    <row r="4823" spans="1:7" x14ac:dyDescent="0.3">
      <c r="A4823" t="s">
        <v>8310</v>
      </c>
      <c r="B4823" t="s">
        <v>8311</v>
      </c>
      <c r="C4823" t="s">
        <v>8</v>
      </c>
      <c r="D4823">
        <v>1.659</v>
      </c>
      <c r="E4823">
        <v>531</v>
      </c>
      <c r="F4823" t="str">
        <f>HYPERLINK("https://www.google.com/maps/search/?api=1&amp;query=24.58726632,46.5549912", "View Map")</f>
        <v>View Map</v>
      </c>
    </row>
    <row r="4824" spans="1:7" x14ac:dyDescent="0.3">
      <c r="A4824" t="s">
        <v>8312</v>
      </c>
      <c r="B4824" t="s">
        <v>8313</v>
      </c>
      <c r="C4824" t="s">
        <v>8</v>
      </c>
      <c r="D4824">
        <v>1.6579999999999999</v>
      </c>
      <c r="E4824">
        <v>531</v>
      </c>
      <c r="F4824" t="str">
        <f>HYPERLINK("https://www.google.com/maps/search/?api=1&amp;query=24.56690937,46.54187861", "View Map")</f>
        <v>View Map</v>
      </c>
    </row>
    <row r="4825" spans="1:7" x14ac:dyDescent="0.3">
      <c r="A4825" t="s">
        <v>8314</v>
      </c>
      <c r="B4825" t="s">
        <v>8315</v>
      </c>
      <c r="C4825" t="s">
        <v>8</v>
      </c>
      <c r="D4825">
        <v>1.6579999999999999</v>
      </c>
      <c r="E4825">
        <v>531</v>
      </c>
      <c r="F4825" t="str">
        <f>HYPERLINK("https://www.google.com/maps/search/?api=1&amp;query=24.78473086,46.80780761", "View Map")</f>
        <v>View Map</v>
      </c>
    </row>
    <row r="4826" spans="1:7" x14ac:dyDescent="0.3">
      <c r="A4826" t="s">
        <v>8316</v>
      </c>
      <c r="B4826" t="s">
        <v>8317</v>
      </c>
      <c r="C4826" t="s">
        <v>8</v>
      </c>
      <c r="D4826">
        <v>1.657</v>
      </c>
      <c r="E4826">
        <v>530</v>
      </c>
      <c r="F4826" t="str">
        <f>HYPERLINK("https://www.google.com/maps/search/?api=1&amp;query=24.69237841,46.78631576", "View Map")</f>
        <v>View Map</v>
      </c>
      <c r="G4826" s="2">
        <v>0.6024563452937064</v>
      </c>
    </row>
    <row r="4827" spans="1:7" x14ac:dyDescent="0.3">
      <c r="A4827" t="s">
        <v>3735</v>
      </c>
      <c r="B4827" t="s">
        <v>8318</v>
      </c>
      <c r="C4827" t="s">
        <v>255</v>
      </c>
      <c r="D4827">
        <v>1.657</v>
      </c>
      <c r="E4827">
        <v>530</v>
      </c>
      <c r="F4827" t="str">
        <f>HYPERLINK("https://www.google.com/maps/search/?api=1&amp;query=25.17420934,44.61100612", "View Map")</f>
        <v>View Map</v>
      </c>
      <c r="G4827" s="2">
        <v>0.49778491260782193</v>
      </c>
    </row>
    <row r="4828" spans="1:7" x14ac:dyDescent="0.3">
      <c r="A4828" t="s">
        <v>3735</v>
      </c>
      <c r="B4828" t="s">
        <v>8319</v>
      </c>
      <c r="C4828" t="s">
        <v>255</v>
      </c>
      <c r="D4828">
        <v>1.657</v>
      </c>
      <c r="E4828">
        <v>530</v>
      </c>
      <c r="F4828" t="str">
        <f>HYPERLINK("https://www.google.com/maps/search/?api=1&amp;query=25.17430785,44.60339883", "View Map")</f>
        <v>View Map</v>
      </c>
      <c r="G4828" s="2">
        <v>0.57186522395439787</v>
      </c>
    </row>
    <row r="4829" spans="1:7" x14ac:dyDescent="0.3">
      <c r="A4829" t="s">
        <v>1594</v>
      </c>
      <c r="B4829" t="s">
        <v>8320</v>
      </c>
      <c r="C4829" t="s">
        <v>296</v>
      </c>
      <c r="D4829">
        <v>1.6559999999999999</v>
      </c>
      <c r="E4829">
        <v>530</v>
      </c>
      <c r="F4829" t="str">
        <f>HYPERLINK("https://www.google.com/maps/search/?api=1&amp;query=24.50711365,46.07075512", "View Map")</f>
        <v>View Map</v>
      </c>
      <c r="G4829" s="2">
        <v>0.40657789162825497</v>
      </c>
    </row>
    <row r="4830" spans="1:7" x14ac:dyDescent="0.3">
      <c r="A4830" t="s">
        <v>8321</v>
      </c>
      <c r="B4830" t="s">
        <v>8322</v>
      </c>
      <c r="C4830" t="s">
        <v>286</v>
      </c>
      <c r="D4830">
        <v>1.6559999999999999</v>
      </c>
      <c r="E4830">
        <v>530</v>
      </c>
      <c r="F4830" t="str">
        <f>HYPERLINK("https://www.google.com/maps/search/?api=1&amp;query=25.44599274,45.40142938", "View Map")</f>
        <v>View Map</v>
      </c>
      <c r="G4830" s="2">
        <v>0.443186995627393</v>
      </c>
    </row>
    <row r="4831" spans="1:7" x14ac:dyDescent="0.3">
      <c r="A4831" t="s">
        <v>8323</v>
      </c>
      <c r="B4831" t="s">
        <v>8324</v>
      </c>
      <c r="C4831" t="s">
        <v>291</v>
      </c>
      <c r="D4831">
        <v>1.6559999999999999</v>
      </c>
      <c r="E4831">
        <v>530</v>
      </c>
      <c r="F4831" t="str">
        <f>HYPERLINK("https://www.google.com/maps/search/?api=1&amp;query=24.42357673,45.31205744", "View Map")</f>
        <v>View Map</v>
      </c>
    </row>
    <row r="4832" spans="1:7" x14ac:dyDescent="0.3">
      <c r="A4832" t="s">
        <v>2478</v>
      </c>
      <c r="B4832" t="s">
        <v>8325</v>
      </c>
      <c r="C4832" t="s">
        <v>8</v>
      </c>
      <c r="D4832">
        <v>1.6559999999999999</v>
      </c>
      <c r="E4832">
        <v>530</v>
      </c>
      <c r="F4832" t="str">
        <f>HYPERLINK("https://www.google.com/maps/search/?api=1&amp;query=24.79511782,46.90296469", "View Map")</f>
        <v>View Map</v>
      </c>
    </row>
    <row r="4833" spans="1:7" x14ac:dyDescent="0.3">
      <c r="A4833" t="s">
        <v>8326</v>
      </c>
      <c r="B4833" t="s">
        <v>8327</v>
      </c>
      <c r="C4833" t="s">
        <v>21</v>
      </c>
      <c r="D4833">
        <v>1.6539999999999999</v>
      </c>
      <c r="E4833">
        <v>529</v>
      </c>
      <c r="F4833" t="str">
        <f>HYPERLINK("https://www.google.com/maps/search/?api=1&amp;query=26.28674417,44.83307428", "View Map")</f>
        <v>View Map</v>
      </c>
      <c r="G4833" s="2">
        <v>0.61143925153514656</v>
      </c>
    </row>
    <row r="4834" spans="1:7" x14ac:dyDescent="0.3">
      <c r="A4834" t="s">
        <v>8328</v>
      </c>
      <c r="B4834" t="s">
        <v>8329</v>
      </c>
      <c r="C4834" t="s">
        <v>8</v>
      </c>
      <c r="D4834">
        <v>1.6539999999999999</v>
      </c>
      <c r="E4834">
        <v>529</v>
      </c>
      <c r="F4834" t="str">
        <f>HYPERLINK("https://www.google.com/maps/search/?api=1&amp;query=24.59929334,46.60025905", "View Map")</f>
        <v>View Map</v>
      </c>
    </row>
    <row r="4835" spans="1:7" x14ac:dyDescent="0.3">
      <c r="A4835" t="s">
        <v>46</v>
      </c>
      <c r="B4835" t="s">
        <v>8330</v>
      </c>
      <c r="C4835" t="s">
        <v>8</v>
      </c>
      <c r="D4835">
        <v>1.6539999999999999</v>
      </c>
      <c r="E4835">
        <v>529</v>
      </c>
      <c r="F4835" t="str">
        <f>HYPERLINK("https://www.google.com/maps/search/?api=1&amp;query=24.63545034,46.52911139", "View Map")</f>
        <v>View Map</v>
      </c>
    </row>
    <row r="4836" spans="1:7" x14ac:dyDescent="0.3">
      <c r="A4836" t="s">
        <v>999</v>
      </c>
      <c r="B4836" t="s">
        <v>8331</v>
      </c>
      <c r="C4836" t="s">
        <v>8</v>
      </c>
      <c r="D4836">
        <v>1.6539999999999999</v>
      </c>
      <c r="E4836">
        <v>529</v>
      </c>
      <c r="F4836" t="str">
        <f>HYPERLINK("https://www.google.com/maps/search/?api=1&amp;query=24.59426827,46.77897917", "View Map")</f>
        <v>View Map</v>
      </c>
    </row>
    <row r="4837" spans="1:7" x14ac:dyDescent="0.3">
      <c r="A4837" t="s">
        <v>8332</v>
      </c>
      <c r="B4837" t="s">
        <v>8333</v>
      </c>
      <c r="C4837" t="s">
        <v>8</v>
      </c>
      <c r="D4837">
        <v>1.653</v>
      </c>
      <c r="E4837">
        <v>529</v>
      </c>
      <c r="F4837" t="str">
        <f>HYPERLINK("https://www.google.com/maps/search/?api=1&amp;query=24.60674023,46.71569212", "View Map")</f>
        <v>View Map</v>
      </c>
    </row>
    <row r="4838" spans="1:7" x14ac:dyDescent="0.3">
      <c r="A4838" t="s">
        <v>8334</v>
      </c>
      <c r="B4838" t="s">
        <v>8335</v>
      </c>
      <c r="C4838" t="s">
        <v>214</v>
      </c>
      <c r="D4838">
        <v>1.653</v>
      </c>
      <c r="E4838">
        <v>529</v>
      </c>
      <c r="F4838" t="str">
        <f>HYPERLINK("https://www.google.com/maps/search/?api=1&amp;query=25.90056271,45.33631521", "View Map")</f>
        <v>View Map</v>
      </c>
      <c r="G4838" s="2">
        <v>0.42018436057779379</v>
      </c>
    </row>
    <row r="4839" spans="1:7" x14ac:dyDescent="0.3">
      <c r="A4839" t="s">
        <v>7535</v>
      </c>
      <c r="B4839" t="s">
        <v>8336</v>
      </c>
      <c r="C4839" t="s">
        <v>8</v>
      </c>
      <c r="D4839">
        <v>1.653</v>
      </c>
      <c r="E4839">
        <v>529</v>
      </c>
      <c r="F4839" t="str">
        <f>HYPERLINK("https://www.google.com/maps/search/?api=1&amp;query=24.59827896,46.80672086", "View Map")</f>
        <v>View Map</v>
      </c>
    </row>
    <row r="4840" spans="1:7" x14ac:dyDescent="0.3">
      <c r="A4840" t="s">
        <v>8337</v>
      </c>
      <c r="B4840" t="s">
        <v>8338</v>
      </c>
      <c r="C4840" t="s">
        <v>8</v>
      </c>
      <c r="D4840">
        <v>1.6519999999999999</v>
      </c>
      <c r="E4840">
        <v>529</v>
      </c>
      <c r="F4840" t="str">
        <f>HYPERLINK("https://www.google.com/maps/search/?api=1&amp;query=24.6321674,46.73309895", "View Map")</f>
        <v>View Map</v>
      </c>
    </row>
    <row r="4841" spans="1:7" x14ac:dyDescent="0.3">
      <c r="A4841" t="s">
        <v>8339</v>
      </c>
      <c r="B4841" t="s">
        <v>8340</v>
      </c>
      <c r="C4841" t="s">
        <v>8</v>
      </c>
      <c r="D4841">
        <v>1.6519999999999999</v>
      </c>
      <c r="E4841">
        <v>529</v>
      </c>
      <c r="F4841" t="str">
        <f>HYPERLINK("https://www.google.com/maps/search/?api=1&amp;query=24.77815313,46.7244194", "View Map")</f>
        <v>View Map</v>
      </c>
    </row>
    <row r="4842" spans="1:7" x14ac:dyDescent="0.3">
      <c r="A4842" t="s">
        <v>8341</v>
      </c>
      <c r="B4842" t="s">
        <v>8342</v>
      </c>
      <c r="C4842" t="s">
        <v>270</v>
      </c>
      <c r="D4842">
        <v>1.6519999999999999</v>
      </c>
      <c r="E4842">
        <v>529</v>
      </c>
      <c r="F4842" t="str">
        <f>HYPERLINK("https://www.google.com/maps/search/?api=1&amp;query=23.98470104,47.1083658", "View Map")</f>
        <v>View Map</v>
      </c>
    </row>
    <row r="4843" spans="1:7" x14ac:dyDescent="0.3">
      <c r="A4843" t="s">
        <v>8343</v>
      </c>
      <c r="B4843" t="s">
        <v>8344</v>
      </c>
      <c r="C4843" t="s">
        <v>270</v>
      </c>
      <c r="D4843">
        <v>1.651</v>
      </c>
      <c r="E4843">
        <v>528</v>
      </c>
      <c r="F4843" t="str">
        <f>HYPERLINK("https://www.google.com/maps/search/?api=1&amp;query=23.99223007,47.12995641", "View Map")</f>
        <v>View Map</v>
      </c>
    </row>
    <row r="4844" spans="1:7" x14ac:dyDescent="0.3">
      <c r="A4844" t="s">
        <v>2256</v>
      </c>
      <c r="B4844" t="s">
        <v>8345</v>
      </c>
      <c r="C4844" t="s">
        <v>8</v>
      </c>
      <c r="D4844">
        <v>1.65</v>
      </c>
      <c r="E4844">
        <v>528</v>
      </c>
      <c r="F4844" t="str">
        <f>HYPERLINK("https://www.google.com/maps/search/?api=1&amp;query=24.82060625,46.88149569", "View Map")</f>
        <v>View Map</v>
      </c>
    </row>
    <row r="4845" spans="1:7" x14ac:dyDescent="0.3">
      <c r="A4845" t="s">
        <v>46</v>
      </c>
      <c r="B4845" t="s">
        <v>8346</v>
      </c>
      <c r="C4845" t="s">
        <v>8</v>
      </c>
      <c r="D4845">
        <v>1.649</v>
      </c>
      <c r="E4845">
        <v>528</v>
      </c>
      <c r="F4845" t="str">
        <f>HYPERLINK("https://www.google.com/maps/search/?api=1&amp;query=24.86586119,46.63841105", "View Map")</f>
        <v>View Map</v>
      </c>
      <c r="G4845" s="2">
        <v>0.62664526240767138</v>
      </c>
    </row>
    <row r="4846" spans="1:7" x14ac:dyDescent="0.3">
      <c r="A4846" t="s">
        <v>46</v>
      </c>
      <c r="B4846" t="s">
        <v>8347</v>
      </c>
      <c r="C4846" t="s">
        <v>8</v>
      </c>
      <c r="D4846">
        <v>1.6479999999999999</v>
      </c>
      <c r="E4846">
        <v>527</v>
      </c>
      <c r="F4846" t="str">
        <f>HYPERLINK("https://www.google.com/maps/search/?api=1&amp;query=24.89153858,46.63123524", "View Map")</f>
        <v>View Map</v>
      </c>
    </row>
    <row r="4847" spans="1:7" x14ac:dyDescent="0.3">
      <c r="A4847" t="s">
        <v>8348</v>
      </c>
      <c r="B4847" t="s">
        <v>8349</v>
      </c>
      <c r="C4847" t="s">
        <v>364</v>
      </c>
      <c r="D4847">
        <v>1.6479999999999999</v>
      </c>
      <c r="E4847">
        <v>527</v>
      </c>
      <c r="F4847" t="str">
        <f>HYPERLINK("https://www.google.com/maps/search/?api=1&amp;query=25.28734962,45.86125273", "View Map")</f>
        <v>View Map</v>
      </c>
    </row>
    <row r="4848" spans="1:7" x14ac:dyDescent="0.3">
      <c r="A4848" t="s">
        <v>8350</v>
      </c>
      <c r="B4848" t="s">
        <v>8351</v>
      </c>
      <c r="C4848" t="s">
        <v>8</v>
      </c>
      <c r="D4848">
        <v>1.6479999999999999</v>
      </c>
      <c r="E4848">
        <v>527</v>
      </c>
      <c r="F4848" t="str">
        <f>HYPERLINK("https://www.google.com/maps/search/?api=1&amp;query=24.6513775,46.673205", "View Map")</f>
        <v>View Map</v>
      </c>
    </row>
    <row r="4849" spans="1:7" x14ac:dyDescent="0.3">
      <c r="A4849" t="s">
        <v>1273</v>
      </c>
      <c r="B4849" t="s">
        <v>8352</v>
      </c>
      <c r="C4849" t="s">
        <v>241</v>
      </c>
      <c r="D4849">
        <v>1.6479999999999999</v>
      </c>
      <c r="E4849">
        <v>527</v>
      </c>
      <c r="F4849" t="str">
        <f>HYPERLINK("https://www.google.com/maps/search/?api=1&amp;query=20.4503241,44.8405842", "View Map")</f>
        <v>View Map</v>
      </c>
      <c r="G4849" s="2">
        <v>0.57524267145784169</v>
      </c>
    </row>
    <row r="4850" spans="1:7" x14ac:dyDescent="0.3">
      <c r="A4850" t="s">
        <v>8353</v>
      </c>
      <c r="B4850" t="s">
        <v>8354</v>
      </c>
      <c r="C4850" t="s">
        <v>8</v>
      </c>
      <c r="D4850">
        <v>1.6459999999999999</v>
      </c>
      <c r="E4850">
        <v>527</v>
      </c>
      <c r="F4850" t="str">
        <f>HYPERLINK("https://www.google.com/maps/search/?api=1&amp;query=24.55188877,46.68998891", "View Map")</f>
        <v>View Map</v>
      </c>
    </row>
    <row r="4851" spans="1:7" x14ac:dyDescent="0.3">
      <c r="A4851" t="s">
        <v>8355</v>
      </c>
      <c r="B4851" t="s">
        <v>8356</v>
      </c>
      <c r="C4851" t="s">
        <v>8</v>
      </c>
      <c r="D4851">
        <v>1.6459999999999999</v>
      </c>
      <c r="E4851">
        <v>527</v>
      </c>
      <c r="F4851" t="str">
        <f>HYPERLINK("https://www.google.com/maps/search/?api=1&amp;query=24.71792452,46.81783059", "View Map")</f>
        <v>View Map</v>
      </c>
    </row>
    <row r="4852" spans="1:7" x14ac:dyDescent="0.3">
      <c r="A4852" t="s">
        <v>8357</v>
      </c>
      <c r="B4852" t="s">
        <v>8358</v>
      </c>
      <c r="C4852" t="s">
        <v>8</v>
      </c>
      <c r="D4852">
        <v>1.6459999999999999</v>
      </c>
      <c r="E4852">
        <v>527</v>
      </c>
      <c r="F4852" t="str">
        <f>HYPERLINK("https://www.google.com/maps/search/?api=1&amp;query=24.81159299,46.88636853", "View Map")</f>
        <v>View Map</v>
      </c>
    </row>
    <row r="4853" spans="1:7" x14ac:dyDescent="0.3">
      <c r="A4853" t="s">
        <v>3664</v>
      </c>
      <c r="B4853" t="s">
        <v>8359</v>
      </c>
      <c r="C4853" t="s">
        <v>8</v>
      </c>
      <c r="D4853">
        <v>1.645</v>
      </c>
      <c r="E4853">
        <v>526</v>
      </c>
      <c r="F4853" t="str">
        <f>HYPERLINK("https://www.google.com/maps/search/?api=1&amp;query=24.59258883,46.53948231", "View Map")</f>
        <v>View Map</v>
      </c>
    </row>
    <row r="4854" spans="1:7" x14ac:dyDescent="0.3">
      <c r="A4854" t="s">
        <v>22</v>
      </c>
      <c r="B4854" t="s">
        <v>8360</v>
      </c>
      <c r="C4854" t="s">
        <v>8</v>
      </c>
      <c r="D4854">
        <v>1.645</v>
      </c>
      <c r="E4854">
        <v>526</v>
      </c>
      <c r="F4854" t="str">
        <f>HYPERLINK("https://www.google.com/maps/search/?api=1&amp;query=24.69241886,46.84997592", "View Map")</f>
        <v>View Map</v>
      </c>
    </row>
    <row r="4855" spans="1:7" x14ac:dyDescent="0.3">
      <c r="A4855" t="s">
        <v>146</v>
      </c>
      <c r="B4855" t="s">
        <v>8361</v>
      </c>
      <c r="C4855" t="s">
        <v>8</v>
      </c>
      <c r="D4855">
        <v>1.645</v>
      </c>
      <c r="E4855">
        <v>526</v>
      </c>
      <c r="F4855" t="str">
        <f>HYPERLINK("https://www.google.com/maps/search/?api=1&amp;query=24.55601913,46.60418898", "View Map")</f>
        <v>View Map</v>
      </c>
    </row>
    <row r="4856" spans="1:7" x14ac:dyDescent="0.3">
      <c r="A4856" t="s">
        <v>1273</v>
      </c>
      <c r="B4856" t="s">
        <v>8362</v>
      </c>
      <c r="C4856" t="s">
        <v>241</v>
      </c>
      <c r="D4856">
        <v>1.6439999999999999</v>
      </c>
      <c r="E4856">
        <v>526</v>
      </c>
      <c r="F4856" t="str">
        <f>HYPERLINK("https://www.google.com/maps/search/?api=1&amp;query=20.45147964,44.77945128", "View Map")</f>
        <v>View Map</v>
      </c>
    </row>
    <row r="4857" spans="1:7" x14ac:dyDescent="0.3">
      <c r="A4857" t="s">
        <v>8363</v>
      </c>
      <c r="B4857" t="s">
        <v>8364</v>
      </c>
      <c r="C4857" t="s">
        <v>8</v>
      </c>
      <c r="D4857">
        <v>1.6439999999999999</v>
      </c>
      <c r="E4857">
        <v>526</v>
      </c>
      <c r="F4857" t="str">
        <f>HYPERLINK("https://www.google.com/maps/search/?api=1&amp;query=24.71508193,46.78469468", "View Map")</f>
        <v>View Map</v>
      </c>
      <c r="G4857" s="2">
        <v>0.48773086648395481</v>
      </c>
    </row>
    <row r="4858" spans="1:7" x14ac:dyDescent="0.3">
      <c r="A4858" t="s">
        <v>8365</v>
      </c>
      <c r="B4858" t="s">
        <v>8366</v>
      </c>
      <c r="C4858" t="s">
        <v>21</v>
      </c>
      <c r="D4858">
        <v>1.643</v>
      </c>
      <c r="E4858">
        <v>526</v>
      </c>
      <c r="F4858" t="str">
        <f>HYPERLINK("https://www.google.com/maps/search/?api=1&amp;query=26.30497743,44.79745608", "View Map")</f>
        <v>View Map</v>
      </c>
    </row>
    <row r="4859" spans="1:7" x14ac:dyDescent="0.3">
      <c r="A4859" t="s">
        <v>46</v>
      </c>
      <c r="B4859" t="s">
        <v>8367</v>
      </c>
      <c r="C4859" t="s">
        <v>8</v>
      </c>
      <c r="D4859">
        <v>1.643</v>
      </c>
      <c r="E4859">
        <v>526</v>
      </c>
      <c r="F4859" t="str">
        <f>HYPERLINK("https://www.google.com/maps/search/?api=1&amp;query=24.92525789,46.82341566", "View Map")</f>
        <v>View Map</v>
      </c>
    </row>
    <row r="4860" spans="1:7" x14ac:dyDescent="0.3">
      <c r="A4860" t="s">
        <v>8368</v>
      </c>
      <c r="B4860" t="s">
        <v>8369</v>
      </c>
      <c r="C4860" t="s">
        <v>21</v>
      </c>
      <c r="D4860">
        <v>1.643</v>
      </c>
      <c r="E4860">
        <v>526</v>
      </c>
      <c r="F4860" t="str">
        <f>HYPERLINK("https://www.google.com/maps/search/?api=1&amp;query=26.29659403,44.79570437", "View Map")</f>
        <v>View Map</v>
      </c>
      <c r="G4860" s="2">
        <v>0.49507247451447012</v>
      </c>
    </row>
    <row r="4861" spans="1:7" x14ac:dyDescent="0.3">
      <c r="A4861" t="s">
        <v>2063</v>
      </c>
      <c r="B4861" t="s">
        <v>8370</v>
      </c>
      <c r="C4861" t="s">
        <v>255</v>
      </c>
      <c r="D4861">
        <v>1.6419999999999999</v>
      </c>
      <c r="E4861">
        <v>525</v>
      </c>
      <c r="F4861" t="str">
        <f>HYPERLINK("https://www.google.com/maps/search/?api=1&amp;query=24.51329197,44.37699739", "View Map")</f>
        <v>View Map</v>
      </c>
      <c r="G4861" s="2">
        <v>0.35153904972302608</v>
      </c>
    </row>
    <row r="4862" spans="1:7" x14ac:dyDescent="0.3">
      <c r="A4862" t="s">
        <v>8371</v>
      </c>
      <c r="B4862" t="s">
        <v>8372</v>
      </c>
      <c r="C4862" t="s">
        <v>8</v>
      </c>
      <c r="D4862">
        <v>1.6419999999999999</v>
      </c>
      <c r="E4862">
        <v>525</v>
      </c>
      <c r="F4862" t="str">
        <f>HYPERLINK("https://www.google.com/maps/search/?api=1&amp;query=24.62418346,46.74383133", "View Map")</f>
        <v>View Map</v>
      </c>
    </row>
    <row r="4863" spans="1:7" x14ac:dyDescent="0.3">
      <c r="A4863" t="s">
        <v>8373</v>
      </c>
      <c r="B4863" t="s">
        <v>8374</v>
      </c>
      <c r="C4863" t="s">
        <v>77</v>
      </c>
      <c r="D4863">
        <v>1.641</v>
      </c>
      <c r="E4863">
        <v>525</v>
      </c>
      <c r="F4863" t="str">
        <f>HYPERLINK("https://www.google.com/maps/search/?api=1&amp;query=21.99171928,45.94410003", "View Map")</f>
        <v>View Map</v>
      </c>
    </row>
    <row r="4864" spans="1:7" x14ac:dyDescent="0.3">
      <c r="A4864" t="s">
        <v>8375</v>
      </c>
      <c r="B4864" t="s">
        <v>8376</v>
      </c>
      <c r="C4864" t="s">
        <v>738</v>
      </c>
      <c r="D4864">
        <v>1.641</v>
      </c>
      <c r="E4864">
        <v>525</v>
      </c>
      <c r="F4864" t="str">
        <f>HYPERLINK("https://www.google.com/maps/search/?api=1&amp;query=25.11618423,46.10690332", "View Map")</f>
        <v>View Map</v>
      </c>
      <c r="G4864" s="2">
        <v>0.50787139199118125</v>
      </c>
    </row>
    <row r="4865" spans="1:7" x14ac:dyDescent="0.3">
      <c r="A4865" t="s">
        <v>8377</v>
      </c>
      <c r="B4865" t="s">
        <v>8378</v>
      </c>
      <c r="C4865" t="s">
        <v>364</v>
      </c>
      <c r="D4865">
        <v>1.64</v>
      </c>
      <c r="E4865">
        <v>525</v>
      </c>
      <c r="F4865" t="str">
        <f>HYPERLINK("https://www.google.com/maps/search/?api=1&amp;query=25.26962625,45.861341", "View Map")</f>
        <v>View Map</v>
      </c>
      <c r="G4865" s="2">
        <v>0.50967256815019113</v>
      </c>
    </row>
    <row r="4866" spans="1:7" x14ac:dyDescent="0.3">
      <c r="A4866" t="s">
        <v>8379</v>
      </c>
      <c r="B4866" t="s">
        <v>8380</v>
      </c>
      <c r="C4866" t="s">
        <v>8</v>
      </c>
      <c r="D4866">
        <v>1.64</v>
      </c>
      <c r="E4866">
        <v>525</v>
      </c>
      <c r="F4866" t="str">
        <f>HYPERLINK("https://www.google.com/maps/search/?api=1&amp;query=24.60722836,46.59692946", "View Map")</f>
        <v>View Map</v>
      </c>
    </row>
    <row r="4867" spans="1:7" x14ac:dyDescent="0.3">
      <c r="A4867" t="s">
        <v>8381</v>
      </c>
      <c r="B4867" t="s">
        <v>8382</v>
      </c>
      <c r="C4867" t="s">
        <v>738</v>
      </c>
      <c r="D4867">
        <v>1.639</v>
      </c>
      <c r="E4867">
        <v>524</v>
      </c>
      <c r="F4867" t="str">
        <f>HYPERLINK("https://www.google.com/maps/search/?api=1&amp;query=25.23148477,46.32071167", "View Map")</f>
        <v>View Map</v>
      </c>
    </row>
    <row r="4868" spans="1:7" x14ac:dyDescent="0.3">
      <c r="A4868" t="s">
        <v>146</v>
      </c>
      <c r="B4868" t="s">
        <v>8383</v>
      </c>
      <c r="C4868" t="s">
        <v>55</v>
      </c>
      <c r="D4868">
        <v>1.639</v>
      </c>
      <c r="E4868">
        <v>525</v>
      </c>
      <c r="F4868" t="str">
        <f>HYPERLINK("https://www.google.com/maps/search/?api=1&amp;query=24.90602576,46.42934811", "View Map")</f>
        <v>View Map</v>
      </c>
    </row>
    <row r="4869" spans="1:7" x14ac:dyDescent="0.3">
      <c r="A4869" t="s">
        <v>1043</v>
      </c>
      <c r="B4869" t="s">
        <v>8384</v>
      </c>
      <c r="C4869" t="s">
        <v>8</v>
      </c>
      <c r="D4869">
        <v>1.639</v>
      </c>
      <c r="E4869">
        <v>524</v>
      </c>
      <c r="F4869" t="str">
        <f>HYPERLINK("https://www.google.com/maps/search/?api=1&amp;query=24.83713771,46.76798431", "View Map")</f>
        <v>View Map</v>
      </c>
    </row>
    <row r="4870" spans="1:7" x14ac:dyDescent="0.3">
      <c r="A4870" t="s">
        <v>150</v>
      </c>
      <c r="B4870" t="s">
        <v>8385</v>
      </c>
      <c r="C4870" t="s">
        <v>8</v>
      </c>
      <c r="D4870">
        <v>1.639</v>
      </c>
      <c r="E4870">
        <v>525</v>
      </c>
      <c r="F4870" t="str">
        <f>HYPERLINK("https://www.google.com/maps/search/?api=1&amp;query=24.64349622,46.56087487", "View Map")</f>
        <v>View Map</v>
      </c>
    </row>
    <row r="4871" spans="1:7" x14ac:dyDescent="0.3">
      <c r="A4871" t="s">
        <v>8386</v>
      </c>
      <c r="B4871" t="s">
        <v>8387</v>
      </c>
      <c r="C4871" t="s">
        <v>8</v>
      </c>
      <c r="D4871">
        <v>1.639</v>
      </c>
      <c r="E4871">
        <v>524</v>
      </c>
      <c r="F4871" t="str">
        <f>HYPERLINK("https://www.google.com/maps/search/?api=1&amp;query=24.53706524,46.70849342", "View Map")</f>
        <v>View Map</v>
      </c>
    </row>
    <row r="4872" spans="1:7" x14ac:dyDescent="0.3">
      <c r="A4872" t="s">
        <v>8388</v>
      </c>
      <c r="B4872" t="s">
        <v>8389</v>
      </c>
      <c r="C4872" t="s">
        <v>214</v>
      </c>
      <c r="D4872">
        <v>1.6379999999999999</v>
      </c>
      <c r="E4872">
        <v>524</v>
      </c>
      <c r="F4872" t="str">
        <f>HYPERLINK("https://www.google.com/maps/search/?api=1&amp;query=25.65259029,45.55113362", "View Map")</f>
        <v>View Map</v>
      </c>
      <c r="G4872" s="2">
        <v>0.60465480742103361</v>
      </c>
    </row>
    <row r="4873" spans="1:7" x14ac:dyDescent="0.3">
      <c r="A4873" t="s">
        <v>8390</v>
      </c>
      <c r="B4873" t="s">
        <v>8391</v>
      </c>
      <c r="C4873" t="s">
        <v>270</v>
      </c>
      <c r="D4873">
        <v>1.6379999999999999</v>
      </c>
      <c r="E4873">
        <v>524</v>
      </c>
      <c r="F4873" t="str">
        <f>HYPERLINK("https://www.google.com/maps/search/?api=1&amp;query=23.96402408,47.11624809", "View Map")</f>
        <v>View Map</v>
      </c>
      <c r="G4873" s="2">
        <v>0.3796624780103246</v>
      </c>
    </row>
    <row r="4874" spans="1:7" x14ac:dyDescent="0.3">
      <c r="A4874" t="s">
        <v>8392</v>
      </c>
      <c r="B4874" t="s">
        <v>8393</v>
      </c>
      <c r="C4874" t="s">
        <v>291</v>
      </c>
      <c r="D4874">
        <v>1.637</v>
      </c>
      <c r="E4874">
        <v>524</v>
      </c>
      <c r="F4874" t="str">
        <f>HYPERLINK("https://www.google.com/maps/search/?api=1&amp;query=24.22741118,45.42607112", "View Map")</f>
        <v>View Map</v>
      </c>
      <c r="G4874" s="2">
        <v>0.85383026869957168</v>
      </c>
    </row>
    <row r="4875" spans="1:7" x14ac:dyDescent="0.3">
      <c r="A4875" t="s">
        <v>8394</v>
      </c>
      <c r="B4875" t="s">
        <v>8395</v>
      </c>
      <c r="C4875" t="s">
        <v>8</v>
      </c>
      <c r="D4875">
        <v>1.637</v>
      </c>
      <c r="E4875">
        <v>524</v>
      </c>
      <c r="F4875" t="str">
        <f>HYPERLINK("https://www.google.com/maps/search/?api=1&amp;query=24.65770817,46.67264942", "View Map")</f>
        <v>View Map</v>
      </c>
    </row>
    <row r="4876" spans="1:7" x14ac:dyDescent="0.3">
      <c r="A4876" t="s">
        <v>8396</v>
      </c>
      <c r="B4876" t="s">
        <v>8397</v>
      </c>
      <c r="C4876" t="s">
        <v>8</v>
      </c>
      <c r="D4876">
        <v>1.6359999999999999</v>
      </c>
      <c r="E4876">
        <v>523</v>
      </c>
      <c r="F4876" t="str">
        <f>HYPERLINK("https://www.google.com/maps/search/?api=1&amp;query=24.69370383,46.70449213", "View Map")</f>
        <v>View Map</v>
      </c>
    </row>
    <row r="4877" spans="1:7" x14ac:dyDescent="0.3">
      <c r="A4877" t="s">
        <v>8398</v>
      </c>
      <c r="B4877" t="s">
        <v>8399</v>
      </c>
      <c r="C4877" t="s">
        <v>8</v>
      </c>
      <c r="D4877">
        <v>1.6359999999999999</v>
      </c>
      <c r="E4877">
        <v>524</v>
      </c>
      <c r="F4877" t="str">
        <f>HYPERLINK("https://www.google.com/maps/search/?api=1&amp;query=24.57613716,46.63641918", "View Map")</f>
        <v>View Map</v>
      </c>
    </row>
    <row r="4878" spans="1:7" x14ac:dyDescent="0.3">
      <c r="A4878" t="s">
        <v>1594</v>
      </c>
      <c r="B4878" t="s">
        <v>8400</v>
      </c>
      <c r="C4878" t="s">
        <v>296</v>
      </c>
      <c r="D4878">
        <v>1.635</v>
      </c>
      <c r="E4878">
        <v>523</v>
      </c>
      <c r="F4878" t="str">
        <f>HYPERLINK("https://www.google.com/maps/search/?api=1&amp;query=24.46187138,46.25674231", "View Map")</f>
        <v>View Map</v>
      </c>
    </row>
    <row r="4879" spans="1:7" x14ac:dyDescent="0.3">
      <c r="A4879" t="s">
        <v>8401</v>
      </c>
      <c r="B4879" t="s">
        <v>8402</v>
      </c>
      <c r="C4879" t="s">
        <v>8</v>
      </c>
      <c r="D4879">
        <v>1.635</v>
      </c>
      <c r="E4879">
        <v>523</v>
      </c>
      <c r="F4879" t="str">
        <f>HYPERLINK("https://www.google.com/maps/search/?api=1&amp;query=24.7347096,46.67005411", "View Map")</f>
        <v>View Map</v>
      </c>
    </row>
    <row r="4880" spans="1:7" x14ac:dyDescent="0.3">
      <c r="A4880" t="s">
        <v>8403</v>
      </c>
      <c r="B4880" t="s">
        <v>8404</v>
      </c>
      <c r="C4880" t="s">
        <v>137</v>
      </c>
      <c r="D4880">
        <v>1.635</v>
      </c>
      <c r="E4880">
        <v>523</v>
      </c>
      <c r="F4880" t="str">
        <f>HYPERLINK("https://www.google.com/maps/search/?api=1&amp;query=23.4357584,46.78426898", "View Map")</f>
        <v>View Map</v>
      </c>
      <c r="G4880" s="2">
        <v>0.3582659969603349</v>
      </c>
    </row>
    <row r="4881" spans="1:7" x14ac:dyDescent="0.3">
      <c r="A4881" t="s">
        <v>8405</v>
      </c>
      <c r="B4881" t="s">
        <v>8406</v>
      </c>
      <c r="C4881" t="s">
        <v>286</v>
      </c>
      <c r="D4881">
        <v>1.635</v>
      </c>
      <c r="E4881">
        <v>523</v>
      </c>
      <c r="F4881" t="str">
        <f>HYPERLINK("https://www.google.com/maps/search/?api=1&amp;query=25.29272909,45.51955166", "View Map")</f>
        <v>View Map</v>
      </c>
    </row>
    <row r="4882" spans="1:7" x14ac:dyDescent="0.3">
      <c r="A4882" t="s">
        <v>8407</v>
      </c>
      <c r="B4882" t="s">
        <v>8408</v>
      </c>
      <c r="C4882" t="s">
        <v>21</v>
      </c>
      <c r="D4882">
        <v>1.6339999999999999</v>
      </c>
      <c r="E4882">
        <v>523</v>
      </c>
      <c r="F4882" t="str">
        <f>HYPERLINK("https://www.google.com/maps/search/?api=1&amp;query=26.34261876,44.78428678", "View Map")</f>
        <v>View Map</v>
      </c>
    </row>
    <row r="4883" spans="1:7" x14ac:dyDescent="0.3">
      <c r="A4883" t="s">
        <v>8409</v>
      </c>
      <c r="B4883" t="s">
        <v>8410</v>
      </c>
      <c r="C4883" t="s">
        <v>8</v>
      </c>
      <c r="D4883">
        <v>1.6339999999999999</v>
      </c>
      <c r="E4883">
        <v>523</v>
      </c>
      <c r="F4883" t="str">
        <f>HYPERLINK("https://www.google.com/maps/search/?api=1&amp;query=24.8133681,46.62850706", "View Map")</f>
        <v>View Map</v>
      </c>
    </row>
    <row r="4884" spans="1:7" x14ac:dyDescent="0.3">
      <c r="A4884" t="s">
        <v>8411</v>
      </c>
      <c r="B4884" t="s">
        <v>8412</v>
      </c>
      <c r="C4884" t="s">
        <v>393</v>
      </c>
      <c r="D4884">
        <v>1.6339999999999999</v>
      </c>
      <c r="E4884">
        <v>523</v>
      </c>
      <c r="F4884" t="str">
        <f>HYPERLINK("https://www.google.com/maps/search/?api=1&amp;query=23.53838271,45.50760327", "View Map")</f>
        <v>View Map</v>
      </c>
      <c r="G4884" s="2">
        <v>0.36668494237298088</v>
      </c>
    </row>
    <row r="4885" spans="1:7" x14ac:dyDescent="0.3">
      <c r="A4885" t="s">
        <v>6251</v>
      </c>
      <c r="B4885" t="s">
        <v>8413</v>
      </c>
      <c r="C4885" t="s">
        <v>8</v>
      </c>
      <c r="D4885">
        <v>1.6339999999999999</v>
      </c>
      <c r="E4885">
        <v>523</v>
      </c>
      <c r="F4885" t="str">
        <f>HYPERLINK("https://www.google.com/maps/search/?api=1&amp;query=24.80533717,46.88850322", "View Map")</f>
        <v>View Map</v>
      </c>
    </row>
    <row r="4886" spans="1:7" x14ac:dyDescent="0.3">
      <c r="A4886" t="s">
        <v>8414</v>
      </c>
      <c r="B4886" t="s">
        <v>8415</v>
      </c>
      <c r="C4886" t="s">
        <v>270</v>
      </c>
      <c r="D4886">
        <v>1.633</v>
      </c>
      <c r="E4886">
        <v>522</v>
      </c>
      <c r="F4886" t="str">
        <f>HYPERLINK("https://www.google.com/maps/search/?api=1&amp;query=23.98233346,47.13183531", "View Map")</f>
        <v>View Map</v>
      </c>
      <c r="G4886" s="2">
        <v>0.36885380233590259</v>
      </c>
    </row>
    <row r="4887" spans="1:7" x14ac:dyDescent="0.3">
      <c r="A4887" t="s">
        <v>8416</v>
      </c>
      <c r="B4887" t="s">
        <v>8417</v>
      </c>
      <c r="C4887" t="s">
        <v>291</v>
      </c>
      <c r="D4887">
        <v>1.633</v>
      </c>
      <c r="E4887">
        <v>523</v>
      </c>
      <c r="F4887" t="str">
        <f>HYPERLINK("https://www.google.com/maps/search/?api=1&amp;query=24.46845405,45.74127366", "View Map")</f>
        <v>View Map</v>
      </c>
      <c r="G4887" s="2">
        <v>0.66137532810724209</v>
      </c>
    </row>
    <row r="4888" spans="1:7" x14ac:dyDescent="0.3">
      <c r="A4888" t="s">
        <v>122</v>
      </c>
      <c r="B4888" t="s">
        <v>8418</v>
      </c>
      <c r="C4888" t="s">
        <v>442</v>
      </c>
      <c r="D4888">
        <v>1.633</v>
      </c>
      <c r="E4888">
        <v>523</v>
      </c>
      <c r="F4888" t="str">
        <f>HYPERLINK("https://www.google.com/maps/search/?api=1&amp;query=23.64016014,46.49008692", "View Map")</f>
        <v>View Map</v>
      </c>
      <c r="G4888" s="2">
        <v>0.53783399833945855</v>
      </c>
    </row>
    <row r="4889" spans="1:7" x14ac:dyDescent="0.3">
      <c r="A4889" t="s">
        <v>8419</v>
      </c>
      <c r="B4889" t="s">
        <v>8420</v>
      </c>
      <c r="C4889" t="s">
        <v>30</v>
      </c>
      <c r="D4889">
        <v>1.633</v>
      </c>
      <c r="E4889">
        <v>523</v>
      </c>
      <c r="F4889" t="str">
        <f>HYPERLINK("https://www.google.com/maps/search/?api=1&amp;query=24.17266887,47.26106061", "View Map")</f>
        <v>View Map</v>
      </c>
    </row>
    <row r="4890" spans="1:7" x14ac:dyDescent="0.3">
      <c r="A4890" t="s">
        <v>8421</v>
      </c>
      <c r="B4890" t="s">
        <v>8422</v>
      </c>
      <c r="C4890" t="s">
        <v>286</v>
      </c>
      <c r="D4890">
        <v>1.6319999999999999</v>
      </c>
      <c r="E4890">
        <v>522</v>
      </c>
      <c r="F4890" t="str">
        <f>HYPERLINK("https://www.google.com/maps/search/?api=1&amp;query=25.60391299,44.94711541", "View Map")</f>
        <v>View Map</v>
      </c>
      <c r="G4890" s="2">
        <v>0.47956117820791277</v>
      </c>
    </row>
    <row r="4891" spans="1:7" x14ac:dyDescent="0.3">
      <c r="A4891" t="s">
        <v>8423</v>
      </c>
      <c r="B4891" t="s">
        <v>8424</v>
      </c>
      <c r="C4891" t="s">
        <v>21</v>
      </c>
      <c r="D4891">
        <v>1.6319999999999999</v>
      </c>
      <c r="E4891">
        <v>522</v>
      </c>
      <c r="F4891" t="str">
        <f>HYPERLINK("https://www.google.com/maps/search/?api=1&amp;query=26.28784759,44.79048516", "View Map")</f>
        <v>View Map</v>
      </c>
      <c r="G4891" s="2">
        <v>0.56351477721451848</v>
      </c>
    </row>
    <row r="4892" spans="1:7" x14ac:dyDescent="0.3">
      <c r="A4892" t="s">
        <v>975</v>
      </c>
      <c r="B4892" t="s">
        <v>8425</v>
      </c>
      <c r="C4892" t="s">
        <v>442</v>
      </c>
      <c r="D4892">
        <v>1.6319999999999999</v>
      </c>
      <c r="E4892">
        <v>522</v>
      </c>
      <c r="F4892" t="str">
        <f>HYPERLINK("https://www.google.com/maps/search/?api=1&amp;query=23.63062,46.50919", "View Map")</f>
        <v>View Map</v>
      </c>
    </row>
    <row r="4893" spans="1:7" x14ac:dyDescent="0.3">
      <c r="A4893" t="s">
        <v>3554</v>
      </c>
      <c r="B4893" t="s">
        <v>8426</v>
      </c>
      <c r="C4893" t="s">
        <v>8</v>
      </c>
      <c r="D4893">
        <v>1.631</v>
      </c>
      <c r="E4893">
        <v>522</v>
      </c>
      <c r="F4893" t="str">
        <f>HYPERLINK("https://www.google.com/maps/search/?api=1&amp;query=24.58009907,46.79938808", "View Map")</f>
        <v>View Map</v>
      </c>
    </row>
    <row r="4894" spans="1:7" x14ac:dyDescent="0.3">
      <c r="A4894" t="s">
        <v>8427</v>
      </c>
      <c r="B4894" t="s">
        <v>8428</v>
      </c>
      <c r="C4894" t="s">
        <v>8</v>
      </c>
      <c r="D4894">
        <v>1.631</v>
      </c>
      <c r="E4894">
        <v>522</v>
      </c>
      <c r="F4894" t="str">
        <f>HYPERLINK("https://www.google.com/maps/search/?api=1&amp;query=24.69357492,46.81563012", "View Map")</f>
        <v>View Map</v>
      </c>
    </row>
    <row r="4895" spans="1:7" x14ac:dyDescent="0.3">
      <c r="A4895" t="s">
        <v>8429</v>
      </c>
      <c r="B4895" t="s">
        <v>8430</v>
      </c>
      <c r="C4895" t="s">
        <v>8</v>
      </c>
      <c r="D4895">
        <v>1.631</v>
      </c>
      <c r="E4895">
        <v>522</v>
      </c>
      <c r="F4895" t="str">
        <f>HYPERLINK("https://www.google.com/maps/search/?api=1&amp;query=24.74138377,46.72232477", "View Map")</f>
        <v>View Map</v>
      </c>
    </row>
    <row r="4896" spans="1:7" x14ac:dyDescent="0.3">
      <c r="A4896" t="s">
        <v>3602</v>
      </c>
      <c r="B4896" t="s">
        <v>8431</v>
      </c>
      <c r="C4896" t="s">
        <v>8</v>
      </c>
      <c r="D4896">
        <v>1.63</v>
      </c>
      <c r="E4896">
        <v>522</v>
      </c>
      <c r="F4896" t="str">
        <f>HYPERLINK("https://www.google.com/maps/search/?api=1&amp;query=24.61300889,46.72979078", "View Map")</f>
        <v>View Map</v>
      </c>
    </row>
    <row r="4897" spans="1:7" x14ac:dyDescent="0.3">
      <c r="A4897" t="s">
        <v>73</v>
      </c>
      <c r="B4897" t="s">
        <v>8432</v>
      </c>
      <c r="C4897" t="s">
        <v>8</v>
      </c>
      <c r="D4897">
        <v>1.63</v>
      </c>
      <c r="E4897">
        <v>522</v>
      </c>
      <c r="F4897" t="str">
        <f>HYPERLINK("https://www.google.com/maps/search/?api=1&amp;query=24.68734844,46.56685804", "View Map")</f>
        <v>View Map</v>
      </c>
    </row>
    <row r="4898" spans="1:7" x14ac:dyDescent="0.3">
      <c r="A4898" t="s">
        <v>8433</v>
      </c>
      <c r="B4898" t="s">
        <v>8434</v>
      </c>
      <c r="C4898" t="s">
        <v>8</v>
      </c>
      <c r="D4898">
        <v>1.63</v>
      </c>
      <c r="E4898">
        <v>521</v>
      </c>
      <c r="F4898" t="str">
        <f>HYPERLINK("https://www.google.com/maps/search/?api=1&amp;query=24.67861345,46.78768907", "View Map")</f>
        <v>View Map</v>
      </c>
    </row>
    <row r="4899" spans="1:7" x14ac:dyDescent="0.3">
      <c r="A4899" t="s">
        <v>6068</v>
      </c>
      <c r="B4899" t="s">
        <v>8435</v>
      </c>
      <c r="C4899" t="s">
        <v>16</v>
      </c>
      <c r="D4899">
        <v>1.63</v>
      </c>
      <c r="E4899">
        <v>522</v>
      </c>
      <c r="F4899" t="str">
        <f>HYPERLINK("https://www.google.com/maps/search/?api=1&amp;query=23.90664407,42.90713494", "View Map")</f>
        <v>View Map</v>
      </c>
    </row>
    <row r="4900" spans="1:7" x14ac:dyDescent="0.3">
      <c r="A4900" t="s">
        <v>46</v>
      </c>
      <c r="B4900" t="s">
        <v>8436</v>
      </c>
      <c r="C4900" t="s">
        <v>8</v>
      </c>
      <c r="D4900">
        <v>1.63</v>
      </c>
      <c r="E4900">
        <v>521</v>
      </c>
      <c r="F4900" t="str">
        <f>HYPERLINK("https://www.google.com/maps/search/?api=1&amp;query=24.80490542,46.61386904", "View Map")</f>
        <v>View Map</v>
      </c>
    </row>
    <row r="4901" spans="1:7" x14ac:dyDescent="0.3">
      <c r="A4901" t="s">
        <v>8437</v>
      </c>
      <c r="B4901" t="s">
        <v>8438</v>
      </c>
      <c r="C4901" t="s">
        <v>8</v>
      </c>
      <c r="D4901">
        <v>1.629</v>
      </c>
      <c r="E4901">
        <v>521</v>
      </c>
      <c r="F4901" t="str">
        <f>HYPERLINK("https://www.google.com/maps/search/?api=1&amp;query=24.53856303,46.64038544", "View Map")</f>
        <v>View Map</v>
      </c>
    </row>
    <row r="4902" spans="1:7" x14ac:dyDescent="0.3">
      <c r="A4902" t="s">
        <v>28</v>
      </c>
      <c r="B4902" t="s">
        <v>8439</v>
      </c>
      <c r="C4902" t="s">
        <v>30</v>
      </c>
      <c r="D4902">
        <v>1.629</v>
      </c>
      <c r="E4902">
        <v>521</v>
      </c>
      <c r="F4902" t="str">
        <f>HYPERLINK("https://www.google.com/maps/search/?api=1&amp;query=24.16326893,47.31232745", "View Map")</f>
        <v>View Map</v>
      </c>
    </row>
    <row r="4903" spans="1:7" x14ac:dyDescent="0.3">
      <c r="A4903" t="s">
        <v>146</v>
      </c>
      <c r="B4903" t="s">
        <v>8440</v>
      </c>
      <c r="C4903" t="s">
        <v>8</v>
      </c>
      <c r="D4903">
        <v>1.629</v>
      </c>
      <c r="E4903">
        <v>521</v>
      </c>
      <c r="F4903" t="str">
        <f>HYPERLINK("https://www.google.com/maps/search/?api=1&amp;query=24.54522849,46.5181886", "View Map")</f>
        <v>View Map</v>
      </c>
    </row>
    <row r="4904" spans="1:7" x14ac:dyDescent="0.3">
      <c r="A4904" t="s">
        <v>8441</v>
      </c>
      <c r="B4904" t="s">
        <v>8442</v>
      </c>
      <c r="C4904" t="s">
        <v>8</v>
      </c>
      <c r="D4904">
        <v>1.6279999999999999</v>
      </c>
      <c r="E4904">
        <v>521</v>
      </c>
      <c r="F4904" t="str">
        <f>HYPERLINK("https://www.google.com/maps/search/?api=1&amp;query=24.78744643,46.89643378", "View Map")</f>
        <v>View Map</v>
      </c>
    </row>
    <row r="4905" spans="1:7" x14ac:dyDescent="0.3">
      <c r="A4905" t="s">
        <v>8443</v>
      </c>
      <c r="B4905" t="s">
        <v>8444</v>
      </c>
      <c r="C4905" t="s">
        <v>241</v>
      </c>
      <c r="D4905">
        <v>1.6279999999999999</v>
      </c>
      <c r="E4905">
        <v>521</v>
      </c>
      <c r="F4905" t="str">
        <f>HYPERLINK("https://www.google.com/maps/search/?api=1&amp;query=20.46153643,44.82962677", "View Map")</f>
        <v>View Map</v>
      </c>
    </row>
    <row r="4906" spans="1:7" x14ac:dyDescent="0.3">
      <c r="A4906" t="s">
        <v>8445</v>
      </c>
      <c r="B4906" t="s">
        <v>8446</v>
      </c>
      <c r="C4906" t="s">
        <v>21</v>
      </c>
      <c r="D4906">
        <v>1.6279999999999999</v>
      </c>
      <c r="E4906">
        <v>521</v>
      </c>
      <c r="F4906" t="str">
        <f>HYPERLINK("https://www.google.com/maps/search/?api=1&amp;query=26.24734441,44.81838683", "View Map")</f>
        <v>View Map</v>
      </c>
      <c r="G4906" s="2">
        <v>0.59729241068881789</v>
      </c>
    </row>
    <row r="4907" spans="1:7" x14ac:dyDescent="0.3">
      <c r="A4907" t="s">
        <v>289</v>
      </c>
      <c r="B4907" t="s">
        <v>8447</v>
      </c>
      <c r="C4907" t="s">
        <v>291</v>
      </c>
      <c r="D4907">
        <v>1.627</v>
      </c>
      <c r="E4907">
        <v>521</v>
      </c>
      <c r="F4907" t="str">
        <f>HYPERLINK("https://www.google.com/maps/search/?api=1&amp;query=24.07626638,45.30074534", "View Map")</f>
        <v>View Map</v>
      </c>
      <c r="G4907" s="2">
        <v>0.79509667105074033</v>
      </c>
    </row>
    <row r="4908" spans="1:7" x14ac:dyDescent="0.3">
      <c r="A4908" t="s">
        <v>8448</v>
      </c>
      <c r="B4908" t="s">
        <v>8449</v>
      </c>
      <c r="C4908" t="s">
        <v>8</v>
      </c>
      <c r="D4908">
        <v>1.6259999999999999</v>
      </c>
      <c r="E4908">
        <v>520</v>
      </c>
      <c r="F4908" t="str">
        <f>HYPERLINK("https://www.google.com/maps/search/?api=1&amp;query=24.74395742,46.61963474", "View Map")</f>
        <v>View Map</v>
      </c>
    </row>
    <row r="4909" spans="1:7" x14ac:dyDescent="0.3">
      <c r="A4909" t="s">
        <v>8450</v>
      </c>
      <c r="B4909" t="s">
        <v>8451</v>
      </c>
      <c r="C4909" t="s">
        <v>393</v>
      </c>
      <c r="D4909">
        <v>1.625</v>
      </c>
      <c r="E4909">
        <v>520</v>
      </c>
      <c r="F4909" t="str">
        <f>HYPERLINK("https://www.google.com/maps/search/?api=1&amp;query=23.54114103,45.50679278", "View Map")</f>
        <v>View Map</v>
      </c>
    </row>
    <row r="4910" spans="1:7" x14ac:dyDescent="0.3">
      <c r="A4910" t="s">
        <v>8452</v>
      </c>
      <c r="B4910" t="s">
        <v>8453</v>
      </c>
      <c r="C4910" t="s">
        <v>214</v>
      </c>
      <c r="D4910">
        <v>1.6240000000000001</v>
      </c>
      <c r="E4910">
        <v>520</v>
      </c>
      <c r="F4910" t="str">
        <f>HYPERLINK("https://www.google.com/maps/search/?api=1&amp;query=25.9185129,45.36163875", "View Map")</f>
        <v>View Map</v>
      </c>
    </row>
    <row r="4911" spans="1:7" x14ac:dyDescent="0.3">
      <c r="A4911" t="s">
        <v>8454</v>
      </c>
      <c r="B4911" t="s">
        <v>8455</v>
      </c>
      <c r="C4911" t="s">
        <v>30</v>
      </c>
      <c r="D4911">
        <v>1.6240000000000001</v>
      </c>
      <c r="E4911">
        <v>520</v>
      </c>
      <c r="F4911" t="str">
        <f>HYPERLINK("https://www.google.com/maps/search/?api=1&amp;query=24.16576412,47.23282945", "View Map")</f>
        <v>View Map</v>
      </c>
    </row>
    <row r="4912" spans="1:7" x14ac:dyDescent="0.3">
      <c r="A4912" t="s">
        <v>8456</v>
      </c>
      <c r="B4912" t="s">
        <v>8457</v>
      </c>
      <c r="C4912" t="s">
        <v>8</v>
      </c>
      <c r="D4912">
        <v>1.6240000000000001</v>
      </c>
      <c r="E4912">
        <v>520</v>
      </c>
      <c r="F4912" t="str">
        <f>HYPERLINK("https://www.google.com/maps/search/?api=1&amp;query=24.62083809,46.7033077", "View Map")</f>
        <v>View Map</v>
      </c>
    </row>
    <row r="4913" spans="1:7" x14ac:dyDescent="0.3">
      <c r="A4913" t="s">
        <v>469</v>
      </c>
      <c r="B4913" t="s">
        <v>8458</v>
      </c>
      <c r="C4913" t="s">
        <v>8</v>
      </c>
      <c r="D4913">
        <v>1.6240000000000001</v>
      </c>
      <c r="E4913">
        <v>520</v>
      </c>
      <c r="F4913" t="str">
        <f>HYPERLINK("https://www.google.com/maps/search/?api=1&amp;query=24.78392797,46.87686468", "View Map")</f>
        <v>View Map</v>
      </c>
    </row>
    <row r="4914" spans="1:7" x14ac:dyDescent="0.3">
      <c r="A4914" t="s">
        <v>8459</v>
      </c>
      <c r="B4914" t="s">
        <v>8460</v>
      </c>
      <c r="C4914" t="s">
        <v>699</v>
      </c>
      <c r="D4914">
        <v>1.6240000000000001</v>
      </c>
      <c r="E4914">
        <v>520</v>
      </c>
      <c r="F4914" t="str">
        <f>HYPERLINK("https://www.google.com/maps/search/?api=1&amp;query=24.44467086,45.43447153", "View Map")</f>
        <v>View Map</v>
      </c>
      <c r="G4914" s="2">
        <v>0.44336768114678732</v>
      </c>
    </row>
    <row r="4915" spans="1:7" x14ac:dyDescent="0.3">
      <c r="A4915" t="s">
        <v>150</v>
      </c>
      <c r="B4915" t="s">
        <v>8461</v>
      </c>
      <c r="C4915" t="s">
        <v>8</v>
      </c>
      <c r="D4915">
        <v>1.6240000000000001</v>
      </c>
      <c r="E4915">
        <v>520</v>
      </c>
      <c r="F4915" t="str">
        <f>HYPERLINK("https://www.google.com/maps/search/?api=1&amp;query=24.81411014,46.61353973", "View Map")</f>
        <v>View Map</v>
      </c>
    </row>
    <row r="4916" spans="1:7" x14ac:dyDescent="0.3">
      <c r="A4916" t="s">
        <v>8462</v>
      </c>
      <c r="B4916" t="s">
        <v>8463</v>
      </c>
      <c r="C4916" t="s">
        <v>8</v>
      </c>
      <c r="D4916">
        <v>1.623</v>
      </c>
      <c r="E4916">
        <v>519</v>
      </c>
      <c r="F4916" t="str">
        <f>HYPERLINK("https://www.google.com/maps/search/?api=1&amp;query=24.56897164,46.69396734", "View Map")</f>
        <v>View Map</v>
      </c>
    </row>
    <row r="4917" spans="1:7" x14ac:dyDescent="0.3">
      <c r="A4917" t="s">
        <v>8464</v>
      </c>
      <c r="B4917" t="s">
        <v>8465</v>
      </c>
      <c r="C4917" t="s">
        <v>255</v>
      </c>
      <c r="D4917">
        <v>1.623</v>
      </c>
      <c r="E4917">
        <v>519</v>
      </c>
      <c r="F4917" t="str">
        <f>HYPERLINK("https://www.google.com/maps/search/?api=1&amp;query=24.73269898,43.79220649", "View Map")</f>
        <v>View Map</v>
      </c>
      <c r="G4917" s="2">
        <v>0.4117669894546867</v>
      </c>
    </row>
    <row r="4918" spans="1:7" x14ac:dyDescent="0.3">
      <c r="A4918" t="s">
        <v>8466</v>
      </c>
      <c r="B4918" t="s">
        <v>8467</v>
      </c>
      <c r="C4918" t="s">
        <v>8</v>
      </c>
      <c r="D4918">
        <v>1.623</v>
      </c>
      <c r="E4918">
        <v>520</v>
      </c>
      <c r="F4918" t="str">
        <f>HYPERLINK("https://www.google.com/maps/search/?api=1&amp;query=24.68243401,46.58809885", "View Map")</f>
        <v>View Map</v>
      </c>
    </row>
    <row r="4919" spans="1:7" x14ac:dyDescent="0.3">
      <c r="A4919" t="s">
        <v>8468</v>
      </c>
      <c r="B4919" t="s">
        <v>8469</v>
      </c>
      <c r="C4919" t="s">
        <v>8</v>
      </c>
      <c r="D4919">
        <v>1.623</v>
      </c>
      <c r="E4919">
        <v>519</v>
      </c>
      <c r="F4919" t="str">
        <f>HYPERLINK("https://www.google.com/maps/search/?api=1&amp;query=24.77459634,46.81577275", "View Map")</f>
        <v>View Map</v>
      </c>
    </row>
    <row r="4920" spans="1:7" x14ac:dyDescent="0.3">
      <c r="A4920" t="s">
        <v>8470</v>
      </c>
      <c r="B4920" t="s">
        <v>8471</v>
      </c>
      <c r="C4920" t="s">
        <v>241</v>
      </c>
      <c r="D4920">
        <v>1.623</v>
      </c>
      <c r="E4920">
        <v>519</v>
      </c>
      <c r="F4920" t="str">
        <f>HYPERLINK("https://www.google.com/maps/search/?api=1&amp;query=20.43311038,44.86226953", "View Map")</f>
        <v>View Map</v>
      </c>
      <c r="G4920" s="2">
        <v>0.36345639201479069</v>
      </c>
    </row>
    <row r="4921" spans="1:7" x14ac:dyDescent="0.3">
      <c r="A4921" t="s">
        <v>46</v>
      </c>
      <c r="B4921" t="s">
        <v>8472</v>
      </c>
      <c r="C4921" t="s">
        <v>820</v>
      </c>
      <c r="D4921">
        <v>1.6220000000000001</v>
      </c>
      <c r="E4921">
        <v>519</v>
      </c>
      <c r="F4921" t="str">
        <f>HYPERLINK("https://www.google.com/maps/search/?api=1&amp;query=0.0,0.0", "View Map")</f>
        <v>View Map</v>
      </c>
    </row>
    <row r="4922" spans="1:7" x14ac:dyDescent="0.3">
      <c r="A4922" t="s">
        <v>2063</v>
      </c>
      <c r="B4922" t="s">
        <v>8473</v>
      </c>
      <c r="C4922" t="s">
        <v>255</v>
      </c>
      <c r="D4922">
        <v>1.62</v>
      </c>
      <c r="E4922">
        <v>518</v>
      </c>
      <c r="F4922" t="str">
        <f>HYPERLINK("https://www.google.com/maps/search/?api=1&amp;query=24.56379574,44.44562436", "View Map")</f>
        <v>View Map</v>
      </c>
    </row>
    <row r="4923" spans="1:7" x14ac:dyDescent="0.3">
      <c r="A4923" t="s">
        <v>8474</v>
      </c>
      <c r="B4923" t="s">
        <v>8475</v>
      </c>
      <c r="C4923" t="s">
        <v>8</v>
      </c>
      <c r="D4923">
        <v>1.62</v>
      </c>
      <c r="E4923">
        <v>518</v>
      </c>
      <c r="F4923" t="str">
        <f>HYPERLINK("https://www.google.com/maps/search/?api=1&amp;query=24.60200188,46.71517847", "View Map")</f>
        <v>View Map</v>
      </c>
    </row>
    <row r="4924" spans="1:7" x14ac:dyDescent="0.3">
      <c r="A4924" t="s">
        <v>8476</v>
      </c>
      <c r="B4924" t="s">
        <v>8477</v>
      </c>
      <c r="C4924" t="s">
        <v>8</v>
      </c>
      <c r="D4924">
        <v>1.62</v>
      </c>
      <c r="E4924">
        <v>518</v>
      </c>
      <c r="F4924" t="str">
        <f>HYPERLINK("https://www.google.com/maps/search/?api=1&amp;query=24.64723694,46.80699797", "View Map")</f>
        <v>View Map</v>
      </c>
    </row>
    <row r="4925" spans="1:7" x14ac:dyDescent="0.3">
      <c r="A4925" t="s">
        <v>8478</v>
      </c>
      <c r="B4925" t="s">
        <v>8479</v>
      </c>
      <c r="C4925" t="s">
        <v>8</v>
      </c>
      <c r="D4925">
        <v>1.62</v>
      </c>
      <c r="E4925">
        <v>519</v>
      </c>
      <c r="F4925" t="str">
        <f>HYPERLINK("https://www.google.com/maps/search/?api=1&amp;query=24.60542385,46.71308178", "View Map")</f>
        <v>View Map</v>
      </c>
    </row>
    <row r="4926" spans="1:7" x14ac:dyDescent="0.3">
      <c r="A4926" t="s">
        <v>1790</v>
      </c>
      <c r="B4926" t="s">
        <v>8480</v>
      </c>
      <c r="C4926" t="s">
        <v>214</v>
      </c>
      <c r="D4926">
        <v>1.62</v>
      </c>
      <c r="E4926">
        <v>518</v>
      </c>
      <c r="F4926" t="str">
        <f>HYPERLINK("https://www.google.com/maps/search/?api=1&amp;query=26.51610134,45.35378274", "View Map")</f>
        <v>View Map</v>
      </c>
      <c r="G4926" s="2">
        <v>0.58197720299551814</v>
      </c>
    </row>
    <row r="4927" spans="1:7" x14ac:dyDescent="0.3">
      <c r="A4927" t="s">
        <v>8481</v>
      </c>
      <c r="B4927" t="s">
        <v>8482</v>
      </c>
      <c r="C4927" t="s">
        <v>291</v>
      </c>
      <c r="D4927">
        <v>1.619</v>
      </c>
      <c r="E4927">
        <v>518</v>
      </c>
      <c r="F4927" t="str">
        <f>HYPERLINK("https://www.google.com/maps/search/?api=1&amp;query=24.10567892,45.3408084", "View Map")</f>
        <v>View Map</v>
      </c>
      <c r="G4927" s="2">
        <v>0.83051814333286567</v>
      </c>
    </row>
    <row r="4928" spans="1:7" x14ac:dyDescent="0.3">
      <c r="A4928" t="s">
        <v>1788</v>
      </c>
      <c r="B4928" t="s">
        <v>8483</v>
      </c>
      <c r="C4928" t="s">
        <v>393</v>
      </c>
      <c r="D4928">
        <v>1.619</v>
      </c>
      <c r="E4928">
        <v>518</v>
      </c>
      <c r="F4928" t="str">
        <f>HYPERLINK("https://www.google.com/maps/search/?api=1&amp;query=23.28722765,45.58563223", "View Map")</f>
        <v>View Map</v>
      </c>
      <c r="G4928" s="2">
        <v>0.59105470933159043</v>
      </c>
    </row>
    <row r="4929" spans="1:7" x14ac:dyDescent="0.3">
      <c r="A4929" t="s">
        <v>46</v>
      </c>
      <c r="B4929" t="s">
        <v>8484</v>
      </c>
      <c r="C4929" t="s">
        <v>8</v>
      </c>
      <c r="D4929">
        <v>1.6180000000000001</v>
      </c>
      <c r="E4929">
        <v>518</v>
      </c>
      <c r="F4929" t="str">
        <f>HYPERLINK("https://www.google.com/maps/search/?api=1&amp;query=24.84240754,46.79025005", "View Map")</f>
        <v>View Map</v>
      </c>
    </row>
    <row r="4930" spans="1:7" x14ac:dyDescent="0.3">
      <c r="A4930" t="s">
        <v>8485</v>
      </c>
      <c r="B4930" t="s">
        <v>8486</v>
      </c>
      <c r="C4930" t="s">
        <v>21</v>
      </c>
      <c r="D4930">
        <v>1.6180000000000001</v>
      </c>
      <c r="E4930">
        <v>518</v>
      </c>
      <c r="F4930" t="str">
        <f>HYPERLINK("https://www.google.com/maps/search/?api=1&amp;query=26.28193317,44.83228956", "View Map")</f>
        <v>View Map</v>
      </c>
      <c r="G4930" s="2">
        <v>0.67446785449270041</v>
      </c>
    </row>
    <row r="4931" spans="1:7" x14ac:dyDescent="0.3">
      <c r="A4931" t="s">
        <v>8487</v>
      </c>
      <c r="B4931" t="s">
        <v>8488</v>
      </c>
      <c r="C4931" t="s">
        <v>738</v>
      </c>
      <c r="D4931">
        <v>1.6180000000000001</v>
      </c>
      <c r="E4931">
        <v>518</v>
      </c>
      <c r="F4931" t="str">
        <f>HYPERLINK("https://www.google.com/maps/search/?api=1&amp;query=25.14176635,46.1628676", "View Map")</f>
        <v>View Map</v>
      </c>
    </row>
    <row r="4932" spans="1:7" x14ac:dyDescent="0.3">
      <c r="A4932" t="s">
        <v>8489</v>
      </c>
      <c r="B4932" t="s">
        <v>8490</v>
      </c>
      <c r="C4932" t="s">
        <v>77</v>
      </c>
      <c r="D4932">
        <v>1.6180000000000001</v>
      </c>
      <c r="E4932">
        <v>518</v>
      </c>
      <c r="F4932" t="str">
        <f>HYPERLINK("https://www.google.com/maps/search/?api=1&amp;query=21.9913553,45.96692315", "View Map")</f>
        <v>View Map</v>
      </c>
      <c r="G4932" s="2">
        <v>0.45670604876855092</v>
      </c>
    </row>
    <row r="4933" spans="1:7" x14ac:dyDescent="0.3">
      <c r="A4933" t="s">
        <v>8491</v>
      </c>
      <c r="B4933" t="s">
        <v>8492</v>
      </c>
      <c r="C4933" t="s">
        <v>255</v>
      </c>
      <c r="D4933">
        <v>1.6180000000000001</v>
      </c>
      <c r="E4933">
        <v>518</v>
      </c>
      <c r="F4933" t="str">
        <f>HYPERLINK("https://www.google.com/maps/search/?api=1&amp;query=25.48754007,44.41580468", "View Map")</f>
        <v>View Map</v>
      </c>
    </row>
    <row r="4934" spans="1:7" x14ac:dyDescent="0.3">
      <c r="A4934" t="s">
        <v>8493</v>
      </c>
      <c r="B4934" t="s">
        <v>8494</v>
      </c>
      <c r="C4934" t="s">
        <v>8</v>
      </c>
      <c r="D4934">
        <v>1.6180000000000001</v>
      </c>
      <c r="E4934">
        <v>518</v>
      </c>
      <c r="F4934" t="str">
        <f>HYPERLINK("https://www.google.com/maps/search/?api=1&amp;query=24.74787527,46.66976285", "View Map")</f>
        <v>View Map</v>
      </c>
    </row>
    <row r="4935" spans="1:7" x14ac:dyDescent="0.3">
      <c r="A4935" t="s">
        <v>8495</v>
      </c>
      <c r="B4935" t="s">
        <v>8496</v>
      </c>
      <c r="C4935" t="s">
        <v>8</v>
      </c>
      <c r="D4935">
        <v>1.6180000000000001</v>
      </c>
      <c r="E4935">
        <v>518</v>
      </c>
      <c r="F4935" t="str">
        <f>HYPERLINK("https://www.google.com/maps/search/?api=1&amp;query=24.56874677,46.8361548", "View Map")</f>
        <v>View Map</v>
      </c>
    </row>
    <row r="4936" spans="1:7" x14ac:dyDescent="0.3">
      <c r="A4936" t="s">
        <v>8497</v>
      </c>
      <c r="B4936" t="s">
        <v>8498</v>
      </c>
      <c r="C4936" t="s">
        <v>255</v>
      </c>
      <c r="D4936">
        <v>1.617</v>
      </c>
      <c r="E4936">
        <v>517</v>
      </c>
      <c r="F4936" t="str">
        <f>HYPERLINK("https://www.google.com/maps/search/?api=1&amp;query=24.51743885,44.41548492", "View Map")</f>
        <v>View Map</v>
      </c>
    </row>
    <row r="4937" spans="1:7" x14ac:dyDescent="0.3">
      <c r="A4937" t="s">
        <v>2848</v>
      </c>
      <c r="B4937" t="s">
        <v>8499</v>
      </c>
      <c r="C4937" t="s">
        <v>214</v>
      </c>
      <c r="D4937">
        <v>1.617</v>
      </c>
      <c r="E4937">
        <v>518</v>
      </c>
      <c r="F4937" t="str">
        <f>HYPERLINK("https://www.google.com/maps/search/?api=1&amp;query=26.42453184,45.35108431", "View Map")</f>
        <v>View Map</v>
      </c>
    </row>
    <row r="4938" spans="1:7" x14ac:dyDescent="0.3">
      <c r="A4938" t="s">
        <v>8500</v>
      </c>
      <c r="B4938" t="s">
        <v>8501</v>
      </c>
      <c r="C4938" t="s">
        <v>255</v>
      </c>
      <c r="D4938">
        <v>1.617</v>
      </c>
      <c r="E4938">
        <v>517</v>
      </c>
      <c r="F4938" t="str">
        <f>HYPERLINK("https://www.google.com/maps/search/?api=1&amp;query=25.1667258,44.57622133", "View Map")</f>
        <v>View Map</v>
      </c>
      <c r="G4938" s="2">
        <v>0.37240416876537219</v>
      </c>
    </row>
    <row r="4939" spans="1:7" x14ac:dyDescent="0.3">
      <c r="A4939" t="s">
        <v>8502</v>
      </c>
      <c r="B4939" t="s">
        <v>8503</v>
      </c>
      <c r="C4939" t="s">
        <v>8</v>
      </c>
      <c r="D4939">
        <v>1.617</v>
      </c>
      <c r="E4939">
        <v>517</v>
      </c>
      <c r="F4939" t="str">
        <f>HYPERLINK("https://www.google.com/maps/search/?api=1&amp;query=24.58543563,46.52405872", "View Map")</f>
        <v>View Map</v>
      </c>
    </row>
    <row r="4940" spans="1:7" x14ac:dyDescent="0.3">
      <c r="A4940" t="s">
        <v>8504</v>
      </c>
      <c r="B4940" t="s">
        <v>8505</v>
      </c>
      <c r="C4940" t="s">
        <v>8</v>
      </c>
      <c r="D4940">
        <v>1.617</v>
      </c>
      <c r="E4940">
        <v>518</v>
      </c>
      <c r="F4940" t="str">
        <f>HYPERLINK("https://www.google.com/maps/search/?api=1&amp;query=24.79951214,46.86380815", "View Map")</f>
        <v>View Map</v>
      </c>
    </row>
    <row r="4941" spans="1:7" x14ac:dyDescent="0.3">
      <c r="A4941" t="s">
        <v>8506</v>
      </c>
      <c r="B4941" t="s">
        <v>8507</v>
      </c>
      <c r="C4941" t="s">
        <v>8</v>
      </c>
      <c r="D4941">
        <v>1.615</v>
      </c>
      <c r="E4941">
        <v>517</v>
      </c>
      <c r="F4941" t="str">
        <f>HYPERLINK("https://www.google.com/maps/search/?api=1&amp;query=24.56715007,46.68533647", "View Map")</f>
        <v>View Map</v>
      </c>
    </row>
    <row r="4942" spans="1:7" x14ac:dyDescent="0.3">
      <c r="A4942" t="s">
        <v>8508</v>
      </c>
      <c r="B4942" t="s">
        <v>8509</v>
      </c>
      <c r="C4942" t="s">
        <v>296</v>
      </c>
      <c r="D4942">
        <v>1.615</v>
      </c>
      <c r="E4942">
        <v>517</v>
      </c>
      <c r="F4942" t="str">
        <f>HYPERLINK("https://www.google.com/maps/search/?api=1&amp;query=24.46402186,46.27714305", "View Map")</f>
        <v>View Map</v>
      </c>
      <c r="G4942" s="2">
        <v>0.46163903230676961</v>
      </c>
    </row>
    <row r="4943" spans="1:7" x14ac:dyDescent="0.3">
      <c r="A4943" t="s">
        <v>8510</v>
      </c>
      <c r="B4943" t="s">
        <v>8511</v>
      </c>
      <c r="C4943" t="s">
        <v>255</v>
      </c>
      <c r="D4943">
        <v>1.6140000000000001</v>
      </c>
      <c r="E4943">
        <v>517</v>
      </c>
      <c r="F4943" t="str">
        <f>HYPERLINK("https://www.google.com/maps/search/?api=1&amp;query=24.53215614,44.4175065", "View Map")</f>
        <v>View Map</v>
      </c>
      <c r="G4943" s="2">
        <v>0.41286664873579559</v>
      </c>
    </row>
    <row r="4944" spans="1:7" x14ac:dyDescent="0.3">
      <c r="A4944" t="s">
        <v>2229</v>
      </c>
      <c r="B4944" t="s">
        <v>8512</v>
      </c>
      <c r="C4944" t="s">
        <v>8</v>
      </c>
      <c r="D4944">
        <v>1.6140000000000001</v>
      </c>
      <c r="E4944">
        <v>517</v>
      </c>
      <c r="F4944" t="str">
        <f>HYPERLINK("https://www.google.com/maps/search/?api=1&amp;query=24.7221885,46.82983881", "View Map")</f>
        <v>View Map</v>
      </c>
    </row>
    <row r="4945" spans="1:7" x14ac:dyDescent="0.3">
      <c r="A4945" t="s">
        <v>8513</v>
      </c>
      <c r="B4945" t="s">
        <v>8514</v>
      </c>
      <c r="C4945" t="s">
        <v>8</v>
      </c>
      <c r="D4945">
        <v>1.613</v>
      </c>
      <c r="E4945">
        <v>516</v>
      </c>
      <c r="F4945" t="str">
        <f>HYPERLINK("https://www.google.com/maps/search/?api=1&amp;query=24.5936651,46.62377144", "View Map")</f>
        <v>View Map</v>
      </c>
    </row>
    <row r="4946" spans="1:7" x14ac:dyDescent="0.3">
      <c r="A4946" t="s">
        <v>8515</v>
      </c>
      <c r="B4946" t="s">
        <v>8516</v>
      </c>
      <c r="C4946" t="s">
        <v>8</v>
      </c>
      <c r="D4946">
        <v>1.613</v>
      </c>
      <c r="E4946">
        <v>516</v>
      </c>
      <c r="F4946" t="str">
        <f>HYPERLINK("https://www.google.com/maps/search/?api=1&amp;query=24.58648244,46.74601097", "View Map")</f>
        <v>View Map</v>
      </c>
    </row>
    <row r="4947" spans="1:7" x14ac:dyDescent="0.3">
      <c r="A4947" t="s">
        <v>8517</v>
      </c>
      <c r="B4947" t="s">
        <v>8518</v>
      </c>
      <c r="C4947" t="s">
        <v>8</v>
      </c>
      <c r="D4947">
        <v>1.613</v>
      </c>
      <c r="E4947">
        <v>516</v>
      </c>
      <c r="F4947" t="str">
        <f>HYPERLINK("https://www.google.com/maps/search/?api=1&amp;query=24.69019795,46.7209971", "View Map")</f>
        <v>View Map</v>
      </c>
    </row>
    <row r="4948" spans="1:7" x14ac:dyDescent="0.3">
      <c r="A4948" t="s">
        <v>8519</v>
      </c>
      <c r="B4948" t="s">
        <v>8520</v>
      </c>
      <c r="C4948" t="s">
        <v>393</v>
      </c>
      <c r="D4948">
        <v>1.6120000000000001</v>
      </c>
      <c r="E4948">
        <v>516</v>
      </c>
      <c r="F4948" t="str">
        <f>HYPERLINK("https://www.google.com/maps/search/?api=1&amp;query=22.74332077,44.97755932", "View Map")</f>
        <v>View Map</v>
      </c>
      <c r="G4948" s="2">
        <v>0.65292367607945057</v>
      </c>
    </row>
    <row r="4949" spans="1:7" x14ac:dyDescent="0.3">
      <c r="A4949" t="s">
        <v>8521</v>
      </c>
      <c r="B4949" t="s">
        <v>8522</v>
      </c>
      <c r="C4949" t="s">
        <v>8</v>
      </c>
      <c r="D4949">
        <v>1.6120000000000001</v>
      </c>
      <c r="E4949">
        <v>516</v>
      </c>
      <c r="F4949" t="str">
        <f>HYPERLINK("https://www.google.com/maps/search/?api=1&amp;query=24.61595342,46.63684946", "View Map")</f>
        <v>View Map</v>
      </c>
    </row>
    <row r="4950" spans="1:7" x14ac:dyDescent="0.3">
      <c r="A4950" t="s">
        <v>8523</v>
      </c>
      <c r="B4950" t="s">
        <v>8524</v>
      </c>
      <c r="C4950" t="s">
        <v>8</v>
      </c>
      <c r="D4950">
        <v>1.611</v>
      </c>
      <c r="E4950">
        <v>516</v>
      </c>
      <c r="F4950" t="str">
        <f>HYPERLINK("https://www.google.com/maps/search/?api=1&amp;query=24.81386025,46.68862474", "View Map")</f>
        <v>View Map</v>
      </c>
    </row>
    <row r="4951" spans="1:7" x14ac:dyDescent="0.3">
      <c r="A4951" t="s">
        <v>661</v>
      </c>
      <c r="B4951" t="s">
        <v>8525</v>
      </c>
      <c r="C4951" t="s">
        <v>214</v>
      </c>
      <c r="D4951">
        <v>1.611</v>
      </c>
      <c r="E4951">
        <v>516</v>
      </c>
      <c r="F4951" t="str">
        <f>HYPERLINK("https://www.google.com/maps/search/?api=1&amp;query=25.70853351,45.4679597", "View Map")</f>
        <v>View Map</v>
      </c>
      <c r="G4951" s="2">
        <v>0.55243912762751213</v>
      </c>
    </row>
    <row r="4952" spans="1:7" x14ac:dyDescent="0.3">
      <c r="A4952" t="s">
        <v>146</v>
      </c>
      <c r="B4952" t="s">
        <v>8526</v>
      </c>
      <c r="C4952" t="s">
        <v>8</v>
      </c>
      <c r="D4952">
        <v>1.611</v>
      </c>
      <c r="E4952">
        <v>515</v>
      </c>
      <c r="F4952" t="str">
        <f>HYPERLINK("https://www.google.com/maps/search/?api=1&amp;query=24.55393782,46.60335925", "View Map")</f>
        <v>View Map</v>
      </c>
    </row>
    <row r="4953" spans="1:7" x14ac:dyDescent="0.3">
      <c r="A4953" t="s">
        <v>2281</v>
      </c>
      <c r="B4953" t="s">
        <v>8527</v>
      </c>
      <c r="C4953" t="s">
        <v>8</v>
      </c>
      <c r="D4953">
        <v>1.611</v>
      </c>
      <c r="E4953">
        <v>515</v>
      </c>
      <c r="F4953" t="str">
        <f>HYPERLINK("https://www.google.com/maps/search/?api=1&amp;query=24.70701599,46.80209152", "View Map")</f>
        <v>View Map</v>
      </c>
    </row>
    <row r="4954" spans="1:7" x14ac:dyDescent="0.3">
      <c r="A4954" t="s">
        <v>8528</v>
      </c>
      <c r="B4954" t="s">
        <v>8529</v>
      </c>
      <c r="C4954" t="s">
        <v>214</v>
      </c>
      <c r="D4954">
        <v>1.61</v>
      </c>
      <c r="E4954">
        <v>515</v>
      </c>
      <c r="F4954" t="str">
        <f>HYPERLINK("https://www.google.com/maps/search/?api=1&amp;query=26.40770331,45.1166275", "View Map")</f>
        <v>View Map</v>
      </c>
      <c r="G4954" s="2">
        <v>0.74291620125908675</v>
      </c>
    </row>
    <row r="4955" spans="1:7" x14ac:dyDescent="0.3">
      <c r="A4955" t="s">
        <v>8530</v>
      </c>
      <c r="B4955" t="s">
        <v>8531</v>
      </c>
      <c r="C4955" t="s">
        <v>255</v>
      </c>
      <c r="D4955">
        <v>1.609</v>
      </c>
      <c r="E4955">
        <v>515</v>
      </c>
      <c r="F4955" t="str">
        <f>HYPERLINK("https://www.google.com/maps/search/?api=1&amp;query=24.4732189,44.35830823", "View Map")</f>
        <v>View Map</v>
      </c>
      <c r="G4955" s="2">
        <v>0.37613150031810311</v>
      </c>
    </row>
    <row r="4956" spans="1:7" x14ac:dyDescent="0.3">
      <c r="A4956" t="s">
        <v>8532</v>
      </c>
      <c r="B4956" t="s">
        <v>8533</v>
      </c>
      <c r="C4956" t="s">
        <v>8</v>
      </c>
      <c r="D4956">
        <v>1.609</v>
      </c>
      <c r="E4956">
        <v>515</v>
      </c>
      <c r="F4956" t="str">
        <f>HYPERLINK("https://www.google.com/maps/search/?api=1&amp;query=24.57787639,46.62618352", "View Map")</f>
        <v>View Map</v>
      </c>
    </row>
    <row r="4957" spans="1:7" x14ac:dyDescent="0.3">
      <c r="A4957" t="s">
        <v>8534</v>
      </c>
      <c r="B4957" t="s">
        <v>8535</v>
      </c>
      <c r="C4957" t="s">
        <v>21</v>
      </c>
      <c r="D4957">
        <v>1.609</v>
      </c>
      <c r="E4957">
        <v>515</v>
      </c>
      <c r="F4957" t="str">
        <f>HYPERLINK("https://www.google.com/maps/search/?api=1&amp;query=26.31464245,44.81448549", "View Map")</f>
        <v>View Map</v>
      </c>
    </row>
    <row r="4958" spans="1:7" x14ac:dyDescent="0.3">
      <c r="A4958" t="s">
        <v>1675</v>
      </c>
      <c r="B4958" t="s">
        <v>8536</v>
      </c>
      <c r="C4958" t="s">
        <v>8</v>
      </c>
      <c r="D4958">
        <v>1.609</v>
      </c>
      <c r="E4958">
        <v>515</v>
      </c>
      <c r="F4958" t="str">
        <f>HYPERLINK("https://www.google.com/maps/search/?api=1&amp;query=24.56892928,46.80770772", "View Map")</f>
        <v>View Map</v>
      </c>
    </row>
    <row r="4959" spans="1:7" x14ac:dyDescent="0.3">
      <c r="A4959" t="s">
        <v>8537</v>
      </c>
      <c r="B4959" t="s">
        <v>8538</v>
      </c>
      <c r="C4959" t="s">
        <v>8</v>
      </c>
      <c r="D4959">
        <v>1.6080000000000001</v>
      </c>
      <c r="E4959">
        <v>514</v>
      </c>
      <c r="F4959" t="str">
        <f>HYPERLINK("https://www.google.com/maps/search/?api=1&amp;query=24.63406108,46.55279791", "View Map")</f>
        <v>View Map</v>
      </c>
    </row>
    <row r="4960" spans="1:7" x14ac:dyDescent="0.3">
      <c r="A4960" t="s">
        <v>8539</v>
      </c>
      <c r="B4960" t="s">
        <v>8540</v>
      </c>
      <c r="C4960" t="s">
        <v>21</v>
      </c>
      <c r="D4960">
        <v>1.6080000000000001</v>
      </c>
      <c r="E4960">
        <v>514</v>
      </c>
      <c r="F4960" t="str">
        <f>HYPERLINK("https://www.google.com/maps/search/?api=1&amp;query=26.31819154,44.81803649", "View Map")</f>
        <v>View Map</v>
      </c>
      <c r="G4960" s="2">
        <v>0.48677111055562722</v>
      </c>
    </row>
    <row r="4961" spans="1:7" x14ac:dyDescent="0.3">
      <c r="A4961" t="s">
        <v>8541</v>
      </c>
      <c r="B4961" t="s">
        <v>8542</v>
      </c>
      <c r="C4961" t="s">
        <v>214</v>
      </c>
      <c r="D4961">
        <v>1.6080000000000001</v>
      </c>
      <c r="E4961">
        <v>514</v>
      </c>
      <c r="F4961" t="str">
        <f>HYPERLINK("https://www.google.com/maps/search/?api=1&amp;query=26.50855322,45.35301019", "View Map")</f>
        <v>View Map</v>
      </c>
      <c r="G4961" s="2">
        <v>0.48145196893637288</v>
      </c>
    </row>
    <row r="4962" spans="1:7" x14ac:dyDescent="0.3">
      <c r="A4962" t="s">
        <v>8543</v>
      </c>
      <c r="B4962" t="s">
        <v>8544</v>
      </c>
      <c r="C4962" t="s">
        <v>77</v>
      </c>
      <c r="D4962">
        <v>1.6080000000000001</v>
      </c>
      <c r="E4962">
        <v>514</v>
      </c>
      <c r="F4962" t="str">
        <f>HYPERLINK("https://www.google.com/maps/search/?api=1&amp;query=22.03741546,46.56649041", "View Map")</f>
        <v>View Map</v>
      </c>
      <c r="G4962" s="2">
        <v>0.47482600262427838</v>
      </c>
    </row>
    <row r="4963" spans="1:7" x14ac:dyDescent="0.3">
      <c r="A4963" t="s">
        <v>8545</v>
      </c>
      <c r="B4963" t="s">
        <v>8546</v>
      </c>
      <c r="C4963" t="s">
        <v>255</v>
      </c>
      <c r="D4963">
        <v>1.607</v>
      </c>
      <c r="E4963">
        <v>514</v>
      </c>
      <c r="F4963" t="str">
        <f>HYPERLINK("https://www.google.com/maps/search/?api=1&amp;query=24.98001827,43.65246534", "View Map")</f>
        <v>View Map</v>
      </c>
      <c r="G4963" s="2">
        <v>0.59729615203427633</v>
      </c>
    </row>
    <row r="4964" spans="1:7" x14ac:dyDescent="0.3">
      <c r="A4964" t="s">
        <v>8547</v>
      </c>
      <c r="B4964" t="s">
        <v>8548</v>
      </c>
      <c r="C4964" t="s">
        <v>291</v>
      </c>
      <c r="D4964">
        <v>1.607</v>
      </c>
      <c r="E4964">
        <v>514</v>
      </c>
      <c r="F4964" t="str">
        <f>HYPERLINK("https://www.google.com/maps/search/?api=1&amp;query=24.51560447,45.68748505", "View Map")</f>
        <v>View Map</v>
      </c>
      <c r="G4964" s="2">
        <v>0.4961786960429766</v>
      </c>
    </row>
    <row r="4965" spans="1:7" x14ac:dyDescent="0.3">
      <c r="A4965" t="s">
        <v>8549</v>
      </c>
      <c r="B4965" t="s">
        <v>8550</v>
      </c>
      <c r="C4965" t="s">
        <v>393</v>
      </c>
      <c r="D4965">
        <v>1.607</v>
      </c>
      <c r="E4965">
        <v>514</v>
      </c>
      <c r="F4965" t="str">
        <f>HYPERLINK("https://www.google.com/maps/search/?api=1&amp;query=23.65669962,45.39022498", "View Map")</f>
        <v>View Map</v>
      </c>
      <c r="G4965" s="2">
        <v>0.83800077295408637</v>
      </c>
    </row>
    <row r="4966" spans="1:7" x14ac:dyDescent="0.3">
      <c r="A4966" t="s">
        <v>46</v>
      </c>
      <c r="B4966" t="s">
        <v>8551</v>
      </c>
      <c r="C4966" t="s">
        <v>8</v>
      </c>
      <c r="D4966">
        <v>1.607</v>
      </c>
      <c r="E4966">
        <v>514</v>
      </c>
      <c r="F4966" t="str">
        <f>HYPERLINK("https://www.google.com/maps/search/?api=1&amp;query=24.9089,46.6089", "View Map")</f>
        <v>View Map</v>
      </c>
    </row>
    <row r="4967" spans="1:7" x14ac:dyDescent="0.3">
      <c r="A4967" t="s">
        <v>8552</v>
      </c>
      <c r="B4967" t="s">
        <v>8553</v>
      </c>
      <c r="C4967" t="s">
        <v>393</v>
      </c>
      <c r="D4967">
        <v>1.607</v>
      </c>
      <c r="E4967">
        <v>514</v>
      </c>
      <c r="F4967" t="str">
        <f>HYPERLINK("https://www.google.com/maps/search/?api=1&amp;query=23.56533475,45.45149249", "View Map")</f>
        <v>View Map</v>
      </c>
      <c r="G4967" s="2">
        <v>0.47951907159596752</v>
      </c>
    </row>
    <row r="4968" spans="1:7" x14ac:dyDescent="0.3">
      <c r="A4968" t="s">
        <v>8554</v>
      </c>
      <c r="B4968" t="s">
        <v>8555</v>
      </c>
      <c r="C4968" t="s">
        <v>291</v>
      </c>
      <c r="D4968">
        <v>1.6060000000000001</v>
      </c>
      <c r="E4968">
        <v>514</v>
      </c>
      <c r="F4968" t="str">
        <f>HYPERLINK("https://www.google.com/maps/search/?api=1&amp;query=24.34722966,45.83066239", "View Map")</f>
        <v>View Map</v>
      </c>
    </row>
    <row r="4969" spans="1:7" x14ac:dyDescent="0.3">
      <c r="A4969" t="s">
        <v>8556</v>
      </c>
      <c r="B4969" t="s">
        <v>8557</v>
      </c>
      <c r="C4969" t="s">
        <v>8</v>
      </c>
      <c r="D4969">
        <v>1.6060000000000001</v>
      </c>
      <c r="E4969">
        <v>514</v>
      </c>
      <c r="F4969" t="str">
        <f>HYPERLINK("https://www.google.com/maps/search/?api=1&amp;query=24.54732983,46.69480888", "View Map")</f>
        <v>View Map</v>
      </c>
    </row>
    <row r="4970" spans="1:7" x14ac:dyDescent="0.3">
      <c r="A4970" t="s">
        <v>5603</v>
      </c>
      <c r="B4970" t="s">
        <v>8558</v>
      </c>
      <c r="C4970" t="s">
        <v>8</v>
      </c>
      <c r="D4970">
        <v>1.6060000000000001</v>
      </c>
      <c r="E4970">
        <v>514</v>
      </c>
      <c r="F4970" t="str">
        <f>HYPERLINK("https://www.google.com/maps/search/?api=1&amp;query=24.5931513,46.61558166", "View Map")</f>
        <v>View Map</v>
      </c>
    </row>
    <row r="4971" spans="1:7" x14ac:dyDescent="0.3">
      <c r="A4971" t="s">
        <v>8559</v>
      </c>
      <c r="B4971" t="s">
        <v>8560</v>
      </c>
      <c r="C4971" t="s">
        <v>8</v>
      </c>
      <c r="D4971">
        <v>1.605</v>
      </c>
      <c r="E4971">
        <v>514</v>
      </c>
      <c r="F4971" t="str">
        <f>HYPERLINK("https://www.google.com/maps/search/?api=1&amp;query=24.58555044,46.54949613", "View Map")</f>
        <v>View Map</v>
      </c>
    </row>
    <row r="4972" spans="1:7" x14ac:dyDescent="0.3">
      <c r="A4972" t="s">
        <v>8561</v>
      </c>
      <c r="B4972" t="s">
        <v>8562</v>
      </c>
      <c r="C4972" t="s">
        <v>270</v>
      </c>
      <c r="D4972">
        <v>1.605</v>
      </c>
      <c r="E4972">
        <v>514</v>
      </c>
      <c r="F4972" t="str">
        <f>HYPERLINK("https://www.google.com/maps/search/?api=1&amp;query=23.98599482,47.11506515", "View Map")</f>
        <v>View Map</v>
      </c>
      <c r="G4972" s="2">
        <v>0.55775439467848598</v>
      </c>
    </row>
    <row r="4973" spans="1:7" x14ac:dyDescent="0.3">
      <c r="A4973" t="s">
        <v>146</v>
      </c>
      <c r="B4973" t="s">
        <v>8563</v>
      </c>
      <c r="C4973" t="s">
        <v>8</v>
      </c>
      <c r="D4973">
        <v>1.605</v>
      </c>
      <c r="E4973">
        <v>514</v>
      </c>
      <c r="F4973" t="str">
        <f>HYPERLINK("https://www.google.com/maps/search/?api=1&amp;query=24.55363955,46.6674507", "View Map")</f>
        <v>View Map</v>
      </c>
    </row>
    <row r="4974" spans="1:7" x14ac:dyDescent="0.3">
      <c r="A4974" t="s">
        <v>46</v>
      </c>
      <c r="B4974" t="s">
        <v>8564</v>
      </c>
      <c r="C4974" t="s">
        <v>8</v>
      </c>
      <c r="D4974">
        <v>1.605</v>
      </c>
      <c r="E4974">
        <v>514</v>
      </c>
      <c r="F4974" t="str">
        <f>HYPERLINK("https://www.google.com/maps/search/?api=1&amp;query=24.80154106,46.67644332", "View Map")</f>
        <v>View Map</v>
      </c>
    </row>
    <row r="4975" spans="1:7" x14ac:dyDescent="0.3">
      <c r="A4975" t="s">
        <v>1788</v>
      </c>
      <c r="B4975" t="s">
        <v>8565</v>
      </c>
      <c r="C4975" t="s">
        <v>393</v>
      </c>
      <c r="D4975">
        <v>1.605</v>
      </c>
      <c r="E4975">
        <v>513</v>
      </c>
      <c r="F4975" t="str">
        <f>HYPERLINK("https://www.google.com/maps/search/?api=1&amp;query=23.50897741,45.51404219", "View Map")</f>
        <v>View Map</v>
      </c>
      <c r="G4975" s="2">
        <v>0.79629106858101806</v>
      </c>
    </row>
    <row r="4976" spans="1:7" x14ac:dyDescent="0.3">
      <c r="A4976" t="s">
        <v>8566</v>
      </c>
      <c r="B4976" t="s">
        <v>8567</v>
      </c>
      <c r="C4976" t="s">
        <v>8</v>
      </c>
      <c r="D4976">
        <v>1.605</v>
      </c>
      <c r="E4976">
        <v>514</v>
      </c>
      <c r="F4976" t="str">
        <f>HYPERLINK("https://www.google.com/maps/search/?api=1&amp;query=24.67939049,46.81463535", "View Map")</f>
        <v>View Map</v>
      </c>
    </row>
    <row r="4977" spans="1:7" x14ac:dyDescent="0.3">
      <c r="A4977" t="s">
        <v>8568</v>
      </c>
      <c r="B4977" t="s">
        <v>8569</v>
      </c>
      <c r="C4977" t="s">
        <v>255</v>
      </c>
      <c r="D4977">
        <v>1.6040000000000001</v>
      </c>
      <c r="E4977">
        <v>513</v>
      </c>
      <c r="F4977" t="str">
        <f>HYPERLINK("https://www.google.com/maps/search/?api=1&amp;query=24.54225559,44.40253415", "View Map")</f>
        <v>View Map</v>
      </c>
      <c r="G4977" s="2">
        <v>0.44595189059766599</v>
      </c>
    </row>
    <row r="4978" spans="1:7" x14ac:dyDescent="0.3">
      <c r="A4978" t="s">
        <v>8570</v>
      </c>
      <c r="B4978" t="s">
        <v>8571</v>
      </c>
      <c r="C4978" t="s">
        <v>8</v>
      </c>
      <c r="D4978">
        <v>1.6040000000000001</v>
      </c>
      <c r="E4978">
        <v>513</v>
      </c>
      <c r="F4978" t="str">
        <f>HYPERLINK("https://www.google.com/maps/search/?api=1&amp;query=24.59582746,46.66760455", "View Map")</f>
        <v>View Map</v>
      </c>
    </row>
    <row r="4979" spans="1:7" x14ac:dyDescent="0.3">
      <c r="A4979" t="s">
        <v>8572</v>
      </c>
      <c r="B4979" t="s">
        <v>8573</v>
      </c>
      <c r="C4979" t="s">
        <v>255</v>
      </c>
      <c r="D4979">
        <v>1.603</v>
      </c>
      <c r="E4979">
        <v>513</v>
      </c>
      <c r="F4979" t="str">
        <f>HYPERLINK("https://www.google.com/maps/search/?api=1&amp;query=24.43484835,44.2568614", "View Map")</f>
        <v>View Map</v>
      </c>
      <c r="G4979" s="2">
        <v>0.47825019197752711</v>
      </c>
    </row>
    <row r="4980" spans="1:7" x14ac:dyDescent="0.3">
      <c r="A4980" t="s">
        <v>8574</v>
      </c>
      <c r="B4980" t="s">
        <v>8575</v>
      </c>
      <c r="C4980" t="s">
        <v>8</v>
      </c>
      <c r="D4980">
        <v>1.603</v>
      </c>
      <c r="E4980">
        <v>513</v>
      </c>
      <c r="F4980" t="str">
        <f>HYPERLINK("https://www.google.com/maps/search/?api=1&amp;query=24.80576924,46.65580062", "View Map")</f>
        <v>View Map</v>
      </c>
    </row>
    <row r="4981" spans="1:7" x14ac:dyDescent="0.3">
      <c r="A4981" t="s">
        <v>464</v>
      </c>
      <c r="B4981" t="s">
        <v>8576</v>
      </c>
      <c r="C4981" t="s">
        <v>466</v>
      </c>
      <c r="D4981">
        <v>1.603</v>
      </c>
      <c r="E4981">
        <v>513</v>
      </c>
      <c r="F4981" t="str">
        <f>HYPERLINK("https://www.google.com/maps/search/?api=1&amp;query=24.5908024,46.13035834", "View Map")</f>
        <v>View Map</v>
      </c>
    </row>
    <row r="4982" spans="1:7" x14ac:dyDescent="0.3">
      <c r="A4982" t="s">
        <v>510</v>
      </c>
      <c r="B4982" t="s">
        <v>8577</v>
      </c>
      <c r="C4982" t="s">
        <v>291</v>
      </c>
      <c r="D4982">
        <v>1.6020000000000001</v>
      </c>
      <c r="E4982">
        <v>513</v>
      </c>
      <c r="F4982" t="str">
        <f>HYPERLINK("https://www.google.com/maps/search/?api=1&amp;query=24.33599002,45.78646879", "View Map")</f>
        <v>View Map</v>
      </c>
      <c r="G4982" s="2">
        <v>0.2290104002188299</v>
      </c>
    </row>
    <row r="4983" spans="1:7" x14ac:dyDescent="0.3">
      <c r="A4983" t="s">
        <v>8578</v>
      </c>
      <c r="B4983" t="s">
        <v>8579</v>
      </c>
      <c r="C4983" t="s">
        <v>8</v>
      </c>
      <c r="D4983">
        <v>1.6020000000000001</v>
      </c>
      <c r="E4983">
        <v>513</v>
      </c>
      <c r="F4983" t="str">
        <f>HYPERLINK("https://www.google.com/maps/search/?api=1&amp;query=24.78182289,46.77324776", "View Map")</f>
        <v>View Map</v>
      </c>
    </row>
    <row r="4984" spans="1:7" x14ac:dyDescent="0.3">
      <c r="A4984" t="s">
        <v>8580</v>
      </c>
      <c r="B4984" t="s">
        <v>8581</v>
      </c>
      <c r="C4984" t="s">
        <v>270</v>
      </c>
      <c r="D4984">
        <v>1.6020000000000001</v>
      </c>
      <c r="E4984">
        <v>513</v>
      </c>
      <c r="F4984" t="str">
        <f>HYPERLINK("https://www.google.com/maps/search/?api=1&amp;query=23.9892122,47.18022657", "View Map")</f>
        <v>View Map</v>
      </c>
      <c r="G4984" s="2">
        <v>0.17935265097622011</v>
      </c>
    </row>
    <row r="4985" spans="1:7" x14ac:dyDescent="0.3">
      <c r="A4985" t="s">
        <v>4014</v>
      </c>
      <c r="B4985" t="s">
        <v>8582</v>
      </c>
      <c r="C4985" t="s">
        <v>8</v>
      </c>
      <c r="D4985">
        <v>1.6020000000000001</v>
      </c>
      <c r="E4985">
        <v>513</v>
      </c>
      <c r="F4985" t="str">
        <f>HYPERLINK("https://www.google.com/maps/search/?api=1&amp;query=24.60298522,46.61640474", "View Map")</f>
        <v>View Map</v>
      </c>
    </row>
    <row r="4986" spans="1:7" x14ac:dyDescent="0.3">
      <c r="A4986" t="s">
        <v>8583</v>
      </c>
      <c r="B4986" t="s">
        <v>8584</v>
      </c>
      <c r="C4986" t="s">
        <v>291</v>
      </c>
      <c r="D4986">
        <v>1.6020000000000001</v>
      </c>
      <c r="E4986">
        <v>513</v>
      </c>
      <c r="F4986" t="str">
        <f>HYPERLINK("https://www.google.com/maps/search/?api=1&amp;query=23.95976446,45.56275782", "View Map")</f>
        <v>View Map</v>
      </c>
      <c r="G4986" s="2">
        <v>0.86034752745839838</v>
      </c>
    </row>
    <row r="4987" spans="1:7" x14ac:dyDescent="0.3">
      <c r="A4987" t="s">
        <v>8585</v>
      </c>
      <c r="B4987" t="s">
        <v>8586</v>
      </c>
      <c r="C4987" t="s">
        <v>21</v>
      </c>
      <c r="D4987">
        <v>1.6020000000000001</v>
      </c>
      <c r="E4987">
        <v>513</v>
      </c>
      <c r="F4987" t="str">
        <f>HYPERLINK("https://www.google.com/maps/search/?api=1&amp;query=26.33170606,44.78259836", "View Map")</f>
        <v>View Map</v>
      </c>
      <c r="G4987" s="2">
        <v>0.56046858253405873</v>
      </c>
    </row>
    <row r="4988" spans="1:7" x14ac:dyDescent="0.3">
      <c r="A4988" t="s">
        <v>8587</v>
      </c>
      <c r="B4988" t="s">
        <v>8588</v>
      </c>
      <c r="C4988" t="s">
        <v>8</v>
      </c>
      <c r="D4988">
        <v>1.601</v>
      </c>
      <c r="E4988">
        <v>512</v>
      </c>
      <c r="F4988" t="str">
        <f>HYPERLINK("https://www.google.com/maps/search/?api=1&amp;query=24.55361765,46.71728693", "View Map")</f>
        <v>View Map</v>
      </c>
    </row>
    <row r="4989" spans="1:7" x14ac:dyDescent="0.3">
      <c r="A4989" t="s">
        <v>46</v>
      </c>
      <c r="B4989" t="s">
        <v>8589</v>
      </c>
      <c r="C4989" t="s">
        <v>8</v>
      </c>
      <c r="D4989">
        <v>1.601</v>
      </c>
      <c r="E4989">
        <v>512</v>
      </c>
      <c r="F4989" t="str">
        <f>HYPERLINK("https://www.google.com/maps/search/?api=1&amp;query=24.88061854,46.60326453", "View Map")</f>
        <v>View Map</v>
      </c>
    </row>
    <row r="4990" spans="1:7" x14ac:dyDescent="0.3">
      <c r="A4990" t="s">
        <v>8590</v>
      </c>
      <c r="B4990" t="s">
        <v>8591</v>
      </c>
      <c r="C4990" t="s">
        <v>8</v>
      </c>
      <c r="D4990">
        <v>1.6</v>
      </c>
      <c r="E4990">
        <v>512</v>
      </c>
      <c r="F4990" t="str">
        <f>HYPERLINK("https://www.google.com/maps/search/?api=1&amp;query=24.74932422,46.79804212", "View Map")</f>
        <v>View Map</v>
      </c>
    </row>
    <row r="4991" spans="1:7" x14ac:dyDescent="0.3">
      <c r="A4991" t="s">
        <v>8592</v>
      </c>
      <c r="B4991" t="s">
        <v>8593</v>
      </c>
      <c r="C4991" t="s">
        <v>8</v>
      </c>
      <c r="D4991">
        <v>1.6</v>
      </c>
      <c r="E4991">
        <v>512</v>
      </c>
      <c r="F4991" t="str">
        <f>HYPERLINK("https://www.google.com/maps/search/?api=1&amp;query=24.61811359,46.70279823", "View Map")</f>
        <v>View Map</v>
      </c>
    </row>
    <row r="4992" spans="1:7" x14ac:dyDescent="0.3">
      <c r="A4992" t="s">
        <v>8594</v>
      </c>
      <c r="B4992" t="s">
        <v>8595</v>
      </c>
      <c r="C4992" t="s">
        <v>255</v>
      </c>
      <c r="D4992">
        <v>1.6</v>
      </c>
      <c r="E4992">
        <v>512</v>
      </c>
      <c r="F4992" t="str">
        <f>HYPERLINK("https://www.google.com/maps/search/?api=1&amp;query=24.49316076,44.38408946", "View Map")</f>
        <v>View Map</v>
      </c>
    </row>
    <row r="4993" spans="1:7" x14ac:dyDescent="0.3">
      <c r="A4993" t="s">
        <v>2478</v>
      </c>
      <c r="B4993" t="s">
        <v>8596</v>
      </c>
      <c r="C4993" t="s">
        <v>8</v>
      </c>
      <c r="D4993">
        <v>1.599</v>
      </c>
      <c r="E4993">
        <v>512</v>
      </c>
      <c r="F4993" t="str">
        <f>HYPERLINK("https://www.google.com/maps/search/?api=1&amp;query=24.80974365,46.88475393", "View Map")</f>
        <v>View Map</v>
      </c>
    </row>
    <row r="4994" spans="1:7" x14ac:dyDescent="0.3">
      <c r="A4994" t="s">
        <v>8597</v>
      </c>
      <c r="B4994" t="s">
        <v>8598</v>
      </c>
      <c r="C4994" t="s">
        <v>55</v>
      </c>
      <c r="D4994">
        <v>1.599</v>
      </c>
      <c r="E4994">
        <v>512</v>
      </c>
      <c r="F4994" t="str">
        <f>HYPERLINK("https://www.google.com/maps/search/?api=1&amp;query=24.74458989,46.58083903", "View Map")</f>
        <v>View Map</v>
      </c>
    </row>
    <row r="4995" spans="1:7" x14ac:dyDescent="0.3">
      <c r="A4995" t="s">
        <v>8599</v>
      </c>
      <c r="B4995" t="s">
        <v>8600</v>
      </c>
      <c r="C4995" t="s">
        <v>286</v>
      </c>
      <c r="D4995">
        <v>1.599</v>
      </c>
      <c r="E4995">
        <v>512</v>
      </c>
      <c r="F4995" t="str">
        <f>HYPERLINK("https://www.google.com/maps/search/?api=1&amp;query=25.29597092,45.53238578", "View Map")</f>
        <v>View Map</v>
      </c>
      <c r="G4995" s="2">
        <v>0.62187193791420003</v>
      </c>
    </row>
    <row r="4996" spans="1:7" x14ac:dyDescent="0.3">
      <c r="A4996" t="s">
        <v>1204</v>
      </c>
      <c r="B4996" t="s">
        <v>8601</v>
      </c>
      <c r="C4996" t="s">
        <v>8</v>
      </c>
      <c r="D4996">
        <v>1.5980000000000001</v>
      </c>
      <c r="E4996">
        <v>511</v>
      </c>
      <c r="F4996" t="str">
        <f>HYPERLINK("https://www.google.com/maps/search/?api=1&amp;query=24.72721937,46.68287535", "View Map")</f>
        <v>View Map</v>
      </c>
    </row>
    <row r="4997" spans="1:7" x14ac:dyDescent="0.3">
      <c r="A4997" t="s">
        <v>46</v>
      </c>
      <c r="B4997" t="s">
        <v>8602</v>
      </c>
      <c r="C4997" t="s">
        <v>8</v>
      </c>
      <c r="D4997">
        <v>1.5980000000000001</v>
      </c>
      <c r="E4997">
        <v>511</v>
      </c>
      <c r="F4997" t="str">
        <f>HYPERLINK("https://www.google.com/maps/search/?api=1&amp;query=24.81262518,46.59295891", "View Map")</f>
        <v>View Map</v>
      </c>
    </row>
    <row r="4998" spans="1:7" x14ac:dyDescent="0.3">
      <c r="A4998" t="s">
        <v>4256</v>
      </c>
      <c r="B4998" t="s">
        <v>8603</v>
      </c>
      <c r="C4998" t="s">
        <v>8</v>
      </c>
      <c r="D4998">
        <v>1.5980000000000001</v>
      </c>
      <c r="E4998">
        <v>512</v>
      </c>
      <c r="F4998" t="str">
        <f>HYPERLINK("https://www.google.com/maps/search/?api=1&amp;query=24.7913208,46.81571235", "View Map")</f>
        <v>View Map</v>
      </c>
    </row>
    <row r="4999" spans="1:7" x14ac:dyDescent="0.3">
      <c r="A4999" t="s">
        <v>8604</v>
      </c>
      <c r="B4999" t="s">
        <v>8605</v>
      </c>
      <c r="C4999" t="s">
        <v>30</v>
      </c>
      <c r="D4999">
        <v>1.597</v>
      </c>
      <c r="E4999">
        <v>511</v>
      </c>
      <c r="F4999" t="str">
        <f>HYPERLINK("https://www.google.com/maps/search/?api=1&amp;query=24.16468746,47.35084526", "View Map")</f>
        <v>View Map</v>
      </c>
    </row>
    <row r="5000" spans="1:7" x14ac:dyDescent="0.3">
      <c r="A5000" t="s">
        <v>146</v>
      </c>
      <c r="B5000" t="s">
        <v>8606</v>
      </c>
      <c r="C5000" t="s">
        <v>8</v>
      </c>
      <c r="D5000">
        <v>1.597</v>
      </c>
      <c r="E5000">
        <v>511</v>
      </c>
      <c r="F5000" t="str">
        <f>HYPERLINK("https://www.google.com/maps/search/?api=1&amp;query=24.56178627,46.5237511", "View Map")</f>
        <v>View Map</v>
      </c>
    </row>
    <row r="5001" spans="1:7" x14ac:dyDescent="0.3">
      <c r="A5001" t="s">
        <v>8607</v>
      </c>
      <c r="B5001" t="s">
        <v>8608</v>
      </c>
      <c r="C5001" t="s">
        <v>8</v>
      </c>
      <c r="D5001">
        <v>1.597</v>
      </c>
      <c r="E5001">
        <v>511</v>
      </c>
      <c r="F5001" t="str">
        <f>HYPERLINK("https://www.google.com/maps/search/?api=1&amp;query=24.58184648,46.54618173", "View Map")</f>
        <v>View Map</v>
      </c>
    </row>
    <row r="5002" spans="1:7" x14ac:dyDescent="0.3">
      <c r="A5002" t="s">
        <v>8609</v>
      </c>
      <c r="B5002" t="s">
        <v>8610</v>
      </c>
      <c r="C5002" t="s">
        <v>8</v>
      </c>
      <c r="D5002">
        <v>1.5960000000000001</v>
      </c>
      <c r="E5002">
        <v>511</v>
      </c>
      <c r="F5002" t="str">
        <f>HYPERLINK("https://www.google.com/maps/search/?api=1&amp;query=24.821878,46.88706206", "View Map")</f>
        <v>View Map</v>
      </c>
    </row>
    <row r="5003" spans="1:7" x14ac:dyDescent="0.3">
      <c r="A5003" t="s">
        <v>8611</v>
      </c>
      <c r="B5003" t="s">
        <v>8612</v>
      </c>
      <c r="C5003" t="s">
        <v>255</v>
      </c>
      <c r="D5003">
        <v>1.5960000000000001</v>
      </c>
      <c r="E5003">
        <v>511</v>
      </c>
      <c r="F5003" t="str">
        <f>HYPERLINK("https://www.google.com/maps/search/?api=1&amp;query=24.63170764,43.64359663", "View Map")</f>
        <v>View Map</v>
      </c>
      <c r="G5003" s="2">
        <v>0.79617466515610258</v>
      </c>
    </row>
    <row r="5004" spans="1:7" x14ac:dyDescent="0.3">
      <c r="A5004" t="s">
        <v>8613</v>
      </c>
      <c r="B5004" t="s">
        <v>8614</v>
      </c>
      <c r="C5004" t="s">
        <v>8</v>
      </c>
      <c r="D5004">
        <v>1.5960000000000001</v>
      </c>
      <c r="E5004">
        <v>511</v>
      </c>
      <c r="F5004" t="str">
        <f>HYPERLINK("https://www.google.com/maps/search/?api=1&amp;query=24.60605942,46.61545041", "View Map")</f>
        <v>View Map</v>
      </c>
    </row>
    <row r="5005" spans="1:7" x14ac:dyDescent="0.3">
      <c r="A5005" t="s">
        <v>8615</v>
      </c>
      <c r="B5005" t="s">
        <v>8616</v>
      </c>
      <c r="C5005" t="s">
        <v>8</v>
      </c>
      <c r="D5005">
        <v>1.595</v>
      </c>
      <c r="E5005">
        <v>511</v>
      </c>
      <c r="F5005" t="str">
        <f>HYPERLINK("https://www.google.com/maps/search/?api=1&amp;query=24.67619409,46.7902534", "View Map")</f>
        <v>View Map</v>
      </c>
    </row>
    <row r="5006" spans="1:7" x14ac:dyDescent="0.3">
      <c r="A5006" t="s">
        <v>569</v>
      </c>
      <c r="B5006" t="s">
        <v>8617</v>
      </c>
      <c r="C5006" t="s">
        <v>30</v>
      </c>
      <c r="D5006">
        <v>1.595</v>
      </c>
      <c r="E5006">
        <v>511</v>
      </c>
      <c r="F5006" t="str">
        <f>HYPERLINK("https://www.google.com/maps/search/?api=1&amp;query=24.12679044,47.27874883", "View Map")</f>
        <v>View Map</v>
      </c>
      <c r="G5006" s="2">
        <v>0.78396753777954775</v>
      </c>
    </row>
    <row r="5007" spans="1:7" x14ac:dyDescent="0.3">
      <c r="A5007" t="s">
        <v>8618</v>
      </c>
      <c r="B5007" t="s">
        <v>8619</v>
      </c>
      <c r="C5007" t="s">
        <v>8</v>
      </c>
      <c r="D5007">
        <v>1.595</v>
      </c>
      <c r="E5007">
        <v>510</v>
      </c>
      <c r="F5007" t="str">
        <f>HYPERLINK("https://www.google.com/maps/search/?api=1&amp;query=24.58050568,46.65246495", "View Map")</f>
        <v>View Map</v>
      </c>
    </row>
    <row r="5008" spans="1:7" x14ac:dyDescent="0.3">
      <c r="A5008" t="s">
        <v>146</v>
      </c>
      <c r="B5008" t="s">
        <v>8620</v>
      </c>
      <c r="C5008" t="s">
        <v>8</v>
      </c>
      <c r="D5008">
        <v>1.5940000000000001</v>
      </c>
      <c r="E5008">
        <v>510</v>
      </c>
      <c r="F5008" t="str">
        <f>HYPERLINK("https://www.google.com/maps/search/?api=1&amp;query=24.71878225,46.7552068", "View Map")</f>
        <v>View Map</v>
      </c>
      <c r="G5008" s="2">
        <v>0.76526696136305805</v>
      </c>
    </row>
    <row r="5009" spans="1:7" x14ac:dyDescent="0.3">
      <c r="A5009" t="s">
        <v>8621</v>
      </c>
      <c r="B5009" t="s">
        <v>8622</v>
      </c>
      <c r="C5009" t="s">
        <v>30</v>
      </c>
      <c r="D5009">
        <v>1.5940000000000001</v>
      </c>
      <c r="E5009">
        <v>510</v>
      </c>
      <c r="F5009" t="str">
        <f>HYPERLINK("https://www.google.com/maps/search/?api=1&amp;query=24.19700207,47.29871877", "View Map")</f>
        <v>View Map</v>
      </c>
    </row>
    <row r="5010" spans="1:7" x14ac:dyDescent="0.3">
      <c r="A5010" t="s">
        <v>8623</v>
      </c>
      <c r="B5010" t="s">
        <v>8624</v>
      </c>
      <c r="C5010" t="s">
        <v>286</v>
      </c>
      <c r="D5010">
        <v>1.5940000000000001</v>
      </c>
      <c r="E5010">
        <v>510</v>
      </c>
      <c r="F5010" t="str">
        <f>HYPERLINK("https://www.google.com/maps/search/?api=1&amp;query=25.23881261,45.23816956", "View Map")</f>
        <v>View Map</v>
      </c>
      <c r="G5010" s="2">
        <v>0.44073069821264688</v>
      </c>
    </row>
    <row r="5011" spans="1:7" x14ac:dyDescent="0.3">
      <c r="A5011" t="s">
        <v>8625</v>
      </c>
      <c r="B5011" t="s">
        <v>8626</v>
      </c>
      <c r="C5011" t="s">
        <v>8</v>
      </c>
      <c r="D5011">
        <v>1.5940000000000001</v>
      </c>
      <c r="E5011">
        <v>510</v>
      </c>
      <c r="F5011" t="str">
        <f>HYPERLINK("https://www.google.com/maps/search/?api=1&amp;query=24.72831953,46.76328176", "View Map")</f>
        <v>View Map</v>
      </c>
    </row>
    <row r="5012" spans="1:7" x14ac:dyDescent="0.3">
      <c r="A5012" t="s">
        <v>8627</v>
      </c>
      <c r="B5012" t="s">
        <v>8628</v>
      </c>
      <c r="C5012" t="s">
        <v>30</v>
      </c>
      <c r="D5012">
        <v>1.5940000000000001</v>
      </c>
      <c r="E5012">
        <v>510</v>
      </c>
      <c r="F5012" t="str">
        <f>HYPERLINK("https://www.google.com/maps/search/?api=1&amp;query=24.22438749,47.20591254", "View Map")</f>
        <v>View Map</v>
      </c>
    </row>
    <row r="5013" spans="1:7" x14ac:dyDescent="0.3">
      <c r="A5013" t="s">
        <v>6863</v>
      </c>
      <c r="B5013" t="s">
        <v>8629</v>
      </c>
      <c r="C5013" t="s">
        <v>255</v>
      </c>
      <c r="D5013">
        <v>1.593</v>
      </c>
      <c r="E5013">
        <v>510</v>
      </c>
      <c r="F5013" t="str">
        <f>HYPERLINK("https://www.google.com/maps/search/?api=1&amp;query=24.52566878,44.40377173", "View Map")</f>
        <v>View Map</v>
      </c>
    </row>
    <row r="5014" spans="1:7" x14ac:dyDescent="0.3">
      <c r="A5014" t="s">
        <v>3735</v>
      </c>
      <c r="B5014" t="s">
        <v>8630</v>
      </c>
      <c r="C5014" t="s">
        <v>255</v>
      </c>
      <c r="D5014">
        <v>1.593</v>
      </c>
      <c r="E5014">
        <v>510</v>
      </c>
      <c r="F5014" t="str">
        <f>HYPERLINK("https://www.google.com/maps/search/?api=1&amp;query=25.12097333,44.67006", "View Map")</f>
        <v>View Map</v>
      </c>
      <c r="G5014" s="2">
        <v>0.37539833206150319</v>
      </c>
    </row>
    <row r="5015" spans="1:7" x14ac:dyDescent="0.3">
      <c r="A5015" t="s">
        <v>8631</v>
      </c>
      <c r="B5015" t="s">
        <v>8632</v>
      </c>
      <c r="C5015" t="s">
        <v>8</v>
      </c>
      <c r="D5015">
        <v>1.593</v>
      </c>
      <c r="E5015">
        <v>510</v>
      </c>
      <c r="F5015" t="str">
        <f>HYPERLINK("https://www.google.com/maps/search/?api=1&amp;query=24.67011137,46.79344317", "View Map")</f>
        <v>View Map</v>
      </c>
      <c r="G5015" s="2">
        <v>0.60989105461053006</v>
      </c>
    </row>
    <row r="5016" spans="1:7" x14ac:dyDescent="0.3">
      <c r="A5016" t="s">
        <v>8633</v>
      </c>
      <c r="B5016" t="s">
        <v>8634</v>
      </c>
      <c r="C5016" t="s">
        <v>291</v>
      </c>
      <c r="D5016">
        <v>1.593</v>
      </c>
      <c r="E5016">
        <v>510</v>
      </c>
      <c r="F5016" t="str">
        <f>HYPERLINK("https://www.google.com/maps/search/?api=1&amp;query=24.41647821,45.88275526", "View Map")</f>
        <v>View Map</v>
      </c>
    </row>
    <row r="5017" spans="1:7" x14ac:dyDescent="0.3">
      <c r="A5017" t="s">
        <v>8635</v>
      </c>
      <c r="B5017" t="s">
        <v>8636</v>
      </c>
      <c r="C5017" t="s">
        <v>214</v>
      </c>
      <c r="D5017">
        <v>1.5920000000000001</v>
      </c>
      <c r="E5017">
        <v>509</v>
      </c>
      <c r="F5017" t="str">
        <f>HYPERLINK("https://www.google.com/maps/search/?api=1&amp;query=25.72059994,45.85915695", "View Map")</f>
        <v>View Map</v>
      </c>
    </row>
    <row r="5018" spans="1:7" x14ac:dyDescent="0.3">
      <c r="A5018" t="s">
        <v>8637</v>
      </c>
      <c r="B5018" t="s">
        <v>8638</v>
      </c>
      <c r="C5018" t="s">
        <v>8</v>
      </c>
      <c r="D5018">
        <v>1.5920000000000001</v>
      </c>
      <c r="E5018">
        <v>509</v>
      </c>
      <c r="F5018" t="str">
        <f>HYPERLINK("https://www.google.com/maps/search/?api=1&amp;query=24.63111757,46.69551872", "View Map")</f>
        <v>View Map</v>
      </c>
    </row>
    <row r="5019" spans="1:7" x14ac:dyDescent="0.3">
      <c r="A5019" t="s">
        <v>8639</v>
      </c>
      <c r="B5019" t="s">
        <v>8640</v>
      </c>
      <c r="C5019" t="s">
        <v>21</v>
      </c>
      <c r="D5019">
        <v>1.5920000000000001</v>
      </c>
      <c r="E5019">
        <v>509</v>
      </c>
      <c r="F5019" t="str">
        <f>HYPERLINK("https://www.google.com/maps/search/?api=1&amp;query=26.31964089,44.8138683", "View Map")</f>
        <v>View Map</v>
      </c>
      <c r="G5019" s="2">
        <v>0.42432576072788858</v>
      </c>
    </row>
    <row r="5020" spans="1:7" x14ac:dyDescent="0.3">
      <c r="A5020" t="s">
        <v>8641</v>
      </c>
      <c r="B5020" t="s">
        <v>8642</v>
      </c>
      <c r="C5020" t="s">
        <v>8</v>
      </c>
      <c r="D5020">
        <v>1.5920000000000001</v>
      </c>
      <c r="E5020">
        <v>510</v>
      </c>
      <c r="F5020" t="str">
        <f>HYPERLINK("https://www.google.com/maps/search/?api=1&amp;query=24.56270043,46.78574292", "View Map")</f>
        <v>View Map</v>
      </c>
    </row>
    <row r="5021" spans="1:7" x14ac:dyDescent="0.3">
      <c r="A5021" t="s">
        <v>8643</v>
      </c>
      <c r="B5021" t="s">
        <v>8644</v>
      </c>
      <c r="C5021" t="s">
        <v>8</v>
      </c>
      <c r="D5021">
        <v>1.5920000000000001</v>
      </c>
      <c r="E5021">
        <v>510</v>
      </c>
      <c r="F5021" t="str">
        <f>HYPERLINK("https://www.google.com/maps/search/?api=1&amp;query=24.73880636,46.82314675", "View Map")</f>
        <v>View Map</v>
      </c>
    </row>
    <row r="5022" spans="1:7" x14ac:dyDescent="0.3">
      <c r="A5022" t="s">
        <v>8645</v>
      </c>
      <c r="B5022" t="s">
        <v>8646</v>
      </c>
      <c r="C5022" t="s">
        <v>8</v>
      </c>
      <c r="D5022">
        <v>1.5920000000000001</v>
      </c>
      <c r="E5022">
        <v>509</v>
      </c>
      <c r="F5022" t="str">
        <f>HYPERLINK("https://www.google.com/maps/search/?api=1&amp;query=24.69724133,46.85432507", "View Map")</f>
        <v>View Map</v>
      </c>
    </row>
    <row r="5023" spans="1:7" x14ac:dyDescent="0.3">
      <c r="A5023" t="s">
        <v>8647</v>
      </c>
      <c r="B5023" t="s">
        <v>8648</v>
      </c>
      <c r="C5023" t="s">
        <v>30</v>
      </c>
      <c r="D5023">
        <v>1.591</v>
      </c>
      <c r="E5023">
        <v>509</v>
      </c>
      <c r="F5023" t="str">
        <f>HYPERLINK("https://www.google.com/maps/search/?api=1&amp;query=24.15109138,47.36192047", "View Map")</f>
        <v>View Map</v>
      </c>
      <c r="G5023" s="2">
        <v>0.41705794345400871</v>
      </c>
    </row>
    <row r="5024" spans="1:7" x14ac:dyDescent="0.3">
      <c r="A5024" t="s">
        <v>8649</v>
      </c>
      <c r="B5024" t="s">
        <v>8650</v>
      </c>
      <c r="C5024" t="s">
        <v>393</v>
      </c>
      <c r="D5024">
        <v>1.59</v>
      </c>
      <c r="E5024">
        <v>509</v>
      </c>
      <c r="F5024" t="str">
        <f>HYPERLINK("https://www.google.com/maps/search/?api=1&amp;query=23.56960813,45.56637803", "View Map")</f>
        <v>View Map</v>
      </c>
      <c r="G5024" s="2">
        <v>0.43660941745558879</v>
      </c>
    </row>
    <row r="5025" spans="1:7" x14ac:dyDescent="0.3">
      <c r="A5025" t="s">
        <v>8651</v>
      </c>
      <c r="B5025" t="s">
        <v>8652</v>
      </c>
      <c r="C5025" t="s">
        <v>296</v>
      </c>
      <c r="D5025">
        <v>1.59</v>
      </c>
      <c r="E5025">
        <v>509</v>
      </c>
      <c r="F5025" t="str">
        <f>HYPERLINK("https://www.google.com/maps/search/?api=1&amp;query=24.46268905,46.26676751", "View Map")</f>
        <v>View Map</v>
      </c>
    </row>
    <row r="5026" spans="1:7" x14ac:dyDescent="0.3">
      <c r="A5026" t="s">
        <v>8653</v>
      </c>
      <c r="B5026" t="s">
        <v>8654</v>
      </c>
      <c r="C5026" t="s">
        <v>699</v>
      </c>
      <c r="D5026">
        <v>1.59</v>
      </c>
      <c r="E5026">
        <v>509</v>
      </c>
      <c r="F5026" t="str">
        <f>HYPERLINK("https://www.google.com/maps/search/?api=1&amp;query=24.94423742,45.71328852", "View Map")</f>
        <v>View Map</v>
      </c>
      <c r="G5026" s="2">
        <v>0.5512660776902123</v>
      </c>
    </row>
    <row r="5027" spans="1:7" x14ac:dyDescent="0.3">
      <c r="A5027" t="s">
        <v>46</v>
      </c>
      <c r="B5027" t="s">
        <v>8655</v>
      </c>
      <c r="C5027" t="s">
        <v>8</v>
      </c>
      <c r="D5027">
        <v>1.59</v>
      </c>
      <c r="E5027">
        <v>509</v>
      </c>
      <c r="F5027" t="str">
        <f>HYPERLINK("https://www.google.com/maps/search/?api=1&amp;query=24.85543332,46.80627792", "View Map")</f>
        <v>View Map</v>
      </c>
    </row>
    <row r="5028" spans="1:7" x14ac:dyDescent="0.3">
      <c r="A5028" t="s">
        <v>8656</v>
      </c>
      <c r="B5028" t="s">
        <v>8657</v>
      </c>
      <c r="C5028" t="s">
        <v>738</v>
      </c>
      <c r="D5028">
        <v>1.59</v>
      </c>
      <c r="E5028">
        <v>509</v>
      </c>
      <c r="F5028" t="str">
        <f>HYPERLINK("https://www.google.com/maps/search/?api=1&amp;query=25.06387779,46.37814091", "View Map")</f>
        <v>View Map</v>
      </c>
      <c r="G5028" s="2">
        <v>0.61940987735459518</v>
      </c>
    </row>
    <row r="5029" spans="1:7" x14ac:dyDescent="0.3">
      <c r="A5029" t="s">
        <v>8658</v>
      </c>
      <c r="B5029" t="s">
        <v>8659</v>
      </c>
      <c r="C5029" t="s">
        <v>21</v>
      </c>
      <c r="D5029">
        <v>1.589</v>
      </c>
      <c r="E5029">
        <v>509</v>
      </c>
      <c r="F5029" t="str">
        <f>HYPERLINK("https://www.google.com/maps/search/?api=1&amp;query=26.23666849,44.67030854", "View Map")</f>
        <v>View Map</v>
      </c>
      <c r="G5029" s="2">
        <v>0.59716061178959667</v>
      </c>
    </row>
    <row r="5030" spans="1:7" x14ac:dyDescent="0.3">
      <c r="A5030" t="s">
        <v>3735</v>
      </c>
      <c r="B5030" t="s">
        <v>8660</v>
      </c>
      <c r="C5030" t="s">
        <v>255</v>
      </c>
      <c r="D5030">
        <v>1.589</v>
      </c>
      <c r="E5030">
        <v>509</v>
      </c>
      <c r="F5030" t="str">
        <f>HYPERLINK("https://www.google.com/maps/search/?api=1&amp;query=25.1569913,44.60630394", "View Map")</f>
        <v>View Map</v>
      </c>
    </row>
    <row r="5031" spans="1:7" x14ac:dyDescent="0.3">
      <c r="A5031" t="s">
        <v>8661</v>
      </c>
      <c r="B5031" t="s">
        <v>8662</v>
      </c>
      <c r="C5031" t="s">
        <v>8</v>
      </c>
      <c r="D5031">
        <v>1.589</v>
      </c>
      <c r="E5031">
        <v>508</v>
      </c>
      <c r="F5031" t="str">
        <f>HYPERLINK("https://www.google.com/maps/search/?api=1&amp;query=24.55524932,46.69621075", "View Map")</f>
        <v>View Map</v>
      </c>
    </row>
    <row r="5032" spans="1:7" x14ac:dyDescent="0.3">
      <c r="A5032" t="s">
        <v>8663</v>
      </c>
      <c r="B5032" t="s">
        <v>8664</v>
      </c>
      <c r="C5032" t="s">
        <v>8</v>
      </c>
      <c r="D5032">
        <v>1.5880000000000001</v>
      </c>
      <c r="E5032">
        <v>508</v>
      </c>
      <c r="F5032" t="str">
        <f>HYPERLINK("https://www.google.com/maps/search/?api=1&amp;query=24.68129921,46.67408988", "View Map")</f>
        <v>View Map</v>
      </c>
    </row>
    <row r="5033" spans="1:7" x14ac:dyDescent="0.3">
      <c r="A5033" t="s">
        <v>8665</v>
      </c>
      <c r="B5033" t="s">
        <v>8666</v>
      </c>
      <c r="C5033" t="s">
        <v>883</v>
      </c>
      <c r="D5033">
        <v>1.587</v>
      </c>
      <c r="E5033">
        <v>508</v>
      </c>
      <c r="F5033" t="str">
        <f>HYPERLINK("https://www.google.com/maps/search/?api=1&amp;query=25.40939403,47.21216753", "View Map")</f>
        <v>View Map</v>
      </c>
    </row>
    <row r="5034" spans="1:7" x14ac:dyDescent="0.3">
      <c r="A5034" t="s">
        <v>8667</v>
      </c>
      <c r="B5034" t="s">
        <v>8668</v>
      </c>
      <c r="C5034" t="s">
        <v>16</v>
      </c>
      <c r="D5034">
        <v>1.587</v>
      </c>
      <c r="E5034">
        <v>508</v>
      </c>
      <c r="F5034" t="str">
        <f>HYPERLINK("https://www.google.com/maps/search/?api=1&amp;query=24.14780953,43.22879394", "View Map")</f>
        <v>View Map</v>
      </c>
      <c r="G5034" s="2">
        <v>0.68062674966468339</v>
      </c>
    </row>
    <row r="5035" spans="1:7" x14ac:dyDescent="0.3">
      <c r="A5035" t="s">
        <v>8669</v>
      </c>
      <c r="B5035" t="s">
        <v>8670</v>
      </c>
      <c r="C5035" t="s">
        <v>8</v>
      </c>
      <c r="D5035">
        <v>1.5860000000000001</v>
      </c>
      <c r="E5035">
        <v>507</v>
      </c>
      <c r="F5035" t="str">
        <f>HYPERLINK("https://www.google.com/maps/search/?api=1&amp;query=24.74117288,46.67560649", "View Map")</f>
        <v>View Map</v>
      </c>
    </row>
    <row r="5036" spans="1:7" x14ac:dyDescent="0.3">
      <c r="A5036" t="s">
        <v>1017</v>
      </c>
      <c r="B5036" t="s">
        <v>8671</v>
      </c>
      <c r="C5036" t="s">
        <v>8</v>
      </c>
      <c r="D5036">
        <v>1.5860000000000001</v>
      </c>
      <c r="E5036">
        <v>508</v>
      </c>
      <c r="F5036" t="str">
        <f>HYPERLINK("https://www.google.com/maps/search/?api=1&amp;query=24.56907615,46.65770003", "View Map")</f>
        <v>View Map</v>
      </c>
    </row>
    <row r="5037" spans="1:7" x14ac:dyDescent="0.3">
      <c r="A5037" t="s">
        <v>46</v>
      </c>
      <c r="B5037" t="s">
        <v>8672</v>
      </c>
      <c r="C5037" t="s">
        <v>8</v>
      </c>
      <c r="D5037">
        <v>1.5860000000000001</v>
      </c>
      <c r="E5037">
        <v>508</v>
      </c>
      <c r="F5037" t="str">
        <f>HYPERLINK("https://www.google.com/maps/search/?api=1&amp;query=24.7919,46.6094", "View Map")</f>
        <v>View Map</v>
      </c>
    </row>
    <row r="5038" spans="1:7" x14ac:dyDescent="0.3">
      <c r="A5038" t="s">
        <v>8673</v>
      </c>
      <c r="B5038" t="s">
        <v>8674</v>
      </c>
      <c r="C5038" t="s">
        <v>214</v>
      </c>
      <c r="D5038">
        <v>1.585</v>
      </c>
      <c r="E5038">
        <v>507</v>
      </c>
      <c r="F5038" t="str">
        <f>HYPERLINK("https://www.google.com/maps/search/?api=1&amp;query=25.61848586,45.56035034", "View Map")</f>
        <v>View Map</v>
      </c>
      <c r="G5038" s="2">
        <v>0.78721777961365091</v>
      </c>
    </row>
    <row r="5039" spans="1:7" x14ac:dyDescent="0.3">
      <c r="A5039" t="s">
        <v>8675</v>
      </c>
      <c r="B5039" t="s">
        <v>8676</v>
      </c>
      <c r="C5039" t="s">
        <v>255</v>
      </c>
      <c r="D5039">
        <v>1.585</v>
      </c>
      <c r="E5039">
        <v>507</v>
      </c>
      <c r="F5039" t="str">
        <f>HYPERLINK("https://www.google.com/maps/search/?api=1&amp;query=24.67293857,43.5509934", "View Map")</f>
        <v>View Map</v>
      </c>
      <c r="G5039" s="2">
        <v>0.71689070080952821</v>
      </c>
    </row>
    <row r="5040" spans="1:7" x14ac:dyDescent="0.3">
      <c r="A5040" t="s">
        <v>8677</v>
      </c>
      <c r="B5040" t="s">
        <v>8678</v>
      </c>
      <c r="C5040" t="s">
        <v>8</v>
      </c>
      <c r="D5040">
        <v>1.585</v>
      </c>
      <c r="E5040">
        <v>507</v>
      </c>
      <c r="F5040" t="str">
        <f>HYPERLINK("https://www.google.com/maps/search/?api=1&amp;query=24.6802488,46.58285119", "View Map")</f>
        <v>View Map</v>
      </c>
    </row>
    <row r="5041" spans="1:7" x14ac:dyDescent="0.3">
      <c r="A5041" t="s">
        <v>8679</v>
      </c>
      <c r="B5041" t="s">
        <v>8680</v>
      </c>
      <c r="C5041" t="s">
        <v>8</v>
      </c>
      <c r="D5041">
        <v>1.5840000000000001</v>
      </c>
      <c r="E5041">
        <v>507</v>
      </c>
      <c r="F5041" t="str">
        <f>HYPERLINK("https://www.google.com/maps/search/?api=1&amp;query=24.83245289,46.66595161", "View Map")</f>
        <v>View Map</v>
      </c>
    </row>
    <row r="5042" spans="1:7" x14ac:dyDescent="0.3">
      <c r="A5042" t="s">
        <v>8681</v>
      </c>
      <c r="B5042" t="s">
        <v>8682</v>
      </c>
      <c r="C5042" t="s">
        <v>16</v>
      </c>
      <c r="D5042">
        <v>1.583</v>
      </c>
      <c r="E5042">
        <v>507</v>
      </c>
      <c r="F5042" t="str">
        <f>HYPERLINK("https://www.google.com/maps/search/?api=1&amp;query=23.87838412,42.91211277", "View Map")</f>
        <v>View Map</v>
      </c>
      <c r="G5042" s="2">
        <v>0.59459072637161836</v>
      </c>
    </row>
    <row r="5043" spans="1:7" x14ac:dyDescent="0.3">
      <c r="A5043" t="s">
        <v>8683</v>
      </c>
      <c r="B5043" t="s">
        <v>8684</v>
      </c>
      <c r="C5043" t="s">
        <v>8</v>
      </c>
      <c r="D5043">
        <v>1.583</v>
      </c>
      <c r="E5043">
        <v>507</v>
      </c>
      <c r="F5043" t="str">
        <f>HYPERLINK("https://www.google.com/maps/search/?api=1&amp;query=24.71824532,46.81024832", "View Map")</f>
        <v>View Map</v>
      </c>
    </row>
    <row r="5044" spans="1:7" x14ac:dyDescent="0.3">
      <c r="A5044" t="s">
        <v>8685</v>
      </c>
      <c r="B5044" t="s">
        <v>8686</v>
      </c>
      <c r="C5044" t="s">
        <v>270</v>
      </c>
      <c r="D5044">
        <v>1.583</v>
      </c>
      <c r="E5044">
        <v>507</v>
      </c>
      <c r="F5044" t="str">
        <f>HYPERLINK("https://www.google.com/maps/search/?api=1&amp;query=23.97470413,47.13241107", "View Map")</f>
        <v>View Map</v>
      </c>
      <c r="G5044" s="2">
        <v>0.472339192560086</v>
      </c>
    </row>
    <row r="5045" spans="1:7" x14ac:dyDescent="0.3">
      <c r="A5045" t="s">
        <v>717</v>
      </c>
      <c r="B5045" t="s">
        <v>8687</v>
      </c>
      <c r="C5045" t="s">
        <v>255</v>
      </c>
      <c r="D5045">
        <v>1.583</v>
      </c>
      <c r="E5045">
        <v>507</v>
      </c>
      <c r="F5045" t="str">
        <f>HYPERLINK("https://www.google.com/maps/search/?api=1&amp;query=24.54875576,44.42736767", "View Map")</f>
        <v>View Map</v>
      </c>
      <c r="G5045" s="2">
        <v>0.3635942712198536</v>
      </c>
    </row>
    <row r="5046" spans="1:7" x14ac:dyDescent="0.3">
      <c r="A5046" t="s">
        <v>8688</v>
      </c>
      <c r="B5046" t="s">
        <v>8689</v>
      </c>
      <c r="C5046" t="s">
        <v>241</v>
      </c>
      <c r="D5046">
        <v>1.5820000000000001</v>
      </c>
      <c r="E5046">
        <v>506</v>
      </c>
      <c r="F5046" t="str">
        <f>HYPERLINK("https://www.google.com/maps/search/?api=1&amp;query=20.46143413,44.85935001", "View Map")</f>
        <v>View Map</v>
      </c>
    </row>
    <row r="5047" spans="1:7" x14ac:dyDescent="0.3">
      <c r="A5047" t="s">
        <v>8690</v>
      </c>
      <c r="B5047" t="s">
        <v>8691</v>
      </c>
      <c r="C5047" t="s">
        <v>30</v>
      </c>
      <c r="D5047">
        <v>1.5820000000000001</v>
      </c>
      <c r="E5047">
        <v>506</v>
      </c>
      <c r="F5047" t="str">
        <f>HYPERLINK("https://www.google.com/maps/search/?api=1&amp;query=24.14213274,47.36634825", "View Map")</f>
        <v>View Map</v>
      </c>
      <c r="G5047" s="2">
        <v>0.54244308547936093</v>
      </c>
    </row>
    <row r="5048" spans="1:7" x14ac:dyDescent="0.3">
      <c r="A5048" t="s">
        <v>8692</v>
      </c>
      <c r="B5048" t="s">
        <v>8693</v>
      </c>
      <c r="C5048" t="s">
        <v>8</v>
      </c>
      <c r="D5048">
        <v>1.5820000000000001</v>
      </c>
      <c r="E5048">
        <v>506</v>
      </c>
      <c r="F5048" t="str">
        <f>HYPERLINK("https://www.google.com/maps/search/?api=1&amp;query=24.77679296,46.76421406", "View Map")</f>
        <v>View Map</v>
      </c>
    </row>
    <row r="5049" spans="1:7" x14ac:dyDescent="0.3">
      <c r="A5049" t="s">
        <v>8694</v>
      </c>
      <c r="B5049" t="s">
        <v>8695</v>
      </c>
      <c r="C5049" t="s">
        <v>214</v>
      </c>
      <c r="D5049">
        <v>1.5820000000000001</v>
      </c>
      <c r="E5049">
        <v>506</v>
      </c>
      <c r="F5049" t="str">
        <f>HYPERLINK("https://www.google.com/maps/search/?api=1&amp;query=25.70634051,45.8801099", "View Map")</f>
        <v>View Map</v>
      </c>
      <c r="G5049" s="2">
        <v>0.57557497679630054</v>
      </c>
    </row>
    <row r="5050" spans="1:7" x14ac:dyDescent="0.3">
      <c r="A5050" t="s">
        <v>2485</v>
      </c>
      <c r="B5050" t="s">
        <v>8696</v>
      </c>
      <c r="C5050" t="s">
        <v>255</v>
      </c>
      <c r="D5050">
        <v>1.581</v>
      </c>
      <c r="E5050">
        <v>506</v>
      </c>
      <c r="F5050" t="str">
        <f>HYPERLINK("https://www.google.com/maps/search/?api=1&amp;query=24.5826705,43.54882333", "View Map")</f>
        <v>View Map</v>
      </c>
      <c r="G5050" s="2">
        <v>0.87185977686089933</v>
      </c>
    </row>
    <row r="5051" spans="1:7" x14ac:dyDescent="0.3">
      <c r="A5051" t="s">
        <v>150</v>
      </c>
      <c r="B5051" t="s">
        <v>8697</v>
      </c>
      <c r="C5051" t="s">
        <v>8</v>
      </c>
      <c r="D5051">
        <v>1.581</v>
      </c>
      <c r="E5051">
        <v>506</v>
      </c>
      <c r="F5051" t="str">
        <f>HYPERLINK("https://www.google.com/maps/search/?api=1&amp;query=24.83698236,46.77368173", "View Map")</f>
        <v>View Map</v>
      </c>
    </row>
    <row r="5052" spans="1:7" x14ac:dyDescent="0.3">
      <c r="A5052" t="s">
        <v>6438</v>
      </c>
      <c r="B5052" t="s">
        <v>8698</v>
      </c>
      <c r="C5052" t="s">
        <v>8</v>
      </c>
      <c r="D5052">
        <v>1.581</v>
      </c>
      <c r="E5052">
        <v>506</v>
      </c>
      <c r="F5052" t="str">
        <f>HYPERLINK("https://www.google.com/maps/search/?api=1&amp;query=24.505,46.6364", "View Map")</f>
        <v>View Map</v>
      </c>
    </row>
    <row r="5053" spans="1:7" x14ac:dyDescent="0.3">
      <c r="A5053" t="s">
        <v>8699</v>
      </c>
      <c r="B5053" t="s">
        <v>8700</v>
      </c>
      <c r="C5053" t="s">
        <v>8</v>
      </c>
      <c r="D5053">
        <v>1.58</v>
      </c>
      <c r="E5053">
        <v>506</v>
      </c>
      <c r="F5053" t="str">
        <f>HYPERLINK("https://www.google.com/maps/search/?api=1&amp;query=24.63805728,46.74544209", "View Map")</f>
        <v>View Map</v>
      </c>
    </row>
    <row r="5054" spans="1:7" x14ac:dyDescent="0.3">
      <c r="A5054" t="s">
        <v>8701</v>
      </c>
      <c r="B5054" t="s">
        <v>8702</v>
      </c>
      <c r="C5054" t="s">
        <v>255</v>
      </c>
      <c r="D5054">
        <v>1.58</v>
      </c>
      <c r="E5054">
        <v>506</v>
      </c>
      <c r="F5054" t="str">
        <f>HYPERLINK("https://www.google.com/maps/search/?api=1&amp;query=24.53670313,44.4094483", "View Map")</f>
        <v>View Map</v>
      </c>
      <c r="G5054" s="2">
        <v>0.44571878890407379</v>
      </c>
    </row>
    <row r="5055" spans="1:7" x14ac:dyDescent="0.3">
      <c r="A5055" t="s">
        <v>8703</v>
      </c>
      <c r="B5055" t="s">
        <v>8704</v>
      </c>
      <c r="C5055" t="s">
        <v>738</v>
      </c>
      <c r="D5055">
        <v>1.58</v>
      </c>
      <c r="E5055">
        <v>505</v>
      </c>
      <c r="F5055" t="str">
        <f>HYPERLINK("https://www.google.com/maps/search/?api=1&amp;query=25.13702655,46.16158365", "View Map")</f>
        <v>View Map</v>
      </c>
      <c r="G5055" s="2">
        <v>0.65586348333081868</v>
      </c>
    </row>
    <row r="5056" spans="1:7" x14ac:dyDescent="0.3">
      <c r="A5056" t="s">
        <v>146</v>
      </c>
      <c r="B5056" t="s">
        <v>8705</v>
      </c>
      <c r="C5056" t="s">
        <v>8</v>
      </c>
      <c r="D5056">
        <v>1.58</v>
      </c>
      <c r="E5056">
        <v>506</v>
      </c>
      <c r="F5056" t="str">
        <f>HYPERLINK("https://www.google.com/maps/search/?api=1&amp;query=24.56690937,46.54187861", "View Map")</f>
        <v>View Map</v>
      </c>
    </row>
    <row r="5057" spans="1:7" x14ac:dyDescent="0.3">
      <c r="A5057" t="s">
        <v>7947</v>
      </c>
      <c r="B5057" t="s">
        <v>8706</v>
      </c>
      <c r="C5057" t="s">
        <v>8</v>
      </c>
      <c r="D5057">
        <v>1.579</v>
      </c>
      <c r="E5057">
        <v>505</v>
      </c>
      <c r="F5057" t="str">
        <f>HYPERLINK("https://www.google.com/maps/search/?api=1&amp;query=24.65881153,46.74571539", "View Map")</f>
        <v>View Map</v>
      </c>
    </row>
    <row r="5058" spans="1:7" x14ac:dyDescent="0.3">
      <c r="A5058" t="s">
        <v>459</v>
      </c>
      <c r="B5058" t="s">
        <v>8707</v>
      </c>
      <c r="C5058" t="s">
        <v>286</v>
      </c>
      <c r="D5058">
        <v>1.579</v>
      </c>
      <c r="E5058">
        <v>505</v>
      </c>
      <c r="F5058" t="str">
        <f>HYPERLINK("https://www.google.com/maps/search/?api=1&amp;query=25.21936648,45.26472376", "View Map")</f>
        <v>View Map</v>
      </c>
      <c r="G5058" s="2">
        <v>0.40053914185569389</v>
      </c>
    </row>
    <row r="5059" spans="1:7" x14ac:dyDescent="0.3">
      <c r="A5059" t="s">
        <v>8708</v>
      </c>
      <c r="B5059" t="s">
        <v>8709</v>
      </c>
      <c r="C5059" t="s">
        <v>296</v>
      </c>
      <c r="D5059">
        <v>1.5780000000000001</v>
      </c>
      <c r="E5059">
        <v>505</v>
      </c>
      <c r="F5059" t="str">
        <f>HYPERLINK("https://www.google.com/maps/search/?api=1&amp;query=24.16795866,46.43924405", "View Map")</f>
        <v>View Map</v>
      </c>
      <c r="G5059" s="2">
        <v>0.63161053505666553</v>
      </c>
    </row>
    <row r="5060" spans="1:7" x14ac:dyDescent="0.3">
      <c r="A5060" t="s">
        <v>150</v>
      </c>
      <c r="B5060" t="s">
        <v>8710</v>
      </c>
      <c r="C5060" t="s">
        <v>8</v>
      </c>
      <c r="D5060">
        <v>1.5780000000000001</v>
      </c>
      <c r="E5060">
        <v>505</v>
      </c>
      <c r="F5060" t="str">
        <f>HYPERLINK("https://www.google.com/maps/search/?api=1&amp;query=24.83512749,46.88101455", "View Map")</f>
        <v>View Map</v>
      </c>
    </row>
    <row r="5061" spans="1:7" x14ac:dyDescent="0.3">
      <c r="A5061" t="s">
        <v>8711</v>
      </c>
      <c r="B5061" t="s">
        <v>8712</v>
      </c>
      <c r="C5061" t="s">
        <v>8</v>
      </c>
      <c r="D5061">
        <v>1.5780000000000001</v>
      </c>
      <c r="E5061">
        <v>505</v>
      </c>
      <c r="F5061" t="str">
        <f>HYPERLINK("https://www.google.com/maps/search/?api=1&amp;query=24.64150331,46.75531957", "View Map")</f>
        <v>View Map</v>
      </c>
    </row>
    <row r="5062" spans="1:7" x14ac:dyDescent="0.3">
      <c r="A5062" t="s">
        <v>678</v>
      </c>
      <c r="B5062" t="s">
        <v>8713</v>
      </c>
      <c r="C5062" t="s">
        <v>21</v>
      </c>
      <c r="D5062">
        <v>1.577</v>
      </c>
      <c r="E5062">
        <v>505</v>
      </c>
      <c r="F5062" t="str">
        <f>HYPERLINK("https://www.google.com/maps/search/?api=1&amp;query=26.33586435,44.81399407", "View Map")</f>
        <v>View Map</v>
      </c>
      <c r="G5062" s="2">
        <v>0.34043567585096851</v>
      </c>
    </row>
    <row r="5063" spans="1:7" x14ac:dyDescent="0.3">
      <c r="A5063" t="s">
        <v>8714</v>
      </c>
      <c r="B5063" t="s">
        <v>8715</v>
      </c>
      <c r="C5063" t="s">
        <v>30</v>
      </c>
      <c r="D5063">
        <v>1.577</v>
      </c>
      <c r="E5063">
        <v>505</v>
      </c>
      <c r="F5063" t="str">
        <f>HYPERLINK("https://www.google.com/maps/search/?api=1&amp;query=24.16323742,47.32951724", "View Map")</f>
        <v>View Map</v>
      </c>
    </row>
    <row r="5064" spans="1:7" x14ac:dyDescent="0.3">
      <c r="A5064" t="s">
        <v>8716</v>
      </c>
      <c r="B5064" t="s">
        <v>8717</v>
      </c>
      <c r="C5064" t="s">
        <v>8</v>
      </c>
      <c r="D5064">
        <v>1.577</v>
      </c>
      <c r="E5064">
        <v>505</v>
      </c>
      <c r="F5064" t="str">
        <f>HYPERLINK("https://www.google.com/maps/search/?api=1&amp;query=24.6092,46.7261", "View Map")</f>
        <v>View Map</v>
      </c>
    </row>
    <row r="5065" spans="1:7" x14ac:dyDescent="0.3">
      <c r="A5065" t="s">
        <v>8718</v>
      </c>
      <c r="B5065" t="s">
        <v>8719</v>
      </c>
      <c r="C5065" t="s">
        <v>214</v>
      </c>
      <c r="D5065">
        <v>1.577</v>
      </c>
      <c r="E5065">
        <v>505</v>
      </c>
      <c r="F5065" t="str">
        <f>HYPERLINK("https://www.google.com/maps/search/?api=1&amp;query=25.89762519,45.34557389", "View Map")</f>
        <v>View Map</v>
      </c>
      <c r="G5065" s="2">
        <v>0.33617032696963028</v>
      </c>
    </row>
    <row r="5066" spans="1:7" x14ac:dyDescent="0.3">
      <c r="A5066" t="s">
        <v>2306</v>
      </c>
      <c r="B5066" t="s">
        <v>8720</v>
      </c>
      <c r="C5066" t="s">
        <v>8</v>
      </c>
      <c r="D5066">
        <v>1.5760000000000001</v>
      </c>
      <c r="E5066">
        <v>504</v>
      </c>
      <c r="F5066" t="str">
        <f>HYPERLINK("https://www.google.com/maps/search/?api=1&amp;query=24.69058651,46.79779367", "View Map")</f>
        <v>View Map</v>
      </c>
    </row>
    <row r="5067" spans="1:7" x14ac:dyDescent="0.3">
      <c r="A5067" t="s">
        <v>8721</v>
      </c>
      <c r="B5067" t="s">
        <v>8722</v>
      </c>
      <c r="C5067" t="s">
        <v>255</v>
      </c>
      <c r="D5067">
        <v>1.5760000000000001</v>
      </c>
      <c r="E5067">
        <v>504</v>
      </c>
      <c r="F5067" t="str">
        <f>HYPERLINK("https://www.google.com/maps/search/?api=1&amp;query=25.10328843,44.68050291", "View Map")</f>
        <v>View Map</v>
      </c>
      <c r="G5067" s="2">
        <v>0.42205667475741482</v>
      </c>
    </row>
    <row r="5068" spans="1:7" x14ac:dyDescent="0.3">
      <c r="A5068" t="s">
        <v>8723</v>
      </c>
      <c r="B5068" t="s">
        <v>8724</v>
      </c>
      <c r="C5068" t="s">
        <v>8</v>
      </c>
      <c r="D5068">
        <v>1.5760000000000001</v>
      </c>
      <c r="E5068">
        <v>504</v>
      </c>
      <c r="F5068" t="str">
        <f>HYPERLINK("https://www.google.com/maps/search/?api=1&amp;query=24.7587323,46.65901776", "View Map")</f>
        <v>View Map</v>
      </c>
    </row>
    <row r="5069" spans="1:7" x14ac:dyDescent="0.3">
      <c r="A5069" t="s">
        <v>146</v>
      </c>
      <c r="B5069" t="s">
        <v>8725</v>
      </c>
      <c r="C5069" t="s">
        <v>8</v>
      </c>
      <c r="D5069">
        <v>1.575</v>
      </c>
      <c r="E5069">
        <v>504</v>
      </c>
      <c r="F5069" t="str">
        <f>HYPERLINK("https://www.google.com/maps/search/?api=1&amp;query=24.5667,46.5528", "View Map")</f>
        <v>View Map</v>
      </c>
      <c r="G5069" s="2">
        <v>0.37345832712021942</v>
      </c>
    </row>
    <row r="5070" spans="1:7" x14ac:dyDescent="0.3">
      <c r="A5070" t="s">
        <v>28</v>
      </c>
      <c r="B5070" t="s">
        <v>8726</v>
      </c>
      <c r="C5070" t="s">
        <v>30</v>
      </c>
      <c r="D5070">
        <v>1.575</v>
      </c>
      <c r="E5070">
        <v>504</v>
      </c>
      <c r="F5070" t="str">
        <f>HYPERLINK("https://www.google.com/maps/search/?api=1&amp;query=24.09442,47.27492", "View Map")</f>
        <v>View Map</v>
      </c>
    </row>
    <row r="5071" spans="1:7" x14ac:dyDescent="0.3">
      <c r="A5071" t="s">
        <v>8727</v>
      </c>
      <c r="B5071" t="s">
        <v>8728</v>
      </c>
      <c r="C5071" t="s">
        <v>8</v>
      </c>
      <c r="D5071">
        <v>1.5740000000000001</v>
      </c>
      <c r="E5071">
        <v>504</v>
      </c>
      <c r="F5071" t="str">
        <f>HYPERLINK("https://www.google.com/maps/search/?api=1&amp;query=24.57485421,46.62675184", "View Map")</f>
        <v>View Map</v>
      </c>
    </row>
    <row r="5072" spans="1:7" x14ac:dyDescent="0.3">
      <c r="A5072" t="s">
        <v>8729</v>
      </c>
      <c r="B5072" t="s">
        <v>8730</v>
      </c>
      <c r="C5072" t="s">
        <v>8</v>
      </c>
      <c r="D5072">
        <v>1.5740000000000001</v>
      </c>
      <c r="E5072">
        <v>504</v>
      </c>
      <c r="F5072" t="str">
        <f>HYPERLINK("https://www.google.com/maps/search/?api=1&amp;query=24.58796828,46.6979127", "View Map")</f>
        <v>View Map</v>
      </c>
    </row>
    <row r="5073" spans="1:7" x14ac:dyDescent="0.3">
      <c r="A5073" t="s">
        <v>8731</v>
      </c>
      <c r="B5073" t="s">
        <v>8732</v>
      </c>
      <c r="C5073" t="s">
        <v>255</v>
      </c>
      <c r="D5073">
        <v>1.573</v>
      </c>
      <c r="E5073">
        <v>503</v>
      </c>
      <c r="F5073" t="str">
        <f>HYPERLINK("https://www.google.com/maps/search/?api=1&amp;query=24.81912264,43.4800049", "View Map")</f>
        <v>View Map</v>
      </c>
      <c r="G5073" s="2">
        <v>0.35816101183329041</v>
      </c>
    </row>
    <row r="5074" spans="1:7" x14ac:dyDescent="0.3">
      <c r="A5074" t="s">
        <v>8733</v>
      </c>
      <c r="B5074" t="s">
        <v>8734</v>
      </c>
      <c r="C5074" t="s">
        <v>55</v>
      </c>
      <c r="D5074">
        <v>1.5720000000000001</v>
      </c>
      <c r="E5074">
        <v>503</v>
      </c>
      <c r="F5074" t="str">
        <f>HYPERLINK("https://www.google.com/maps/search/?api=1&amp;query=24.99169954,46.23244505", "View Map")</f>
        <v>View Map</v>
      </c>
      <c r="G5074" s="2">
        <v>0.48947019660273711</v>
      </c>
    </row>
    <row r="5075" spans="1:7" x14ac:dyDescent="0.3">
      <c r="A5075" t="s">
        <v>46</v>
      </c>
      <c r="B5075" t="s">
        <v>8735</v>
      </c>
      <c r="C5075" t="s">
        <v>8</v>
      </c>
      <c r="D5075">
        <v>1.5720000000000001</v>
      </c>
      <c r="E5075">
        <v>503</v>
      </c>
      <c r="F5075" t="str">
        <f>HYPERLINK("https://www.google.com/maps/search/?api=1&amp;query=24.87046489,46.64310785", "View Map")</f>
        <v>View Map</v>
      </c>
    </row>
    <row r="5076" spans="1:7" x14ac:dyDescent="0.3">
      <c r="A5076" t="s">
        <v>8736</v>
      </c>
      <c r="B5076" t="s">
        <v>8737</v>
      </c>
      <c r="C5076" t="s">
        <v>21</v>
      </c>
      <c r="D5076">
        <v>1.5720000000000001</v>
      </c>
      <c r="E5076">
        <v>503</v>
      </c>
      <c r="F5076" t="str">
        <f>HYPERLINK("https://www.google.com/maps/search/?api=1&amp;query=26.26494747,44.79687218", "View Map")</f>
        <v>View Map</v>
      </c>
      <c r="G5076" s="2">
        <v>0.76112648906220837</v>
      </c>
    </row>
    <row r="5077" spans="1:7" x14ac:dyDescent="0.3">
      <c r="A5077" t="s">
        <v>6082</v>
      </c>
      <c r="B5077" t="s">
        <v>8738</v>
      </c>
      <c r="C5077" t="s">
        <v>8</v>
      </c>
      <c r="D5077">
        <v>1.5720000000000001</v>
      </c>
      <c r="E5077">
        <v>503</v>
      </c>
      <c r="F5077" t="str">
        <f>HYPERLINK("https://www.google.com/maps/search/?api=1&amp;query=24.53961398,46.66352567", "View Map")</f>
        <v>View Map</v>
      </c>
    </row>
    <row r="5078" spans="1:7" x14ac:dyDescent="0.3">
      <c r="A5078" t="s">
        <v>8739</v>
      </c>
      <c r="B5078" t="s">
        <v>8740</v>
      </c>
      <c r="C5078" t="s">
        <v>8</v>
      </c>
      <c r="D5078">
        <v>1.5720000000000001</v>
      </c>
      <c r="E5078">
        <v>503</v>
      </c>
      <c r="F5078" t="str">
        <f>HYPERLINK("https://www.google.com/maps/search/?api=1&amp;query=24.62671957,46.67846818", "View Map")</f>
        <v>View Map</v>
      </c>
      <c r="G5078" s="2">
        <v>0.42957969029811438</v>
      </c>
    </row>
    <row r="5079" spans="1:7" x14ac:dyDescent="0.3">
      <c r="A5079" t="s">
        <v>8741</v>
      </c>
      <c r="B5079" t="s">
        <v>8742</v>
      </c>
      <c r="C5079" t="s">
        <v>255</v>
      </c>
      <c r="D5079">
        <v>1.571</v>
      </c>
      <c r="E5079">
        <v>503</v>
      </c>
      <c r="F5079" t="str">
        <f>HYPERLINK("https://www.google.com/maps/search/?api=1&amp;query=24.49792005,44.36773392", "View Map")</f>
        <v>View Map</v>
      </c>
      <c r="G5079" s="2">
        <v>0.35125189255257289</v>
      </c>
    </row>
    <row r="5080" spans="1:7" x14ac:dyDescent="0.3">
      <c r="A5080" t="s">
        <v>46</v>
      </c>
      <c r="B5080" t="s">
        <v>8743</v>
      </c>
      <c r="C5080" t="s">
        <v>8</v>
      </c>
      <c r="D5080">
        <v>1.571</v>
      </c>
      <c r="E5080">
        <v>503</v>
      </c>
      <c r="F5080" t="str">
        <f>HYPERLINK("https://www.google.com/maps/search/?api=1&amp;query=24.85912035,46.65934211", "View Map")</f>
        <v>View Map</v>
      </c>
    </row>
    <row r="5081" spans="1:7" x14ac:dyDescent="0.3">
      <c r="A5081" t="s">
        <v>8744</v>
      </c>
      <c r="B5081" t="s">
        <v>8745</v>
      </c>
      <c r="C5081" t="s">
        <v>214</v>
      </c>
      <c r="D5081">
        <v>1.571</v>
      </c>
      <c r="E5081">
        <v>503</v>
      </c>
      <c r="F5081" t="str">
        <f>HYPERLINK("https://www.google.com/maps/search/?api=1&amp;query=25.59821,45.60727", "View Map")</f>
        <v>View Map</v>
      </c>
      <c r="G5081" s="2">
        <v>0.71481506399837802</v>
      </c>
    </row>
    <row r="5082" spans="1:7" x14ac:dyDescent="0.3">
      <c r="A5082" t="s">
        <v>46</v>
      </c>
      <c r="B5082" t="s">
        <v>8746</v>
      </c>
      <c r="C5082" t="s">
        <v>8</v>
      </c>
      <c r="D5082">
        <v>1.571</v>
      </c>
      <c r="E5082">
        <v>503</v>
      </c>
      <c r="F5082" t="str">
        <f>HYPERLINK("https://www.google.com/maps/search/?api=1&amp;query=24.83240897,46.81835667", "View Map")</f>
        <v>View Map</v>
      </c>
      <c r="G5082" s="2">
        <v>0.70131716370380925</v>
      </c>
    </row>
    <row r="5083" spans="1:7" x14ac:dyDescent="0.3">
      <c r="A5083" t="s">
        <v>8747</v>
      </c>
      <c r="B5083" t="s">
        <v>8748</v>
      </c>
      <c r="C5083" t="s">
        <v>214</v>
      </c>
      <c r="D5083">
        <v>1.57</v>
      </c>
      <c r="E5083">
        <v>502</v>
      </c>
      <c r="F5083" t="str">
        <f>HYPERLINK("https://www.google.com/maps/search/?api=1&amp;query=26.21894027,45.388835", "View Map")</f>
        <v>View Map</v>
      </c>
      <c r="G5083" s="2">
        <v>0.98535507581711546</v>
      </c>
    </row>
    <row r="5084" spans="1:7" x14ac:dyDescent="0.3">
      <c r="A5084" t="s">
        <v>305</v>
      </c>
      <c r="B5084" t="s">
        <v>8749</v>
      </c>
      <c r="C5084" t="s">
        <v>8</v>
      </c>
      <c r="D5084">
        <v>1.57</v>
      </c>
      <c r="E5084">
        <v>502</v>
      </c>
      <c r="F5084" t="str">
        <f>HYPERLINK("https://www.google.com/maps/search/?api=1&amp;query=24.80523134,46.79547907", "View Map")</f>
        <v>View Map</v>
      </c>
      <c r="G5084" s="2">
        <v>1.0925934296430411</v>
      </c>
    </row>
    <row r="5085" spans="1:7" x14ac:dyDescent="0.3">
      <c r="A5085" t="s">
        <v>8750</v>
      </c>
      <c r="B5085" t="s">
        <v>8751</v>
      </c>
      <c r="C5085" t="s">
        <v>30</v>
      </c>
      <c r="D5085">
        <v>1.57</v>
      </c>
      <c r="E5085">
        <v>502</v>
      </c>
      <c r="F5085" t="str">
        <f>HYPERLINK("https://www.google.com/maps/search/?api=1&amp;query=24.15976262,47.33106451", "View Map")</f>
        <v>View Map</v>
      </c>
    </row>
    <row r="5086" spans="1:7" x14ac:dyDescent="0.3">
      <c r="A5086" t="s">
        <v>8752</v>
      </c>
      <c r="B5086" t="s">
        <v>8753</v>
      </c>
      <c r="C5086" t="s">
        <v>214</v>
      </c>
      <c r="D5086">
        <v>1.57</v>
      </c>
      <c r="E5086">
        <v>502</v>
      </c>
      <c r="F5086" t="str">
        <f>HYPERLINK("https://www.google.com/maps/search/?api=1&amp;query=25.61689824,45.58005938", "View Map")</f>
        <v>View Map</v>
      </c>
      <c r="G5086" s="2">
        <v>0.35841597517769153</v>
      </c>
    </row>
    <row r="5087" spans="1:7" x14ac:dyDescent="0.3">
      <c r="A5087" t="s">
        <v>8754</v>
      </c>
      <c r="B5087" t="s">
        <v>8755</v>
      </c>
      <c r="C5087" t="s">
        <v>8</v>
      </c>
      <c r="D5087">
        <v>1.57</v>
      </c>
      <c r="E5087">
        <v>502</v>
      </c>
      <c r="F5087" t="str">
        <f>HYPERLINK("https://www.google.com/maps/search/?api=1&amp;query=24.56065423,46.68798093", "View Map")</f>
        <v>View Map</v>
      </c>
    </row>
    <row r="5088" spans="1:7" x14ac:dyDescent="0.3">
      <c r="A5088" t="s">
        <v>632</v>
      </c>
      <c r="B5088" t="s">
        <v>8756</v>
      </c>
      <c r="C5088" t="s">
        <v>8</v>
      </c>
      <c r="D5088">
        <v>1.569</v>
      </c>
      <c r="E5088">
        <v>502</v>
      </c>
      <c r="F5088" t="str">
        <f>HYPERLINK("https://www.google.com/maps/search/?api=1&amp;query=24.58335725,46.53631517", "View Map")</f>
        <v>View Map</v>
      </c>
    </row>
    <row r="5089" spans="1:7" x14ac:dyDescent="0.3">
      <c r="A5089" t="s">
        <v>8757</v>
      </c>
      <c r="B5089" t="s">
        <v>8758</v>
      </c>
      <c r="C5089" t="s">
        <v>8</v>
      </c>
      <c r="D5089">
        <v>1.569</v>
      </c>
      <c r="E5089">
        <v>502</v>
      </c>
      <c r="F5089" t="str">
        <f>HYPERLINK("https://www.google.com/maps/search/?api=1&amp;query=24.74114359,46.83374039", "View Map")</f>
        <v>View Map</v>
      </c>
    </row>
    <row r="5090" spans="1:7" x14ac:dyDescent="0.3">
      <c r="A5090" t="s">
        <v>8759</v>
      </c>
      <c r="B5090" t="s">
        <v>8760</v>
      </c>
      <c r="C5090" t="s">
        <v>8</v>
      </c>
      <c r="D5090">
        <v>1.569</v>
      </c>
      <c r="E5090">
        <v>502</v>
      </c>
      <c r="F5090" t="str">
        <f>HYPERLINK("https://www.google.com/maps/search/?api=1&amp;query=24.81214275,46.60843152", "View Map")</f>
        <v>View Map</v>
      </c>
    </row>
    <row r="5091" spans="1:7" x14ac:dyDescent="0.3">
      <c r="A5091" t="s">
        <v>146</v>
      </c>
      <c r="B5091" t="s">
        <v>8761</v>
      </c>
      <c r="C5091" t="s">
        <v>8</v>
      </c>
      <c r="D5091">
        <v>1.569</v>
      </c>
      <c r="E5091">
        <v>502</v>
      </c>
      <c r="F5091" t="str">
        <f>HYPERLINK("https://www.google.com/maps/search/?api=1&amp;query=24.594678,46.68476127", "View Map")</f>
        <v>View Map</v>
      </c>
    </row>
    <row r="5092" spans="1:7" x14ac:dyDescent="0.3">
      <c r="A5092" t="s">
        <v>8762</v>
      </c>
      <c r="B5092" t="s">
        <v>8763</v>
      </c>
      <c r="C5092" t="s">
        <v>393</v>
      </c>
      <c r="D5092">
        <v>1.569</v>
      </c>
      <c r="E5092">
        <v>502</v>
      </c>
      <c r="F5092" t="str">
        <f>HYPERLINK("https://www.google.com/maps/search/?api=1&amp;query=23.670903,45.39047607", "View Map")</f>
        <v>View Map</v>
      </c>
      <c r="G5092" s="2">
        <v>0.60048532651947062</v>
      </c>
    </row>
    <row r="5093" spans="1:7" x14ac:dyDescent="0.3">
      <c r="A5093" t="s">
        <v>46</v>
      </c>
      <c r="B5093" t="s">
        <v>8764</v>
      </c>
      <c r="C5093" t="s">
        <v>8</v>
      </c>
      <c r="D5093">
        <v>1.5680000000000001</v>
      </c>
      <c r="E5093">
        <v>502</v>
      </c>
      <c r="F5093" t="str">
        <f>HYPERLINK("https://www.google.com/maps/search/?api=1&amp;query=24.80319,46.59429", "View Map")</f>
        <v>View Map</v>
      </c>
    </row>
    <row r="5094" spans="1:7" x14ac:dyDescent="0.3">
      <c r="A5094" t="s">
        <v>8765</v>
      </c>
      <c r="B5094" t="s">
        <v>8766</v>
      </c>
      <c r="C5094" t="s">
        <v>8</v>
      </c>
      <c r="D5094">
        <v>1.5680000000000001</v>
      </c>
      <c r="E5094">
        <v>502</v>
      </c>
      <c r="F5094" t="str">
        <f>HYPERLINK("https://www.google.com/maps/search/?api=1&amp;query=24.5867,46.6811", "View Map")</f>
        <v>View Map</v>
      </c>
    </row>
    <row r="5095" spans="1:7" x14ac:dyDescent="0.3">
      <c r="A5095" t="s">
        <v>1535</v>
      </c>
      <c r="B5095" t="s">
        <v>8767</v>
      </c>
      <c r="C5095" t="s">
        <v>255</v>
      </c>
      <c r="D5095">
        <v>1.5680000000000001</v>
      </c>
      <c r="E5095">
        <v>502</v>
      </c>
      <c r="F5095" t="str">
        <f>HYPERLINK("https://www.google.com/maps/search/?api=1&amp;query=24.30908078,43.75929999", "View Map")</f>
        <v>View Map</v>
      </c>
      <c r="G5095" s="2">
        <v>0.39558147308150621</v>
      </c>
    </row>
    <row r="5096" spans="1:7" x14ac:dyDescent="0.3">
      <c r="A5096" t="s">
        <v>46</v>
      </c>
      <c r="B5096" t="s">
        <v>8768</v>
      </c>
      <c r="C5096" t="s">
        <v>8</v>
      </c>
      <c r="D5096">
        <v>1.5660000000000001</v>
      </c>
      <c r="E5096">
        <v>501</v>
      </c>
      <c r="F5096" t="str">
        <f>HYPERLINK("https://www.google.com/maps/search/?api=1&amp;query=24.92937923,46.806863", "View Map")</f>
        <v>View Map</v>
      </c>
    </row>
    <row r="5097" spans="1:7" x14ac:dyDescent="0.3">
      <c r="A5097" t="s">
        <v>8769</v>
      </c>
      <c r="B5097" t="s">
        <v>8770</v>
      </c>
      <c r="C5097" t="s">
        <v>8</v>
      </c>
      <c r="D5097">
        <v>1.5660000000000001</v>
      </c>
      <c r="E5097">
        <v>501</v>
      </c>
      <c r="F5097" t="str">
        <f>HYPERLINK("https://www.google.com/maps/search/?api=1&amp;query=24.77409627,46.6078313", "View Map")</f>
        <v>View Map</v>
      </c>
    </row>
    <row r="5098" spans="1:7" x14ac:dyDescent="0.3">
      <c r="A5098" t="s">
        <v>2867</v>
      </c>
      <c r="B5098" t="s">
        <v>8771</v>
      </c>
      <c r="C5098" t="s">
        <v>8</v>
      </c>
      <c r="D5098">
        <v>1.5660000000000001</v>
      </c>
      <c r="E5098">
        <v>501</v>
      </c>
      <c r="F5098" t="str">
        <f>HYPERLINK("https://www.google.com/maps/search/?api=1&amp;query=24.69353957,46.65582085", "View Map")</f>
        <v>View Map</v>
      </c>
    </row>
    <row r="5099" spans="1:7" x14ac:dyDescent="0.3">
      <c r="A5099" t="s">
        <v>8772</v>
      </c>
      <c r="B5099" t="s">
        <v>8773</v>
      </c>
      <c r="C5099" t="s">
        <v>291</v>
      </c>
      <c r="D5099">
        <v>1.5640000000000001</v>
      </c>
      <c r="E5099">
        <v>500</v>
      </c>
      <c r="F5099" t="str">
        <f>HYPERLINK("https://www.google.com/maps/search/?api=1&amp;query=24.46631948,45.64913982", "View Map")</f>
        <v>View Map</v>
      </c>
      <c r="G5099" s="2">
        <v>0.43720305210737381</v>
      </c>
    </row>
    <row r="5100" spans="1:7" x14ac:dyDescent="0.3">
      <c r="A5100" t="s">
        <v>73</v>
      </c>
      <c r="B5100" t="s">
        <v>8774</v>
      </c>
      <c r="C5100" t="s">
        <v>8</v>
      </c>
      <c r="D5100">
        <v>1.5640000000000001</v>
      </c>
      <c r="E5100">
        <v>500</v>
      </c>
      <c r="F5100" t="str">
        <f>HYPERLINK("https://www.google.com/maps/search/?api=1&amp;query=24.83426654,46.64855176", "View Map")</f>
        <v>View Map</v>
      </c>
    </row>
    <row r="5101" spans="1:7" x14ac:dyDescent="0.3">
      <c r="A5101" t="s">
        <v>73</v>
      </c>
      <c r="B5101" t="s">
        <v>8775</v>
      </c>
      <c r="C5101" t="s">
        <v>8</v>
      </c>
      <c r="D5101">
        <v>1.5629999999999999</v>
      </c>
      <c r="E5101">
        <v>500</v>
      </c>
      <c r="F5101" t="str">
        <f>HYPERLINK("https://www.google.com/maps/search/?api=1&amp;query=24.55582716,46.78297897", "View Map")</f>
        <v>View Map</v>
      </c>
    </row>
    <row r="5102" spans="1:7" x14ac:dyDescent="0.3">
      <c r="A5102" t="s">
        <v>150</v>
      </c>
      <c r="B5102" t="s">
        <v>8776</v>
      </c>
      <c r="C5102" t="s">
        <v>8</v>
      </c>
      <c r="D5102">
        <v>1.5629999999999999</v>
      </c>
      <c r="E5102">
        <v>500</v>
      </c>
      <c r="F5102" t="str">
        <f>HYPERLINK("https://www.google.com/maps/search/?api=1&amp;query=24.61707847,46.53316512", "View Map")</f>
        <v>View Map</v>
      </c>
    </row>
    <row r="5103" spans="1:7" x14ac:dyDescent="0.3">
      <c r="A5103" t="s">
        <v>385</v>
      </c>
      <c r="B5103" t="s">
        <v>8777</v>
      </c>
      <c r="C5103" t="s">
        <v>255</v>
      </c>
      <c r="D5103">
        <v>1.5629999999999999</v>
      </c>
      <c r="E5103">
        <v>500</v>
      </c>
      <c r="F5103" t="str">
        <f>HYPERLINK("https://www.google.com/maps/search/?api=1&amp;query=24.49304333,43.89204167", "View Map")</f>
        <v>View Map</v>
      </c>
      <c r="G5103" s="2">
        <v>0.38155642086826219</v>
      </c>
    </row>
    <row r="5104" spans="1:7" x14ac:dyDescent="0.3">
      <c r="A5104" t="s">
        <v>8778</v>
      </c>
      <c r="B5104" t="s">
        <v>8779</v>
      </c>
      <c r="C5104" t="s">
        <v>8</v>
      </c>
      <c r="D5104">
        <v>1.5629999999999999</v>
      </c>
      <c r="E5104">
        <v>500</v>
      </c>
      <c r="F5104" t="str">
        <f>HYPERLINK("https://www.google.com/maps/search/?api=1&amp;query=24.64598377,46.72275005", "View Map")</f>
        <v>View Map</v>
      </c>
    </row>
    <row r="5105" spans="1:7" x14ac:dyDescent="0.3">
      <c r="A5105" t="s">
        <v>8780</v>
      </c>
      <c r="B5105" t="s">
        <v>8781</v>
      </c>
      <c r="C5105" t="s">
        <v>8</v>
      </c>
      <c r="D5105">
        <v>1.5620000000000001</v>
      </c>
      <c r="E5105">
        <v>500</v>
      </c>
      <c r="F5105" t="str">
        <f>HYPERLINK("https://www.google.com/maps/search/?api=1&amp;query=24.57890297,46.65670012", "View Map")</f>
        <v>View Map</v>
      </c>
    </row>
    <row r="5106" spans="1:7" x14ac:dyDescent="0.3">
      <c r="A5106" t="s">
        <v>8782</v>
      </c>
      <c r="B5106" t="s">
        <v>8783</v>
      </c>
      <c r="C5106" t="s">
        <v>255</v>
      </c>
      <c r="D5106">
        <v>1.5620000000000001</v>
      </c>
      <c r="E5106">
        <v>500</v>
      </c>
      <c r="F5106" t="str">
        <f>HYPERLINK("https://www.google.com/maps/search/?api=1&amp;query=25.0811683,44.61396543", "View Map")</f>
        <v>View Map</v>
      </c>
      <c r="G5106" s="2">
        <v>0.55046464390485128</v>
      </c>
    </row>
    <row r="5107" spans="1:7" x14ac:dyDescent="0.3">
      <c r="A5107" t="s">
        <v>8784</v>
      </c>
      <c r="B5107" t="s">
        <v>8785</v>
      </c>
      <c r="C5107" t="s">
        <v>8</v>
      </c>
      <c r="D5107">
        <v>1.5609999999999999</v>
      </c>
      <c r="E5107">
        <v>500</v>
      </c>
      <c r="F5107" t="str">
        <f>HYPERLINK("https://www.google.com/maps/search/?api=1&amp;query=24.56312587,46.77045025", "View Map")</f>
        <v>View Map</v>
      </c>
    </row>
    <row r="5108" spans="1:7" x14ac:dyDescent="0.3">
      <c r="A5108" t="s">
        <v>1594</v>
      </c>
      <c r="B5108" t="s">
        <v>8786</v>
      </c>
      <c r="C5108" t="s">
        <v>296</v>
      </c>
      <c r="D5108">
        <v>1.5609999999999999</v>
      </c>
      <c r="E5108">
        <v>499</v>
      </c>
      <c r="F5108" t="str">
        <f>HYPERLINK("https://www.google.com/maps/search/?api=1&amp;query=24.45845423,46.26727099", "View Map")</f>
        <v>View Map</v>
      </c>
      <c r="G5108" s="2">
        <v>0.64059833808895317</v>
      </c>
    </row>
    <row r="5109" spans="1:7" x14ac:dyDescent="0.3">
      <c r="A5109" t="s">
        <v>8787</v>
      </c>
      <c r="B5109" t="s">
        <v>8788</v>
      </c>
      <c r="C5109" t="s">
        <v>8</v>
      </c>
      <c r="D5109">
        <v>1.5609999999999999</v>
      </c>
      <c r="E5109">
        <v>499</v>
      </c>
      <c r="F5109" t="str">
        <f>HYPERLINK("https://www.google.com/maps/search/?api=1&amp;query=24.73366415,46.69160974", "View Map")</f>
        <v>View Map</v>
      </c>
    </row>
    <row r="5110" spans="1:7" x14ac:dyDescent="0.3">
      <c r="A5110" t="s">
        <v>8789</v>
      </c>
      <c r="B5110" t="s">
        <v>8790</v>
      </c>
      <c r="C5110" t="s">
        <v>8</v>
      </c>
      <c r="D5110">
        <v>1.5609999999999999</v>
      </c>
      <c r="E5110">
        <v>500</v>
      </c>
      <c r="F5110" t="str">
        <f>HYPERLINK("https://www.google.com/maps/search/?api=1&amp;query=24.67778147,46.79428715", "View Map")</f>
        <v>View Map</v>
      </c>
    </row>
    <row r="5111" spans="1:7" x14ac:dyDescent="0.3">
      <c r="A5111" t="s">
        <v>46</v>
      </c>
      <c r="B5111" t="s">
        <v>8791</v>
      </c>
      <c r="C5111" t="s">
        <v>8</v>
      </c>
      <c r="D5111">
        <v>1.56</v>
      </c>
      <c r="E5111">
        <v>499</v>
      </c>
      <c r="F5111" t="str">
        <f>HYPERLINK("https://www.google.com/maps/search/?api=1&amp;query=24.5739061,46.79219834", "View Map")</f>
        <v>View Map</v>
      </c>
    </row>
    <row r="5112" spans="1:7" x14ac:dyDescent="0.3">
      <c r="A5112" t="s">
        <v>4208</v>
      </c>
      <c r="B5112" t="s">
        <v>8792</v>
      </c>
      <c r="C5112" t="s">
        <v>8</v>
      </c>
      <c r="D5112">
        <v>1.56</v>
      </c>
      <c r="E5112">
        <v>499</v>
      </c>
      <c r="F5112" t="str">
        <f>HYPERLINK("https://www.google.com/maps/search/?api=1&amp;query=24.62424211,46.75374976", "View Map")</f>
        <v>View Map</v>
      </c>
    </row>
    <row r="5113" spans="1:7" x14ac:dyDescent="0.3">
      <c r="A5113" t="s">
        <v>8793</v>
      </c>
      <c r="B5113" t="s">
        <v>8794</v>
      </c>
      <c r="C5113" t="s">
        <v>8</v>
      </c>
      <c r="D5113">
        <v>1.56</v>
      </c>
      <c r="E5113">
        <v>499</v>
      </c>
      <c r="F5113" t="str">
        <f>HYPERLINK("https://www.google.com/maps/search/?api=1&amp;query=24.5811801,46.76715882", "View Map")</f>
        <v>View Map</v>
      </c>
    </row>
    <row r="5114" spans="1:7" x14ac:dyDescent="0.3">
      <c r="A5114" t="s">
        <v>73</v>
      </c>
      <c r="B5114" t="s">
        <v>8795</v>
      </c>
      <c r="C5114" t="s">
        <v>8</v>
      </c>
      <c r="D5114">
        <v>1.5589999999999999</v>
      </c>
      <c r="E5114">
        <v>499</v>
      </c>
      <c r="F5114" t="str">
        <f>HYPERLINK("https://www.google.com/maps/search/?api=1&amp;query=24.64363665,46.76690571", "View Map")</f>
        <v>View Map</v>
      </c>
    </row>
    <row r="5115" spans="1:7" x14ac:dyDescent="0.3">
      <c r="A5115" t="s">
        <v>8796</v>
      </c>
      <c r="B5115" t="s">
        <v>8797</v>
      </c>
      <c r="C5115" t="s">
        <v>241</v>
      </c>
      <c r="D5115">
        <v>1.5589999999999999</v>
      </c>
      <c r="E5115">
        <v>499</v>
      </c>
      <c r="F5115" t="str">
        <f>HYPERLINK("https://www.google.com/maps/search/?api=1&amp;query=20.44793977,44.65425261", "View Map")</f>
        <v>View Map</v>
      </c>
    </row>
    <row r="5116" spans="1:7" x14ac:dyDescent="0.3">
      <c r="A5116" t="s">
        <v>8798</v>
      </c>
      <c r="B5116" t="s">
        <v>8799</v>
      </c>
      <c r="C5116" t="s">
        <v>255</v>
      </c>
      <c r="D5116">
        <v>1.5580000000000001</v>
      </c>
      <c r="E5116">
        <v>499</v>
      </c>
      <c r="F5116" t="str">
        <f>HYPERLINK("https://www.google.com/maps/search/?api=1&amp;query=24.49734777,44.40767353", "View Map")</f>
        <v>View Map</v>
      </c>
    </row>
    <row r="5117" spans="1:7" x14ac:dyDescent="0.3">
      <c r="A5117" t="s">
        <v>8800</v>
      </c>
      <c r="B5117" t="s">
        <v>8801</v>
      </c>
      <c r="C5117" t="s">
        <v>30</v>
      </c>
      <c r="D5117">
        <v>1.5580000000000001</v>
      </c>
      <c r="E5117">
        <v>499</v>
      </c>
      <c r="F5117" t="str">
        <f>HYPERLINK("https://www.google.com/maps/search/?api=1&amp;query=24.14243745,47.38363163", "View Map")</f>
        <v>View Map</v>
      </c>
    </row>
    <row r="5118" spans="1:7" x14ac:dyDescent="0.3">
      <c r="A5118" t="s">
        <v>627</v>
      </c>
      <c r="B5118" t="s">
        <v>8802</v>
      </c>
      <c r="C5118" t="s">
        <v>8</v>
      </c>
      <c r="D5118">
        <v>1.5580000000000001</v>
      </c>
      <c r="E5118">
        <v>498</v>
      </c>
      <c r="F5118" t="str">
        <f>HYPERLINK("https://www.google.com/maps/search/?api=1&amp;query=24.62850456,46.53684964", "View Map")</f>
        <v>View Map</v>
      </c>
    </row>
    <row r="5119" spans="1:7" x14ac:dyDescent="0.3">
      <c r="A5119" t="s">
        <v>8803</v>
      </c>
      <c r="B5119" t="s">
        <v>8804</v>
      </c>
      <c r="C5119" t="s">
        <v>286</v>
      </c>
      <c r="D5119">
        <v>1.5569999999999999</v>
      </c>
      <c r="E5119">
        <v>498</v>
      </c>
      <c r="F5119" t="str">
        <f>HYPERLINK("https://www.google.com/maps/search/?api=1&amp;query=25.21295418,45.24110705", "View Map")</f>
        <v>View Map</v>
      </c>
    </row>
    <row r="5120" spans="1:7" x14ac:dyDescent="0.3">
      <c r="A5120" t="s">
        <v>8805</v>
      </c>
      <c r="B5120" t="s">
        <v>8806</v>
      </c>
      <c r="C5120" t="s">
        <v>291</v>
      </c>
      <c r="D5120">
        <v>1.556</v>
      </c>
      <c r="E5120">
        <v>498</v>
      </c>
      <c r="F5120" t="str">
        <f>HYPERLINK("https://www.google.com/maps/search/?api=1&amp;query=23.9803364,45.0666521", "View Map")</f>
        <v>View Map</v>
      </c>
      <c r="G5120" s="2">
        <v>0.66812634844127361</v>
      </c>
    </row>
    <row r="5121" spans="1:7" x14ac:dyDescent="0.3">
      <c r="A5121" t="s">
        <v>8807</v>
      </c>
      <c r="B5121" t="s">
        <v>8808</v>
      </c>
      <c r="C5121" t="s">
        <v>8</v>
      </c>
      <c r="D5121">
        <v>1.556</v>
      </c>
      <c r="E5121">
        <v>498</v>
      </c>
      <c r="F5121" t="str">
        <f>HYPERLINK("https://www.google.com/maps/search/?api=1&amp;query=24.78412911,46.79558792", "View Map")</f>
        <v>View Map</v>
      </c>
    </row>
    <row r="5122" spans="1:7" x14ac:dyDescent="0.3">
      <c r="A5122" t="s">
        <v>146</v>
      </c>
      <c r="B5122" t="s">
        <v>8809</v>
      </c>
      <c r="C5122" t="s">
        <v>8</v>
      </c>
      <c r="D5122">
        <v>1.556</v>
      </c>
      <c r="E5122">
        <v>498</v>
      </c>
      <c r="F5122" t="str">
        <f>HYPERLINK("https://www.google.com/maps/search/?api=1&amp;query=24.51113535,46.68455253", "View Map")</f>
        <v>View Map</v>
      </c>
    </row>
    <row r="5123" spans="1:7" x14ac:dyDescent="0.3">
      <c r="A5123" t="s">
        <v>8810</v>
      </c>
      <c r="B5123" t="s">
        <v>8811</v>
      </c>
      <c r="C5123" t="s">
        <v>1112</v>
      </c>
      <c r="D5123">
        <v>1.556</v>
      </c>
      <c r="E5123">
        <v>498</v>
      </c>
      <c r="F5123" t="str">
        <f>HYPERLINK("https://www.google.com/maps/search/?api=1&amp;query=26.041492,44.9381749", "View Map")</f>
        <v>View Map</v>
      </c>
      <c r="G5123" s="2">
        <v>0.44460146563941427</v>
      </c>
    </row>
    <row r="5124" spans="1:7" x14ac:dyDescent="0.3">
      <c r="A5124" t="s">
        <v>8812</v>
      </c>
      <c r="B5124" t="s">
        <v>8813</v>
      </c>
      <c r="C5124" t="s">
        <v>393</v>
      </c>
      <c r="D5124">
        <v>1.556</v>
      </c>
      <c r="E5124">
        <v>498</v>
      </c>
      <c r="F5124" t="str">
        <f>HYPERLINK("https://www.google.com/maps/search/?api=1&amp;query=22.51794994,44.80082477", "View Map")</f>
        <v>View Map</v>
      </c>
      <c r="G5124" s="2">
        <v>0.80122120103530359</v>
      </c>
    </row>
    <row r="5125" spans="1:7" x14ac:dyDescent="0.3">
      <c r="A5125" t="s">
        <v>1275</v>
      </c>
      <c r="B5125" t="s">
        <v>8814</v>
      </c>
      <c r="C5125" t="s">
        <v>8</v>
      </c>
      <c r="D5125">
        <v>1.556</v>
      </c>
      <c r="E5125">
        <v>498</v>
      </c>
      <c r="F5125" t="str">
        <f>HYPERLINK("https://www.google.com/maps/search/?api=1&amp;query=24.71890152,46.79571922", "View Map")</f>
        <v>View Map</v>
      </c>
      <c r="G5125" s="2">
        <v>0.14151075217860451</v>
      </c>
    </row>
    <row r="5126" spans="1:7" x14ac:dyDescent="0.3">
      <c r="A5126" t="s">
        <v>146</v>
      </c>
      <c r="B5126" t="s">
        <v>8815</v>
      </c>
      <c r="C5126" t="s">
        <v>8</v>
      </c>
      <c r="D5126">
        <v>1.554</v>
      </c>
      <c r="E5126">
        <v>497</v>
      </c>
      <c r="F5126" t="str">
        <f>HYPERLINK("https://www.google.com/maps/search/?api=1&amp;query=24.55363955,46.6674507", "View Map")</f>
        <v>View Map</v>
      </c>
    </row>
    <row r="5127" spans="1:7" x14ac:dyDescent="0.3">
      <c r="A5127" t="s">
        <v>8816</v>
      </c>
      <c r="B5127" t="s">
        <v>8817</v>
      </c>
      <c r="C5127" t="s">
        <v>30</v>
      </c>
      <c r="D5127">
        <v>1.5529999999999999</v>
      </c>
      <c r="E5127">
        <v>497</v>
      </c>
      <c r="F5127" t="str">
        <f>HYPERLINK("https://www.google.com/maps/search/?api=1&amp;query=24.15717094,47.32261224", "View Map")</f>
        <v>View Map</v>
      </c>
    </row>
    <row r="5128" spans="1:7" x14ac:dyDescent="0.3">
      <c r="A5128" t="s">
        <v>8818</v>
      </c>
      <c r="B5128" t="s">
        <v>8819</v>
      </c>
      <c r="C5128" t="s">
        <v>4447</v>
      </c>
      <c r="D5128">
        <v>1.552</v>
      </c>
      <c r="E5128">
        <v>497</v>
      </c>
      <c r="F5128" t="str">
        <f>HYPERLINK("https://www.google.com/maps/search/?api=1&amp;query=24.31763446,42.00134245", "View Map")</f>
        <v>View Map</v>
      </c>
      <c r="G5128" s="2">
        <v>0.6055933407186056</v>
      </c>
    </row>
    <row r="5129" spans="1:7" x14ac:dyDescent="0.3">
      <c r="A5129" t="s">
        <v>8820</v>
      </c>
      <c r="B5129" t="s">
        <v>8821</v>
      </c>
      <c r="C5129" t="s">
        <v>255</v>
      </c>
      <c r="D5129">
        <v>1.552</v>
      </c>
      <c r="E5129">
        <v>497</v>
      </c>
      <c r="F5129" t="str">
        <f>HYPERLINK("https://www.google.com/maps/search/?api=1&amp;query=24.61128709,44.31625732", "View Map")</f>
        <v>View Map</v>
      </c>
      <c r="G5129" s="2">
        <v>0.87913442612896386</v>
      </c>
    </row>
    <row r="5130" spans="1:7" x14ac:dyDescent="0.3">
      <c r="A5130" t="s">
        <v>8822</v>
      </c>
      <c r="B5130" t="s">
        <v>8823</v>
      </c>
      <c r="C5130" t="s">
        <v>8</v>
      </c>
      <c r="D5130">
        <v>1.5509999999999999</v>
      </c>
      <c r="E5130">
        <v>496</v>
      </c>
      <c r="F5130" t="str">
        <f>HYPERLINK("https://www.google.com/maps/search/?api=1&amp;query=24.71750582,46.66675272", "View Map")</f>
        <v>View Map</v>
      </c>
      <c r="G5130" s="2">
        <v>0.19468637356664351</v>
      </c>
    </row>
    <row r="5131" spans="1:7" x14ac:dyDescent="0.3">
      <c r="A5131" t="s">
        <v>73</v>
      </c>
      <c r="B5131" t="s">
        <v>8824</v>
      </c>
      <c r="C5131" t="s">
        <v>8</v>
      </c>
      <c r="D5131">
        <v>1.5509999999999999</v>
      </c>
      <c r="E5131">
        <v>496</v>
      </c>
      <c r="F5131" t="str">
        <f>HYPERLINK("https://www.google.com/maps/search/?api=1&amp;query=24.81336981,46.60082727", "View Map")</f>
        <v>View Map</v>
      </c>
    </row>
    <row r="5132" spans="1:7" x14ac:dyDescent="0.3">
      <c r="A5132" t="s">
        <v>661</v>
      </c>
      <c r="B5132" t="s">
        <v>8825</v>
      </c>
      <c r="C5132" t="s">
        <v>214</v>
      </c>
      <c r="D5132">
        <v>1.5509999999999999</v>
      </c>
      <c r="E5132">
        <v>496</v>
      </c>
      <c r="F5132" t="str">
        <f>HYPERLINK("https://www.google.com/maps/search/?api=1&amp;query=25.70290708,45.45487016", "View Map")</f>
        <v>View Map</v>
      </c>
      <c r="G5132" s="2">
        <v>0.59265370198538092</v>
      </c>
    </row>
    <row r="5133" spans="1:7" x14ac:dyDescent="0.3">
      <c r="A5133" t="s">
        <v>8826</v>
      </c>
      <c r="B5133" t="s">
        <v>8827</v>
      </c>
      <c r="C5133" t="s">
        <v>393</v>
      </c>
      <c r="D5133">
        <v>1.5509999999999999</v>
      </c>
      <c r="E5133">
        <v>496</v>
      </c>
      <c r="F5133" t="str">
        <f>HYPERLINK("https://www.google.com/maps/search/?api=1&amp;query=23.56483248,45.57760697", "View Map")</f>
        <v>View Map</v>
      </c>
      <c r="G5133" s="2">
        <v>0.52489908249598327</v>
      </c>
    </row>
    <row r="5134" spans="1:7" x14ac:dyDescent="0.3">
      <c r="A5134" t="s">
        <v>46</v>
      </c>
      <c r="B5134" t="s">
        <v>8828</v>
      </c>
      <c r="C5134" t="s">
        <v>8</v>
      </c>
      <c r="D5134">
        <v>1.55</v>
      </c>
      <c r="E5134">
        <v>496</v>
      </c>
      <c r="F5134" t="str">
        <f>HYPERLINK("https://www.google.com/maps/search/?api=1&amp;query=24.80020658,46.75921468", "View Map")</f>
        <v>View Map</v>
      </c>
    </row>
    <row r="5135" spans="1:7" x14ac:dyDescent="0.3">
      <c r="A5135" t="s">
        <v>8829</v>
      </c>
      <c r="B5135" t="s">
        <v>8830</v>
      </c>
      <c r="C5135" t="s">
        <v>466</v>
      </c>
      <c r="D5135">
        <v>1.55</v>
      </c>
      <c r="E5135">
        <v>496</v>
      </c>
      <c r="F5135" t="str">
        <f>HYPERLINK("https://www.google.com/maps/search/?api=1&amp;query=24.50641069,46.36330946", "View Map")</f>
        <v>View Map</v>
      </c>
    </row>
    <row r="5136" spans="1:7" x14ac:dyDescent="0.3">
      <c r="A5136" t="s">
        <v>8831</v>
      </c>
      <c r="B5136" t="s">
        <v>8832</v>
      </c>
      <c r="C5136" t="s">
        <v>8</v>
      </c>
      <c r="D5136">
        <v>1.55</v>
      </c>
      <c r="E5136">
        <v>496</v>
      </c>
      <c r="F5136" t="str">
        <f>HYPERLINK("https://www.google.com/maps/search/?api=1&amp;query=24.75473524,46.67351567", "View Map")</f>
        <v>View Map</v>
      </c>
    </row>
    <row r="5137" spans="1:7" x14ac:dyDescent="0.3">
      <c r="A5137" t="s">
        <v>1017</v>
      </c>
      <c r="B5137" t="s">
        <v>8833</v>
      </c>
      <c r="C5137" t="s">
        <v>8</v>
      </c>
      <c r="D5137">
        <v>1.55</v>
      </c>
      <c r="E5137">
        <v>496</v>
      </c>
      <c r="F5137" t="str">
        <f>HYPERLINK("https://www.google.com/maps/search/?api=1&amp;query=24.5733,46.6656", "View Map")</f>
        <v>View Map</v>
      </c>
    </row>
    <row r="5138" spans="1:7" x14ac:dyDescent="0.3">
      <c r="A5138" t="s">
        <v>8834</v>
      </c>
      <c r="B5138" t="s">
        <v>8835</v>
      </c>
      <c r="C5138" t="s">
        <v>291</v>
      </c>
      <c r="D5138">
        <v>1.55</v>
      </c>
      <c r="E5138">
        <v>496</v>
      </c>
      <c r="F5138" t="str">
        <f>HYPERLINK("https://www.google.com/maps/search/?api=1&amp;query=24.0588756,45.27448845", "View Map")</f>
        <v>View Map</v>
      </c>
    </row>
    <row r="5139" spans="1:7" x14ac:dyDescent="0.3">
      <c r="A5139" t="s">
        <v>146</v>
      </c>
      <c r="B5139" t="s">
        <v>8836</v>
      </c>
      <c r="C5139" t="s">
        <v>55</v>
      </c>
      <c r="D5139">
        <v>1.5489999999999999</v>
      </c>
      <c r="E5139">
        <v>496</v>
      </c>
      <c r="F5139" t="str">
        <f>HYPERLINK("https://www.google.com/maps/search/?api=1&amp;query=24.7572,46.5453", "View Map")</f>
        <v>View Map</v>
      </c>
      <c r="G5139" s="2">
        <v>0.5634387199888542</v>
      </c>
    </row>
    <row r="5140" spans="1:7" x14ac:dyDescent="0.3">
      <c r="A5140" t="s">
        <v>8837</v>
      </c>
      <c r="B5140" t="s">
        <v>8838</v>
      </c>
      <c r="C5140" t="s">
        <v>466</v>
      </c>
      <c r="D5140">
        <v>1.5489999999999999</v>
      </c>
      <c r="E5140">
        <v>496</v>
      </c>
      <c r="F5140" t="str">
        <f>HYPERLINK("https://www.google.com/maps/search/?api=1&amp;query=24.48143694,46.39563982", "View Map")</f>
        <v>View Map</v>
      </c>
    </row>
    <row r="5141" spans="1:7" x14ac:dyDescent="0.3">
      <c r="A5141" t="s">
        <v>8839</v>
      </c>
      <c r="B5141" t="s">
        <v>8840</v>
      </c>
      <c r="C5141" t="s">
        <v>8</v>
      </c>
      <c r="D5141">
        <v>1.5489999999999999</v>
      </c>
      <c r="E5141">
        <v>496</v>
      </c>
      <c r="F5141" t="str">
        <f>HYPERLINK("https://www.google.com/maps/search/?api=1&amp;query=24.86473785,46.64968371", "View Map")</f>
        <v>View Map</v>
      </c>
    </row>
    <row r="5142" spans="1:7" x14ac:dyDescent="0.3">
      <c r="A5142" t="s">
        <v>8841</v>
      </c>
      <c r="B5142" t="s">
        <v>8842</v>
      </c>
      <c r="C5142" t="s">
        <v>8</v>
      </c>
      <c r="D5142">
        <v>1.5489999999999999</v>
      </c>
      <c r="E5142">
        <v>496</v>
      </c>
      <c r="F5142" t="str">
        <f>HYPERLINK("https://www.google.com/maps/search/?api=1&amp;query=24.75131436,46.59576032", "View Map")</f>
        <v>View Map</v>
      </c>
    </row>
    <row r="5143" spans="1:7" x14ac:dyDescent="0.3">
      <c r="A5143" t="s">
        <v>411</v>
      </c>
      <c r="B5143" t="s">
        <v>8843</v>
      </c>
      <c r="C5143" t="s">
        <v>77</v>
      </c>
      <c r="D5143">
        <v>1.5489999999999999</v>
      </c>
      <c r="E5143">
        <v>496</v>
      </c>
      <c r="F5143" t="str">
        <f>HYPERLINK("https://www.google.com/maps/search/?api=1&amp;query=22.32206347,46.70301756", "View Map")</f>
        <v>View Map</v>
      </c>
      <c r="G5143" s="2">
        <v>0.50814867426493426</v>
      </c>
    </row>
    <row r="5144" spans="1:7" x14ac:dyDescent="0.3">
      <c r="A5144" t="s">
        <v>8844</v>
      </c>
      <c r="B5144" t="s">
        <v>8845</v>
      </c>
      <c r="C5144" t="s">
        <v>8</v>
      </c>
      <c r="D5144">
        <v>1.548</v>
      </c>
      <c r="E5144">
        <v>495</v>
      </c>
      <c r="F5144" t="str">
        <f>HYPERLINK("https://www.google.com/maps/search/?api=1&amp;query=24.57013074,46.64543154", "View Map")</f>
        <v>View Map</v>
      </c>
    </row>
    <row r="5145" spans="1:7" x14ac:dyDescent="0.3">
      <c r="A5145" t="s">
        <v>8846</v>
      </c>
      <c r="B5145" t="s">
        <v>8847</v>
      </c>
      <c r="C5145" t="s">
        <v>55</v>
      </c>
      <c r="D5145">
        <v>1.548</v>
      </c>
      <c r="E5145">
        <v>495</v>
      </c>
      <c r="F5145" t="str">
        <f>HYPERLINK("https://www.google.com/maps/search/?api=1&amp;query=24.74395846,46.58412672", "View Map")</f>
        <v>View Map</v>
      </c>
    </row>
    <row r="5146" spans="1:7" x14ac:dyDescent="0.3">
      <c r="A5146" t="s">
        <v>46</v>
      </c>
      <c r="B5146" t="s">
        <v>8848</v>
      </c>
      <c r="C5146" t="s">
        <v>8</v>
      </c>
      <c r="D5146">
        <v>1.548</v>
      </c>
      <c r="E5146">
        <v>495</v>
      </c>
      <c r="F5146" t="str">
        <f>HYPERLINK("https://www.google.com/maps/search/?api=1&amp;query=24.74721727,46.62628386", "View Map")</f>
        <v>View Map</v>
      </c>
    </row>
    <row r="5147" spans="1:7" x14ac:dyDescent="0.3">
      <c r="A5147" t="s">
        <v>8849</v>
      </c>
      <c r="B5147" t="s">
        <v>8850</v>
      </c>
      <c r="C5147" t="s">
        <v>8</v>
      </c>
      <c r="D5147">
        <v>1.5469999999999999</v>
      </c>
      <c r="E5147">
        <v>495</v>
      </c>
      <c r="F5147" t="str">
        <f>HYPERLINK("https://www.google.com/maps/search/?api=1&amp;query=24.5990622,46.72573148", "View Map")</f>
        <v>View Map</v>
      </c>
    </row>
    <row r="5148" spans="1:7" x14ac:dyDescent="0.3">
      <c r="A5148" t="s">
        <v>8851</v>
      </c>
      <c r="B5148" t="s">
        <v>8852</v>
      </c>
      <c r="C5148" t="s">
        <v>214</v>
      </c>
      <c r="D5148">
        <v>1.5469999999999999</v>
      </c>
      <c r="E5148">
        <v>495</v>
      </c>
      <c r="F5148" t="str">
        <f>HYPERLINK("https://www.google.com/maps/search/?api=1&amp;query=25.58244467,45.61083001", "View Map")</f>
        <v>View Map</v>
      </c>
      <c r="G5148" s="2">
        <v>0.51170059052984573</v>
      </c>
    </row>
    <row r="5149" spans="1:7" x14ac:dyDescent="0.3">
      <c r="A5149" t="s">
        <v>8853</v>
      </c>
      <c r="B5149" t="s">
        <v>8854</v>
      </c>
      <c r="C5149" t="s">
        <v>21</v>
      </c>
      <c r="D5149">
        <v>1.546</v>
      </c>
      <c r="E5149">
        <v>495</v>
      </c>
      <c r="F5149" t="str">
        <f>HYPERLINK("https://www.google.com/maps/search/?api=1&amp;query=26.28890267,44.81689563", "View Map")</f>
        <v>View Map</v>
      </c>
    </row>
    <row r="5150" spans="1:7" x14ac:dyDescent="0.3">
      <c r="A5150" t="s">
        <v>8855</v>
      </c>
      <c r="B5150" t="s">
        <v>8856</v>
      </c>
      <c r="C5150" t="s">
        <v>30</v>
      </c>
      <c r="D5150">
        <v>1.546</v>
      </c>
      <c r="E5150">
        <v>495</v>
      </c>
      <c r="F5150" t="str">
        <f>HYPERLINK("https://www.google.com/maps/search/?api=1&amp;query=24.14974367,47.37155679", "View Map")</f>
        <v>View Map</v>
      </c>
    </row>
    <row r="5151" spans="1:7" x14ac:dyDescent="0.3">
      <c r="A5151" t="s">
        <v>8857</v>
      </c>
      <c r="B5151" t="s">
        <v>8858</v>
      </c>
      <c r="C5151" t="s">
        <v>8</v>
      </c>
      <c r="D5151">
        <v>1.5449999999999999</v>
      </c>
      <c r="E5151">
        <v>494</v>
      </c>
      <c r="F5151" t="str">
        <f>HYPERLINK("https://www.google.com/maps/search/?api=1&amp;query=24.65742252,46.7340843", "View Map")</f>
        <v>View Map</v>
      </c>
    </row>
    <row r="5152" spans="1:7" x14ac:dyDescent="0.3">
      <c r="A5152" t="s">
        <v>1790</v>
      </c>
      <c r="B5152" t="s">
        <v>8859</v>
      </c>
      <c r="C5152" t="s">
        <v>21</v>
      </c>
      <c r="D5152">
        <v>1.5449999999999999</v>
      </c>
      <c r="E5152">
        <v>494</v>
      </c>
      <c r="F5152" t="str">
        <f>HYPERLINK("https://www.google.com/maps/search/?api=1&amp;query=26.35490288,44.7808103", "View Map")</f>
        <v>View Map</v>
      </c>
    </row>
    <row r="5153" spans="1:7" x14ac:dyDescent="0.3">
      <c r="A5153" t="s">
        <v>8860</v>
      </c>
      <c r="B5153" t="s">
        <v>8861</v>
      </c>
      <c r="C5153" t="s">
        <v>8</v>
      </c>
      <c r="D5153">
        <v>1.5449999999999999</v>
      </c>
      <c r="E5153">
        <v>494</v>
      </c>
      <c r="F5153" t="str">
        <f>HYPERLINK("https://www.google.com/maps/search/?api=1&amp;query=24.55726415,46.70992968", "View Map")</f>
        <v>View Map</v>
      </c>
    </row>
    <row r="5154" spans="1:7" x14ac:dyDescent="0.3">
      <c r="A5154" t="s">
        <v>8862</v>
      </c>
      <c r="B5154" t="s">
        <v>8863</v>
      </c>
      <c r="C5154" t="s">
        <v>255</v>
      </c>
      <c r="D5154">
        <v>1.5449999999999999</v>
      </c>
      <c r="E5154">
        <v>495</v>
      </c>
      <c r="F5154" t="str">
        <f>HYPERLINK("https://www.google.com/maps/search/?api=1&amp;query=25.13272479,43.48240072", "View Map")</f>
        <v>View Map</v>
      </c>
      <c r="G5154" s="2">
        <v>0.39196013101077531</v>
      </c>
    </row>
    <row r="5155" spans="1:7" x14ac:dyDescent="0.3">
      <c r="A5155" t="s">
        <v>5392</v>
      </c>
      <c r="B5155" t="s">
        <v>8864</v>
      </c>
      <c r="C5155" t="s">
        <v>8</v>
      </c>
      <c r="D5155">
        <v>1.5449999999999999</v>
      </c>
      <c r="E5155">
        <v>494</v>
      </c>
      <c r="F5155" t="str">
        <f>HYPERLINK("https://www.google.com/maps/search/?api=1&amp;query=24.78592525,46.68432489", "View Map")</f>
        <v>View Map</v>
      </c>
    </row>
    <row r="5156" spans="1:7" x14ac:dyDescent="0.3">
      <c r="A5156" t="s">
        <v>8865</v>
      </c>
      <c r="B5156" t="s">
        <v>8866</v>
      </c>
      <c r="C5156" t="s">
        <v>255</v>
      </c>
      <c r="D5156">
        <v>1.544</v>
      </c>
      <c r="E5156">
        <v>494</v>
      </c>
      <c r="F5156" t="str">
        <f>HYPERLINK("https://www.google.com/maps/search/?api=1&amp;query=24.53020189,44.27831826", "View Map")</f>
        <v>View Map</v>
      </c>
      <c r="G5156" s="2">
        <v>0.83077124603713259</v>
      </c>
    </row>
    <row r="5157" spans="1:7" x14ac:dyDescent="0.3">
      <c r="A5157" t="s">
        <v>8867</v>
      </c>
      <c r="B5157" t="s">
        <v>8868</v>
      </c>
      <c r="C5157" t="s">
        <v>21</v>
      </c>
      <c r="D5157">
        <v>1.544</v>
      </c>
      <c r="E5157">
        <v>494</v>
      </c>
      <c r="F5157" t="str">
        <f>HYPERLINK("https://www.google.com/maps/search/?api=1&amp;query=26.30538008,44.82100991", "View Map")</f>
        <v>View Map</v>
      </c>
      <c r="G5157" s="2">
        <v>0.35285095429929803</v>
      </c>
    </row>
    <row r="5158" spans="1:7" x14ac:dyDescent="0.3">
      <c r="A5158" t="s">
        <v>8869</v>
      </c>
      <c r="B5158" t="s">
        <v>8870</v>
      </c>
      <c r="C5158" t="s">
        <v>393</v>
      </c>
      <c r="D5158">
        <v>1.544</v>
      </c>
      <c r="E5158">
        <v>494</v>
      </c>
      <c r="F5158" t="str">
        <f>HYPERLINK("https://www.google.com/maps/search/?api=1&amp;query=22.97482144,45.44647989", "View Map")</f>
        <v>View Map</v>
      </c>
      <c r="G5158" s="2">
        <v>0.81617917680980168</v>
      </c>
    </row>
    <row r="5159" spans="1:7" x14ac:dyDescent="0.3">
      <c r="A5159" t="s">
        <v>46</v>
      </c>
      <c r="B5159" t="s">
        <v>8871</v>
      </c>
      <c r="C5159" t="s">
        <v>8</v>
      </c>
      <c r="D5159">
        <v>1.542</v>
      </c>
      <c r="E5159">
        <v>493</v>
      </c>
      <c r="F5159" t="str">
        <f>HYPERLINK("https://www.google.com/maps/search/?api=1&amp;query=24.82437239,46.59852622", "View Map")</f>
        <v>View Map</v>
      </c>
    </row>
    <row r="5160" spans="1:7" x14ac:dyDescent="0.3">
      <c r="A5160" t="s">
        <v>8872</v>
      </c>
      <c r="B5160" t="s">
        <v>8873</v>
      </c>
      <c r="C5160" t="s">
        <v>30</v>
      </c>
      <c r="D5160">
        <v>1.542</v>
      </c>
      <c r="E5160">
        <v>493</v>
      </c>
      <c r="F5160" t="str">
        <f>HYPERLINK("https://www.google.com/maps/search/?api=1&amp;query=24.18638962,47.29297594", "View Map")</f>
        <v>View Map</v>
      </c>
    </row>
    <row r="5161" spans="1:7" x14ac:dyDescent="0.3">
      <c r="A5161" t="s">
        <v>8874</v>
      </c>
      <c r="B5161" t="s">
        <v>8875</v>
      </c>
      <c r="C5161" t="s">
        <v>393</v>
      </c>
      <c r="D5161">
        <v>1.542</v>
      </c>
      <c r="E5161">
        <v>493</v>
      </c>
      <c r="F5161" t="str">
        <f>HYPERLINK("https://www.google.com/maps/search/?api=1&amp;query=22.75556498,44.92774773", "View Map")</f>
        <v>View Map</v>
      </c>
      <c r="G5161" s="2">
        <v>0.79035654734638716</v>
      </c>
    </row>
    <row r="5162" spans="1:7" x14ac:dyDescent="0.3">
      <c r="A5162" t="s">
        <v>8876</v>
      </c>
      <c r="B5162" t="s">
        <v>8877</v>
      </c>
      <c r="C5162" t="s">
        <v>255</v>
      </c>
      <c r="D5162">
        <v>1.5409999999999999</v>
      </c>
      <c r="E5162">
        <v>493</v>
      </c>
      <c r="F5162" t="str">
        <f>HYPERLINK("https://www.google.com/maps/search/?api=1&amp;query=24.51529327,44.40664968", "View Map")</f>
        <v>View Map</v>
      </c>
    </row>
    <row r="5163" spans="1:7" x14ac:dyDescent="0.3">
      <c r="A5163" t="s">
        <v>8878</v>
      </c>
      <c r="B5163" t="s">
        <v>8879</v>
      </c>
      <c r="C5163" t="s">
        <v>16</v>
      </c>
      <c r="D5163">
        <v>1.5409999999999999</v>
      </c>
      <c r="E5163">
        <v>493</v>
      </c>
      <c r="F5163" t="str">
        <f>HYPERLINK("https://www.google.com/maps/search/?api=1&amp;query=23.87418717,42.90512872", "View Map")</f>
        <v>View Map</v>
      </c>
    </row>
    <row r="5164" spans="1:7" x14ac:dyDescent="0.3">
      <c r="A5164" t="s">
        <v>8880</v>
      </c>
      <c r="B5164" t="s">
        <v>8881</v>
      </c>
      <c r="C5164" t="s">
        <v>255</v>
      </c>
      <c r="D5164">
        <v>1.5409999999999999</v>
      </c>
      <c r="E5164">
        <v>493</v>
      </c>
      <c r="F5164" t="str">
        <f>HYPERLINK("https://www.google.com/maps/search/?api=1&amp;query=24.59975,43.53307639", "View Map")</f>
        <v>View Map</v>
      </c>
      <c r="G5164" s="2">
        <v>0.69932958113475574</v>
      </c>
    </row>
    <row r="5165" spans="1:7" x14ac:dyDescent="0.3">
      <c r="A5165" t="s">
        <v>8882</v>
      </c>
      <c r="B5165" t="s">
        <v>8883</v>
      </c>
      <c r="C5165" t="s">
        <v>393</v>
      </c>
      <c r="D5165">
        <v>1.5409999999999999</v>
      </c>
      <c r="E5165">
        <v>493</v>
      </c>
      <c r="F5165" t="str">
        <f>HYPERLINK("https://www.google.com/maps/search/?api=1&amp;query=23.29451198,45.16536592", "View Map")</f>
        <v>View Map</v>
      </c>
      <c r="G5165" s="2">
        <v>0.39652525991449689</v>
      </c>
    </row>
    <row r="5166" spans="1:7" x14ac:dyDescent="0.3">
      <c r="A5166" t="s">
        <v>8884</v>
      </c>
      <c r="B5166" t="s">
        <v>8885</v>
      </c>
      <c r="C5166" t="s">
        <v>291</v>
      </c>
      <c r="D5166">
        <v>1.5409999999999999</v>
      </c>
      <c r="E5166">
        <v>493</v>
      </c>
      <c r="F5166" t="str">
        <f>HYPERLINK("https://www.google.com/maps/search/?api=1&amp;query=24.26124115,44.81552931", "View Map")</f>
        <v>View Map</v>
      </c>
      <c r="G5166" s="2">
        <v>0.6929450841517566</v>
      </c>
    </row>
    <row r="5167" spans="1:7" x14ac:dyDescent="0.3">
      <c r="A5167" t="s">
        <v>46</v>
      </c>
      <c r="B5167" t="s">
        <v>8886</v>
      </c>
      <c r="C5167" t="s">
        <v>8</v>
      </c>
      <c r="D5167">
        <v>1.54</v>
      </c>
      <c r="E5167">
        <v>493</v>
      </c>
      <c r="F5167" t="str">
        <f>HYPERLINK("https://www.google.com/maps/search/?api=1&amp;query=24.74941284,46.75568755", "View Map")</f>
        <v>View Map</v>
      </c>
    </row>
    <row r="5168" spans="1:7" x14ac:dyDescent="0.3">
      <c r="A5168" t="s">
        <v>8887</v>
      </c>
      <c r="B5168" t="s">
        <v>8888</v>
      </c>
      <c r="C5168" t="s">
        <v>214</v>
      </c>
      <c r="D5168">
        <v>1.54</v>
      </c>
      <c r="E5168">
        <v>493</v>
      </c>
      <c r="F5168" t="str">
        <f>HYPERLINK("https://www.google.com/maps/search/?api=1&amp;query=25.69824467,45.88051889", "View Map")</f>
        <v>View Map</v>
      </c>
      <c r="G5168" s="2">
        <v>0.45051343821501721</v>
      </c>
    </row>
    <row r="5169" spans="1:7" x14ac:dyDescent="0.3">
      <c r="A5169" t="s">
        <v>8889</v>
      </c>
      <c r="B5169" t="s">
        <v>8890</v>
      </c>
      <c r="C5169" t="s">
        <v>21</v>
      </c>
      <c r="D5169">
        <v>1.5389999999999999</v>
      </c>
      <c r="E5169">
        <v>493</v>
      </c>
      <c r="F5169" t="str">
        <f>HYPERLINK("https://www.google.com/maps/search/?api=1&amp;query=26.32214501,44.82168365", "View Map")</f>
        <v>View Map</v>
      </c>
    </row>
    <row r="5170" spans="1:7" x14ac:dyDescent="0.3">
      <c r="A5170" t="s">
        <v>8891</v>
      </c>
      <c r="B5170" t="s">
        <v>8892</v>
      </c>
      <c r="C5170" t="s">
        <v>30</v>
      </c>
      <c r="D5170">
        <v>1.5389999999999999</v>
      </c>
      <c r="E5170">
        <v>492</v>
      </c>
      <c r="F5170" t="str">
        <f>HYPERLINK("https://www.google.com/maps/search/?api=1&amp;query=24.22441099,47.21505509", "View Map")</f>
        <v>View Map</v>
      </c>
      <c r="G5170" s="2">
        <v>0.39806788794468129</v>
      </c>
    </row>
    <row r="5171" spans="1:7" x14ac:dyDescent="0.3">
      <c r="A5171" t="s">
        <v>8893</v>
      </c>
      <c r="B5171" t="s">
        <v>8894</v>
      </c>
      <c r="C5171" t="s">
        <v>55</v>
      </c>
      <c r="D5171">
        <v>1.5389999999999999</v>
      </c>
      <c r="E5171">
        <v>492</v>
      </c>
      <c r="F5171" t="str">
        <f>HYPERLINK("https://www.google.com/maps/search/?api=1&amp;query=24.89570597,46.39443062", "View Map")</f>
        <v>View Map</v>
      </c>
      <c r="G5171" s="2">
        <v>0.95021239659576762</v>
      </c>
    </row>
    <row r="5172" spans="1:7" x14ac:dyDescent="0.3">
      <c r="A5172" t="s">
        <v>8895</v>
      </c>
      <c r="B5172" t="s">
        <v>8896</v>
      </c>
      <c r="C5172" t="s">
        <v>241</v>
      </c>
      <c r="D5172">
        <v>1.5389999999999999</v>
      </c>
      <c r="E5172">
        <v>493</v>
      </c>
      <c r="F5172" t="str">
        <f>HYPERLINK("https://www.google.com/maps/search/?api=1&amp;query=20.41568369,44.73849208", "View Map")</f>
        <v>View Map</v>
      </c>
      <c r="G5172" s="2">
        <v>0.67968447200061421</v>
      </c>
    </row>
    <row r="5173" spans="1:7" x14ac:dyDescent="0.3">
      <c r="A5173" t="s">
        <v>8897</v>
      </c>
      <c r="B5173" t="s">
        <v>8898</v>
      </c>
      <c r="C5173" t="s">
        <v>30</v>
      </c>
      <c r="D5173">
        <v>1.538</v>
      </c>
      <c r="E5173">
        <v>492</v>
      </c>
      <c r="F5173" t="str">
        <f>HYPERLINK("https://www.google.com/maps/search/?api=1&amp;query=24.14706819,47.35255476", "View Map")</f>
        <v>View Map</v>
      </c>
    </row>
    <row r="5174" spans="1:7" x14ac:dyDescent="0.3">
      <c r="A5174" t="s">
        <v>8899</v>
      </c>
      <c r="B5174" t="s">
        <v>8900</v>
      </c>
      <c r="C5174" t="s">
        <v>8</v>
      </c>
      <c r="D5174">
        <v>1.538</v>
      </c>
      <c r="E5174">
        <v>492</v>
      </c>
      <c r="F5174" t="str">
        <f>HYPERLINK("https://www.google.com/maps/search/?api=1&amp;query=24.55758165,46.78406404", "View Map")</f>
        <v>View Map</v>
      </c>
    </row>
    <row r="5175" spans="1:7" x14ac:dyDescent="0.3">
      <c r="A5175" t="s">
        <v>8901</v>
      </c>
      <c r="B5175" t="s">
        <v>8902</v>
      </c>
      <c r="C5175" t="s">
        <v>8</v>
      </c>
      <c r="D5175">
        <v>1.538</v>
      </c>
      <c r="E5175">
        <v>492</v>
      </c>
      <c r="F5175" t="str">
        <f>HYPERLINK("https://www.google.com/maps/search/?api=1&amp;query=24.59168432,46.71777495", "View Map")</f>
        <v>View Map</v>
      </c>
    </row>
    <row r="5176" spans="1:7" x14ac:dyDescent="0.3">
      <c r="A5176" t="s">
        <v>8903</v>
      </c>
      <c r="B5176" t="s">
        <v>8904</v>
      </c>
      <c r="C5176" t="s">
        <v>21</v>
      </c>
      <c r="D5176">
        <v>1.538</v>
      </c>
      <c r="E5176">
        <v>492</v>
      </c>
      <c r="F5176" t="str">
        <f>HYPERLINK("https://www.google.com/maps/search/?api=1&amp;query=26.29443567,44.79700693", "View Map")</f>
        <v>View Map</v>
      </c>
    </row>
    <row r="5177" spans="1:7" x14ac:dyDescent="0.3">
      <c r="A5177" t="s">
        <v>8905</v>
      </c>
      <c r="B5177" t="s">
        <v>8906</v>
      </c>
      <c r="C5177" t="s">
        <v>296</v>
      </c>
      <c r="D5177">
        <v>1.5369999999999999</v>
      </c>
      <c r="E5177">
        <v>492</v>
      </c>
      <c r="F5177" t="str">
        <f>HYPERLINK("https://www.google.com/maps/search/?api=1&amp;query=24.47553407,46.24784001", "View Map")</f>
        <v>View Map</v>
      </c>
      <c r="G5177" s="2">
        <v>0.51279275120973167</v>
      </c>
    </row>
    <row r="5178" spans="1:7" x14ac:dyDescent="0.3">
      <c r="A5178" t="s">
        <v>8907</v>
      </c>
      <c r="B5178" t="s">
        <v>8908</v>
      </c>
      <c r="C5178" t="s">
        <v>286</v>
      </c>
      <c r="D5178">
        <v>1.5369999999999999</v>
      </c>
      <c r="E5178">
        <v>492</v>
      </c>
      <c r="F5178" t="str">
        <f>HYPERLINK("https://www.google.com/maps/search/?api=1&amp;query=25.24228091,45.25209718", "View Map")</f>
        <v>View Map</v>
      </c>
    </row>
    <row r="5179" spans="1:7" x14ac:dyDescent="0.3">
      <c r="A5179" t="s">
        <v>146</v>
      </c>
      <c r="B5179" t="s">
        <v>8909</v>
      </c>
      <c r="C5179" t="s">
        <v>8</v>
      </c>
      <c r="D5179">
        <v>1.5369999999999999</v>
      </c>
      <c r="E5179">
        <v>492</v>
      </c>
      <c r="F5179" t="str">
        <f>HYPERLINK("https://www.google.com/maps/search/?api=1&amp;query=24.59,46.7", "View Map")</f>
        <v>View Map</v>
      </c>
    </row>
    <row r="5180" spans="1:7" x14ac:dyDescent="0.3">
      <c r="A5180" t="s">
        <v>4835</v>
      </c>
      <c r="B5180" t="s">
        <v>8910</v>
      </c>
      <c r="C5180" t="s">
        <v>8</v>
      </c>
      <c r="D5180">
        <v>1.536</v>
      </c>
      <c r="E5180">
        <v>491</v>
      </c>
      <c r="F5180" t="str">
        <f>HYPERLINK("https://www.google.com/maps/search/?api=1&amp;query=24.67877319,46.77162856", "View Map")</f>
        <v>View Map</v>
      </c>
    </row>
    <row r="5181" spans="1:7" x14ac:dyDescent="0.3">
      <c r="A5181" t="s">
        <v>8911</v>
      </c>
      <c r="B5181" t="s">
        <v>8912</v>
      </c>
      <c r="C5181" t="s">
        <v>8</v>
      </c>
      <c r="D5181">
        <v>1.536</v>
      </c>
      <c r="E5181">
        <v>492</v>
      </c>
      <c r="F5181" t="str">
        <f>HYPERLINK("https://www.google.com/maps/search/?api=1&amp;query=24.56685625,46.77121183", "View Map")</f>
        <v>View Map</v>
      </c>
    </row>
    <row r="5182" spans="1:7" x14ac:dyDescent="0.3">
      <c r="A5182" t="s">
        <v>8913</v>
      </c>
      <c r="B5182" t="s">
        <v>8914</v>
      </c>
      <c r="C5182" t="s">
        <v>8</v>
      </c>
      <c r="D5182">
        <v>1.536</v>
      </c>
      <c r="E5182">
        <v>492</v>
      </c>
      <c r="F5182" t="str">
        <f>HYPERLINK("https://www.google.com/maps/search/?api=1&amp;query=24.76615888,46.70065001", "View Map")</f>
        <v>View Map</v>
      </c>
    </row>
    <row r="5183" spans="1:7" x14ac:dyDescent="0.3">
      <c r="A5183" t="s">
        <v>8915</v>
      </c>
      <c r="B5183" t="s">
        <v>8916</v>
      </c>
      <c r="C5183" t="s">
        <v>8</v>
      </c>
      <c r="D5183">
        <v>1.5349999999999999</v>
      </c>
      <c r="E5183">
        <v>491</v>
      </c>
      <c r="F5183" t="str">
        <f>HYPERLINK("https://www.google.com/maps/search/?api=1&amp;query=24.56762563,46.63359201", "View Map")</f>
        <v>View Map</v>
      </c>
    </row>
    <row r="5184" spans="1:7" x14ac:dyDescent="0.3">
      <c r="A5184" t="s">
        <v>8917</v>
      </c>
      <c r="B5184" t="s">
        <v>8918</v>
      </c>
      <c r="C5184" t="s">
        <v>255</v>
      </c>
      <c r="D5184">
        <v>1.5349999999999999</v>
      </c>
      <c r="E5184">
        <v>491</v>
      </c>
      <c r="F5184" t="str">
        <f>HYPERLINK("https://www.google.com/maps/search/?api=1&amp;query=25.07899236,44.61324798", "View Map")</f>
        <v>View Map</v>
      </c>
    </row>
    <row r="5185" spans="1:7" x14ac:dyDescent="0.3">
      <c r="A5185" t="s">
        <v>8919</v>
      </c>
      <c r="B5185" t="s">
        <v>8920</v>
      </c>
      <c r="C5185" t="s">
        <v>8</v>
      </c>
      <c r="D5185">
        <v>1.5349999999999999</v>
      </c>
      <c r="E5185">
        <v>491</v>
      </c>
      <c r="F5185" t="str">
        <f>HYPERLINK("https://www.google.com/maps/search/?api=1&amp;query=24.56217063,46.63502891", "View Map")</f>
        <v>View Map</v>
      </c>
    </row>
    <row r="5186" spans="1:7" x14ac:dyDescent="0.3">
      <c r="A5186" t="s">
        <v>8921</v>
      </c>
      <c r="B5186" t="s">
        <v>8922</v>
      </c>
      <c r="C5186" t="s">
        <v>270</v>
      </c>
      <c r="D5186">
        <v>1.534</v>
      </c>
      <c r="E5186">
        <v>491</v>
      </c>
      <c r="F5186" t="str">
        <f>HYPERLINK("https://www.google.com/maps/search/?api=1&amp;query=24.07673254,47.1646963", "View Map")</f>
        <v>View Map</v>
      </c>
    </row>
    <row r="5187" spans="1:7" x14ac:dyDescent="0.3">
      <c r="A5187" t="s">
        <v>8923</v>
      </c>
      <c r="B5187" t="s">
        <v>8924</v>
      </c>
      <c r="C5187" t="s">
        <v>21</v>
      </c>
      <c r="D5187">
        <v>1.534</v>
      </c>
      <c r="E5187">
        <v>491</v>
      </c>
      <c r="F5187" t="str">
        <f>HYPERLINK("https://www.google.com/maps/search/?api=1&amp;query=26.26342493,44.80690636", "View Map")</f>
        <v>View Map</v>
      </c>
      <c r="G5187" s="2">
        <v>0.5280045357738381</v>
      </c>
    </row>
    <row r="5188" spans="1:7" x14ac:dyDescent="0.3">
      <c r="A5188" t="s">
        <v>8925</v>
      </c>
      <c r="B5188" t="s">
        <v>8926</v>
      </c>
      <c r="C5188" t="s">
        <v>8</v>
      </c>
      <c r="D5188">
        <v>1.534</v>
      </c>
      <c r="E5188">
        <v>491</v>
      </c>
      <c r="F5188" t="str">
        <f>HYPERLINK("https://www.google.com/maps/search/?api=1&amp;query=24.54121612,46.70633346", "View Map")</f>
        <v>View Map</v>
      </c>
    </row>
    <row r="5189" spans="1:7" x14ac:dyDescent="0.3">
      <c r="A5189" t="s">
        <v>8927</v>
      </c>
      <c r="B5189" t="s">
        <v>8928</v>
      </c>
      <c r="C5189" t="s">
        <v>8</v>
      </c>
      <c r="D5189">
        <v>1.534</v>
      </c>
      <c r="E5189">
        <v>491</v>
      </c>
      <c r="F5189" t="str">
        <f>HYPERLINK("https://www.google.com/maps/search/?api=1&amp;query=24.59048086,46.63762672", "View Map")</f>
        <v>View Map</v>
      </c>
    </row>
    <row r="5190" spans="1:7" x14ac:dyDescent="0.3">
      <c r="A5190" t="s">
        <v>8929</v>
      </c>
      <c r="B5190" t="s">
        <v>8930</v>
      </c>
      <c r="C5190" t="s">
        <v>8</v>
      </c>
      <c r="D5190">
        <v>1.534</v>
      </c>
      <c r="E5190">
        <v>491</v>
      </c>
      <c r="F5190" t="str">
        <f>HYPERLINK("https://www.google.com/maps/search/?api=1&amp;query=24.58672745,46.53021536", "View Map")</f>
        <v>View Map</v>
      </c>
    </row>
    <row r="5191" spans="1:7" x14ac:dyDescent="0.3">
      <c r="A5191" t="s">
        <v>46</v>
      </c>
      <c r="B5191" t="s">
        <v>8931</v>
      </c>
      <c r="C5191" t="s">
        <v>8</v>
      </c>
      <c r="D5191">
        <v>1.534</v>
      </c>
      <c r="E5191">
        <v>491</v>
      </c>
      <c r="F5191" t="str">
        <f>HYPERLINK("https://www.google.com/maps/search/?api=1&amp;query=24.68382281,46.58055853", "View Map")</f>
        <v>View Map</v>
      </c>
    </row>
    <row r="5192" spans="1:7" x14ac:dyDescent="0.3">
      <c r="A5192" t="s">
        <v>8932</v>
      </c>
      <c r="B5192" t="s">
        <v>8933</v>
      </c>
      <c r="C5192" t="s">
        <v>8</v>
      </c>
      <c r="D5192">
        <v>1.5329999999999999</v>
      </c>
      <c r="E5192">
        <v>491</v>
      </c>
      <c r="F5192" t="str">
        <f>HYPERLINK("https://www.google.com/maps/search/?api=1&amp;query=24.57693058,46.53822944", "View Map")</f>
        <v>View Map</v>
      </c>
    </row>
    <row r="5193" spans="1:7" x14ac:dyDescent="0.3">
      <c r="A5193" t="s">
        <v>8934</v>
      </c>
      <c r="B5193" t="s">
        <v>8935</v>
      </c>
      <c r="C5193" t="s">
        <v>8</v>
      </c>
      <c r="D5193">
        <v>1.5329999999999999</v>
      </c>
      <c r="E5193">
        <v>490</v>
      </c>
      <c r="F5193" t="str">
        <f>HYPERLINK("https://www.google.com/maps/search/?api=1&amp;query=24.77136308,46.61343257", "View Map")</f>
        <v>View Map</v>
      </c>
    </row>
    <row r="5194" spans="1:7" x14ac:dyDescent="0.3">
      <c r="A5194" t="s">
        <v>28</v>
      </c>
      <c r="B5194" t="s">
        <v>8936</v>
      </c>
      <c r="C5194" t="s">
        <v>30</v>
      </c>
      <c r="D5194">
        <v>1.5329999999999999</v>
      </c>
      <c r="E5194">
        <v>491</v>
      </c>
      <c r="F5194" t="str">
        <f>HYPERLINK("https://www.google.com/maps/search/?api=1&amp;query=24.0945035,47.27503035", "View Map")</f>
        <v>View Map</v>
      </c>
    </row>
    <row r="5195" spans="1:7" x14ac:dyDescent="0.3">
      <c r="A5195" t="s">
        <v>8937</v>
      </c>
      <c r="B5195" t="s">
        <v>8938</v>
      </c>
      <c r="C5195" t="s">
        <v>270</v>
      </c>
      <c r="D5195">
        <v>1.532</v>
      </c>
      <c r="E5195">
        <v>490</v>
      </c>
      <c r="F5195" t="str">
        <f>HYPERLINK("https://www.google.com/maps/search/?api=1&amp;query=23.98908146,47.16605428", "View Map")</f>
        <v>View Map</v>
      </c>
    </row>
    <row r="5196" spans="1:7" x14ac:dyDescent="0.3">
      <c r="A5196" t="s">
        <v>5199</v>
      </c>
      <c r="B5196" t="s">
        <v>8939</v>
      </c>
      <c r="C5196" t="s">
        <v>137</v>
      </c>
      <c r="D5196">
        <v>1.532</v>
      </c>
      <c r="E5196">
        <v>490</v>
      </c>
      <c r="F5196" t="str">
        <f>HYPERLINK("https://www.google.com/maps/search/?api=1&amp;query=23.49069524,46.87436373", "View Map")</f>
        <v>View Map</v>
      </c>
    </row>
    <row r="5197" spans="1:7" x14ac:dyDescent="0.3">
      <c r="A5197" t="s">
        <v>4522</v>
      </c>
      <c r="B5197" t="s">
        <v>8940</v>
      </c>
      <c r="C5197" t="s">
        <v>8</v>
      </c>
      <c r="D5197">
        <v>1.5309999999999999</v>
      </c>
      <c r="E5197">
        <v>490</v>
      </c>
      <c r="F5197" t="str">
        <f>HYPERLINK("https://www.google.com/maps/search/?api=1&amp;query=24.68012154,46.74429679", "View Map")</f>
        <v>View Map</v>
      </c>
    </row>
    <row r="5198" spans="1:7" x14ac:dyDescent="0.3">
      <c r="A5198" t="s">
        <v>8941</v>
      </c>
      <c r="B5198" t="s">
        <v>8942</v>
      </c>
      <c r="C5198" t="s">
        <v>30</v>
      </c>
      <c r="D5198">
        <v>1.5309999999999999</v>
      </c>
      <c r="E5198">
        <v>490</v>
      </c>
      <c r="F5198" t="str">
        <f>HYPERLINK("https://www.google.com/maps/search/?api=1&amp;query=24.14462773,47.29537555", "View Map")</f>
        <v>View Map</v>
      </c>
    </row>
    <row r="5199" spans="1:7" x14ac:dyDescent="0.3">
      <c r="A5199" t="s">
        <v>150</v>
      </c>
      <c r="B5199" t="s">
        <v>8943</v>
      </c>
      <c r="C5199" t="s">
        <v>8</v>
      </c>
      <c r="D5199">
        <v>1.5309999999999999</v>
      </c>
      <c r="E5199">
        <v>490</v>
      </c>
      <c r="F5199" t="str">
        <f>HYPERLINK("https://www.google.com/maps/search/?api=1&amp;query=24.80864369,46.84182029", "View Map")</f>
        <v>View Map</v>
      </c>
    </row>
    <row r="5200" spans="1:7" x14ac:dyDescent="0.3">
      <c r="A5200" t="s">
        <v>8944</v>
      </c>
      <c r="B5200" t="s">
        <v>8945</v>
      </c>
      <c r="C5200" t="s">
        <v>137</v>
      </c>
      <c r="D5200">
        <v>1.53</v>
      </c>
      <c r="E5200">
        <v>490</v>
      </c>
      <c r="F5200" t="str">
        <f>HYPERLINK("https://www.google.com/maps/search/?api=1&amp;query=23.44062939,46.78399949", "View Map")</f>
        <v>View Map</v>
      </c>
    </row>
    <row r="5201" spans="1:7" x14ac:dyDescent="0.3">
      <c r="A5201" t="s">
        <v>8946</v>
      </c>
      <c r="B5201" t="s">
        <v>8947</v>
      </c>
      <c r="C5201" t="s">
        <v>16</v>
      </c>
      <c r="D5201">
        <v>1.5289999999999999</v>
      </c>
      <c r="E5201">
        <v>489</v>
      </c>
      <c r="F5201" t="str">
        <f>HYPERLINK("https://www.google.com/maps/search/?api=1&amp;query=24.0248851,43.05213037", "View Map")</f>
        <v>View Map</v>
      </c>
      <c r="G5201" s="2">
        <v>0.19421375613407921</v>
      </c>
    </row>
    <row r="5202" spans="1:7" x14ac:dyDescent="0.3">
      <c r="A5202" t="s">
        <v>8948</v>
      </c>
      <c r="B5202" t="s">
        <v>8949</v>
      </c>
      <c r="C5202" t="s">
        <v>255</v>
      </c>
      <c r="D5202">
        <v>1.528</v>
      </c>
      <c r="E5202">
        <v>489</v>
      </c>
      <c r="F5202" t="str">
        <f>HYPERLINK("https://www.google.com/maps/search/?api=1&amp;query=25.18516689,44.60081922", "View Map")</f>
        <v>View Map</v>
      </c>
    </row>
    <row r="5203" spans="1:7" x14ac:dyDescent="0.3">
      <c r="A5203" t="s">
        <v>46</v>
      </c>
      <c r="B5203" t="s">
        <v>8950</v>
      </c>
      <c r="C5203" t="s">
        <v>8</v>
      </c>
      <c r="D5203">
        <v>1.528</v>
      </c>
      <c r="E5203">
        <v>489</v>
      </c>
      <c r="F5203" t="str">
        <f>HYPERLINK("https://www.google.com/maps/search/?api=1&amp;query=24.83945816,46.76052188", "View Map")</f>
        <v>View Map</v>
      </c>
    </row>
    <row r="5204" spans="1:7" x14ac:dyDescent="0.3">
      <c r="A5204" t="s">
        <v>8951</v>
      </c>
      <c r="B5204" t="s">
        <v>8952</v>
      </c>
      <c r="C5204" t="s">
        <v>30</v>
      </c>
      <c r="D5204">
        <v>1.5269999999999999</v>
      </c>
      <c r="E5204">
        <v>489</v>
      </c>
      <c r="F5204" t="str">
        <f>HYPERLINK("https://www.google.com/maps/search/?api=1&amp;query=24.11237408,47.28871727", "View Map")</f>
        <v>View Map</v>
      </c>
    </row>
    <row r="5205" spans="1:7" x14ac:dyDescent="0.3">
      <c r="A5205" t="s">
        <v>6643</v>
      </c>
      <c r="B5205" t="s">
        <v>8953</v>
      </c>
      <c r="C5205" t="s">
        <v>8</v>
      </c>
      <c r="D5205">
        <v>1.5269999999999999</v>
      </c>
      <c r="E5205">
        <v>489</v>
      </c>
      <c r="F5205" t="str">
        <f>HYPERLINK("https://www.google.com/maps/search/?api=1&amp;query=24.54571948,46.73362385", "View Map")</f>
        <v>View Map</v>
      </c>
    </row>
    <row r="5206" spans="1:7" x14ac:dyDescent="0.3">
      <c r="A5206" t="s">
        <v>576</v>
      </c>
      <c r="B5206" t="s">
        <v>8954</v>
      </c>
      <c r="C5206" t="s">
        <v>8</v>
      </c>
      <c r="D5206">
        <v>1.5269999999999999</v>
      </c>
      <c r="E5206">
        <v>489</v>
      </c>
      <c r="F5206" t="str">
        <f>HYPERLINK("https://www.google.com/maps/search/?api=1&amp;query=24.52801392,46.69378168", "View Map")</f>
        <v>View Map</v>
      </c>
    </row>
    <row r="5207" spans="1:7" x14ac:dyDescent="0.3">
      <c r="A5207" t="s">
        <v>8955</v>
      </c>
      <c r="B5207" t="s">
        <v>8956</v>
      </c>
      <c r="C5207" t="s">
        <v>241</v>
      </c>
      <c r="D5207">
        <v>1.5269999999999999</v>
      </c>
      <c r="E5207">
        <v>489</v>
      </c>
      <c r="F5207" t="str">
        <f>HYPERLINK("https://www.google.com/maps/search/?api=1&amp;query=20.46775522,44.79768128", "View Map")</f>
        <v>View Map</v>
      </c>
    </row>
    <row r="5208" spans="1:7" x14ac:dyDescent="0.3">
      <c r="A5208" t="s">
        <v>8957</v>
      </c>
      <c r="B5208" t="s">
        <v>8958</v>
      </c>
      <c r="C5208" t="s">
        <v>270</v>
      </c>
      <c r="D5208">
        <v>1.526</v>
      </c>
      <c r="E5208">
        <v>488</v>
      </c>
      <c r="F5208" t="str">
        <f>HYPERLINK("https://www.google.com/maps/search/?api=1&amp;query=24.09556949,47.17251186", "View Map")</f>
        <v>View Map</v>
      </c>
      <c r="G5208" s="2">
        <v>0.50607363445760223</v>
      </c>
    </row>
    <row r="5209" spans="1:7" x14ac:dyDescent="0.3">
      <c r="A5209" t="s">
        <v>8959</v>
      </c>
      <c r="B5209" t="s">
        <v>8960</v>
      </c>
      <c r="C5209" t="s">
        <v>8</v>
      </c>
      <c r="D5209">
        <v>1.526</v>
      </c>
      <c r="E5209">
        <v>488</v>
      </c>
      <c r="F5209" t="str">
        <f>HYPERLINK("https://www.google.com/maps/search/?api=1&amp;query=24.790299,46.67507852", "View Map")</f>
        <v>View Map</v>
      </c>
    </row>
    <row r="5210" spans="1:7" x14ac:dyDescent="0.3">
      <c r="A5210" t="s">
        <v>46</v>
      </c>
      <c r="B5210" t="s">
        <v>8961</v>
      </c>
      <c r="C5210" t="s">
        <v>8</v>
      </c>
      <c r="D5210">
        <v>1.526</v>
      </c>
      <c r="E5210">
        <v>488</v>
      </c>
      <c r="F5210" t="str">
        <f>HYPERLINK("https://www.google.com/maps/search/?api=1&amp;query=24.54706779,46.77594952", "View Map")</f>
        <v>View Map</v>
      </c>
    </row>
    <row r="5211" spans="1:7" x14ac:dyDescent="0.3">
      <c r="A5211" t="s">
        <v>411</v>
      </c>
      <c r="B5211" t="s">
        <v>8962</v>
      </c>
      <c r="C5211" t="s">
        <v>77</v>
      </c>
      <c r="D5211">
        <v>1.5249999999999999</v>
      </c>
      <c r="E5211">
        <v>488</v>
      </c>
      <c r="F5211" t="str">
        <f>HYPERLINK("https://www.google.com/maps/search/?api=1&amp;query=21.99632161,45.97248855", "View Map")</f>
        <v>View Map</v>
      </c>
    </row>
    <row r="5212" spans="1:7" x14ac:dyDescent="0.3">
      <c r="A5212" t="s">
        <v>380</v>
      </c>
      <c r="B5212" t="s">
        <v>8963</v>
      </c>
      <c r="C5212" t="s">
        <v>214</v>
      </c>
      <c r="D5212">
        <v>1.524</v>
      </c>
      <c r="E5212">
        <v>488</v>
      </c>
      <c r="F5212" t="str">
        <f>HYPERLINK("https://www.google.com/maps/search/?api=1&amp;query=25.69692523,45.88059974", "View Map")</f>
        <v>View Map</v>
      </c>
    </row>
    <row r="5213" spans="1:7" x14ac:dyDescent="0.3">
      <c r="A5213" t="s">
        <v>8964</v>
      </c>
      <c r="B5213" t="s">
        <v>8965</v>
      </c>
      <c r="C5213" t="s">
        <v>8</v>
      </c>
      <c r="D5213">
        <v>1.524</v>
      </c>
      <c r="E5213">
        <v>488</v>
      </c>
      <c r="F5213" t="str">
        <f>HYPERLINK("https://www.google.com/maps/search/?api=1&amp;query=24.5854572,46.53563757", "View Map")</f>
        <v>View Map</v>
      </c>
    </row>
    <row r="5214" spans="1:7" x14ac:dyDescent="0.3">
      <c r="A5214" t="s">
        <v>8966</v>
      </c>
      <c r="B5214" t="s">
        <v>8967</v>
      </c>
      <c r="C5214" t="s">
        <v>8</v>
      </c>
      <c r="D5214">
        <v>1.524</v>
      </c>
      <c r="E5214">
        <v>488</v>
      </c>
      <c r="F5214" t="str">
        <f>HYPERLINK("https://www.google.com/maps/search/?api=1&amp;query=24.54896168,46.71110261", "View Map")</f>
        <v>View Map</v>
      </c>
    </row>
    <row r="5215" spans="1:7" x14ac:dyDescent="0.3">
      <c r="A5215" t="s">
        <v>385</v>
      </c>
      <c r="B5215" t="s">
        <v>8968</v>
      </c>
      <c r="C5215" t="s">
        <v>255</v>
      </c>
      <c r="D5215">
        <v>1.524</v>
      </c>
      <c r="E5215">
        <v>488</v>
      </c>
      <c r="F5215" t="str">
        <f>HYPERLINK("https://www.google.com/maps/search/?api=1&amp;query=24.2135803,44.73928016", "View Map")</f>
        <v>View Map</v>
      </c>
      <c r="G5215" s="2">
        <v>0.68616300732645064</v>
      </c>
    </row>
    <row r="5216" spans="1:7" x14ac:dyDescent="0.3">
      <c r="A5216" t="s">
        <v>8969</v>
      </c>
      <c r="B5216" t="s">
        <v>8970</v>
      </c>
      <c r="C5216" t="s">
        <v>8</v>
      </c>
      <c r="D5216">
        <v>1.5229999999999999</v>
      </c>
      <c r="E5216">
        <v>487</v>
      </c>
      <c r="F5216" t="str">
        <f>HYPERLINK("https://www.google.com/maps/search/?api=1&amp;query=24.82615339,46.60718877", "View Map")</f>
        <v>View Map</v>
      </c>
    </row>
    <row r="5217" spans="1:7" x14ac:dyDescent="0.3">
      <c r="A5217" t="s">
        <v>8971</v>
      </c>
      <c r="B5217" t="s">
        <v>8972</v>
      </c>
      <c r="C5217" t="s">
        <v>8</v>
      </c>
      <c r="D5217">
        <v>1.5229999999999999</v>
      </c>
      <c r="E5217">
        <v>487</v>
      </c>
      <c r="F5217" t="str">
        <f>HYPERLINK("https://www.google.com/maps/search/?api=1&amp;query=24.68278566,46.81484869", "View Map")</f>
        <v>View Map</v>
      </c>
    </row>
    <row r="5218" spans="1:7" x14ac:dyDescent="0.3">
      <c r="A5218" t="s">
        <v>678</v>
      </c>
      <c r="B5218" t="s">
        <v>8973</v>
      </c>
      <c r="C5218" t="s">
        <v>21</v>
      </c>
      <c r="D5218">
        <v>1.5229999999999999</v>
      </c>
      <c r="E5218">
        <v>487</v>
      </c>
      <c r="F5218" t="str">
        <f>HYPERLINK("https://www.google.com/maps/search/?api=1&amp;query=26.30577467,44.89516584", "View Map")</f>
        <v>View Map</v>
      </c>
      <c r="G5218" s="2">
        <v>0.43151046038008722</v>
      </c>
    </row>
    <row r="5219" spans="1:7" x14ac:dyDescent="0.3">
      <c r="A5219" t="s">
        <v>8974</v>
      </c>
      <c r="B5219" t="s">
        <v>8975</v>
      </c>
      <c r="C5219" t="s">
        <v>214</v>
      </c>
      <c r="D5219">
        <v>1.5209999999999999</v>
      </c>
      <c r="E5219">
        <v>487</v>
      </c>
      <c r="F5219" t="str">
        <f>HYPERLINK("https://www.google.com/maps/search/?api=1&amp;query=26.14862128,46.15637355", "View Map")</f>
        <v>View Map</v>
      </c>
      <c r="G5219" s="2">
        <v>0.47647233121243399</v>
      </c>
    </row>
    <row r="5220" spans="1:7" x14ac:dyDescent="0.3">
      <c r="A5220" t="s">
        <v>8976</v>
      </c>
      <c r="B5220" t="s">
        <v>8977</v>
      </c>
      <c r="C5220" t="s">
        <v>8</v>
      </c>
      <c r="D5220">
        <v>1.5209999999999999</v>
      </c>
      <c r="E5220">
        <v>487</v>
      </c>
      <c r="F5220" t="str">
        <f>HYPERLINK("https://www.google.com/maps/search/?api=1&amp;query=24.65411653,46.6742242", "View Map")</f>
        <v>View Map</v>
      </c>
    </row>
    <row r="5221" spans="1:7" x14ac:dyDescent="0.3">
      <c r="A5221" t="s">
        <v>8978</v>
      </c>
      <c r="B5221" t="s">
        <v>8979</v>
      </c>
      <c r="C5221" t="s">
        <v>8</v>
      </c>
      <c r="D5221">
        <v>1.5209999999999999</v>
      </c>
      <c r="E5221">
        <v>487</v>
      </c>
      <c r="F5221" t="str">
        <f>HYPERLINK("https://www.google.com/maps/search/?api=1&amp;query=24.60379489,46.59818476", "View Map")</f>
        <v>View Map</v>
      </c>
    </row>
    <row r="5222" spans="1:7" x14ac:dyDescent="0.3">
      <c r="A5222" t="s">
        <v>1391</v>
      </c>
      <c r="B5222" t="s">
        <v>8980</v>
      </c>
      <c r="C5222" t="s">
        <v>8</v>
      </c>
      <c r="D5222">
        <v>1.52</v>
      </c>
      <c r="E5222">
        <v>487</v>
      </c>
      <c r="F5222" t="str">
        <f>HYPERLINK("https://www.google.com/maps/search/?api=1&amp;query=24.75299174,46.83199376", "View Map")</f>
        <v>View Map</v>
      </c>
    </row>
    <row r="5223" spans="1:7" x14ac:dyDescent="0.3">
      <c r="A5223" t="s">
        <v>661</v>
      </c>
      <c r="B5223" t="s">
        <v>8981</v>
      </c>
      <c r="C5223" t="s">
        <v>214</v>
      </c>
      <c r="D5223">
        <v>1.52</v>
      </c>
      <c r="E5223">
        <v>487</v>
      </c>
      <c r="F5223" t="str">
        <f>HYPERLINK("https://www.google.com/maps/search/?api=1&amp;query=25.65081687,45.56503056", "View Map")</f>
        <v>View Map</v>
      </c>
      <c r="G5223" s="2">
        <v>0.6153972569978633</v>
      </c>
    </row>
    <row r="5224" spans="1:7" x14ac:dyDescent="0.3">
      <c r="A5224" t="s">
        <v>8982</v>
      </c>
      <c r="B5224" t="s">
        <v>8983</v>
      </c>
      <c r="C5224" t="s">
        <v>883</v>
      </c>
      <c r="D5224">
        <v>1.52</v>
      </c>
      <c r="E5224">
        <v>486</v>
      </c>
      <c r="F5224" t="str">
        <f>HYPERLINK("https://www.google.com/maps/search/?api=1&amp;query=25.56900054,47.16804724", "View Map")</f>
        <v>View Map</v>
      </c>
    </row>
    <row r="5225" spans="1:7" x14ac:dyDescent="0.3">
      <c r="A5225" t="s">
        <v>8984</v>
      </c>
      <c r="B5225" t="s">
        <v>8985</v>
      </c>
      <c r="C5225" t="s">
        <v>646</v>
      </c>
      <c r="D5225">
        <v>1.52</v>
      </c>
      <c r="E5225">
        <v>486</v>
      </c>
      <c r="F5225" t="str">
        <f>HYPERLINK("https://www.google.com/maps/search/?api=1&amp;query=20.46374862,45.57970005", "View Map")</f>
        <v>View Map</v>
      </c>
    </row>
    <row r="5226" spans="1:7" x14ac:dyDescent="0.3">
      <c r="A5226" t="s">
        <v>8986</v>
      </c>
      <c r="B5226" t="s">
        <v>8987</v>
      </c>
      <c r="C5226" t="s">
        <v>255</v>
      </c>
      <c r="D5226">
        <v>1.5189999999999999</v>
      </c>
      <c r="E5226">
        <v>486</v>
      </c>
      <c r="F5226" t="str">
        <f>HYPERLINK("https://www.google.com/maps/search/?api=1&amp;query=24.70106921,43.70199207", "View Map")</f>
        <v>View Map</v>
      </c>
    </row>
    <row r="5227" spans="1:7" x14ac:dyDescent="0.3">
      <c r="A5227" t="s">
        <v>8988</v>
      </c>
      <c r="B5227" t="s">
        <v>8989</v>
      </c>
      <c r="C5227" t="s">
        <v>291</v>
      </c>
      <c r="D5227">
        <v>1.5189999999999999</v>
      </c>
      <c r="E5227">
        <v>486</v>
      </c>
      <c r="F5227" t="str">
        <f>HYPERLINK("https://www.google.com/maps/search/?api=1&amp;query=24.55576503,45.68443363", "View Map")</f>
        <v>View Map</v>
      </c>
      <c r="G5227" s="2">
        <v>0.28127388438552059</v>
      </c>
    </row>
    <row r="5228" spans="1:7" x14ac:dyDescent="0.3">
      <c r="A5228" t="s">
        <v>8990</v>
      </c>
      <c r="B5228" t="s">
        <v>8991</v>
      </c>
      <c r="C5228" t="s">
        <v>699</v>
      </c>
      <c r="D5228">
        <v>1.5189999999999999</v>
      </c>
      <c r="E5228">
        <v>486</v>
      </c>
      <c r="F5228" t="str">
        <f>HYPERLINK("https://www.google.com/maps/search/?api=1&amp;query=25.118551,45.49273564", "View Map")</f>
        <v>View Map</v>
      </c>
      <c r="G5228" s="2">
        <v>0.63465984467354875</v>
      </c>
    </row>
    <row r="5229" spans="1:7" x14ac:dyDescent="0.3">
      <c r="A5229" t="s">
        <v>8992</v>
      </c>
      <c r="B5229" t="s">
        <v>8993</v>
      </c>
      <c r="C5229" t="s">
        <v>137</v>
      </c>
      <c r="D5229">
        <v>1.5189999999999999</v>
      </c>
      <c r="E5229">
        <v>486</v>
      </c>
      <c r="F5229" t="str">
        <f>HYPERLINK("https://www.google.com/maps/search/?api=1&amp;query=23.49650531,46.82099913", "View Map")</f>
        <v>View Map</v>
      </c>
      <c r="G5229" s="2">
        <v>0.7209358543742127</v>
      </c>
    </row>
    <row r="5230" spans="1:7" x14ac:dyDescent="0.3">
      <c r="A5230" t="s">
        <v>8994</v>
      </c>
      <c r="B5230" t="s">
        <v>8995</v>
      </c>
      <c r="C5230" t="s">
        <v>8</v>
      </c>
      <c r="D5230">
        <v>1.5189999999999999</v>
      </c>
      <c r="E5230">
        <v>486</v>
      </c>
      <c r="F5230" t="str">
        <f>HYPERLINK("https://www.google.com/maps/search/?api=1&amp;query=24.61237936,46.70818732", "View Map")</f>
        <v>View Map</v>
      </c>
    </row>
    <row r="5231" spans="1:7" x14ac:dyDescent="0.3">
      <c r="A5231" t="s">
        <v>8996</v>
      </c>
      <c r="B5231" t="s">
        <v>8997</v>
      </c>
      <c r="C5231" t="s">
        <v>291</v>
      </c>
      <c r="D5231">
        <v>1.5189999999999999</v>
      </c>
      <c r="E5231">
        <v>486</v>
      </c>
      <c r="F5231" t="str">
        <f>HYPERLINK("https://www.google.com/maps/search/?api=1&amp;query=24.10567892,45.3408084", "View Map")</f>
        <v>View Map</v>
      </c>
      <c r="G5231" s="2">
        <v>0.54006701762506382</v>
      </c>
    </row>
    <row r="5232" spans="1:7" x14ac:dyDescent="0.3">
      <c r="A5232" t="s">
        <v>433</v>
      </c>
      <c r="B5232" t="s">
        <v>8998</v>
      </c>
      <c r="C5232" t="s">
        <v>137</v>
      </c>
      <c r="D5232">
        <v>1.5189999999999999</v>
      </c>
      <c r="E5232">
        <v>486</v>
      </c>
      <c r="F5232" t="str">
        <f>HYPERLINK("https://www.google.com/maps/search/?api=1&amp;query=23.43246151,46.79009905", "View Map")</f>
        <v>View Map</v>
      </c>
    </row>
    <row r="5233" spans="1:7" x14ac:dyDescent="0.3">
      <c r="A5233" t="s">
        <v>46</v>
      </c>
      <c r="B5233" t="s">
        <v>8999</v>
      </c>
      <c r="C5233" t="s">
        <v>8</v>
      </c>
      <c r="D5233">
        <v>1.518</v>
      </c>
      <c r="E5233">
        <v>486</v>
      </c>
      <c r="F5233" t="str">
        <f>HYPERLINK("https://www.google.com/maps/search/?api=1&amp;query=24.83921676,46.67400011", "View Map")</f>
        <v>View Map</v>
      </c>
    </row>
    <row r="5234" spans="1:7" x14ac:dyDescent="0.3">
      <c r="A5234" t="s">
        <v>9000</v>
      </c>
      <c r="B5234" t="s">
        <v>9001</v>
      </c>
      <c r="C5234" t="s">
        <v>646</v>
      </c>
      <c r="D5234">
        <v>1.518</v>
      </c>
      <c r="E5234">
        <v>486</v>
      </c>
      <c r="F5234" t="str">
        <f>HYPERLINK("https://www.google.com/maps/search/?api=1&amp;query=20.46625664,45.57730155", "View Map")</f>
        <v>View Map</v>
      </c>
      <c r="G5234" s="2">
        <v>0.53953029925512341</v>
      </c>
    </row>
    <row r="5235" spans="1:7" x14ac:dyDescent="0.3">
      <c r="A5235" t="s">
        <v>9002</v>
      </c>
      <c r="B5235" t="s">
        <v>9003</v>
      </c>
      <c r="C5235" t="s">
        <v>8</v>
      </c>
      <c r="D5235">
        <v>1.5169999999999999</v>
      </c>
      <c r="E5235">
        <v>485</v>
      </c>
      <c r="F5235" t="str">
        <f>HYPERLINK("https://www.google.com/maps/search/?api=1&amp;query=24.63487555,46.69858206", "View Map")</f>
        <v>View Map</v>
      </c>
    </row>
    <row r="5236" spans="1:7" x14ac:dyDescent="0.3">
      <c r="A5236" t="s">
        <v>523</v>
      </c>
      <c r="B5236" t="s">
        <v>9004</v>
      </c>
      <c r="C5236" t="s">
        <v>8</v>
      </c>
      <c r="D5236">
        <v>1.5169999999999999</v>
      </c>
      <c r="E5236">
        <v>486</v>
      </c>
      <c r="F5236" t="str">
        <f>HYPERLINK("https://www.google.com/maps/search/?api=1&amp;query=24.72942312,46.6485086", "View Map")</f>
        <v>View Map</v>
      </c>
      <c r="G5236" s="2">
        <v>0.158450503344088</v>
      </c>
    </row>
    <row r="5237" spans="1:7" x14ac:dyDescent="0.3">
      <c r="A5237" t="s">
        <v>9005</v>
      </c>
      <c r="B5237" t="s">
        <v>9006</v>
      </c>
      <c r="C5237" t="s">
        <v>364</v>
      </c>
      <c r="D5237">
        <v>1.5169999999999999</v>
      </c>
      <c r="E5237">
        <v>485</v>
      </c>
      <c r="F5237" t="str">
        <f>HYPERLINK("https://www.google.com/maps/search/?api=1&amp;query=25.26694782,45.86183713", "View Map")</f>
        <v>View Map</v>
      </c>
    </row>
    <row r="5238" spans="1:7" x14ac:dyDescent="0.3">
      <c r="A5238" t="s">
        <v>9007</v>
      </c>
      <c r="B5238" t="s">
        <v>9008</v>
      </c>
      <c r="C5238" t="s">
        <v>8</v>
      </c>
      <c r="D5238">
        <v>1.5169999999999999</v>
      </c>
      <c r="E5238">
        <v>485</v>
      </c>
      <c r="F5238" t="str">
        <f>HYPERLINK("https://www.google.com/maps/search/?api=1&amp;query=24.57249031,46.80175256", "View Map")</f>
        <v>View Map</v>
      </c>
    </row>
    <row r="5239" spans="1:7" x14ac:dyDescent="0.3">
      <c r="A5239" t="s">
        <v>2260</v>
      </c>
      <c r="B5239" t="s">
        <v>9009</v>
      </c>
      <c r="C5239" t="s">
        <v>8</v>
      </c>
      <c r="D5239">
        <v>1.5169999999999999</v>
      </c>
      <c r="E5239">
        <v>486</v>
      </c>
      <c r="F5239" t="str">
        <f>HYPERLINK("https://www.google.com/maps/search/?api=1&amp;query=24.63726448,46.53877949", "View Map")</f>
        <v>View Map</v>
      </c>
    </row>
    <row r="5240" spans="1:7" x14ac:dyDescent="0.3">
      <c r="A5240" t="s">
        <v>9010</v>
      </c>
      <c r="B5240" t="s">
        <v>9011</v>
      </c>
      <c r="C5240" t="s">
        <v>16</v>
      </c>
      <c r="D5240">
        <v>1.516</v>
      </c>
      <c r="E5240">
        <v>485</v>
      </c>
      <c r="F5240" t="str">
        <f>HYPERLINK("https://www.google.com/maps/search/?api=1&amp;query=24.43843781,42.17207021", "View Map")</f>
        <v>View Map</v>
      </c>
      <c r="G5240" s="2">
        <v>0.56122824697990847</v>
      </c>
    </row>
    <row r="5241" spans="1:7" x14ac:dyDescent="0.3">
      <c r="A5241" t="s">
        <v>9012</v>
      </c>
      <c r="B5241" t="s">
        <v>9013</v>
      </c>
      <c r="C5241" t="s">
        <v>8</v>
      </c>
      <c r="D5241">
        <v>1.516</v>
      </c>
      <c r="E5241">
        <v>485</v>
      </c>
      <c r="F5241" t="str">
        <f>HYPERLINK("https://www.google.com/maps/search/?api=1&amp;query=24.68534751,46.81105118", "View Map")</f>
        <v>View Map</v>
      </c>
    </row>
    <row r="5242" spans="1:7" x14ac:dyDescent="0.3">
      <c r="A5242" t="s">
        <v>9014</v>
      </c>
      <c r="B5242" t="s">
        <v>9015</v>
      </c>
      <c r="C5242" t="s">
        <v>8</v>
      </c>
      <c r="D5242">
        <v>1.516</v>
      </c>
      <c r="E5242">
        <v>485</v>
      </c>
      <c r="F5242" t="str">
        <f>HYPERLINK("https://www.google.com/maps/search/?api=1&amp;query=24.80601785,46.62976729", "View Map")</f>
        <v>View Map</v>
      </c>
    </row>
    <row r="5243" spans="1:7" x14ac:dyDescent="0.3">
      <c r="A5243" t="s">
        <v>9016</v>
      </c>
      <c r="B5243" t="s">
        <v>9017</v>
      </c>
      <c r="C5243" t="s">
        <v>241</v>
      </c>
      <c r="D5243">
        <v>1.516</v>
      </c>
      <c r="E5243">
        <v>485</v>
      </c>
      <c r="F5243" t="str">
        <f>HYPERLINK("https://www.google.com/maps/search/?api=1&amp;query=20.46109917,44.78225185", "View Map")</f>
        <v>View Map</v>
      </c>
    </row>
    <row r="5244" spans="1:7" x14ac:dyDescent="0.3">
      <c r="A5244" t="s">
        <v>9018</v>
      </c>
      <c r="B5244" t="s">
        <v>9019</v>
      </c>
      <c r="C5244" t="s">
        <v>291</v>
      </c>
      <c r="D5244">
        <v>1.5149999999999999</v>
      </c>
      <c r="E5244">
        <v>485</v>
      </c>
      <c r="F5244" t="str">
        <f>HYPERLINK("https://www.google.com/maps/search/?api=1&amp;query=24.38119852,45.89596541", "View Map")</f>
        <v>View Map</v>
      </c>
    </row>
    <row r="5245" spans="1:7" x14ac:dyDescent="0.3">
      <c r="A5245" t="s">
        <v>46</v>
      </c>
      <c r="B5245" t="s">
        <v>9020</v>
      </c>
      <c r="C5245" t="s">
        <v>8</v>
      </c>
      <c r="D5245">
        <v>1.5149999999999999</v>
      </c>
      <c r="E5245">
        <v>485</v>
      </c>
      <c r="F5245" t="str">
        <f>HYPERLINK("https://www.google.com/maps/search/?api=1&amp;query=24.6228,46.5183", "View Map")</f>
        <v>View Map</v>
      </c>
    </row>
    <row r="5246" spans="1:7" x14ac:dyDescent="0.3">
      <c r="A5246" t="s">
        <v>9021</v>
      </c>
      <c r="B5246" t="s">
        <v>9022</v>
      </c>
      <c r="C5246" t="s">
        <v>286</v>
      </c>
      <c r="D5246">
        <v>1.5149999999999999</v>
      </c>
      <c r="E5246">
        <v>485</v>
      </c>
      <c r="F5246" t="str">
        <f>HYPERLINK("https://www.google.com/maps/search/?api=1&amp;query=25.29597092,45.53238578", "View Map")</f>
        <v>View Map</v>
      </c>
      <c r="G5246" s="2">
        <v>0.42392294430920158</v>
      </c>
    </row>
    <row r="5247" spans="1:7" x14ac:dyDescent="0.3">
      <c r="A5247" t="s">
        <v>9023</v>
      </c>
      <c r="B5247" t="s">
        <v>9024</v>
      </c>
      <c r="C5247" t="s">
        <v>8</v>
      </c>
      <c r="D5247">
        <v>1.5149999999999999</v>
      </c>
      <c r="E5247">
        <v>485</v>
      </c>
      <c r="F5247" t="str">
        <f>HYPERLINK("https://www.google.com/maps/search/?api=1&amp;query=24.77247453,46.81706666", "View Map")</f>
        <v>View Map</v>
      </c>
    </row>
    <row r="5248" spans="1:7" x14ac:dyDescent="0.3">
      <c r="A5248" t="s">
        <v>9025</v>
      </c>
      <c r="B5248" t="s">
        <v>9026</v>
      </c>
      <c r="C5248" t="s">
        <v>55</v>
      </c>
      <c r="D5248">
        <v>1.5149999999999999</v>
      </c>
      <c r="E5248">
        <v>485</v>
      </c>
      <c r="F5248" t="str">
        <f>HYPERLINK("https://www.google.com/maps/search/?api=1&amp;query=24.7698187,46.57941972", "View Map")</f>
        <v>View Map</v>
      </c>
    </row>
    <row r="5249" spans="1:7" x14ac:dyDescent="0.3">
      <c r="A5249" t="s">
        <v>9027</v>
      </c>
      <c r="B5249" t="s">
        <v>9028</v>
      </c>
      <c r="C5249" t="s">
        <v>214</v>
      </c>
      <c r="D5249">
        <v>1.514</v>
      </c>
      <c r="E5249">
        <v>484</v>
      </c>
      <c r="F5249" t="str">
        <f>HYPERLINK("https://www.google.com/maps/search/?api=1&amp;query=25.63521465,45.78456372", "View Map")</f>
        <v>View Map</v>
      </c>
      <c r="G5249" s="2">
        <v>0.44695969988373618</v>
      </c>
    </row>
    <row r="5250" spans="1:7" x14ac:dyDescent="0.3">
      <c r="A5250" t="s">
        <v>9029</v>
      </c>
      <c r="B5250" t="s">
        <v>9030</v>
      </c>
      <c r="C5250" t="s">
        <v>241</v>
      </c>
      <c r="D5250">
        <v>1.514</v>
      </c>
      <c r="E5250">
        <v>485</v>
      </c>
      <c r="F5250" t="str">
        <f>HYPERLINK("https://www.google.com/maps/search/?api=1&amp;query=20.42129243,44.83081796", "View Map")</f>
        <v>View Map</v>
      </c>
      <c r="G5250" s="2">
        <v>0.43617913217369192</v>
      </c>
    </row>
    <row r="5251" spans="1:7" x14ac:dyDescent="0.3">
      <c r="A5251" t="s">
        <v>1273</v>
      </c>
      <c r="B5251" t="s">
        <v>9031</v>
      </c>
      <c r="C5251" t="s">
        <v>241</v>
      </c>
      <c r="D5251">
        <v>1.514</v>
      </c>
      <c r="E5251">
        <v>485</v>
      </c>
      <c r="F5251" t="str">
        <f>HYPERLINK("https://www.google.com/maps/search/?api=1&amp;query=20.42855621,44.88673964", "View Map")</f>
        <v>View Map</v>
      </c>
    </row>
    <row r="5252" spans="1:7" x14ac:dyDescent="0.3">
      <c r="A5252" t="s">
        <v>9032</v>
      </c>
      <c r="B5252" t="s">
        <v>9033</v>
      </c>
      <c r="C5252" t="s">
        <v>291</v>
      </c>
      <c r="D5252">
        <v>1.5129999999999999</v>
      </c>
      <c r="E5252">
        <v>484</v>
      </c>
      <c r="F5252" t="str">
        <f>HYPERLINK("https://www.google.com/maps/search/?api=1&amp;query=23.8552267,44.72813365", "View Map")</f>
        <v>View Map</v>
      </c>
      <c r="G5252" s="2">
        <v>0.86670945581333203</v>
      </c>
    </row>
    <row r="5253" spans="1:7" x14ac:dyDescent="0.3">
      <c r="A5253" t="s">
        <v>9034</v>
      </c>
      <c r="B5253" t="s">
        <v>9035</v>
      </c>
      <c r="C5253" t="s">
        <v>214</v>
      </c>
      <c r="D5253">
        <v>1.5129999999999999</v>
      </c>
      <c r="E5253">
        <v>484</v>
      </c>
      <c r="F5253" t="str">
        <f>HYPERLINK("https://www.google.com/maps/search/?api=1&amp;query=26.46857768,45.35482478", "View Map")</f>
        <v>View Map</v>
      </c>
      <c r="G5253" s="2">
        <v>0.82946341471877449</v>
      </c>
    </row>
    <row r="5254" spans="1:7" x14ac:dyDescent="0.3">
      <c r="A5254" t="s">
        <v>9036</v>
      </c>
      <c r="B5254" t="s">
        <v>9037</v>
      </c>
      <c r="C5254" t="s">
        <v>214</v>
      </c>
      <c r="D5254">
        <v>1.5129999999999999</v>
      </c>
      <c r="E5254">
        <v>484</v>
      </c>
      <c r="F5254" t="str">
        <f>HYPERLINK("https://www.google.com/maps/search/?api=1&amp;query=25.59043713,45.61216448", "View Map")</f>
        <v>View Map</v>
      </c>
    </row>
    <row r="5255" spans="1:7" x14ac:dyDescent="0.3">
      <c r="A5255" t="s">
        <v>9038</v>
      </c>
      <c r="B5255" t="s">
        <v>9039</v>
      </c>
      <c r="C5255" t="s">
        <v>291</v>
      </c>
      <c r="D5255">
        <v>1.5129999999999999</v>
      </c>
      <c r="E5255">
        <v>484</v>
      </c>
      <c r="F5255" t="str">
        <f>HYPERLINK("https://www.google.com/maps/search/?api=1&amp;query=24.0447641,45.24767899", "View Map")</f>
        <v>View Map</v>
      </c>
      <c r="G5255" s="2">
        <v>0.41229553209686431</v>
      </c>
    </row>
    <row r="5256" spans="1:7" x14ac:dyDescent="0.3">
      <c r="A5256" t="s">
        <v>9040</v>
      </c>
      <c r="B5256" t="s">
        <v>9041</v>
      </c>
      <c r="C5256" t="s">
        <v>8</v>
      </c>
      <c r="D5256">
        <v>1.512</v>
      </c>
      <c r="E5256">
        <v>484</v>
      </c>
      <c r="F5256" t="str">
        <f>HYPERLINK("https://www.google.com/maps/search/?api=1&amp;query=24.48644743,46.61966642", "View Map")</f>
        <v>View Map</v>
      </c>
    </row>
    <row r="5257" spans="1:7" x14ac:dyDescent="0.3">
      <c r="A5257" t="s">
        <v>9042</v>
      </c>
      <c r="B5257" t="s">
        <v>9043</v>
      </c>
      <c r="C5257" t="s">
        <v>8</v>
      </c>
      <c r="D5257">
        <v>1.512</v>
      </c>
      <c r="E5257">
        <v>484</v>
      </c>
      <c r="F5257" t="str">
        <f>HYPERLINK("https://www.google.com/maps/search/?api=1&amp;query=24.58842846,46.62775371", "View Map")</f>
        <v>View Map</v>
      </c>
    </row>
    <row r="5258" spans="1:7" x14ac:dyDescent="0.3">
      <c r="A5258" t="s">
        <v>2281</v>
      </c>
      <c r="B5258" t="s">
        <v>9044</v>
      </c>
      <c r="C5258" t="s">
        <v>8</v>
      </c>
      <c r="D5258">
        <v>1.512</v>
      </c>
      <c r="E5258">
        <v>484</v>
      </c>
      <c r="F5258" t="str">
        <f>HYPERLINK("https://www.google.com/maps/search/?api=1&amp;query=24.6949262,46.80986961", "View Map")</f>
        <v>View Map</v>
      </c>
    </row>
    <row r="5259" spans="1:7" x14ac:dyDescent="0.3">
      <c r="A5259" t="s">
        <v>9045</v>
      </c>
      <c r="B5259" t="s">
        <v>9046</v>
      </c>
      <c r="C5259" t="s">
        <v>286</v>
      </c>
      <c r="D5259">
        <v>1.512</v>
      </c>
      <c r="E5259">
        <v>484</v>
      </c>
      <c r="F5259" t="str">
        <f>HYPERLINK("https://www.google.com/maps/search/?api=1&amp;query=25.23227944,45.31688893", "View Map")</f>
        <v>View Map</v>
      </c>
      <c r="G5259" s="2">
        <v>0.24379323018021831</v>
      </c>
    </row>
    <row r="5260" spans="1:7" x14ac:dyDescent="0.3">
      <c r="A5260" t="s">
        <v>9047</v>
      </c>
      <c r="B5260" t="s">
        <v>9048</v>
      </c>
      <c r="C5260" t="s">
        <v>8</v>
      </c>
      <c r="D5260">
        <v>1.512</v>
      </c>
      <c r="E5260">
        <v>484</v>
      </c>
      <c r="F5260" t="str">
        <f>HYPERLINK("https://www.google.com/maps/search/?api=1&amp;query=24.67184734,46.66423716", "View Map")</f>
        <v>View Map</v>
      </c>
    </row>
    <row r="5261" spans="1:7" x14ac:dyDescent="0.3">
      <c r="A5261" t="s">
        <v>9049</v>
      </c>
      <c r="B5261" t="s">
        <v>9050</v>
      </c>
      <c r="C5261" t="s">
        <v>270</v>
      </c>
      <c r="D5261">
        <v>1.512</v>
      </c>
      <c r="E5261">
        <v>484</v>
      </c>
      <c r="F5261" t="str">
        <f>HYPERLINK("https://www.google.com/maps/search/?api=1&amp;query=24.07117148,47.17845737", "View Map")</f>
        <v>View Map</v>
      </c>
      <c r="G5261" s="2">
        <v>0.54474690019353955</v>
      </c>
    </row>
    <row r="5262" spans="1:7" x14ac:dyDescent="0.3">
      <c r="A5262" t="s">
        <v>2867</v>
      </c>
      <c r="B5262" t="s">
        <v>9051</v>
      </c>
      <c r="C5262" t="s">
        <v>8</v>
      </c>
      <c r="D5262">
        <v>1.512</v>
      </c>
      <c r="E5262">
        <v>484</v>
      </c>
      <c r="F5262" t="str">
        <f>HYPERLINK("https://www.google.com/maps/search/?api=1&amp;query=24.75773081,46.71722487", "View Map")</f>
        <v>View Map</v>
      </c>
    </row>
    <row r="5263" spans="1:7" x14ac:dyDescent="0.3">
      <c r="A5263" t="s">
        <v>9052</v>
      </c>
      <c r="B5263" t="s">
        <v>9053</v>
      </c>
      <c r="C5263" t="s">
        <v>296</v>
      </c>
      <c r="D5263">
        <v>1.512</v>
      </c>
      <c r="E5263">
        <v>484</v>
      </c>
      <c r="F5263" t="str">
        <f>HYPERLINK("https://www.google.com/maps/search/?api=1&amp;query=24.49145973,46.31139581", "View Map")</f>
        <v>View Map</v>
      </c>
    </row>
    <row r="5264" spans="1:7" x14ac:dyDescent="0.3">
      <c r="A5264" t="s">
        <v>9054</v>
      </c>
      <c r="B5264" t="s">
        <v>9055</v>
      </c>
      <c r="C5264" t="s">
        <v>393</v>
      </c>
      <c r="D5264">
        <v>1.512</v>
      </c>
      <c r="E5264">
        <v>484</v>
      </c>
      <c r="F5264" t="str">
        <f>HYPERLINK("https://www.google.com/maps/search/?api=1&amp;query=22.79998449,45.16158818", "View Map")</f>
        <v>View Map</v>
      </c>
      <c r="G5264" s="2">
        <v>0.70631523941358509</v>
      </c>
    </row>
    <row r="5265" spans="1:7" x14ac:dyDescent="0.3">
      <c r="A5265" t="s">
        <v>9056</v>
      </c>
      <c r="B5265" t="s">
        <v>9057</v>
      </c>
      <c r="C5265" t="s">
        <v>30</v>
      </c>
      <c r="D5265">
        <v>1.5109999999999999</v>
      </c>
      <c r="E5265">
        <v>484</v>
      </c>
      <c r="F5265" t="str">
        <f>HYPERLINK("https://www.google.com/maps/search/?api=1&amp;query=24.17498801,47.29561457", "View Map")</f>
        <v>View Map</v>
      </c>
    </row>
    <row r="5266" spans="1:7" x14ac:dyDescent="0.3">
      <c r="A5266" t="s">
        <v>2698</v>
      </c>
      <c r="B5266" t="s">
        <v>9058</v>
      </c>
      <c r="C5266" t="s">
        <v>8</v>
      </c>
      <c r="D5266">
        <v>1.5109999999999999</v>
      </c>
      <c r="E5266">
        <v>483</v>
      </c>
      <c r="F5266" t="str">
        <f>HYPERLINK("https://www.google.com/maps/search/?api=1&amp;query=24.74161406,46.77668002", "View Map")</f>
        <v>View Map</v>
      </c>
    </row>
    <row r="5267" spans="1:7" x14ac:dyDescent="0.3">
      <c r="A5267" t="s">
        <v>9059</v>
      </c>
      <c r="B5267" t="s">
        <v>9060</v>
      </c>
      <c r="C5267" t="s">
        <v>137</v>
      </c>
      <c r="D5267">
        <v>1.5109999999999999</v>
      </c>
      <c r="E5267">
        <v>483</v>
      </c>
      <c r="F5267" t="str">
        <f>HYPERLINK("https://www.google.com/maps/search/?api=1&amp;query=23.48655778,46.85277257", "View Map")</f>
        <v>View Map</v>
      </c>
    </row>
    <row r="5268" spans="1:7" x14ac:dyDescent="0.3">
      <c r="A5268" t="s">
        <v>7176</v>
      </c>
      <c r="B5268" t="s">
        <v>9061</v>
      </c>
      <c r="C5268" t="s">
        <v>255</v>
      </c>
      <c r="D5268">
        <v>1.5109999999999999</v>
      </c>
      <c r="E5268">
        <v>483</v>
      </c>
      <c r="F5268" t="str">
        <f>HYPERLINK("https://www.google.com/maps/search/?api=1&amp;query=24.56569688,44.44488161", "View Map")</f>
        <v>View Map</v>
      </c>
    </row>
    <row r="5269" spans="1:7" x14ac:dyDescent="0.3">
      <c r="A5269" t="s">
        <v>9062</v>
      </c>
      <c r="B5269" t="s">
        <v>9063</v>
      </c>
      <c r="C5269" t="s">
        <v>393</v>
      </c>
      <c r="D5269">
        <v>1.5109999999999999</v>
      </c>
      <c r="E5269">
        <v>484</v>
      </c>
      <c r="F5269" t="str">
        <f>HYPERLINK("https://www.google.com/maps/search/?api=1&amp;query=23.56534479,45.45148692", "View Map")</f>
        <v>View Map</v>
      </c>
      <c r="G5269" s="2">
        <v>0.55123364006576703</v>
      </c>
    </row>
    <row r="5270" spans="1:7" x14ac:dyDescent="0.3">
      <c r="A5270" t="s">
        <v>9064</v>
      </c>
      <c r="B5270" t="s">
        <v>9065</v>
      </c>
      <c r="C5270" t="s">
        <v>8</v>
      </c>
      <c r="D5270">
        <v>1.5109999999999999</v>
      </c>
      <c r="E5270">
        <v>483</v>
      </c>
      <c r="F5270" t="str">
        <f>HYPERLINK("https://www.google.com/maps/search/?api=1&amp;query=24.6802796,46.84682219", "View Map")</f>
        <v>View Map</v>
      </c>
    </row>
    <row r="5271" spans="1:7" x14ac:dyDescent="0.3">
      <c r="A5271" t="s">
        <v>9066</v>
      </c>
      <c r="B5271" t="s">
        <v>9067</v>
      </c>
      <c r="C5271" t="s">
        <v>8</v>
      </c>
      <c r="D5271">
        <v>1.5089999999999999</v>
      </c>
      <c r="E5271">
        <v>483</v>
      </c>
      <c r="F5271" t="str">
        <f>HYPERLINK("https://www.google.com/maps/search/?api=1&amp;query=24.62964987,46.68722107", "View Map")</f>
        <v>View Map</v>
      </c>
    </row>
    <row r="5272" spans="1:7" x14ac:dyDescent="0.3">
      <c r="A5272" t="s">
        <v>9068</v>
      </c>
      <c r="B5272" t="s">
        <v>9069</v>
      </c>
      <c r="C5272" t="s">
        <v>466</v>
      </c>
      <c r="D5272">
        <v>1.5089999999999999</v>
      </c>
      <c r="E5272">
        <v>483</v>
      </c>
      <c r="F5272" t="str">
        <f>HYPERLINK("https://www.google.com/maps/search/?api=1&amp;query=24.50356081,46.36316656", "View Map")</f>
        <v>View Map</v>
      </c>
      <c r="G5272" s="2">
        <v>0.38933071831418281</v>
      </c>
    </row>
    <row r="5273" spans="1:7" x14ac:dyDescent="0.3">
      <c r="A5273" t="s">
        <v>28</v>
      </c>
      <c r="B5273" t="s">
        <v>9070</v>
      </c>
      <c r="C5273" t="s">
        <v>30</v>
      </c>
      <c r="D5273">
        <v>1.5089999999999999</v>
      </c>
      <c r="E5273">
        <v>483</v>
      </c>
      <c r="F5273" t="str">
        <f>HYPERLINK("https://www.google.com/maps/search/?api=1&amp;query=24.18479466,47.28570028", "View Map")</f>
        <v>View Map</v>
      </c>
      <c r="G5273" s="2">
        <v>0.6183707052786761</v>
      </c>
    </row>
    <row r="5274" spans="1:7" x14ac:dyDescent="0.3">
      <c r="A5274" t="s">
        <v>73</v>
      </c>
      <c r="B5274" t="s">
        <v>9071</v>
      </c>
      <c r="C5274" t="s">
        <v>8</v>
      </c>
      <c r="D5274">
        <v>1.5089999999999999</v>
      </c>
      <c r="E5274">
        <v>483</v>
      </c>
      <c r="F5274" t="str">
        <f>HYPERLINK("https://www.google.com/maps/search/?api=1&amp;query=24.81570469,46.6055563", "View Map")</f>
        <v>View Map</v>
      </c>
    </row>
    <row r="5275" spans="1:7" x14ac:dyDescent="0.3">
      <c r="A5275" t="s">
        <v>9072</v>
      </c>
      <c r="B5275" t="s">
        <v>9073</v>
      </c>
      <c r="C5275" t="s">
        <v>8</v>
      </c>
      <c r="D5275">
        <v>1.5089999999999999</v>
      </c>
      <c r="E5275">
        <v>483</v>
      </c>
      <c r="F5275" t="str">
        <f>HYPERLINK("https://www.google.com/maps/search/?api=1&amp;query=24.575249,46.658781", "View Map")</f>
        <v>View Map</v>
      </c>
    </row>
    <row r="5276" spans="1:7" x14ac:dyDescent="0.3">
      <c r="A5276" t="s">
        <v>9074</v>
      </c>
      <c r="B5276" t="s">
        <v>9075</v>
      </c>
      <c r="C5276" t="s">
        <v>296</v>
      </c>
      <c r="D5276">
        <v>1.508</v>
      </c>
      <c r="E5276">
        <v>483</v>
      </c>
      <c r="F5276" t="str">
        <f>HYPERLINK("https://www.google.com/maps/search/?api=1&amp;query=24.48340722,46.05758581", "View Map")</f>
        <v>View Map</v>
      </c>
      <c r="G5276" s="2">
        <v>0.75053472046023761</v>
      </c>
    </row>
    <row r="5277" spans="1:7" x14ac:dyDescent="0.3">
      <c r="A5277" t="s">
        <v>530</v>
      </c>
      <c r="B5277" t="s">
        <v>9076</v>
      </c>
      <c r="C5277" t="s">
        <v>8</v>
      </c>
      <c r="D5277">
        <v>1.508</v>
      </c>
      <c r="E5277">
        <v>483</v>
      </c>
      <c r="F5277" t="str">
        <f>HYPERLINK("https://www.google.com/maps/search/?api=1&amp;query=24.76867523,46.76528077", "View Map")</f>
        <v>View Map</v>
      </c>
      <c r="G5277" s="2">
        <v>0.50625693258446758</v>
      </c>
    </row>
    <row r="5278" spans="1:7" x14ac:dyDescent="0.3">
      <c r="A5278" t="s">
        <v>380</v>
      </c>
      <c r="B5278" t="s">
        <v>9077</v>
      </c>
      <c r="C5278" t="s">
        <v>214</v>
      </c>
      <c r="D5278">
        <v>1.508</v>
      </c>
      <c r="E5278">
        <v>482</v>
      </c>
      <c r="F5278" t="str">
        <f>HYPERLINK("https://www.google.com/maps/search/?api=1&amp;query=25.72594937,45.85654285", "View Map")</f>
        <v>View Map</v>
      </c>
      <c r="G5278" s="2">
        <v>0.57047347065220699</v>
      </c>
    </row>
    <row r="5279" spans="1:7" x14ac:dyDescent="0.3">
      <c r="A5279" t="s">
        <v>46</v>
      </c>
      <c r="B5279" t="s">
        <v>9078</v>
      </c>
      <c r="C5279" t="s">
        <v>55</v>
      </c>
      <c r="D5279">
        <v>1.5069999999999999</v>
      </c>
      <c r="E5279">
        <v>482</v>
      </c>
      <c r="F5279" t="str">
        <f>HYPERLINK("https://www.google.com/maps/search/?api=1&amp;query=24.83085588,46.57274894", "View Map")</f>
        <v>View Map</v>
      </c>
    </row>
    <row r="5280" spans="1:7" x14ac:dyDescent="0.3">
      <c r="A5280" t="s">
        <v>9079</v>
      </c>
      <c r="B5280" t="s">
        <v>9080</v>
      </c>
      <c r="C5280" t="s">
        <v>8</v>
      </c>
      <c r="D5280">
        <v>1.5069999999999999</v>
      </c>
      <c r="E5280">
        <v>482</v>
      </c>
      <c r="F5280" t="str">
        <f>HYPERLINK("https://www.google.com/maps/search/?api=1&amp;query=24.59149671,46.72615141", "View Map")</f>
        <v>View Map</v>
      </c>
    </row>
    <row r="5281" spans="1:7" x14ac:dyDescent="0.3">
      <c r="A5281" t="s">
        <v>146</v>
      </c>
      <c r="B5281" t="s">
        <v>9081</v>
      </c>
      <c r="C5281" t="s">
        <v>8</v>
      </c>
      <c r="D5281">
        <v>1.5069999999999999</v>
      </c>
      <c r="E5281">
        <v>482</v>
      </c>
      <c r="F5281" t="str">
        <f>HYPERLINK("https://www.google.com/maps/search/?api=1&amp;query=24.56195194,46.51579744", "View Map")</f>
        <v>View Map</v>
      </c>
    </row>
    <row r="5282" spans="1:7" x14ac:dyDescent="0.3">
      <c r="A5282" t="s">
        <v>881</v>
      </c>
      <c r="B5282" t="s">
        <v>9082</v>
      </c>
      <c r="C5282" t="s">
        <v>738</v>
      </c>
      <c r="D5282">
        <v>1.506</v>
      </c>
      <c r="E5282">
        <v>482</v>
      </c>
      <c r="F5282" t="str">
        <f>HYPERLINK("https://www.google.com/maps/search/?api=1&amp;query=24.91152198,45.86290293", "View Map")</f>
        <v>View Map</v>
      </c>
    </row>
    <row r="5283" spans="1:7" x14ac:dyDescent="0.3">
      <c r="A5283" t="s">
        <v>46</v>
      </c>
      <c r="B5283" t="s">
        <v>9083</v>
      </c>
      <c r="C5283" t="s">
        <v>8</v>
      </c>
      <c r="D5283">
        <v>1.506</v>
      </c>
      <c r="E5283">
        <v>482</v>
      </c>
      <c r="F5283" t="str">
        <f>HYPERLINK("https://www.google.com/maps/search/?api=1&amp;query=24.74464487,46.67888783", "View Map")</f>
        <v>View Map</v>
      </c>
    </row>
    <row r="5284" spans="1:7" x14ac:dyDescent="0.3">
      <c r="A5284" t="s">
        <v>2063</v>
      </c>
      <c r="B5284" t="s">
        <v>9084</v>
      </c>
      <c r="C5284" t="s">
        <v>8</v>
      </c>
      <c r="D5284">
        <v>1.506</v>
      </c>
      <c r="E5284">
        <v>482</v>
      </c>
      <c r="F5284" t="str">
        <f>HYPERLINK("https://www.google.com/maps/search/?api=1&amp;query=24.80847403,46.90424685", "View Map")</f>
        <v>View Map</v>
      </c>
    </row>
    <row r="5285" spans="1:7" x14ac:dyDescent="0.3">
      <c r="A5285" t="s">
        <v>9085</v>
      </c>
      <c r="B5285" t="s">
        <v>9086</v>
      </c>
      <c r="C5285" t="s">
        <v>255</v>
      </c>
      <c r="D5285">
        <v>1.5049999999999999</v>
      </c>
      <c r="E5285">
        <v>482</v>
      </c>
      <c r="F5285" t="str">
        <f>HYPERLINK("https://www.google.com/maps/search/?api=1&amp;query=24.30623169,43.75494914", "View Map")</f>
        <v>View Map</v>
      </c>
      <c r="G5285" s="2">
        <v>0.3878742415520447</v>
      </c>
    </row>
    <row r="5286" spans="1:7" x14ac:dyDescent="0.3">
      <c r="A5286" t="s">
        <v>146</v>
      </c>
      <c r="B5286" t="s">
        <v>9087</v>
      </c>
      <c r="C5286" t="s">
        <v>8</v>
      </c>
      <c r="D5286">
        <v>1.5049999999999999</v>
      </c>
      <c r="E5286">
        <v>482</v>
      </c>
      <c r="F5286" t="str">
        <f>HYPERLINK("https://www.google.com/maps/search/?api=1&amp;query=24.52664682,46.65884731", "View Map")</f>
        <v>View Map</v>
      </c>
      <c r="G5286" s="2">
        <v>0.62848572440081152</v>
      </c>
    </row>
    <row r="5287" spans="1:7" x14ac:dyDescent="0.3">
      <c r="A5287" t="s">
        <v>9088</v>
      </c>
      <c r="B5287" t="s">
        <v>9089</v>
      </c>
      <c r="C5287" t="s">
        <v>8</v>
      </c>
      <c r="D5287">
        <v>1.5049999999999999</v>
      </c>
      <c r="E5287">
        <v>482</v>
      </c>
      <c r="F5287" t="str">
        <f>HYPERLINK("https://www.google.com/maps/search/?api=1&amp;query=24.62667488,46.72991488", "View Map")</f>
        <v>View Map</v>
      </c>
    </row>
    <row r="5288" spans="1:7" x14ac:dyDescent="0.3">
      <c r="A5288" t="s">
        <v>661</v>
      </c>
      <c r="B5288" t="s">
        <v>9090</v>
      </c>
      <c r="C5288" t="s">
        <v>214</v>
      </c>
      <c r="D5288">
        <v>1.5049999999999999</v>
      </c>
      <c r="E5288">
        <v>481</v>
      </c>
      <c r="F5288" t="str">
        <f>HYPERLINK("https://www.google.com/maps/search/?api=1&amp;query=25.70290708,45.45487016", "View Map")</f>
        <v>View Map</v>
      </c>
      <c r="G5288" s="2">
        <v>0.6540797910578573</v>
      </c>
    </row>
    <row r="5289" spans="1:7" x14ac:dyDescent="0.3">
      <c r="A5289" t="s">
        <v>9091</v>
      </c>
      <c r="B5289" t="s">
        <v>9092</v>
      </c>
      <c r="C5289" t="s">
        <v>8</v>
      </c>
      <c r="D5289">
        <v>1.5049999999999999</v>
      </c>
      <c r="E5289">
        <v>481</v>
      </c>
      <c r="F5289" t="str">
        <f>HYPERLINK("https://www.google.com/maps/search/?api=1&amp;query=24.69553753,46.69833547", "View Map")</f>
        <v>View Map</v>
      </c>
      <c r="G5289" s="2">
        <v>0.2208561795248121</v>
      </c>
    </row>
    <row r="5290" spans="1:7" x14ac:dyDescent="0.3">
      <c r="A5290" t="s">
        <v>385</v>
      </c>
      <c r="B5290" t="s">
        <v>9093</v>
      </c>
      <c r="C5290" t="s">
        <v>255</v>
      </c>
      <c r="D5290">
        <v>1.504</v>
      </c>
      <c r="E5290">
        <v>481</v>
      </c>
      <c r="F5290" t="str">
        <f>HYPERLINK("https://www.google.com/maps/search/?api=1&amp;query=24.54636824,44.40677002", "View Map")</f>
        <v>View Map</v>
      </c>
      <c r="G5290" s="2">
        <v>0.5186267069772923</v>
      </c>
    </row>
    <row r="5291" spans="1:7" x14ac:dyDescent="0.3">
      <c r="A5291" t="s">
        <v>146</v>
      </c>
      <c r="B5291" t="s">
        <v>9094</v>
      </c>
      <c r="C5291" t="s">
        <v>8</v>
      </c>
      <c r="D5291">
        <v>1.504</v>
      </c>
      <c r="E5291">
        <v>481</v>
      </c>
      <c r="F5291" t="str">
        <f>HYPERLINK("https://www.google.com/maps/search/?api=1&amp;query=24.5347,46.6489", "View Map")</f>
        <v>View Map</v>
      </c>
    </row>
    <row r="5292" spans="1:7" x14ac:dyDescent="0.3">
      <c r="A5292" t="s">
        <v>9095</v>
      </c>
      <c r="B5292" t="s">
        <v>9096</v>
      </c>
      <c r="C5292" t="s">
        <v>214</v>
      </c>
      <c r="D5292">
        <v>1.504</v>
      </c>
      <c r="E5292">
        <v>481</v>
      </c>
      <c r="F5292" t="str">
        <f>HYPERLINK("https://www.google.com/maps/search/?api=1&amp;query=25.90435956,45.35083438", "View Map")</f>
        <v>View Map</v>
      </c>
      <c r="G5292" s="2">
        <v>0.7953937564782807</v>
      </c>
    </row>
    <row r="5293" spans="1:7" x14ac:dyDescent="0.3">
      <c r="A5293" t="s">
        <v>9097</v>
      </c>
      <c r="B5293" t="s">
        <v>9098</v>
      </c>
      <c r="C5293" t="s">
        <v>8</v>
      </c>
      <c r="D5293">
        <v>1.5029999999999999</v>
      </c>
      <c r="E5293">
        <v>481</v>
      </c>
      <c r="F5293" t="str">
        <f>HYPERLINK("https://www.google.com/maps/search/?api=1&amp;query=24.58369598,46.68155207", "View Map")</f>
        <v>View Map</v>
      </c>
    </row>
    <row r="5294" spans="1:7" x14ac:dyDescent="0.3">
      <c r="A5294" t="s">
        <v>5449</v>
      </c>
      <c r="B5294" t="s">
        <v>9099</v>
      </c>
      <c r="C5294" t="s">
        <v>255</v>
      </c>
      <c r="D5294">
        <v>1.502</v>
      </c>
      <c r="E5294">
        <v>481</v>
      </c>
      <c r="F5294" t="str">
        <f>HYPERLINK("https://www.google.com/maps/search/?api=1&amp;query=24.52699456,43.90190736", "View Map")</f>
        <v>View Map</v>
      </c>
      <c r="G5294" s="2">
        <v>0.51205742375118812</v>
      </c>
    </row>
    <row r="5295" spans="1:7" x14ac:dyDescent="0.3">
      <c r="A5295" t="s">
        <v>9100</v>
      </c>
      <c r="B5295" t="s">
        <v>9101</v>
      </c>
      <c r="C5295" t="s">
        <v>8</v>
      </c>
      <c r="D5295">
        <v>1.5009999999999999</v>
      </c>
      <c r="E5295">
        <v>480</v>
      </c>
      <c r="F5295" t="str">
        <f>HYPERLINK("https://www.google.com/maps/search/?api=1&amp;query=24.81149865,46.6341733", "View Map")</f>
        <v>View Map</v>
      </c>
    </row>
    <row r="5296" spans="1:7" x14ac:dyDescent="0.3">
      <c r="A5296" t="s">
        <v>9102</v>
      </c>
      <c r="B5296" t="s">
        <v>9103</v>
      </c>
      <c r="C5296" t="s">
        <v>214</v>
      </c>
      <c r="D5296">
        <v>1.5009999999999999</v>
      </c>
      <c r="E5296">
        <v>480</v>
      </c>
      <c r="F5296" t="str">
        <f>HYPERLINK("https://www.google.com/maps/search/?api=1&amp;query=25.90835853,45.38092562", "View Map")</f>
        <v>View Map</v>
      </c>
      <c r="G5296" s="2">
        <v>0.36783798629389641</v>
      </c>
    </row>
    <row r="5297" spans="1:7" x14ac:dyDescent="0.3">
      <c r="A5297" t="s">
        <v>46</v>
      </c>
      <c r="B5297" t="s">
        <v>9104</v>
      </c>
      <c r="C5297" t="s">
        <v>8</v>
      </c>
      <c r="D5297">
        <v>1.5009999999999999</v>
      </c>
      <c r="E5297">
        <v>480</v>
      </c>
      <c r="F5297" t="str">
        <f>HYPERLINK("https://www.google.com/maps/search/?api=1&amp;query=24.82585976,46.57333273", "View Map")</f>
        <v>View Map</v>
      </c>
    </row>
    <row r="5298" spans="1:7" x14ac:dyDescent="0.3">
      <c r="A5298" t="s">
        <v>5898</v>
      </c>
      <c r="B5298" t="s">
        <v>9105</v>
      </c>
      <c r="C5298" t="s">
        <v>8</v>
      </c>
      <c r="D5298">
        <v>1.4990000000000001</v>
      </c>
      <c r="E5298">
        <v>480</v>
      </c>
      <c r="F5298" t="str">
        <f>HYPERLINK("https://www.google.com/maps/search/?api=1&amp;query=24.59049145,46.53907667", "View Map")</f>
        <v>View Map</v>
      </c>
    </row>
    <row r="5299" spans="1:7" x14ac:dyDescent="0.3">
      <c r="A5299" t="s">
        <v>9106</v>
      </c>
      <c r="B5299" t="s">
        <v>9107</v>
      </c>
      <c r="C5299" t="s">
        <v>270</v>
      </c>
      <c r="D5299">
        <v>1.4990000000000001</v>
      </c>
      <c r="E5299">
        <v>480</v>
      </c>
      <c r="F5299" t="str">
        <f>HYPERLINK("https://www.google.com/maps/search/?api=1&amp;query=24.10523691,47.15312737", "View Map")</f>
        <v>View Map</v>
      </c>
    </row>
    <row r="5300" spans="1:7" x14ac:dyDescent="0.3">
      <c r="A5300" t="s">
        <v>411</v>
      </c>
      <c r="B5300" t="s">
        <v>9108</v>
      </c>
      <c r="C5300" t="s">
        <v>77</v>
      </c>
      <c r="D5300">
        <v>1.498</v>
      </c>
      <c r="E5300">
        <v>479</v>
      </c>
      <c r="F5300" t="str">
        <f>HYPERLINK("https://www.google.com/maps/search/?api=1&amp;query=22.0721341,46.58527418", "View Map")</f>
        <v>View Map</v>
      </c>
      <c r="G5300" s="2">
        <v>0.66419521460187114</v>
      </c>
    </row>
    <row r="5301" spans="1:7" x14ac:dyDescent="0.3">
      <c r="A5301" t="s">
        <v>9109</v>
      </c>
      <c r="B5301" t="s">
        <v>9110</v>
      </c>
      <c r="C5301" t="s">
        <v>466</v>
      </c>
      <c r="D5301">
        <v>1.498</v>
      </c>
      <c r="E5301">
        <v>479</v>
      </c>
      <c r="F5301" t="str">
        <f>HYPERLINK("https://www.google.com/maps/search/?api=1&amp;query=24.5959729,46.12615422", "View Map")</f>
        <v>View Map</v>
      </c>
    </row>
    <row r="5302" spans="1:7" x14ac:dyDescent="0.3">
      <c r="A5302" t="s">
        <v>3735</v>
      </c>
      <c r="B5302" t="s">
        <v>9111</v>
      </c>
      <c r="C5302" t="s">
        <v>255</v>
      </c>
      <c r="D5302">
        <v>1.4970000000000001</v>
      </c>
      <c r="E5302">
        <v>479</v>
      </c>
      <c r="F5302" t="str">
        <f>HYPERLINK("https://www.google.com/maps/search/?api=1&amp;query=25.1022347,44.67725656", "View Map")</f>
        <v>View Map</v>
      </c>
      <c r="G5302" s="2">
        <v>0.50350036804236953</v>
      </c>
    </row>
    <row r="5303" spans="1:7" x14ac:dyDescent="0.3">
      <c r="A5303" t="s">
        <v>1788</v>
      </c>
      <c r="B5303" t="s">
        <v>9112</v>
      </c>
      <c r="C5303" t="s">
        <v>393</v>
      </c>
      <c r="D5303">
        <v>1.4970000000000001</v>
      </c>
      <c r="E5303">
        <v>479</v>
      </c>
      <c r="F5303" t="str">
        <f>HYPERLINK("https://www.google.com/maps/search/?api=1&amp;query=23.59584719,45.14768939", "View Map")</f>
        <v>View Map</v>
      </c>
      <c r="G5303" s="2">
        <v>0.9078970126635646</v>
      </c>
    </row>
    <row r="5304" spans="1:7" x14ac:dyDescent="0.3">
      <c r="A5304" t="s">
        <v>46</v>
      </c>
      <c r="B5304" t="s">
        <v>9113</v>
      </c>
      <c r="C5304" t="s">
        <v>55</v>
      </c>
      <c r="D5304">
        <v>1.496</v>
      </c>
      <c r="E5304">
        <v>479</v>
      </c>
      <c r="F5304" t="str">
        <f>HYPERLINK("https://www.google.com/maps/search/?api=1&amp;query=24.78145877,46.57774639", "View Map")</f>
        <v>View Map</v>
      </c>
    </row>
    <row r="5305" spans="1:7" x14ac:dyDescent="0.3">
      <c r="A5305" t="s">
        <v>9114</v>
      </c>
      <c r="B5305" t="s">
        <v>9115</v>
      </c>
      <c r="C5305" t="s">
        <v>8</v>
      </c>
      <c r="D5305">
        <v>1.496</v>
      </c>
      <c r="E5305">
        <v>479</v>
      </c>
      <c r="F5305" t="str">
        <f>HYPERLINK("https://www.google.com/maps/search/?api=1&amp;query=24.54541336,46.66119481", "View Map")</f>
        <v>View Map</v>
      </c>
    </row>
    <row r="5306" spans="1:7" x14ac:dyDescent="0.3">
      <c r="A5306" t="s">
        <v>2848</v>
      </c>
      <c r="B5306" t="s">
        <v>9116</v>
      </c>
      <c r="C5306" t="s">
        <v>214</v>
      </c>
      <c r="D5306">
        <v>1.496</v>
      </c>
      <c r="E5306">
        <v>479</v>
      </c>
      <c r="F5306" t="str">
        <f>HYPERLINK("https://www.google.com/maps/search/?api=1&amp;query=26.42125965,45.1805067", "View Map")</f>
        <v>View Map</v>
      </c>
      <c r="G5306" s="2">
        <v>0.60890905207697554</v>
      </c>
    </row>
    <row r="5307" spans="1:7" x14ac:dyDescent="0.3">
      <c r="A5307" t="s">
        <v>46</v>
      </c>
      <c r="B5307" t="s">
        <v>9117</v>
      </c>
      <c r="C5307" t="s">
        <v>8</v>
      </c>
      <c r="D5307">
        <v>1.4950000000000001</v>
      </c>
      <c r="E5307">
        <v>479</v>
      </c>
      <c r="F5307" t="str">
        <f>HYPERLINK("https://www.google.com/maps/search/?api=1&amp;query=24.89404675,46.63021478", "View Map")</f>
        <v>View Map</v>
      </c>
    </row>
    <row r="5308" spans="1:7" x14ac:dyDescent="0.3">
      <c r="A5308" t="s">
        <v>9118</v>
      </c>
      <c r="B5308" t="s">
        <v>9119</v>
      </c>
      <c r="C5308" t="s">
        <v>214</v>
      </c>
      <c r="D5308">
        <v>1.4950000000000001</v>
      </c>
      <c r="E5308">
        <v>478</v>
      </c>
      <c r="F5308" t="str">
        <f>HYPERLINK("https://www.google.com/maps/search/?api=1&amp;query=25.64609573,45.55297517", "View Map")</f>
        <v>View Map</v>
      </c>
      <c r="G5308" s="2">
        <v>0.49532940703495898</v>
      </c>
    </row>
    <row r="5309" spans="1:7" x14ac:dyDescent="0.3">
      <c r="A5309" t="s">
        <v>9120</v>
      </c>
      <c r="B5309" t="s">
        <v>9121</v>
      </c>
      <c r="C5309" t="s">
        <v>255</v>
      </c>
      <c r="D5309">
        <v>1.4950000000000001</v>
      </c>
      <c r="E5309">
        <v>478</v>
      </c>
      <c r="F5309" t="str">
        <f>HYPERLINK("https://www.google.com/maps/search/?api=1&amp;query=23.90865358,44.63741883", "View Map")</f>
        <v>View Map</v>
      </c>
    </row>
    <row r="5310" spans="1:7" x14ac:dyDescent="0.3">
      <c r="A5310" t="s">
        <v>9122</v>
      </c>
      <c r="B5310" t="s">
        <v>9123</v>
      </c>
      <c r="C5310" t="s">
        <v>8</v>
      </c>
      <c r="D5310">
        <v>1.4950000000000001</v>
      </c>
      <c r="E5310">
        <v>479</v>
      </c>
      <c r="F5310" t="str">
        <f>HYPERLINK("https://www.google.com/maps/search/?api=1&amp;query=24.59998717,46.72112617", "View Map")</f>
        <v>View Map</v>
      </c>
    </row>
    <row r="5311" spans="1:7" x14ac:dyDescent="0.3">
      <c r="A5311" t="s">
        <v>9124</v>
      </c>
      <c r="B5311" t="s">
        <v>9125</v>
      </c>
      <c r="C5311" t="s">
        <v>8</v>
      </c>
      <c r="D5311">
        <v>1.4950000000000001</v>
      </c>
      <c r="E5311">
        <v>478</v>
      </c>
      <c r="F5311" t="str">
        <f>HYPERLINK("https://www.google.com/maps/search/?api=1&amp;query=24.57711254,46.63847468", "View Map")</f>
        <v>View Map</v>
      </c>
    </row>
    <row r="5312" spans="1:7" x14ac:dyDescent="0.3">
      <c r="A5312" t="s">
        <v>9126</v>
      </c>
      <c r="B5312" t="s">
        <v>9127</v>
      </c>
      <c r="C5312" t="s">
        <v>8</v>
      </c>
      <c r="D5312">
        <v>1.4950000000000001</v>
      </c>
      <c r="E5312">
        <v>478</v>
      </c>
      <c r="F5312" t="str">
        <f>HYPERLINK("https://www.google.com/maps/search/?api=1&amp;query=24.61673212,46.68930545", "View Map")</f>
        <v>View Map</v>
      </c>
    </row>
    <row r="5313" spans="1:7" x14ac:dyDescent="0.3">
      <c r="A5313" t="s">
        <v>9128</v>
      </c>
      <c r="B5313" t="s">
        <v>9129</v>
      </c>
      <c r="C5313" t="s">
        <v>8</v>
      </c>
      <c r="D5313">
        <v>1.494</v>
      </c>
      <c r="E5313">
        <v>478</v>
      </c>
      <c r="F5313" t="str">
        <f>HYPERLINK("https://www.google.com/maps/search/?api=1&amp;query=24.73857131,46.77395375", "View Map")</f>
        <v>View Map</v>
      </c>
    </row>
    <row r="5314" spans="1:7" x14ac:dyDescent="0.3">
      <c r="A5314" t="s">
        <v>9130</v>
      </c>
      <c r="B5314" t="s">
        <v>9131</v>
      </c>
      <c r="C5314" t="s">
        <v>8</v>
      </c>
      <c r="D5314">
        <v>1.494</v>
      </c>
      <c r="E5314">
        <v>478</v>
      </c>
      <c r="F5314" t="str">
        <f>HYPERLINK("https://www.google.com/maps/search/?api=1&amp;query=24.68730075,46.72812836", "View Map")</f>
        <v>View Map</v>
      </c>
    </row>
    <row r="5315" spans="1:7" x14ac:dyDescent="0.3">
      <c r="A5315" t="s">
        <v>9132</v>
      </c>
      <c r="B5315" t="s">
        <v>9133</v>
      </c>
      <c r="C5315" t="s">
        <v>8</v>
      </c>
      <c r="D5315">
        <v>1.494</v>
      </c>
      <c r="E5315">
        <v>478</v>
      </c>
      <c r="F5315" t="str">
        <f>HYPERLINK("https://www.google.com/maps/search/?api=1&amp;query=24.74424173,46.83460896", "View Map")</f>
        <v>View Map</v>
      </c>
    </row>
    <row r="5316" spans="1:7" x14ac:dyDescent="0.3">
      <c r="A5316" t="s">
        <v>9134</v>
      </c>
      <c r="B5316" t="s">
        <v>9135</v>
      </c>
      <c r="C5316" t="s">
        <v>296</v>
      </c>
      <c r="D5316">
        <v>1.494</v>
      </c>
      <c r="E5316">
        <v>478</v>
      </c>
      <c r="F5316" t="str">
        <f>HYPERLINK("https://www.google.com/maps/search/?api=1&amp;query=24.47774972,46.28249701", "View Map")</f>
        <v>View Map</v>
      </c>
    </row>
    <row r="5317" spans="1:7" x14ac:dyDescent="0.3">
      <c r="A5317" t="s">
        <v>4412</v>
      </c>
      <c r="B5317" t="s">
        <v>9136</v>
      </c>
      <c r="C5317" t="s">
        <v>16</v>
      </c>
      <c r="D5317">
        <v>1.4930000000000001</v>
      </c>
      <c r="E5317">
        <v>478</v>
      </c>
      <c r="F5317" t="str">
        <f>HYPERLINK("https://www.google.com/maps/search/?api=1&amp;query=23.88022978,42.88328663", "View Map")</f>
        <v>View Map</v>
      </c>
    </row>
    <row r="5318" spans="1:7" x14ac:dyDescent="0.3">
      <c r="A5318" t="s">
        <v>46</v>
      </c>
      <c r="B5318" t="s">
        <v>9137</v>
      </c>
      <c r="C5318" t="s">
        <v>8</v>
      </c>
      <c r="D5318">
        <v>1.4930000000000001</v>
      </c>
      <c r="E5318">
        <v>478</v>
      </c>
      <c r="F5318" t="str">
        <f>HYPERLINK("https://www.google.com/maps/search/?api=1&amp;query=24.62084447,46.77477463", "View Map")</f>
        <v>View Map</v>
      </c>
    </row>
    <row r="5319" spans="1:7" x14ac:dyDescent="0.3">
      <c r="A5319" t="s">
        <v>9138</v>
      </c>
      <c r="B5319" t="s">
        <v>9139</v>
      </c>
      <c r="C5319" t="s">
        <v>8</v>
      </c>
      <c r="D5319">
        <v>1.4930000000000001</v>
      </c>
      <c r="E5319">
        <v>478</v>
      </c>
      <c r="F5319" t="str">
        <f>HYPERLINK("https://www.google.com/maps/search/?api=1&amp;query=24.63448613,46.72005314", "View Map")</f>
        <v>View Map</v>
      </c>
    </row>
    <row r="5320" spans="1:7" x14ac:dyDescent="0.3">
      <c r="A5320" t="s">
        <v>9140</v>
      </c>
      <c r="B5320" t="s">
        <v>9141</v>
      </c>
      <c r="C5320" t="s">
        <v>8</v>
      </c>
      <c r="D5320">
        <v>1.4930000000000001</v>
      </c>
      <c r="E5320">
        <v>478</v>
      </c>
      <c r="F5320" t="str">
        <f>HYPERLINK("https://www.google.com/maps/search/?api=1&amp;query=24.40902446,46.83896622", "View Map")</f>
        <v>View Map</v>
      </c>
    </row>
    <row r="5321" spans="1:7" x14ac:dyDescent="0.3">
      <c r="A5321" t="s">
        <v>9142</v>
      </c>
      <c r="B5321" t="s">
        <v>9143</v>
      </c>
      <c r="C5321" t="s">
        <v>8</v>
      </c>
      <c r="D5321">
        <v>1.4930000000000001</v>
      </c>
      <c r="E5321">
        <v>478</v>
      </c>
      <c r="F5321" t="str">
        <f>HYPERLINK("https://www.google.com/maps/search/?api=1&amp;query=24.63232005,46.69495721", "View Map")</f>
        <v>View Map</v>
      </c>
    </row>
    <row r="5322" spans="1:7" x14ac:dyDescent="0.3">
      <c r="A5322" t="s">
        <v>146</v>
      </c>
      <c r="B5322" t="s">
        <v>9144</v>
      </c>
      <c r="C5322" t="s">
        <v>820</v>
      </c>
      <c r="D5322">
        <v>1.4930000000000001</v>
      </c>
      <c r="E5322">
        <v>478</v>
      </c>
      <c r="F5322" t="str">
        <f>HYPERLINK("https://www.google.com/maps/search/?api=1&amp;query=0.0,0.0", "View Map")</f>
        <v>View Map</v>
      </c>
    </row>
    <row r="5323" spans="1:7" x14ac:dyDescent="0.3">
      <c r="A5323" t="s">
        <v>9145</v>
      </c>
      <c r="B5323" t="s">
        <v>9146</v>
      </c>
      <c r="C5323" t="s">
        <v>214</v>
      </c>
      <c r="D5323">
        <v>1.492</v>
      </c>
      <c r="E5323">
        <v>477</v>
      </c>
      <c r="F5323" t="str">
        <f>HYPERLINK("https://www.google.com/maps/search/?api=1&amp;query=26.57664521,45.11040218", "View Map")</f>
        <v>View Map</v>
      </c>
      <c r="G5323" s="2">
        <v>0.47190870603516111</v>
      </c>
    </row>
    <row r="5324" spans="1:7" x14ac:dyDescent="0.3">
      <c r="A5324" t="s">
        <v>411</v>
      </c>
      <c r="B5324" t="s">
        <v>9147</v>
      </c>
      <c r="C5324" t="s">
        <v>77</v>
      </c>
      <c r="D5324">
        <v>1.492</v>
      </c>
      <c r="E5324">
        <v>478</v>
      </c>
      <c r="F5324" t="str">
        <f>HYPERLINK("https://www.google.com/maps/search/?api=1&amp;query=22.3210249,46.72271642", "View Map")</f>
        <v>View Map</v>
      </c>
      <c r="G5324" s="2">
        <v>0.36777279826661169</v>
      </c>
    </row>
    <row r="5325" spans="1:7" x14ac:dyDescent="0.3">
      <c r="A5325" t="s">
        <v>73</v>
      </c>
      <c r="B5325" t="s">
        <v>9148</v>
      </c>
      <c r="C5325" t="s">
        <v>8</v>
      </c>
      <c r="D5325">
        <v>1.492</v>
      </c>
      <c r="E5325">
        <v>478</v>
      </c>
      <c r="F5325" t="str">
        <f>HYPERLINK("https://www.google.com/maps/search/?api=1&amp;query=24.81874096,46.65453281", "View Map")</f>
        <v>View Map</v>
      </c>
    </row>
    <row r="5326" spans="1:7" x14ac:dyDescent="0.3">
      <c r="A5326" t="s">
        <v>9149</v>
      </c>
      <c r="B5326" t="s">
        <v>9150</v>
      </c>
      <c r="C5326" t="s">
        <v>30</v>
      </c>
      <c r="D5326">
        <v>1.492</v>
      </c>
      <c r="E5326">
        <v>477</v>
      </c>
      <c r="F5326" t="str">
        <f>HYPERLINK("https://www.google.com/maps/search/?api=1&amp;query=24.19486954,47.28440174", "View Map")</f>
        <v>View Map</v>
      </c>
      <c r="G5326" s="2">
        <v>0.35430033450818132</v>
      </c>
    </row>
    <row r="5327" spans="1:7" x14ac:dyDescent="0.3">
      <c r="A5327" t="s">
        <v>9151</v>
      </c>
      <c r="B5327" t="s">
        <v>9152</v>
      </c>
      <c r="C5327" t="s">
        <v>646</v>
      </c>
      <c r="D5327">
        <v>1.492</v>
      </c>
      <c r="E5327">
        <v>477</v>
      </c>
      <c r="F5327" t="str">
        <f>HYPERLINK("https://www.google.com/maps/search/?api=1&amp;query=20.47407045,45.59243921", "View Map")</f>
        <v>View Map</v>
      </c>
    </row>
    <row r="5328" spans="1:7" x14ac:dyDescent="0.3">
      <c r="A5328" t="s">
        <v>627</v>
      </c>
      <c r="B5328" t="s">
        <v>9153</v>
      </c>
      <c r="C5328" t="s">
        <v>8</v>
      </c>
      <c r="D5328">
        <v>1.4910000000000001</v>
      </c>
      <c r="E5328">
        <v>477</v>
      </c>
      <c r="F5328" t="str">
        <f>HYPERLINK("https://www.google.com/maps/search/?api=1&amp;query=24.79928671,46.67671869", "View Map")</f>
        <v>View Map</v>
      </c>
    </row>
    <row r="5329" spans="1:7" x14ac:dyDescent="0.3">
      <c r="A5329" t="s">
        <v>6998</v>
      </c>
      <c r="B5329" t="s">
        <v>9154</v>
      </c>
      <c r="C5329" t="s">
        <v>8</v>
      </c>
      <c r="D5329">
        <v>1.4910000000000001</v>
      </c>
      <c r="E5329">
        <v>477</v>
      </c>
      <c r="F5329" t="str">
        <f>HYPERLINK("https://www.google.com/maps/search/?api=1&amp;query=24.76480265,46.70993838", "View Map")</f>
        <v>View Map</v>
      </c>
    </row>
    <row r="5330" spans="1:7" x14ac:dyDescent="0.3">
      <c r="A5330" t="s">
        <v>1594</v>
      </c>
      <c r="B5330" t="s">
        <v>9155</v>
      </c>
      <c r="C5330" t="s">
        <v>296</v>
      </c>
      <c r="D5330">
        <v>1.4910000000000001</v>
      </c>
      <c r="E5330">
        <v>477</v>
      </c>
      <c r="F5330" t="str">
        <f>HYPERLINK("https://www.google.com/maps/search/?api=1&amp;query=24.45537065,46.25714656", "View Map")</f>
        <v>View Map</v>
      </c>
      <c r="G5330" s="2">
        <v>0.45696842373898278</v>
      </c>
    </row>
    <row r="5331" spans="1:7" x14ac:dyDescent="0.3">
      <c r="A5331" t="s">
        <v>9156</v>
      </c>
      <c r="B5331" t="s">
        <v>9157</v>
      </c>
      <c r="C5331" t="s">
        <v>21</v>
      </c>
      <c r="D5331">
        <v>1.49</v>
      </c>
      <c r="E5331">
        <v>477</v>
      </c>
      <c r="F5331" t="str">
        <f>HYPERLINK("https://www.google.com/maps/search/?api=1&amp;query=26.31210406,44.79974679", "View Map")</f>
        <v>View Map</v>
      </c>
    </row>
    <row r="5332" spans="1:7" x14ac:dyDescent="0.3">
      <c r="A5332" t="s">
        <v>661</v>
      </c>
      <c r="B5332" t="s">
        <v>9158</v>
      </c>
      <c r="C5332" t="s">
        <v>214</v>
      </c>
      <c r="D5332">
        <v>1.49</v>
      </c>
      <c r="E5332">
        <v>477</v>
      </c>
      <c r="F5332" t="str">
        <f>HYPERLINK("https://www.google.com/maps/search/?api=1&amp;query=25.59713223,45.61787845", "View Map")</f>
        <v>View Map</v>
      </c>
      <c r="G5332" s="2">
        <v>0.68933173203460152</v>
      </c>
    </row>
    <row r="5333" spans="1:7" x14ac:dyDescent="0.3">
      <c r="A5333" t="s">
        <v>9159</v>
      </c>
      <c r="B5333" t="s">
        <v>9160</v>
      </c>
      <c r="C5333" t="s">
        <v>214</v>
      </c>
      <c r="D5333">
        <v>1.49</v>
      </c>
      <c r="E5333">
        <v>477</v>
      </c>
      <c r="F5333" t="str">
        <f>HYPERLINK("https://www.google.com/maps/search/?api=1&amp;query=25.8988695,45.36611075", "View Map")</f>
        <v>View Map</v>
      </c>
      <c r="G5333" s="2">
        <v>0.48248439426636908</v>
      </c>
    </row>
    <row r="5334" spans="1:7" x14ac:dyDescent="0.3">
      <c r="A5334" t="s">
        <v>146</v>
      </c>
      <c r="B5334" t="s">
        <v>9161</v>
      </c>
      <c r="C5334" t="s">
        <v>8</v>
      </c>
      <c r="D5334">
        <v>1.4890000000000001</v>
      </c>
      <c r="E5334">
        <v>477</v>
      </c>
      <c r="F5334" t="str">
        <f>HYPERLINK("https://www.google.com/maps/search/?api=1&amp;query=24.57209052,46.55457131", "View Map")</f>
        <v>View Map</v>
      </c>
    </row>
    <row r="5335" spans="1:7" x14ac:dyDescent="0.3">
      <c r="A5335" t="s">
        <v>9162</v>
      </c>
      <c r="B5335" t="s">
        <v>9163</v>
      </c>
      <c r="C5335" t="s">
        <v>466</v>
      </c>
      <c r="D5335">
        <v>1.4890000000000001</v>
      </c>
      <c r="E5335">
        <v>476</v>
      </c>
      <c r="F5335" t="str">
        <f>HYPERLINK("https://www.google.com/maps/search/?api=1&amp;query=24.50587939,46.35950958", "View Map")</f>
        <v>View Map</v>
      </c>
    </row>
    <row r="5336" spans="1:7" x14ac:dyDescent="0.3">
      <c r="A5336" t="s">
        <v>9164</v>
      </c>
      <c r="B5336" t="s">
        <v>9165</v>
      </c>
      <c r="C5336" t="s">
        <v>8</v>
      </c>
      <c r="D5336">
        <v>1.488</v>
      </c>
      <c r="E5336">
        <v>476</v>
      </c>
      <c r="F5336" t="str">
        <f>HYPERLINK("https://www.google.com/maps/search/?api=1&amp;query=24.58442523,46.77708401", "View Map")</f>
        <v>View Map</v>
      </c>
    </row>
    <row r="5337" spans="1:7" x14ac:dyDescent="0.3">
      <c r="A5337" t="s">
        <v>9166</v>
      </c>
      <c r="B5337" t="s">
        <v>9167</v>
      </c>
      <c r="C5337" t="s">
        <v>55</v>
      </c>
      <c r="D5337">
        <v>1.488</v>
      </c>
      <c r="E5337">
        <v>476</v>
      </c>
      <c r="F5337" t="str">
        <f>HYPERLINK("https://www.google.com/maps/search/?api=1&amp;query=24.74820868,46.53897423", "View Map")</f>
        <v>View Map</v>
      </c>
    </row>
    <row r="5338" spans="1:7" x14ac:dyDescent="0.3">
      <c r="A5338" t="s">
        <v>9168</v>
      </c>
      <c r="B5338" t="s">
        <v>9169</v>
      </c>
      <c r="C5338" t="s">
        <v>137</v>
      </c>
      <c r="D5338">
        <v>1.4870000000000001</v>
      </c>
      <c r="E5338">
        <v>476</v>
      </c>
      <c r="F5338" t="str">
        <f>HYPERLINK("https://www.google.com/maps/search/?api=1&amp;query=22.91182632,46.05707377", "View Map")</f>
        <v>View Map</v>
      </c>
      <c r="G5338" s="2">
        <v>0.55874271388247454</v>
      </c>
    </row>
    <row r="5339" spans="1:7" x14ac:dyDescent="0.3">
      <c r="A5339" t="s">
        <v>9170</v>
      </c>
      <c r="B5339" t="s">
        <v>9171</v>
      </c>
      <c r="C5339" t="s">
        <v>8</v>
      </c>
      <c r="D5339">
        <v>1.4870000000000001</v>
      </c>
      <c r="E5339">
        <v>476</v>
      </c>
      <c r="F5339" t="str">
        <f>HYPERLINK("https://www.google.com/maps/search/?api=1&amp;query=24.61604161,46.73482702", "View Map")</f>
        <v>View Map</v>
      </c>
    </row>
    <row r="5340" spans="1:7" x14ac:dyDescent="0.3">
      <c r="A5340" t="s">
        <v>717</v>
      </c>
      <c r="B5340" t="s">
        <v>9172</v>
      </c>
      <c r="C5340" t="s">
        <v>255</v>
      </c>
      <c r="D5340">
        <v>1.4870000000000001</v>
      </c>
      <c r="E5340">
        <v>476</v>
      </c>
      <c r="F5340" t="str">
        <f>HYPERLINK("https://www.google.com/maps/search/?api=1&amp;query=24.512779,44.39554229", "View Map")</f>
        <v>View Map</v>
      </c>
      <c r="G5340" s="2">
        <v>0.34101387304370923</v>
      </c>
    </row>
    <row r="5341" spans="1:7" x14ac:dyDescent="0.3">
      <c r="A5341" t="s">
        <v>678</v>
      </c>
      <c r="B5341" t="s">
        <v>9173</v>
      </c>
      <c r="C5341" t="s">
        <v>21</v>
      </c>
      <c r="D5341">
        <v>1.4870000000000001</v>
      </c>
      <c r="E5341">
        <v>476</v>
      </c>
      <c r="F5341" t="str">
        <f>HYPERLINK("https://www.google.com/maps/search/?api=1&amp;query=26.32287771,44.80793044", "View Map")</f>
        <v>View Map</v>
      </c>
    </row>
    <row r="5342" spans="1:7" x14ac:dyDescent="0.3">
      <c r="A5342" t="s">
        <v>9174</v>
      </c>
      <c r="B5342" t="s">
        <v>9175</v>
      </c>
      <c r="C5342" t="s">
        <v>270</v>
      </c>
      <c r="D5342">
        <v>1.486</v>
      </c>
      <c r="E5342">
        <v>475</v>
      </c>
      <c r="F5342" t="str">
        <f>HYPERLINK("https://www.google.com/maps/search/?api=1&amp;query=23.98962107,47.13213498", "View Map")</f>
        <v>View Map</v>
      </c>
    </row>
    <row r="5343" spans="1:7" x14ac:dyDescent="0.3">
      <c r="A5343" t="s">
        <v>9176</v>
      </c>
      <c r="B5343" t="s">
        <v>9177</v>
      </c>
      <c r="C5343" t="s">
        <v>8</v>
      </c>
      <c r="D5343">
        <v>1.486</v>
      </c>
      <c r="E5343">
        <v>475</v>
      </c>
      <c r="F5343" t="str">
        <f>HYPERLINK("https://www.google.com/maps/search/?api=1&amp;query=24.57381107,46.69287941", "View Map")</f>
        <v>View Map</v>
      </c>
    </row>
    <row r="5344" spans="1:7" x14ac:dyDescent="0.3">
      <c r="A5344" t="s">
        <v>9178</v>
      </c>
      <c r="B5344" t="s">
        <v>9179</v>
      </c>
      <c r="C5344" t="s">
        <v>8</v>
      </c>
      <c r="D5344">
        <v>1.486</v>
      </c>
      <c r="E5344">
        <v>476</v>
      </c>
      <c r="F5344" t="str">
        <f>HYPERLINK("https://www.google.com/maps/search/?api=1&amp;query=24.79738643,46.64707458", "View Map")</f>
        <v>View Map</v>
      </c>
    </row>
    <row r="5345" spans="1:7" x14ac:dyDescent="0.3">
      <c r="A5345" t="s">
        <v>9180</v>
      </c>
      <c r="B5345" t="s">
        <v>9181</v>
      </c>
      <c r="C5345" t="s">
        <v>291</v>
      </c>
      <c r="D5345">
        <v>1.486</v>
      </c>
      <c r="E5345">
        <v>475</v>
      </c>
      <c r="F5345" t="str">
        <f>HYPERLINK("https://www.google.com/maps/search/?api=1&amp;query=23.82978216,45.64601368", "View Map")</f>
        <v>View Map</v>
      </c>
      <c r="G5345" s="2">
        <v>0.4679013571136158</v>
      </c>
    </row>
    <row r="5346" spans="1:7" x14ac:dyDescent="0.3">
      <c r="A5346" t="s">
        <v>6878</v>
      </c>
      <c r="B5346" t="s">
        <v>9182</v>
      </c>
      <c r="C5346" t="s">
        <v>8</v>
      </c>
      <c r="D5346">
        <v>1.4850000000000001</v>
      </c>
      <c r="E5346">
        <v>475</v>
      </c>
      <c r="F5346" t="str">
        <f>HYPERLINK("https://www.google.com/maps/search/?api=1&amp;query=24.59251674,46.66826536", "View Map")</f>
        <v>View Map</v>
      </c>
    </row>
    <row r="5347" spans="1:7" x14ac:dyDescent="0.3">
      <c r="A5347" t="s">
        <v>9183</v>
      </c>
      <c r="B5347" t="s">
        <v>9184</v>
      </c>
      <c r="C5347" t="s">
        <v>738</v>
      </c>
      <c r="D5347">
        <v>1.4850000000000001</v>
      </c>
      <c r="E5347">
        <v>475</v>
      </c>
      <c r="F5347" t="str">
        <f>HYPERLINK("https://www.google.com/maps/search/?api=1&amp;query=25.10993732,46.10069596", "View Map")</f>
        <v>View Map</v>
      </c>
    </row>
    <row r="5348" spans="1:7" x14ac:dyDescent="0.3">
      <c r="A5348" t="s">
        <v>9185</v>
      </c>
      <c r="B5348" t="s">
        <v>9186</v>
      </c>
      <c r="C5348" t="s">
        <v>286</v>
      </c>
      <c r="D5348">
        <v>1.484</v>
      </c>
      <c r="E5348">
        <v>475</v>
      </c>
      <c r="F5348" t="str">
        <f>HYPERLINK("https://www.google.com/maps/search/?api=1&amp;query=25.2232592,45.26979924", "View Map")</f>
        <v>View Map</v>
      </c>
    </row>
    <row r="5349" spans="1:7" x14ac:dyDescent="0.3">
      <c r="A5349" t="s">
        <v>9187</v>
      </c>
      <c r="B5349" t="s">
        <v>9188</v>
      </c>
      <c r="C5349" t="s">
        <v>241</v>
      </c>
      <c r="D5349">
        <v>1.484</v>
      </c>
      <c r="E5349">
        <v>475</v>
      </c>
      <c r="F5349" t="str">
        <f>HYPERLINK("https://www.google.com/maps/search/?api=1&amp;query=20.44380232,44.85389465", "View Map")</f>
        <v>View Map</v>
      </c>
    </row>
    <row r="5350" spans="1:7" x14ac:dyDescent="0.3">
      <c r="A5350" t="s">
        <v>1597</v>
      </c>
      <c r="B5350" t="s">
        <v>9189</v>
      </c>
      <c r="C5350" t="s">
        <v>270</v>
      </c>
      <c r="D5350">
        <v>1.484</v>
      </c>
      <c r="E5350">
        <v>475</v>
      </c>
      <c r="F5350" t="str">
        <f>HYPERLINK("https://www.google.com/maps/search/?api=1&amp;query=24.00738604,47.16593512", "View Map")</f>
        <v>View Map</v>
      </c>
    </row>
    <row r="5351" spans="1:7" x14ac:dyDescent="0.3">
      <c r="A5351" t="s">
        <v>9190</v>
      </c>
      <c r="B5351" t="s">
        <v>9191</v>
      </c>
      <c r="C5351" t="s">
        <v>8</v>
      </c>
      <c r="D5351">
        <v>1.484</v>
      </c>
      <c r="E5351">
        <v>475</v>
      </c>
      <c r="F5351" t="str">
        <f>HYPERLINK("https://www.google.com/maps/search/?api=1&amp;query=24.73189448,46.83890803", "View Map")</f>
        <v>View Map</v>
      </c>
    </row>
    <row r="5352" spans="1:7" x14ac:dyDescent="0.3">
      <c r="A5352" t="s">
        <v>146</v>
      </c>
      <c r="B5352" t="s">
        <v>9192</v>
      </c>
      <c r="C5352" t="s">
        <v>8</v>
      </c>
      <c r="D5352">
        <v>1.482</v>
      </c>
      <c r="E5352">
        <v>474</v>
      </c>
      <c r="F5352" t="str">
        <f>HYPERLINK("https://www.google.com/maps/search/?api=1&amp;query=24.5594,46.5906", "View Map")</f>
        <v>View Map</v>
      </c>
    </row>
    <row r="5353" spans="1:7" x14ac:dyDescent="0.3">
      <c r="A5353" t="s">
        <v>9193</v>
      </c>
      <c r="B5353" t="s">
        <v>9194</v>
      </c>
      <c r="C5353" t="s">
        <v>466</v>
      </c>
      <c r="D5353">
        <v>1.482</v>
      </c>
      <c r="E5353">
        <v>474</v>
      </c>
      <c r="F5353" t="str">
        <f>HYPERLINK("https://www.google.com/maps/search/?api=1&amp;query=24.5109488,46.37716494", "View Map")</f>
        <v>View Map</v>
      </c>
      <c r="G5353" s="2">
        <v>0.37929444913999499</v>
      </c>
    </row>
    <row r="5354" spans="1:7" x14ac:dyDescent="0.3">
      <c r="A5354" t="s">
        <v>46</v>
      </c>
      <c r="B5354" t="s">
        <v>9195</v>
      </c>
      <c r="C5354" t="s">
        <v>8</v>
      </c>
      <c r="D5354">
        <v>1.482</v>
      </c>
      <c r="E5354">
        <v>474</v>
      </c>
      <c r="F5354" t="str">
        <f>HYPERLINK("https://www.google.com/maps/search/?api=1&amp;query=24.8855096,46.61893581", "View Map")</f>
        <v>View Map</v>
      </c>
      <c r="G5354" s="2">
        <v>0.13423556196609179</v>
      </c>
    </row>
    <row r="5355" spans="1:7" x14ac:dyDescent="0.3">
      <c r="A5355" t="s">
        <v>9196</v>
      </c>
      <c r="B5355" t="s">
        <v>9197</v>
      </c>
      <c r="C5355" t="s">
        <v>214</v>
      </c>
      <c r="D5355">
        <v>1.482</v>
      </c>
      <c r="E5355">
        <v>474</v>
      </c>
      <c r="F5355" t="str">
        <f>HYPERLINK("https://www.google.com/maps/search/?api=1&amp;query=25.56604493,45.65262343", "View Map")</f>
        <v>View Map</v>
      </c>
      <c r="G5355" s="2">
        <v>0.5242175973278197</v>
      </c>
    </row>
    <row r="5356" spans="1:7" x14ac:dyDescent="0.3">
      <c r="A5356" t="s">
        <v>9198</v>
      </c>
      <c r="B5356" t="s">
        <v>9199</v>
      </c>
      <c r="C5356" t="s">
        <v>8</v>
      </c>
      <c r="D5356">
        <v>1.482</v>
      </c>
      <c r="E5356">
        <v>474</v>
      </c>
      <c r="F5356" t="str">
        <f>HYPERLINK("https://www.google.com/maps/search/?api=1&amp;query=24.80620942,46.80617566", "View Map")</f>
        <v>View Map</v>
      </c>
    </row>
    <row r="5357" spans="1:7" x14ac:dyDescent="0.3">
      <c r="A5357" t="s">
        <v>9200</v>
      </c>
      <c r="B5357" t="s">
        <v>9201</v>
      </c>
      <c r="C5357" t="s">
        <v>646</v>
      </c>
      <c r="D5357">
        <v>1.482</v>
      </c>
      <c r="E5357">
        <v>474</v>
      </c>
      <c r="F5357" t="str">
        <f>HYPERLINK("https://www.google.com/maps/search/?api=1&amp;query=20.47047306,45.58039175", "View Map")</f>
        <v>View Map</v>
      </c>
    </row>
    <row r="5358" spans="1:7" x14ac:dyDescent="0.3">
      <c r="A5358" t="s">
        <v>46</v>
      </c>
      <c r="B5358" t="s">
        <v>9202</v>
      </c>
      <c r="C5358" t="s">
        <v>8</v>
      </c>
      <c r="D5358">
        <v>1.4810000000000001</v>
      </c>
      <c r="E5358">
        <v>474</v>
      </c>
      <c r="F5358" t="str">
        <f>HYPERLINK("https://www.google.com/maps/search/?api=1&amp;query=24.85202816,46.831367", "View Map")</f>
        <v>View Map</v>
      </c>
    </row>
    <row r="5359" spans="1:7" x14ac:dyDescent="0.3">
      <c r="A5359" t="s">
        <v>9203</v>
      </c>
      <c r="B5359" t="s">
        <v>9204</v>
      </c>
      <c r="C5359" t="s">
        <v>8</v>
      </c>
      <c r="D5359">
        <v>1.48</v>
      </c>
      <c r="E5359">
        <v>474</v>
      </c>
      <c r="F5359" t="str">
        <f>HYPERLINK("https://www.google.com/maps/search/?api=1&amp;query=24.57900579,46.78884714", "View Map")</f>
        <v>View Map</v>
      </c>
    </row>
    <row r="5360" spans="1:7" x14ac:dyDescent="0.3">
      <c r="A5360" t="s">
        <v>9205</v>
      </c>
      <c r="B5360" t="s">
        <v>9206</v>
      </c>
      <c r="C5360" t="s">
        <v>255</v>
      </c>
      <c r="D5360">
        <v>1.48</v>
      </c>
      <c r="E5360">
        <v>474</v>
      </c>
      <c r="F5360" t="str">
        <f>HYPERLINK("https://www.google.com/maps/search/?api=1&amp;query=24.73908897,43.78706358", "View Map")</f>
        <v>View Map</v>
      </c>
      <c r="G5360" s="2">
        <v>0.52630839710696375</v>
      </c>
    </row>
    <row r="5361" spans="1:7" x14ac:dyDescent="0.3">
      <c r="A5361" t="s">
        <v>9207</v>
      </c>
      <c r="B5361" t="s">
        <v>9208</v>
      </c>
      <c r="C5361" t="s">
        <v>8</v>
      </c>
      <c r="D5361">
        <v>1.48</v>
      </c>
      <c r="E5361">
        <v>473</v>
      </c>
      <c r="F5361" t="str">
        <f>HYPERLINK("https://www.google.com/maps/search/?api=1&amp;query=24.59319263,46.65239586", "View Map")</f>
        <v>View Map</v>
      </c>
    </row>
    <row r="5362" spans="1:7" x14ac:dyDescent="0.3">
      <c r="A5362" t="s">
        <v>9209</v>
      </c>
      <c r="B5362" t="s">
        <v>9210</v>
      </c>
      <c r="C5362" t="s">
        <v>16</v>
      </c>
      <c r="D5362">
        <v>1.4790000000000001</v>
      </c>
      <c r="E5362">
        <v>473</v>
      </c>
      <c r="F5362" t="str">
        <f>HYPERLINK("https://www.google.com/maps/search/?api=1&amp;query=23.90508652,42.89932751", "View Map")</f>
        <v>View Map</v>
      </c>
    </row>
    <row r="5363" spans="1:7" x14ac:dyDescent="0.3">
      <c r="A5363" t="s">
        <v>9211</v>
      </c>
      <c r="B5363" t="s">
        <v>9212</v>
      </c>
      <c r="C5363" t="s">
        <v>296</v>
      </c>
      <c r="D5363">
        <v>1.4790000000000001</v>
      </c>
      <c r="E5363">
        <v>473</v>
      </c>
      <c r="F5363" t="str">
        <f>HYPERLINK("https://www.google.com/maps/search/?api=1&amp;query=24.45661359,46.27702627", "View Map")</f>
        <v>View Map</v>
      </c>
    </row>
    <row r="5364" spans="1:7" x14ac:dyDescent="0.3">
      <c r="A5364" t="s">
        <v>9213</v>
      </c>
      <c r="B5364" t="s">
        <v>9214</v>
      </c>
      <c r="C5364" t="s">
        <v>8</v>
      </c>
      <c r="D5364">
        <v>1.478</v>
      </c>
      <c r="E5364">
        <v>473</v>
      </c>
      <c r="F5364" t="str">
        <f>HYPERLINK("https://www.google.com/maps/search/?api=1&amp;query=24.65797704,46.73843886", "View Map")</f>
        <v>View Map</v>
      </c>
    </row>
    <row r="5365" spans="1:7" x14ac:dyDescent="0.3">
      <c r="A5365" t="s">
        <v>9215</v>
      </c>
      <c r="B5365" t="s">
        <v>9216</v>
      </c>
      <c r="C5365" t="s">
        <v>393</v>
      </c>
      <c r="D5365">
        <v>1.4770000000000001</v>
      </c>
      <c r="E5365">
        <v>473</v>
      </c>
      <c r="F5365" t="str">
        <f>HYPERLINK("https://www.google.com/maps/search/?api=1&amp;query=23.42604884,45.23286052", "View Map")</f>
        <v>View Map</v>
      </c>
      <c r="G5365" s="2">
        <v>0.86502673962494181</v>
      </c>
    </row>
    <row r="5366" spans="1:7" x14ac:dyDescent="0.3">
      <c r="A5366" t="s">
        <v>9217</v>
      </c>
      <c r="B5366" t="s">
        <v>9218</v>
      </c>
      <c r="C5366" t="s">
        <v>270</v>
      </c>
      <c r="D5366">
        <v>1.4770000000000001</v>
      </c>
      <c r="E5366">
        <v>473</v>
      </c>
      <c r="F5366" t="str">
        <f>HYPERLINK("https://www.google.com/maps/search/?api=1&amp;query=23.9864387,47.13158391", "View Map")</f>
        <v>View Map</v>
      </c>
    </row>
    <row r="5367" spans="1:7" x14ac:dyDescent="0.3">
      <c r="A5367" t="s">
        <v>46</v>
      </c>
      <c r="B5367" t="s">
        <v>9219</v>
      </c>
      <c r="C5367" t="s">
        <v>8</v>
      </c>
      <c r="D5367">
        <v>1.4770000000000001</v>
      </c>
      <c r="E5367">
        <v>473</v>
      </c>
      <c r="F5367" t="str">
        <f>HYPERLINK("https://www.google.com/maps/search/?api=1&amp;query=24.8496421,46.8398153", "View Map")</f>
        <v>View Map</v>
      </c>
    </row>
    <row r="5368" spans="1:7" x14ac:dyDescent="0.3">
      <c r="A5368" t="s">
        <v>46</v>
      </c>
      <c r="B5368" t="s">
        <v>9220</v>
      </c>
      <c r="C5368" t="s">
        <v>8</v>
      </c>
      <c r="D5368">
        <v>1.4770000000000001</v>
      </c>
      <c r="E5368">
        <v>473</v>
      </c>
      <c r="F5368" t="str">
        <f>HYPERLINK("https://www.google.com/maps/search/?api=1&amp;query=24.78856035,46.59695867", "View Map")</f>
        <v>View Map</v>
      </c>
    </row>
    <row r="5369" spans="1:7" x14ac:dyDescent="0.3">
      <c r="A5369" t="s">
        <v>9221</v>
      </c>
      <c r="B5369" t="s">
        <v>9222</v>
      </c>
      <c r="C5369" t="s">
        <v>214</v>
      </c>
      <c r="D5369">
        <v>1.476</v>
      </c>
      <c r="E5369">
        <v>472</v>
      </c>
      <c r="F5369" t="str">
        <f>HYPERLINK("https://www.google.com/maps/search/?api=1&amp;query=25.91504696,45.361674", "View Map")</f>
        <v>View Map</v>
      </c>
    </row>
    <row r="5370" spans="1:7" x14ac:dyDescent="0.3">
      <c r="A5370" t="s">
        <v>9223</v>
      </c>
      <c r="B5370" t="s">
        <v>9224</v>
      </c>
      <c r="C5370" t="s">
        <v>8</v>
      </c>
      <c r="D5370">
        <v>1.476</v>
      </c>
      <c r="E5370">
        <v>472</v>
      </c>
      <c r="F5370" t="str">
        <f>HYPERLINK("https://www.google.com/maps/search/?api=1&amp;query=24.772485,46.799542", "View Map")</f>
        <v>View Map</v>
      </c>
    </row>
    <row r="5371" spans="1:7" x14ac:dyDescent="0.3">
      <c r="A5371" t="s">
        <v>46</v>
      </c>
      <c r="B5371" t="s">
        <v>9225</v>
      </c>
      <c r="C5371" t="s">
        <v>8</v>
      </c>
      <c r="D5371">
        <v>1.476</v>
      </c>
      <c r="E5371">
        <v>472</v>
      </c>
      <c r="F5371" t="str">
        <f>HYPERLINK("https://www.google.com/maps/search/?api=1&amp;query=24.84198305,46.75873085", "View Map")</f>
        <v>View Map</v>
      </c>
    </row>
    <row r="5372" spans="1:7" x14ac:dyDescent="0.3">
      <c r="A5372" t="s">
        <v>9226</v>
      </c>
      <c r="B5372" t="s">
        <v>9227</v>
      </c>
      <c r="C5372" t="s">
        <v>8</v>
      </c>
      <c r="D5372">
        <v>1.476</v>
      </c>
      <c r="E5372">
        <v>472</v>
      </c>
      <c r="F5372" t="str">
        <f>HYPERLINK("https://www.google.com/maps/search/?api=1&amp;query=24.57606782,46.64729956", "View Map")</f>
        <v>View Map</v>
      </c>
    </row>
    <row r="5373" spans="1:7" x14ac:dyDescent="0.3">
      <c r="A5373" t="s">
        <v>9228</v>
      </c>
      <c r="B5373" t="s">
        <v>9229</v>
      </c>
      <c r="C5373" t="s">
        <v>8</v>
      </c>
      <c r="D5373">
        <v>1.4750000000000001</v>
      </c>
      <c r="E5373">
        <v>472</v>
      </c>
      <c r="F5373" t="str">
        <f>HYPERLINK("https://www.google.com/maps/search/?api=1&amp;query=24.63566187,46.67702498", "View Map")</f>
        <v>View Map</v>
      </c>
    </row>
    <row r="5374" spans="1:7" x14ac:dyDescent="0.3">
      <c r="A5374" t="s">
        <v>9230</v>
      </c>
      <c r="B5374" t="s">
        <v>9231</v>
      </c>
      <c r="C5374" t="s">
        <v>8</v>
      </c>
      <c r="D5374">
        <v>1.4750000000000001</v>
      </c>
      <c r="E5374">
        <v>472</v>
      </c>
      <c r="F5374" t="str">
        <f>HYPERLINK("https://www.google.com/maps/search/?api=1&amp;query=24.72366288,46.81965454", "View Map")</f>
        <v>View Map</v>
      </c>
    </row>
    <row r="5375" spans="1:7" x14ac:dyDescent="0.3">
      <c r="A5375" t="s">
        <v>9232</v>
      </c>
      <c r="B5375" t="s">
        <v>9233</v>
      </c>
      <c r="C5375" t="s">
        <v>8</v>
      </c>
      <c r="D5375">
        <v>1.4750000000000001</v>
      </c>
      <c r="E5375">
        <v>472</v>
      </c>
      <c r="F5375" t="str">
        <f>HYPERLINK("https://www.google.com/maps/search/?api=1&amp;query=24.80172691,46.77864945", "View Map")</f>
        <v>View Map</v>
      </c>
    </row>
    <row r="5376" spans="1:7" x14ac:dyDescent="0.3">
      <c r="A5376" t="s">
        <v>9234</v>
      </c>
      <c r="B5376" t="s">
        <v>9235</v>
      </c>
      <c r="C5376" t="s">
        <v>270</v>
      </c>
      <c r="D5376">
        <v>1.474</v>
      </c>
      <c r="E5376">
        <v>472</v>
      </c>
      <c r="F5376" t="str">
        <f>HYPERLINK("https://www.google.com/maps/search/?api=1&amp;query=23.96287687,47.11985186", "View Map")</f>
        <v>View Map</v>
      </c>
      <c r="G5376" s="2">
        <v>0.46789291475930089</v>
      </c>
    </row>
    <row r="5377" spans="1:7" x14ac:dyDescent="0.3">
      <c r="A5377" t="s">
        <v>9236</v>
      </c>
      <c r="B5377" t="s">
        <v>9237</v>
      </c>
      <c r="C5377" t="s">
        <v>699</v>
      </c>
      <c r="D5377">
        <v>1.474</v>
      </c>
      <c r="E5377">
        <v>472</v>
      </c>
      <c r="F5377" t="str">
        <f>HYPERLINK("https://www.google.com/maps/search/?api=1&amp;query=25.11048231,45.4865717", "View Map")</f>
        <v>View Map</v>
      </c>
      <c r="G5377" s="2">
        <v>0.60129499519246254</v>
      </c>
    </row>
    <row r="5378" spans="1:7" x14ac:dyDescent="0.3">
      <c r="A5378" t="s">
        <v>362</v>
      </c>
      <c r="B5378" t="s">
        <v>9238</v>
      </c>
      <c r="C5378" t="s">
        <v>364</v>
      </c>
      <c r="D5378">
        <v>1.474</v>
      </c>
      <c r="E5378">
        <v>472</v>
      </c>
      <c r="F5378" t="str">
        <f>HYPERLINK("https://www.google.com/maps/search/?api=1&amp;query=25.25170726,45.86505888", "View Map")</f>
        <v>View Map</v>
      </c>
    </row>
    <row r="5379" spans="1:7" x14ac:dyDescent="0.3">
      <c r="A5379" t="s">
        <v>9239</v>
      </c>
      <c r="B5379" t="s">
        <v>9240</v>
      </c>
      <c r="C5379" t="s">
        <v>8</v>
      </c>
      <c r="D5379">
        <v>1.4730000000000001</v>
      </c>
      <c r="E5379">
        <v>471</v>
      </c>
      <c r="F5379" t="str">
        <f>HYPERLINK("https://www.google.com/maps/search/?api=1&amp;query=24.8050507,46.86419857", "View Map")</f>
        <v>View Map</v>
      </c>
    </row>
    <row r="5380" spans="1:7" x14ac:dyDescent="0.3">
      <c r="A5380" t="s">
        <v>9241</v>
      </c>
      <c r="B5380" t="s">
        <v>9242</v>
      </c>
      <c r="C5380" t="s">
        <v>16</v>
      </c>
      <c r="D5380">
        <v>1.4710000000000001</v>
      </c>
      <c r="E5380">
        <v>471</v>
      </c>
      <c r="F5380" t="str">
        <f>HYPERLINK("https://www.google.com/maps/search/?api=1&amp;query=23.95301571,42.85675406", "View Map")</f>
        <v>View Map</v>
      </c>
      <c r="G5380" s="2">
        <v>0.79870619031381562</v>
      </c>
    </row>
    <row r="5381" spans="1:7" x14ac:dyDescent="0.3">
      <c r="A5381" t="s">
        <v>9243</v>
      </c>
      <c r="B5381" t="s">
        <v>9244</v>
      </c>
      <c r="C5381" t="s">
        <v>646</v>
      </c>
      <c r="D5381">
        <v>1.4710000000000001</v>
      </c>
      <c r="E5381">
        <v>471</v>
      </c>
      <c r="F5381" t="str">
        <f>HYPERLINK("https://www.google.com/maps/search/?api=1&amp;query=20.42604757,45.243802", "View Map")</f>
        <v>View Map</v>
      </c>
      <c r="G5381" s="2">
        <v>0.65293611222923398</v>
      </c>
    </row>
    <row r="5382" spans="1:7" x14ac:dyDescent="0.3">
      <c r="A5382" t="s">
        <v>9245</v>
      </c>
      <c r="B5382" t="s">
        <v>9246</v>
      </c>
      <c r="C5382" t="s">
        <v>255</v>
      </c>
      <c r="D5382">
        <v>1.4710000000000001</v>
      </c>
      <c r="E5382">
        <v>471</v>
      </c>
      <c r="F5382" t="str">
        <f>HYPERLINK("https://www.google.com/maps/search/?api=1&amp;query=24.30310028,43.52037993", "View Map")</f>
        <v>View Map</v>
      </c>
    </row>
    <row r="5383" spans="1:7" x14ac:dyDescent="0.3">
      <c r="A5383" t="s">
        <v>2867</v>
      </c>
      <c r="B5383" t="s">
        <v>9247</v>
      </c>
      <c r="C5383" t="s">
        <v>8</v>
      </c>
      <c r="D5383">
        <v>1.47</v>
      </c>
      <c r="E5383">
        <v>470</v>
      </c>
      <c r="F5383" t="str">
        <f>HYPERLINK("https://www.google.com/maps/search/?api=1&amp;query=24.70904876,46.76774814", "View Map")</f>
        <v>View Map</v>
      </c>
    </row>
    <row r="5384" spans="1:7" x14ac:dyDescent="0.3">
      <c r="A5384" t="s">
        <v>9248</v>
      </c>
      <c r="B5384" t="s">
        <v>9249</v>
      </c>
      <c r="C5384" t="s">
        <v>286</v>
      </c>
      <c r="D5384">
        <v>1.47</v>
      </c>
      <c r="E5384">
        <v>470</v>
      </c>
      <c r="F5384" t="str">
        <f>HYPERLINK("https://www.google.com/maps/search/?api=1&amp;query=25.44599274,45.40142938", "View Map")</f>
        <v>View Map</v>
      </c>
      <c r="G5384" s="2">
        <v>0.59817721043869265</v>
      </c>
    </row>
    <row r="5385" spans="1:7" x14ac:dyDescent="0.3">
      <c r="A5385" t="s">
        <v>9250</v>
      </c>
      <c r="B5385" t="s">
        <v>9251</v>
      </c>
      <c r="C5385" t="s">
        <v>8</v>
      </c>
      <c r="D5385">
        <v>1.47</v>
      </c>
      <c r="E5385">
        <v>470</v>
      </c>
      <c r="F5385" t="str">
        <f>HYPERLINK("https://www.google.com/maps/search/?api=1&amp;query=24.78851025,46.78542207", "View Map")</f>
        <v>View Map</v>
      </c>
    </row>
    <row r="5386" spans="1:7" x14ac:dyDescent="0.3">
      <c r="A5386" t="s">
        <v>627</v>
      </c>
      <c r="B5386" t="s">
        <v>9252</v>
      </c>
      <c r="C5386" t="s">
        <v>8</v>
      </c>
      <c r="D5386">
        <v>1.47</v>
      </c>
      <c r="E5386">
        <v>471</v>
      </c>
      <c r="F5386" t="str">
        <f>HYPERLINK("https://www.google.com/maps/search/?api=1&amp;query=24.61589163,46.51286171", "View Map")</f>
        <v>View Map</v>
      </c>
    </row>
    <row r="5387" spans="1:7" x14ac:dyDescent="0.3">
      <c r="A5387" t="s">
        <v>9253</v>
      </c>
      <c r="B5387" t="s">
        <v>9254</v>
      </c>
      <c r="C5387" t="s">
        <v>8</v>
      </c>
      <c r="D5387">
        <v>1.4690000000000001</v>
      </c>
      <c r="E5387">
        <v>470</v>
      </c>
      <c r="F5387" t="str">
        <f>HYPERLINK("https://www.google.com/maps/search/?api=1&amp;query=24.60648419,46.65019651", "View Map")</f>
        <v>View Map</v>
      </c>
    </row>
    <row r="5388" spans="1:7" x14ac:dyDescent="0.3">
      <c r="A5388" t="s">
        <v>9255</v>
      </c>
      <c r="B5388" t="s">
        <v>9256</v>
      </c>
      <c r="C5388" t="s">
        <v>8</v>
      </c>
      <c r="D5388">
        <v>1.4690000000000001</v>
      </c>
      <c r="E5388">
        <v>470</v>
      </c>
      <c r="F5388" t="str">
        <f>HYPERLINK("https://www.google.com/maps/search/?api=1&amp;query=24.55116424,46.78306951", "View Map")</f>
        <v>View Map</v>
      </c>
    </row>
    <row r="5389" spans="1:7" x14ac:dyDescent="0.3">
      <c r="A5389" t="s">
        <v>9257</v>
      </c>
      <c r="B5389" t="s">
        <v>9258</v>
      </c>
      <c r="C5389" t="s">
        <v>21</v>
      </c>
      <c r="D5389">
        <v>1.4690000000000001</v>
      </c>
      <c r="E5389">
        <v>470</v>
      </c>
      <c r="F5389" t="str">
        <f>HYPERLINK("https://www.google.com/maps/search/?api=1&amp;query=26.29821278,44.80766993", "View Map")</f>
        <v>View Map</v>
      </c>
    </row>
    <row r="5390" spans="1:7" x14ac:dyDescent="0.3">
      <c r="A5390" t="s">
        <v>5103</v>
      </c>
      <c r="B5390" t="s">
        <v>9259</v>
      </c>
      <c r="C5390" t="s">
        <v>8</v>
      </c>
      <c r="D5390">
        <v>1.4690000000000001</v>
      </c>
      <c r="E5390">
        <v>470</v>
      </c>
      <c r="F5390" t="str">
        <f>HYPERLINK("https://www.google.com/maps/search/?api=1&amp;query=24.70495823,46.69325971", "View Map")</f>
        <v>View Map</v>
      </c>
    </row>
    <row r="5391" spans="1:7" x14ac:dyDescent="0.3">
      <c r="A5391" t="s">
        <v>4014</v>
      </c>
      <c r="B5391" t="s">
        <v>9260</v>
      </c>
      <c r="C5391" t="s">
        <v>8</v>
      </c>
      <c r="D5391">
        <v>1.4690000000000001</v>
      </c>
      <c r="E5391">
        <v>470</v>
      </c>
      <c r="F5391" t="str">
        <f>HYPERLINK("https://www.google.com/maps/search/?api=1&amp;query=24.6143053,46.60627226", "View Map")</f>
        <v>View Map</v>
      </c>
    </row>
    <row r="5392" spans="1:7" x14ac:dyDescent="0.3">
      <c r="A5392" t="s">
        <v>2437</v>
      </c>
      <c r="B5392" t="s">
        <v>9261</v>
      </c>
      <c r="C5392" t="s">
        <v>8</v>
      </c>
      <c r="D5392">
        <v>1.4690000000000001</v>
      </c>
      <c r="E5392">
        <v>470</v>
      </c>
      <c r="F5392" t="str">
        <f>HYPERLINK("https://www.google.com/maps/search/?api=1&amp;query=24.79519104,46.85067337", "View Map")</f>
        <v>View Map</v>
      </c>
    </row>
    <row r="5393" spans="1:7" x14ac:dyDescent="0.3">
      <c r="A5393" t="s">
        <v>9262</v>
      </c>
      <c r="B5393" t="s">
        <v>9263</v>
      </c>
      <c r="C5393" t="s">
        <v>8</v>
      </c>
      <c r="D5393">
        <v>1.4690000000000001</v>
      </c>
      <c r="E5393">
        <v>470</v>
      </c>
      <c r="F5393" t="str">
        <f>HYPERLINK("https://www.google.com/maps/search/?api=1&amp;query=24.67039111,46.74838018", "View Map")</f>
        <v>View Map</v>
      </c>
    </row>
    <row r="5394" spans="1:7" x14ac:dyDescent="0.3">
      <c r="A5394" t="s">
        <v>9264</v>
      </c>
      <c r="B5394" t="s">
        <v>9265</v>
      </c>
      <c r="C5394" t="s">
        <v>8</v>
      </c>
      <c r="D5394">
        <v>1.468</v>
      </c>
      <c r="E5394">
        <v>470</v>
      </c>
      <c r="F5394" t="str">
        <f>HYPERLINK("https://www.google.com/maps/search/?api=1&amp;query=24.62710467,46.71398529", "View Map")</f>
        <v>View Map</v>
      </c>
    </row>
    <row r="5395" spans="1:7" x14ac:dyDescent="0.3">
      <c r="A5395" t="s">
        <v>9266</v>
      </c>
      <c r="B5395" t="s">
        <v>9267</v>
      </c>
      <c r="C5395" t="s">
        <v>883</v>
      </c>
      <c r="D5395">
        <v>1.468</v>
      </c>
      <c r="E5395">
        <v>470</v>
      </c>
      <c r="F5395" t="str">
        <f>HYPERLINK("https://www.google.com/maps/search/?api=1&amp;query=25.53672846,47.17014031", "View Map")</f>
        <v>View Map</v>
      </c>
      <c r="G5395" s="2">
        <v>0.2684194108246809</v>
      </c>
    </row>
    <row r="5396" spans="1:7" x14ac:dyDescent="0.3">
      <c r="A5396" t="s">
        <v>9268</v>
      </c>
      <c r="B5396" t="s">
        <v>9269</v>
      </c>
      <c r="C5396" t="s">
        <v>8</v>
      </c>
      <c r="D5396">
        <v>1.468</v>
      </c>
      <c r="E5396">
        <v>470</v>
      </c>
      <c r="F5396" t="str">
        <f>HYPERLINK("https://www.google.com/maps/search/?api=1&amp;query=24.66317475,46.74798688", "View Map")</f>
        <v>View Map</v>
      </c>
    </row>
    <row r="5397" spans="1:7" x14ac:dyDescent="0.3">
      <c r="A5397" t="s">
        <v>73</v>
      </c>
      <c r="B5397" t="s">
        <v>9270</v>
      </c>
      <c r="C5397" t="s">
        <v>8</v>
      </c>
      <c r="D5397">
        <v>1.468</v>
      </c>
      <c r="E5397">
        <v>470</v>
      </c>
      <c r="F5397" t="str">
        <f>HYPERLINK("https://www.google.com/maps/search/?api=1&amp;query=24.60773,46.49008", "View Map")</f>
        <v>View Map</v>
      </c>
    </row>
    <row r="5398" spans="1:7" x14ac:dyDescent="0.3">
      <c r="A5398" t="s">
        <v>9271</v>
      </c>
      <c r="B5398" t="s">
        <v>9272</v>
      </c>
      <c r="C5398" t="s">
        <v>8</v>
      </c>
      <c r="D5398">
        <v>1.4670000000000001</v>
      </c>
      <c r="E5398">
        <v>469</v>
      </c>
      <c r="F5398" t="str">
        <f>HYPERLINK("https://www.google.com/maps/search/?api=1&amp;query=24.55659838,46.68015736", "View Map")</f>
        <v>View Map</v>
      </c>
    </row>
    <row r="5399" spans="1:7" x14ac:dyDescent="0.3">
      <c r="A5399" t="s">
        <v>9273</v>
      </c>
      <c r="B5399" t="s">
        <v>9274</v>
      </c>
      <c r="C5399" t="s">
        <v>255</v>
      </c>
      <c r="D5399">
        <v>1.466</v>
      </c>
      <c r="E5399">
        <v>469</v>
      </c>
      <c r="F5399" t="str">
        <f>HYPERLINK("https://www.google.com/maps/search/?api=1&amp;query=24.19980087,43.50120672", "View Map")</f>
        <v>View Map</v>
      </c>
      <c r="G5399" s="2">
        <v>0.74715771191208313</v>
      </c>
    </row>
    <row r="5400" spans="1:7" x14ac:dyDescent="0.3">
      <c r="A5400" t="s">
        <v>9275</v>
      </c>
      <c r="B5400" t="s">
        <v>9276</v>
      </c>
      <c r="C5400" t="s">
        <v>270</v>
      </c>
      <c r="D5400">
        <v>1.466</v>
      </c>
      <c r="E5400">
        <v>469</v>
      </c>
      <c r="F5400" t="str">
        <f>HYPERLINK("https://www.google.com/maps/search/?api=1&amp;query=24.00675289,47.10760858", "View Map")</f>
        <v>View Map</v>
      </c>
      <c r="G5400" s="2">
        <v>0.38736250609689621</v>
      </c>
    </row>
    <row r="5401" spans="1:7" x14ac:dyDescent="0.3">
      <c r="A5401" t="s">
        <v>9277</v>
      </c>
      <c r="B5401" t="s">
        <v>9278</v>
      </c>
      <c r="C5401" t="s">
        <v>8</v>
      </c>
      <c r="D5401">
        <v>1.4650000000000001</v>
      </c>
      <c r="E5401">
        <v>469</v>
      </c>
      <c r="F5401" t="str">
        <f>HYPERLINK("https://www.google.com/maps/search/?api=1&amp;query=24.58957426,46.56968774", "View Map")</f>
        <v>View Map</v>
      </c>
    </row>
    <row r="5402" spans="1:7" x14ac:dyDescent="0.3">
      <c r="A5402" t="s">
        <v>9279</v>
      </c>
      <c r="B5402" t="s">
        <v>9280</v>
      </c>
      <c r="C5402" t="s">
        <v>286</v>
      </c>
      <c r="D5402">
        <v>1.4650000000000001</v>
      </c>
      <c r="E5402">
        <v>469</v>
      </c>
      <c r="F5402" t="str">
        <f>HYPERLINK("https://www.google.com/maps/search/?api=1&amp;query=25.24643899,45.22177039", "View Map")</f>
        <v>View Map</v>
      </c>
      <c r="G5402" s="2">
        <v>0.36230606478004918</v>
      </c>
    </row>
    <row r="5403" spans="1:7" x14ac:dyDescent="0.3">
      <c r="A5403" t="s">
        <v>9281</v>
      </c>
      <c r="B5403" t="s">
        <v>9282</v>
      </c>
      <c r="C5403" t="s">
        <v>393</v>
      </c>
      <c r="D5403">
        <v>1.4650000000000001</v>
      </c>
      <c r="E5403">
        <v>469</v>
      </c>
      <c r="F5403" t="str">
        <f>HYPERLINK("https://www.google.com/maps/search/?api=1&amp;query=23.58353063,45.4314421", "View Map")</f>
        <v>View Map</v>
      </c>
      <c r="G5403" s="2">
        <v>0.64450062871296476</v>
      </c>
    </row>
    <row r="5404" spans="1:7" x14ac:dyDescent="0.3">
      <c r="A5404" t="s">
        <v>9283</v>
      </c>
      <c r="B5404" t="s">
        <v>9284</v>
      </c>
      <c r="C5404" t="s">
        <v>137</v>
      </c>
      <c r="D5404">
        <v>1.4650000000000001</v>
      </c>
      <c r="E5404">
        <v>469</v>
      </c>
      <c r="F5404" t="str">
        <f>HYPERLINK("https://www.google.com/maps/search/?api=1&amp;query=23.47405972,46.87126977", "View Map")</f>
        <v>View Map</v>
      </c>
      <c r="G5404" s="2">
        <v>0.67313354322243557</v>
      </c>
    </row>
    <row r="5405" spans="1:7" x14ac:dyDescent="0.3">
      <c r="A5405" t="s">
        <v>46</v>
      </c>
      <c r="B5405" t="s">
        <v>9285</v>
      </c>
      <c r="C5405" t="s">
        <v>8</v>
      </c>
      <c r="D5405">
        <v>1.464</v>
      </c>
      <c r="E5405">
        <v>468</v>
      </c>
      <c r="F5405" t="str">
        <f>HYPERLINK("https://www.google.com/maps/search/?api=1&amp;query=24.79981726,46.60322472", "View Map")</f>
        <v>View Map</v>
      </c>
      <c r="G5405" s="2">
        <v>0.56715117822881855</v>
      </c>
    </row>
    <row r="5406" spans="1:7" x14ac:dyDescent="0.3">
      <c r="A5406" t="s">
        <v>9286</v>
      </c>
      <c r="B5406" t="s">
        <v>9287</v>
      </c>
      <c r="C5406" t="s">
        <v>8</v>
      </c>
      <c r="D5406">
        <v>1.464</v>
      </c>
      <c r="E5406">
        <v>469</v>
      </c>
      <c r="F5406" t="str">
        <f>HYPERLINK("https://www.google.com/maps/search/?api=1&amp;query=24.48705692,46.63087398", "View Map")</f>
        <v>View Map</v>
      </c>
    </row>
    <row r="5407" spans="1:7" x14ac:dyDescent="0.3">
      <c r="A5407" t="s">
        <v>3059</v>
      </c>
      <c r="B5407" t="s">
        <v>9288</v>
      </c>
      <c r="C5407" t="s">
        <v>291</v>
      </c>
      <c r="D5407">
        <v>1.464</v>
      </c>
      <c r="E5407">
        <v>469</v>
      </c>
      <c r="F5407" t="str">
        <f>HYPERLINK("https://www.google.com/maps/search/?api=1&amp;query=24.09731708,45.33097938", "View Map")</f>
        <v>View Map</v>
      </c>
      <c r="G5407" s="2">
        <v>0.51359749963082602</v>
      </c>
    </row>
    <row r="5408" spans="1:7" x14ac:dyDescent="0.3">
      <c r="A5408" t="s">
        <v>9289</v>
      </c>
      <c r="B5408" t="s">
        <v>9290</v>
      </c>
      <c r="C5408" t="s">
        <v>255</v>
      </c>
      <c r="D5408">
        <v>1.464</v>
      </c>
      <c r="E5408">
        <v>469</v>
      </c>
      <c r="F5408" t="str">
        <f>HYPERLINK("https://www.google.com/maps/search/?api=1&amp;query=24.53024357,44.27976637", "View Map")</f>
        <v>View Map</v>
      </c>
      <c r="G5408" s="2">
        <v>0.77593600626127113</v>
      </c>
    </row>
    <row r="5409" spans="1:7" x14ac:dyDescent="0.3">
      <c r="A5409" t="s">
        <v>46</v>
      </c>
      <c r="B5409" t="s">
        <v>9291</v>
      </c>
      <c r="C5409" t="s">
        <v>8</v>
      </c>
      <c r="D5409">
        <v>1.464</v>
      </c>
      <c r="E5409">
        <v>469</v>
      </c>
      <c r="F5409" t="str">
        <f>HYPERLINK("https://www.google.com/maps/search/?api=1&amp;query=24.80633147,46.8144621", "View Map")</f>
        <v>View Map</v>
      </c>
    </row>
    <row r="5410" spans="1:7" x14ac:dyDescent="0.3">
      <c r="A5410" t="s">
        <v>9292</v>
      </c>
      <c r="B5410" t="s">
        <v>9293</v>
      </c>
      <c r="C5410" t="s">
        <v>21</v>
      </c>
      <c r="D5410">
        <v>1.464</v>
      </c>
      <c r="E5410">
        <v>469</v>
      </c>
      <c r="F5410" t="str">
        <f>HYPERLINK("https://www.google.com/maps/search/?api=1&amp;query=26.26931636,44.81229303", "View Map")</f>
        <v>View Map</v>
      </c>
      <c r="G5410" s="2">
        <v>0.52972193140514023</v>
      </c>
    </row>
    <row r="5411" spans="1:7" x14ac:dyDescent="0.3">
      <c r="A5411" t="s">
        <v>9294</v>
      </c>
      <c r="B5411" t="s">
        <v>9295</v>
      </c>
      <c r="C5411" t="s">
        <v>442</v>
      </c>
      <c r="D5411">
        <v>1.464</v>
      </c>
      <c r="E5411">
        <v>468</v>
      </c>
      <c r="F5411" t="str">
        <f>HYPERLINK("https://www.google.com/maps/search/?api=1&amp;query=23.64032506,46.50089542", "View Map")</f>
        <v>View Map</v>
      </c>
    </row>
    <row r="5412" spans="1:7" x14ac:dyDescent="0.3">
      <c r="A5412" t="s">
        <v>9296</v>
      </c>
      <c r="B5412" t="s">
        <v>9297</v>
      </c>
      <c r="C5412" t="s">
        <v>21</v>
      </c>
      <c r="D5412">
        <v>1.4630000000000001</v>
      </c>
      <c r="E5412">
        <v>468</v>
      </c>
      <c r="F5412" t="str">
        <f>HYPERLINK("https://www.google.com/maps/search/?api=1&amp;query=26.28961143,44.8471419", "View Map")</f>
        <v>View Map</v>
      </c>
      <c r="G5412" s="2">
        <v>0.6440746262598086</v>
      </c>
    </row>
    <row r="5413" spans="1:7" x14ac:dyDescent="0.3">
      <c r="A5413" t="s">
        <v>9298</v>
      </c>
      <c r="B5413" t="s">
        <v>9299</v>
      </c>
      <c r="C5413" t="s">
        <v>8</v>
      </c>
      <c r="D5413">
        <v>1.4630000000000001</v>
      </c>
      <c r="E5413">
        <v>468</v>
      </c>
      <c r="F5413" t="str">
        <f>HYPERLINK("https://www.google.com/maps/search/?api=1&amp;query=24.71624791,46.79663873", "View Map")</f>
        <v>View Map</v>
      </c>
    </row>
    <row r="5414" spans="1:7" x14ac:dyDescent="0.3">
      <c r="A5414" t="s">
        <v>9300</v>
      </c>
      <c r="B5414" t="s">
        <v>9301</v>
      </c>
      <c r="C5414" t="s">
        <v>270</v>
      </c>
      <c r="D5414">
        <v>1.462</v>
      </c>
      <c r="E5414">
        <v>468</v>
      </c>
      <c r="F5414" t="str">
        <f>HYPERLINK("https://www.google.com/maps/search/?api=1&amp;query=23.99093879,47.1109593", "View Map")</f>
        <v>View Map</v>
      </c>
    </row>
    <row r="5415" spans="1:7" x14ac:dyDescent="0.3">
      <c r="A5415" t="s">
        <v>146</v>
      </c>
      <c r="B5415" t="s">
        <v>9302</v>
      </c>
      <c r="C5415" t="s">
        <v>8</v>
      </c>
      <c r="D5415">
        <v>1.462</v>
      </c>
      <c r="E5415">
        <v>468</v>
      </c>
      <c r="F5415" t="str">
        <f>HYPERLINK("https://www.google.com/maps/search/?api=1&amp;query=24.55333054,46.53252655", "View Map")</f>
        <v>View Map</v>
      </c>
    </row>
    <row r="5416" spans="1:7" x14ac:dyDescent="0.3">
      <c r="A5416" t="s">
        <v>9303</v>
      </c>
      <c r="B5416" t="s">
        <v>9304</v>
      </c>
      <c r="C5416" t="s">
        <v>241</v>
      </c>
      <c r="D5416">
        <v>1.462</v>
      </c>
      <c r="E5416">
        <v>468</v>
      </c>
      <c r="F5416" t="str">
        <f>HYPERLINK("https://www.google.com/maps/search/?api=1&amp;query=20.45686512,44.81636819", "View Map")</f>
        <v>View Map</v>
      </c>
      <c r="G5416" s="2">
        <v>0.62483623518801523</v>
      </c>
    </row>
    <row r="5417" spans="1:7" x14ac:dyDescent="0.3">
      <c r="A5417" t="s">
        <v>9305</v>
      </c>
      <c r="B5417" t="s">
        <v>9306</v>
      </c>
      <c r="C5417" t="s">
        <v>286</v>
      </c>
      <c r="D5417">
        <v>1.462</v>
      </c>
      <c r="E5417">
        <v>468</v>
      </c>
      <c r="F5417" t="str">
        <f>HYPERLINK("https://www.google.com/maps/search/?api=1&amp;query=25.24331459,45.273111", "View Map")</f>
        <v>View Map</v>
      </c>
      <c r="G5417" s="2">
        <v>0.37371414383553592</v>
      </c>
    </row>
    <row r="5418" spans="1:7" x14ac:dyDescent="0.3">
      <c r="A5418" t="s">
        <v>9307</v>
      </c>
      <c r="B5418" t="s">
        <v>9308</v>
      </c>
      <c r="C5418" t="s">
        <v>393</v>
      </c>
      <c r="D5418">
        <v>1.462</v>
      </c>
      <c r="E5418">
        <v>468</v>
      </c>
      <c r="F5418" t="str">
        <f>HYPERLINK("https://www.google.com/maps/search/?api=1&amp;query=22.92526333,45.46919829", "View Map")</f>
        <v>View Map</v>
      </c>
      <c r="G5418" s="2">
        <v>0.56458407320517967</v>
      </c>
    </row>
    <row r="5419" spans="1:7" x14ac:dyDescent="0.3">
      <c r="A5419" t="s">
        <v>9309</v>
      </c>
      <c r="B5419" t="s">
        <v>9310</v>
      </c>
      <c r="C5419" t="s">
        <v>8</v>
      </c>
      <c r="D5419">
        <v>1.4610000000000001</v>
      </c>
      <c r="E5419">
        <v>467</v>
      </c>
      <c r="F5419" t="str">
        <f>HYPERLINK("https://www.google.com/maps/search/?api=1&amp;query=24.57908959,46.7799581", "View Map")</f>
        <v>View Map</v>
      </c>
    </row>
    <row r="5420" spans="1:7" x14ac:dyDescent="0.3">
      <c r="A5420" t="s">
        <v>9311</v>
      </c>
      <c r="B5420" t="s">
        <v>9312</v>
      </c>
      <c r="C5420" t="s">
        <v>255</v>
      </c>
      <c r="D5420">
        <v>1.4610000000000001</v>
      </c>
      <c r="E5420">
        <v>467</v>
      </c>
      <c r="F5420" t="str">
        <f>HYPERLINK("https://www.google.com/maps/search/?api=1&amp;query=25.14148309,43.48649526", "View Map")</f>
        <v>View Map</v>
      </c>
      <c r="G5420" s="2">
        <v>0.84573550565883659</v>
      </c>
    </row>
    <row r="5421" spans="1:7" x14ac:dyDescent="0.3">
      <c r="A5421" t="s">
        <v>9313</v>
      </c>
      <c r="B5421" t="s">
        <v>9314</v>
      </c>
      <c r="C5421" t="s">
        <v>270</v>
      </c>
      <c r="D5421">
        <v>1.4610000000000001</v>
      </c>
      <c r="E5421">
        <v>468</v>
      </c>
      <c r="F5421" t="str">
        <f>HYPERLINK("https://www.google.com/maps/search/?api=1&amp;query=23.92232841,46.95468926", "View Map")</f>
        <v>View Map</v>
      </c>
      <c r="G5421" s="2">
        <v>0.62228637867385872</v>
      </c>
    </row>
    <row r="5422" spans="1:7" x14ac:dyDescent="0.3">
      <c r="A5422" t="s">
        <v>717</v>
      </c>
      <c r="B5422" t="s">
        <v>9315</v>
      </c>
      <c r="C5422" t="s">
        <v>16</v>
      </c>
      <c r="D5422">
        <v>1.4610000000000001</v>
      </c>
      <c r="E5422">
        <v>468</v>
      </c>
      <c r="F5422" t="str">
        <f>HYPERLINK("https://www.google.com/maps/search/?api=1&amp;query=24.1553035,43.31099184", "View Map")</f>
        <v>View Map</v>
      </c>
      <c r="G5422" s="2">
        <v>2.7314132029339859</v>
      </c>
    </row>
    <row r="5423" spans="1:7" x14ac:dyDescent="0.3">
      <c r="A5423" t="s">
        <v>9316</v>
      </c>
      <c r="B5423" t="s">
        <v>9317</v>
      </c>
      <c r="C5423" t="s">
        <v>8</v>
      </c>
      <c r="D5423">
        <v>1.4610000000000001</v>
      </c>
      <c r="E5423">
        <v>468</v>
      </c>
      <c r="F5423" t="str">
        <f>HYPERLINK("https://www.google.com/maps/search/?api=1&amp;query=24.60221203,46.58723397", "View Map")</f>
        <v>View Map</v>
      </c>
    </row>
    <row r="5424" spans="1:7" x14ac:dyDescent="0.3">
      <c r="A5424" t="s">
        <v>9318</v>
      </c>
      <c r="B5424" t="s">
        <v>9319</v>
      </c>
      <c r="C5424" t="s">
        <v>296</v>
      </c>
      <c r="D5424">
        <v>1.46</v>
      </c>
      <c r="E5424">
        <v>467</v>
      </c>
      <c r="F5424" t="str">
        <f>HYPERLINK("https://www.google.com/maps/search/?api=1&amp;query=24.1438262,46.20031372", "View Map")</f>
        <v>View Map</v>
      </c>
      <c r="G5424" s="2">
        <v>0.44283593354665729</v>
      </c>
    </row>
    <row r="5425" spans="1:7" x14ac:dyDescent="0.3">
      <c r="A5425" t="s">
        <v>9320</v>
      </c>
      <c r="B5425" t="s">
        <v>9321</v>
      </c>
      <c r="C5425" t="s">
        <v>137</v>
      </c>
      <c r="D5425">
        <v>1.46</v>
      </c>
      <c r="E5425">
        <v>467</v>
      </c>
      <c r="F5425" t="str">
        <f>HYPERLINK("https://www.google.com/maps/search/?api=1&amp;query=23.48109461,46.85404673", "View Map")</f>
        <v>View Map</v>
      </c>
    </row>
    <row r="5426" spans="1:7" x14ac:dyDescent="0.3">
      <c r="A5426" t="s">
        <v>9322</v>
      </c>
      <c r="B5426" t="s">
        <v>9323</v>
      </c>
      <c r="C5426" t="s">
        <v>8</v>
      </c>
      <c r="D5426">
        <v>1.46</v>
      </c>
      <c r="E5426">
        <v>467</v>
      </c>
      <c r="F5426" t="str">
        <f>HYPERLINK("https://www.google.com/maps/search/?api=1&amp;query=24.76968857,46.80777119", "View Map")</f>
        <v>View Map</v>
      </c>
    </row>
    <row r="5427" spans="1:7" x14ac:dyDescent="0.3">
      <c r="A5427" t="s">
        <v>9324</v>
      </c>
      <c r="B5427" t="s">
        <v>9325</v>
      </c>
      <c r="C5427" t="s">
        <v>77</v>
      </c>
      <c r="D5427">
        <v>1.46</v>
      </c>
      <c r="E5427">
        <v>467</v>
      </c>
      <c r="F5427" t="str">
        <f>HYPERLINK("https://www.google.com/maps/search/?api=1&amp;query=22.44949416,46.58415634", "View Map")</f>
        <v>View Map</v>
      </c>
      <c r="G5427" s="2">
        <v>0.67992968117222607</v>
      </c>
    </row>
    <row r="5428" spans="1:7" x14ac:dyDescent="0.3">
      <c r="A5428" t="s">
        <v>146</v>
      </c>
      <c r="B5428" t="s">
        <v>9326</v>
      </c>
      <c r="C5428" t="s">
        <v>8</v>
      </c>
      <c r="D5428">
        <v>1.46</v>
      </c>
      <c r="E5428">
        <v>467</v>
      </c>
      <c r="F5428" t="str">
        <f>HYPERLINK("https://www.google.com/maps/search/?api=1&amp;query=24.49251532,46.64242447", "View Map")</f>
        <v>View Map</v>
      </c>
    </row>
    <row r="5429" spans="1:7" x14ac:dyDescent="0.3">
      <c r="A5429" t="s">
        <v>9327</v>
      </c>
      <c r="B5429" t="s">
        <v>9328</v>
      </c>
      <c r="C5429" t="s">
        <v>21</v>
      </c>
      <c r="D5429">
        <v>1.4590000000000001</v>
      </c>
      <c r="E5429">
        <v>467</v>
      </c>
      <c r="F5429" t="str">
        <f>HYPERLINK("https://www.google.com/maps/search/?api=1&amp;query=26.26526164,44.81133505", "View Map")</f>
        <v>View Map</v>
      </c>
      <c r="G5429" s="2">
        <v>0.57750836858776233</v>
      </c>
    </row>
    <row r="5430" spans="1:7" x14ac:dyDescent="0.3">
      <c r="A5430" t="s">
        <v>9329</v>
      </c>
      <c r="B5430" t="s">
        <v>9330</v>
      </c>
      <c r="C5430" t="s">
        <v>8</v>
      </c>
      <c r="D5430">
        <v>1.4590000000000001</v>
      </c>
      <c r="E5430">
        <v>467</v>
      </c>
      <c r="F5430" t="str">
        <f>HYPERLINK("https://www.google.com/maps/search/?api=1&amp;query=24.77119305,46.79640625", "View Map")</f>
        <v>View Map</v>
      </c>
    </row>
    <row r="5431" spans="1:7" x14ac:dyDescent="0.3">
      <c r="A5431" t="s">
        <v>9331</v>
      </c>
      <c r="B5431" t="s">
        <v>9332</v>
      </c>
      <c r="C5431" t="s">
        <v>291</v>
      </c>
      <c r="D5431">
        <v>1.458</v>
      </c>
      <c r="E5431">
        <v>467</v>
      </c>
      <c r="F5431" t="str">
        <f>HYPERLINK("https://www.google.com/maps/search/?api=1&amp;query=24.33064733,45.7602704", "View Map")</f>
        <v>View Map</v>
      </c>
      <c r="G5431" s="2">
        <v>0.60195177712650871</v>
      </c>
    </row>
    <row r="5432" spans="1:7" x14ac:dyDescent="0.3">
      <c r="A5432" t="s">
        <v>9333</v>
      </c>
      <c r="B5432" t="s">
        <v>9334</v>
      </c>
      <c r="C5432" t="s">
        <v>8</v>
      </c>
      <c r="D5432">
        <v>1.458</v>
      </c>
      <c r="E5432">
        <v>467</v>
      </c>
      <c r="F5432" t="str">
        <f>HYPERLINK("https://www.google.com/maps/search/?api=1&amp;query=24.63758299,46.73449272", "View Map")</f>
        <v>View Map</v>
      </c>
    </row>
    <row r="5433" spans="1:7" x14ac:dyDescent="0.3">
      <c r="A5433" t="s">
        <v>9335</v>
      </c>
      <c r="B5433" t="s">
        <v>9336</v>
      </c>
      <c r="C5433" t="s">
        <v>291</v>
      </c>
      <c r="D5433">
        <v>1.4570000000000001</v>
      </c>
      <c r="E5433">
        <v>466</v>
      </c>
      <c r="F5433" t="str">
        <f>HYPERLINK("https://www.google.com/maps/search/?api=1&amp;query=23.84588714,45.64911287", "View Map")</f>
        <v>View Map</v>
      </c>
      <c r="G5433" s="2">
        <v>0.370035756122089</v>
      </c>
    </row>
    <row r="5434" spans="1:7" x14ac:dyDescent="0.3">
      <c r="A5434" t="s">
        <v>9337</v>
      </c>
      <c r="B5434" t="s">
        <v>9338</v>
      </c>
      <c r="C5434" t="s">
        <v>699</v>
      </c>
      <c r="D5434">
        <v>1.4570000000000001</v>
      </c>
      <c r="E5434">
        <v>466</v>
      </c>
      <c r="F5434" t="str">
        <f>HYPERLINK("https://www.google.com/maps/search/?api=1&amp;query=25.16426456,45.39267307", "View Map")</f>
        <v>View Map</v>
      </c>
      <c r="G5434" s="2">
        <v>0.56370363489999376</v>
      </c>
    </row>
    <row r="5435" spans="1:7" x14ac:dyDescent="0.3">
      <c r="A5435" t="s">
        <v>9339</v>
      </c>
      <c r="B5435" t="s">
        <v>9340</v>
      </c>
      <c r="C5435" t="s">
        <v>255</v>
      </c>
      <c r="D5435">
        <v>1.456</v>
      </c>
      <c r="E5435">
        <v>466</v>
      </c>
      <c r="F5435" t="str">
        <f>HYPERLINK("https://www.google.com/maps/search/?api=1&amp;query=24.55304779,43.6257283", "View Map")</f>
        <v>View Map</v>
      </c>
      <c r="G5435" s="2">
        <v>0.49783054772379448</v>
      </c>
    </row>
    <row r="5436" spans="1:7" x14ac:dyDescent="0.3">
      <c r="A5436" t="s">
        <v>9341</v>
      </c>
      <c r="B5436" t="s">
        <v>9342</v>
      </c>
      <c r="C5436" t="s">
        <v>8</v>
      </c>
      <c r="D5436">
        <v>1.456</v>
      </c>
      <c r="E5436">
        <v>466</v>
      </c>
      <c r="F5436" t="str">
        <f>HYPERLINK("https://www.google.com/maps/search/?api=1&amp;query=24.72427455,46.85147681", "View Map")</f>
        <v>View Map</v>
      </c>
    </row>
    <row r="5437" spans="1:7" x14ac:dyDescent="0.3">
      <c r="A5437" t="s">
        <v>9343</v>
      </c>
      <c r="B5437" t="s">
        <v>9344</v>
      </c>
      <c r="C5437" t="s">
        <v>466</v>
      </c>
      <c r="D5437">
        <v>1.456</v>
      </c>
      <c r="E5437">
        <v>466</v>
      </c>
      <c r="F5437" t="str">
        <f>HYPERLINK("https://www.google.com/maps/search/?api=1&amp;query=24.50587939,46.35950958", "View Map")</f>
        <v>View Map</v>
      </c>
    </row>
    <row r="5438" spans="1:7" x14ac:dyDescent="0.3">
      <c r="A5438" t="s">
        <v>9345</v>
      </c>
      <c r="B5438" t="s">
        <v>9346</v>
      </c>
      <c r="C5438" t="s">
        <v>8</v>
      </c>
      <c r="D5438">
        <v>1.456</v>
      </c>
      <c r="E5438">
        <v>466</v>
      </c>
      <c r="F5438" t="str">
        <f>HYPERLINK("https://www.google.com/maps/search/?api=1&amp;query=24.63917976,46.6589951", "View Map")</f>
        <v>View Map</v>
      </c>
    </row>
    <row r="5439" spans="1:7" x14ac:dyDescent="0.3">
      <c r="A5439" t="s">
        <v>146</v>
      </c>
      <c r="B5439" t="s">
        <v>9347</v>
      </c>
      <c r="C5439" t="s">
        <v>8</v>
      </c>
      <c r="D5439">
        <v>1.456</v>
      </c>
      <c r="E5439">
        <v>466</v>
      </c>
      <c r="F5439" t="str">
        <f>HYPERLINK("https://www.google.com/maps/search/?api=1&amp;query=24.51399553,46.67858352", "View Map")</f>
        <v>View Map</v>
      </c>
    </row>
    <row r="5440" spans="1:7" x14ac:dyDescent="0.3">
      <c r="A5440" t="s">
        <v>9348</v>
      </c>
      <c r="B5440" t="s">
        <v>9349</v>
      </c>
      <c r="C5440" t="s">
        <v>255</v>
      </c>
      <c r="D5440">
        <v>1.456</v>
      </c>
      <c r="E5440">
        <v>466</v>
      </c>
      <c r="F5440" t="str">
        <f>HYPERLINK("https://www.google.com/maps/search/?api=1&amp;query=25.28944767,44.1527524", "View Map")</f>
        <v>View Map</v>
      </c>
      <c r="G5440" s="2">
        <v>0.39633455676393298</v>
      </c>
    </row>
    <row r="5441" spans="1:7" x14ac:dyDescent="0.3">
      <c r="A5441" t="s">
        <v>9350</v>
      </c>
      <c r="B5441" t="s">
        <v>9351</v>
      </c>
      <c r="C5441" t="s">
        <v>8</v>
      </c>
      <c r="D5441">
        <v>1.4550000000000001</v>
      </c>
      <c r="E5441">
        <v>466</v>
      </c>
      <c r="F5441" t="str">
        <f>HYPERLINK("https://www.google.com/maps/search/?api=1&amp;query=24.68509334,46.72929062", "View Map")</f>
        <v>View Map</v>
      </c>
    </row>
    <row r="5442" spans="1:7" x14ac:dyDescent="0.3">
      <c r="A5442" t="s">
        <v>9352</v>
      </c>
      <c r="B5442" t="s">
        <v>9353</v>
      </c>
      <c r="C5442" t="s">
        <v>21</v>
      </c>
      <c r="D5442">
        <v>1.4550000000000001</v>
      </c>
      <c r="E5442">
        <v>466</v>
      </c>
      <c r="F5442" t="str">
        <f>HYPERLINK("https://www.google.com/maps/search/?api=1&amp;query=26.27471863,44.81518883", "View Map")</f>
        <v>View Map</v>
      </c>
      <c r="G5442" s="2">
        <v>0.67419646848642645</v>
      </c>
    </row>
    <row r="5443" spans="1:7" x14ac:dyDescent="0.3">
      <c r="A5443" t="s">
        <v>9354</v>
      </c>
      <c r="B5443" t="s">
        <v>9355</v>
      </c>
      <c r="C5443" t="s">
        <v>8</v>
      </c>
      <c r="D5443">
        <v>1.4550000000000001</v>
      </c>
      <c r="E5443">
        <v>466</v>
      </c>
      <c r="F5443" t="str">
        <f>HYPERLINK("https://www.google.com/maps/search/?api=1&amp;query=24.54360843,46.68696656", "View Map")</f>
        <v>View Map</v>
      </c>
    </row>
    <row r="5444" spans="1:7" x14ac:dyDescent="0.3">
      <c r="A5444" t="s">
        <v>9356</v>
      </c>
      <c r="B5444" t="s">
        <v>9357</v>
      </c>
      <c r="C5444" t="s">
        <v>8</v>
      </c>
      <c r="D5444">
        <v>1.4550000000000001</v>
      </c>
      <c r="E5444">
        <v>466</v>
      </c>
      <c r="F5444" t="str">
        <f>HYPERLINK("https://www.google.com/maps/search/?api=1&amp;query=24.6456,46.7156", "View Map")</f>
        <v>View Map</v>
      </c>
    </row>
    <row r="5445" spans="1:7" x14ac:dyDescent="0.3">
      <c r="A5445" t="s">
        <v>9358</v>
      </c>
      <c r="B5445" t="s">
        <v>9359</v>
      </c>
      <c r="C5445" t="s">
        <v>8</v>
      </c>
      <c r="D5445">
        <v>1.4550000000000001</v>
      </c>
      <c r="E5445">
        <v>466</v>
      </c>
      <c r="F5445" t="str">
        <f>HYPERLINK("https://www.google.com/maps/search/?api=1&amp;query=24.68794308,46.76277107", "View Map")</f>
        <v>View Map</v>
      </c>
    </row>
    <row r="5446" spans="1:7" x14ac:dyDescent="0.3">
      <c r="A5446" t="s">
        <v>9360</v>
      </c>
      <c r="B5446" t="s">
        <v>9361</v>
      </c>
      <c r="C5446" t="s">
        <v>393</v>
      </c>
      <c r="D5446">
        <v>1.4550000000000001</v>
      </c>
      <c r="E5446">
        <v>466</v>
      </c>
      <c r="F5446" t="str">
        <f>HYPERLINK("https://www.google.com/maps/search/?api=1&amp;query=23.08364035,45.25194438", "View Map")</f>
        <v>View Map</v>
      </c>
      <c r="G5446" s="2">
        <v>0.59577463731095959</v>
      </c>
    </row>
    <row r="5447" spans="1:7" x14ac:dyDescent="0.3">
      <c r="A5447" t="s">
        <v>9362</v>
      </c>
      <c r="B5447" t="s">
        <v>9363</v>
      </c>
      <c r="C5447" t="s">
        <v>8</v>
      </c>
      <c r="D5447">
        <v>1.4550000000000001</v>
      </c>
      <c r="E5447">
        <v>466</v>
      </c>
      <c r="F5447" t="str">
        <f>HYPERLINK("https://www.google.com/maps/search/?api=1&amp;query=24.80965456,46.77451082", "View Map")</f>
        <v>View Map</v>
      </c>
    </row>
    <row r="5448" spans="1:7" x14ac:dyDescent="0.3">
      <c r="A5448" t="s">
        <v>146</v>
      </c>
      <c r="B5448" t="s">
        <v>9364</v>
      </c>
      <c r="C5448" t="s">
        <v>8</v>
      </c>
      <c r="D5448">
        <v>1.454</v>
      </c>
      <c r="E5448">
        <v>465</v>
      </c>
      <c r="F5448" t="str">
        <f>HYPERLINK("https://www.google.com/maps/search/?api=1&amp;query=24.55985924,46.68000616", "View Map")</f>
        <v>View Map</v>
      </c>
    </row>
    <row r="5449" spans="1:7" x14ac:dyDescent="0.3">
      <c r="A5449" t="s">
        <v>259</v>
      </c>
      <c r="B5449" t="s">
        <v>9365</v>
      </c>
      <c r="C5449" t="s">
        <v>8</v>
      </c>
      <c r="D5449">
        <v>1.454</v>
      </c>
      <c r="E5449">
        <v>465</v>
      </c>
      <c r="F5449" t="str">
        <f>HYPERLINK("https://www.google.com/maps/search/?api=1&amp;query=24.73576444,46.83910056", "View Map")</f>
        <v>View Map</v>
      </c>
    </row>
    <row r="5450" spans="1:7" x14ac:dyDescent="0.3">
      <c r="A5450" t="s">
        <v>9366</v>
      </c>
      <c r="B5450" t="s">
        <v>9367</v>
      </c>
      <c r="C5450" t="s">
        <v>8</v>
      </c>
      <c r="D5450">
        <v>1.454</v>
      </c>
      <c r="E5450">
        <v>465</v>
      </c>
      <c r="F5450" t="str">
        <f>HYPERLINK("https://www.google.com/maps/search/?api=1&amp;query=24.6006,46.6403", "View Map")</f>
        <v>View Map</v>
      </c>
    </row>
    <row r="5451" spans="1:7" x14ac:dyDescent="0.3">
      <c r="A5451" t="s">
        <v>9368</v>
      </c>
      <c r="B5451" t="s">
        <v>9369</v>
      </c>
      <c r="C5451" t="s">
        <v>8</v>
      </c>
      <c r="D5451">
        <v>1.454</v>
      </c>
      <c r="E5451">
        <v>465</v>
      </c>
      <c r="F5451" t="str">
        <f>HYPERLINK("https://www.google.com/maps/search/?api=1&amp;query=24.56788039,46.84738621", "View Map")</f>
        <v>View Map</v>
      </c>
    </row>
    <row r="5452" spans="1:7" x14ac:dyDescent="0.3">
      <c r="A5452" t="s">
        <v>9370</v>
      </c>
      <c r="B5452" t="s">
        <v>9371</v>
      </c>
      <c r="C5452" t="s">
        <v>30</v>
      </c>
      <c r="D5452">
        <v>1.4530000000000001</v>
      </c>
      <c r="E5452">
        <v>465</v>
      </c>
      <c r="F5452" t="str">
        <f>HYPERLINK("https://www.google.com/maps/search/?api=1&amp;query=24.18650434,47.27695", "View Map")</f>
        <v>View Map</v>
      </c>
      <c r="G5452" s="2">
        <v>0.34841718875378802</v>
      </c>
    </row>
    <row r="5453" spans="1:7" x14ac:dyDescent="0.3">
      <c r="A5453" t="s">
        <v>9372</v>
      </c>
      <c r="B5453" t="s">
        <v>9373</v>
      </c>
      <c r="C5453" t="s">
        <v>8</v>
      </c>
      <c r="D5453">
        <v>1.4530000000000001</v>
      </c>
      <c r="E5453">
        <v>465</v>
      </c>
      <c r="F5453" t="str">
        <f>HYPERLINK("https://www.google.com/maps/search/?api=1&amp;query=24.63652647,46.56941693", "View Map")</f>
        <v>View Map</v>
      </c>
    </row>
    <row r="5454" spans="1:7" x14ac:dyDescent="0.3">
      <c r="A5454" t="s">
        <v>9374</v>
      </c>
      <c r="B5454" t="s">
        <v>9375</v>
      </c>
      <c r="C5454" t="s">
        <v>214</v>
      </c>
      <c r="D5454">
        <v>1.4530000000000001</v>
      </c>
      <c r="E5454">
        <v>465</v>
      </c>
      <c r="F5454" t="str">
        <f>HYPERLINK("https://www.google.com/maps/search/?api=1&amp;query=25.92681914,45.3922486", "View Map")</f>
        <v>View Map</v>
      </c>
      <c r="G5454" s="2">
        <v>0.35947817818497591</v>
      </c>
    </row>
    <row r="5455" spans="1:7" x14ac:dyDescent="0.3">
      <c r="A5455" t="s">
        <v>1273</v>
      </c>
      <c r="B5455" t="s">
        <v>9376</v>
      </c>
      <c r="C5455" t="s">
        <v>241</v>
      </c>
      <c r="D5455">
        <v>1.4530000000000001</v>
      </c>
      <c r="E5455">
        <v>465</v>
      </c>
      <c r="F5455" t="str">
        <f>HYPERLINK("https://www.google.com/maps/search/?api=1&amp;query=20.4503241,44.8405842", "View Map")</f>
        <v>View Map</v>
      </c>
      <c r="G5455" s="2">
        <v>0.67778554230354571</v>
      </c>
    </row>
    <row r="5456" spans="1:7" x14ac:dyDescent="0.3">
      <c r="A5456" t="s">
        <v>9377</v>
      </c>
      <c r="B5456" t="s">
        <v>9378</v>
      </c>
      <c r="C5456" t="s">
        <v>30</v>
      </c>
      <c r="D5456">
        <v>1.4530000000000001</v>
      </c>
      <c r="E5456">
        <v>465</v>
      </c>
      <c r="F5456" t="str">
        <f>HYPERLINK("https://www.google.com/maps/search/?api=1&amp;query=24.17730881,47.33378147", "View Map")</f>
        <v>View Map</v>
      </c>
      <c r="G5456" s="2">
        <v>0.23712648415476531</v>
      </c>
    </row>
    <row r="5457" spans="1:7" x14ac:dyDescent="0.3">
      <c r="A5457" t="s">
        <v>9379</v>
      </c>
      <c r="B5457" t="s">
        <v>9380</v>
      </c>
      <c r="C5457" t="s">
        <v>8</v>
      </c>
      <c r="D5457">
        <v>1.4530000000000001</v>
      </c>
      <c r="E5457">
        <v>465</v>
      </c>
      <c r="F5457" t="str">
        <f>HYPERLINK("https://www.google.com/maps/search/?api=1&amp;query=24.70203218,46.70816552", "View Map")</f>
        <v>View Map</v>
      </c>
    </row>
    <row r="5458" spans="1:7" x14ac:dyDescent="0.3">
      <c r="A5458" t="s">
        <v>9381</v>
      </c>
      <c r="B5458" t="s">
        <v>9382</v>
      </c>
      <c r="C5458" t="s">
        <v>21</v>
      </c>
      <c r="D5458">
        <v>1.452</v>
      </c>
      <c r="E5458">
        <v>465</v>
      </c>
      <c r="F5458" t="str">
        <f>HYPERLINK("https://www.google.com/maps/search/?api=1&amp;query=26.31732997,44.80952944", "View Map")</f>
        <v>View Map</v>
      </c>
      <c r="G5458" s="2">
        <v>0.6197909776425452</v>
      </c>
    </row>
    <row r="5459" spans="1:7" x14ac:dyDescent="0.3">
      <c r="A5459" t="s">
        <v>9383</v>
      </c>
      <c r="B5459" t="s">
        <v>9384</v>
      </c>
      <c r="C5459" t="s">
        <v>8</v>
      </c>
      <c r="D5459">
        <v>1.452</v>
      </c>
      <c r="E5459">
        <v>465</v>
      </c>
      <c r="F5459" t="str">
        <f>HYPERLINK("https://www.google.com/maps/search/?api=1&amp;query=24.80070469,46.6994715", "View Map")</f>
        <v>View Map</v>
      </c>
    </row>
    <row r="5460" spans="1:7" x14ac:dyDescent="0.3">
      <c r="A5460" t="s">
        <v>3447</v>
      </c>
      <c r="B5460" t="s">
        <v>9385</v>
      </c>
      <c r="C5460" t="s">
        <v>8</v>
      </c>
      <c r="D5460">
        <v>1.4510000000000001</v>
      </c>
      <c r="E5460">
        <v>464</v>
      </c>
      <c r="F5460" t="str">
        <f>HYPERLINK("https://www.google.com/maps/search/?api=1&amp;query=24.66557035,46.79826651", "View Map")</f>
        <v>View Map</v>
      </c>
    </row>
    <row r="5461" spans="1:7" x14ac:dyDescent="0.3">
      <c r="A5461" t="s">
        <v>9386</v>
      </c>
      <c r="B5461" t="s">
        <v>9387</v>
      </c>
      <c r="C5461" t="s">
        <v>255</v>
      </c>
      <c r="D5461">
        <v>1.4510000000000001</v>
      </c>
      <c r="E5461">
        <v>464</v>
      </c>
      <c r="F5461" t="str">
        <f>HYPERLINK("https://www.google.com/maps/search/?api=1&amp;query=23.91497946,44.61392708", "View Map")</f>
        <v>View Map</v>
      </c>
    </row>
    <row r="5462" spans="1:7" x14ac:dyDescent="0.3">
      <c r="A5462" t="s">
        <v>9388</v>
      </c>
      <c r="B5462" t="s">
        <v>9389</v>
      </c>
      <c r="C5462" t="s">
        <v>214</v>
      </c>
      <c r="D5462">
        <v>1.4510000000000001</v>
      </c>
      <c r="E5462">
        <v>464</v>
      </c>
      <c r="F5462" t="str">
        <f>HYPERLINK("https://www.google.com/maps/search/?api=1&amp;query=25.64421694,45.55650555", "View Map")</f>
        <v>View Map</v>
      </c>
      <c r="G5462" s="2">
        <v>0.52203542574682604</v>
      </c>
    </row>
    <row r="5463" spans="1:7" x14ac:dyDescent="0.3">
      <c r="A5463" t="s">
        <v>9390</v>
      </c>
      <c r="B5463" t="s">
        <v>9391</v>
      </c>
      <c r="C5463" t="s">
        <v>8</v>
      </c>
      <c r="D5463">
        <v>1.45</v>
      </c>
      <c r="E5463">
        <v>464</v>
      </c>
      <c r="F5463" t="str">
        <f>HYPERLINK("https://www.google.com/maps/search/?api=1&amp;query=24.57996283,46.61966684", "View Map")</f>
        <v>View Map</v>
      </c>
    </row>
    <row r="5464" spans="1:7" x14ac:dyDescent="0.3">
      <c r="A5464" t="s">
        <v>9392</v>
      </c>
      <c r="B5464" t="s">
        <v>9393</v>
      </c>
      <c r="C5464" t="s">
        <v>8</v>
      </c>
      <c r="D5464">
        <v>1.4490000000000001</v>
      </c>
      <c r="E5464">
        <v>464</v>
      </c>
      <c r="F5464" t="str">
        <f>HYPERLINK("https://www.google.com/maps/search/?api=1&amp;query=24.67272393,46.79185437", "View Map")</f>
        <v>View Map</v>
      </c>
    </row>
    <row r="5465" spans="1:7" x14ac:dyDescent="0.3">
      <c r="A5465" t="s">
        <v>9394</v>
      </c>
      <c r="B5465" t="s">
        <v>9395</v>
      </c>
      <c r="C5465" t="s">
        <v>214</v>
      </c>
      <c r="D5465">
        <v>1.4490000000000001</v>
      </c>
      <c r="E5465">
        <v>464</v>
      </c>
      <c r="F5465" t="str">
        <f>HYPERLINK("https://www.google.com/maps/search/?api=1&amp;query=26.5090677,45.34735978", "View Map")</f>
        <v>View Map</v>
      </c>
      <c r="G5465" s="2">
        <v>0.66774114826574404</v>
      </c>
    </row>
    <row r="5466" spans="1:7" x14ac:dyDescent="0.3">
      <c r="A5466" t="s">
        <v>9396</v>
      </c>
      <c r="B5466" t="s">
        <v>9397</v>
      </c>
      <c r="C5466" t="s">
        <v>270</v>
      </c>
      <c r="D5466">
        <v>1.4490000000000001</v>
      </c>
      <c r="E5466">
        <v>464</v>
      </c>
      <c r="F5466" t="str">
        <f>HYPERLINK("https://www.google.com/maps/search/?api=1&amp;query=23.99575,47.15222", "View Map")</f>
        <v>View Map</v>
      </c>
      <c r="G5466" s="2">
        <v>0.42132174228587349</v>
      </c>
    </row>
    <row r="5467" spans="1:7" x14ac:dyDescent="0.3">
      <c r="A5467" t="s">
        <v>9398</v>
      </c>
      <c r="B5467" t="s">
        <v>9399</v>
      </c>
      <c r="C5467" t="s">
        <v>8</v>
      </c>
      <c r="D5467">
        <v>1.4490000000000001</v>
      </c>
      <c r="E5467">
        <v>464</v>
      </c>
      <c r="F5467" t="str">
        <f>HYPERLINK("https://www.google.com/maps/search/?api=1&amp;query=24.6788625,46.75155327", "View Map")</f>
        <v>View Map</v>
      </c>
      <c r="G5467" s="2">
        <v>0.68204082059553528</v>
      </c>
    </row>
    <row r="5468" spans="1:7" x14ac:dyDescent="0.3">
      <c r="A5468" t="s">
        <v>9400</v>
      </c>
      <c r="B5468" t="s">
        <v>9401</v>
      </c>
      <c r="C5468" t="s">
        <v>8</v>
      </c>
      <c r="D5468">
        <v>1.448</v>
      </c>
      <c r="E5468">
        <v>463</v>
      </c>
      <c r="F5468" t="str">
        <f>HYPERLINK("https://www.google.com/maps/search/?api=1&amp;query=24.60860153,46.83062752", "View Map")</f>
        <v>View Map</v>
      </c>
    </row>
    <row r="5469" spans="1:7" x14ac:dyDescent="0.3">
      <c r="A5469" t="s">
        <v>9402</v>
      </c>
      <c r="B5469" t="s">
        <v>9403</v>
      </c>
      <c r="C5469" t="s">
        <v>8</v>
      </c>
      <c r="D5469">
        <v>1.448</v>
      </c>
      <c r="E5469">
        <v>463</v>
      </c>
      <c r="F5469" t="str">
        <f>HYPERLINK("https://www.google.com/maps/search/?api=1&amp;query=24.67085109,46.75211217", "View Map")</f>
        <v>View Map</v>
      </c>
    </row>
    <row r="5470" spans="1:7" x14ac:dyDescent="0.3">
      <c r="A5470" t="s">
        <v>9404</v>
      </c>
      <c r="B5470" t="s">
        <v>9405</v>
      </c>
      <c r="C5470" t="s">
        <v>255</v>
      </c>
      <c r="D5470">
        <v>1.448</v>
      </c>
      <c r="E5470">
        <v>463</v>
      </c>
      <c r="F5470" t="str">
        <f>HYPERLINK("https://www.google.com/maps/search/?api=1&amp;query=24.537528,44.26848044", "View Map")</f>
        <v>View Map</v>
      </c>
      <c r="G5470" s="2">
        <v>0.61595274264176103</v>
      </c>
    </row>
    <row r="5471" spans="1:7" x14ac:dyDescent="0.3">
      <c r="A5471" t="s">
        <v>9406</v>
      </c>
      <c r="B5471" t="s">
        <v>9407</v>
      </c>
      <c r="C5471" t="s">
        <v>8</v>
      </c>
      <c r="D5471">
        <v>1.448</v>
      </c>
      <c r="E5471">
        <v>463</v>
      </c>
      <c r="F5471" t="str">
        <f>HYPERLINK("https://www.google.com/maps/search/?api=1&amp;query=24.6403897,46.72867138", "View Map")</f>
        <v>View Map</v>
      </c>
    </row>
    <row r="5472" spans="1:7" x14ac:dyDescent="0.3">
      <c r="A5472" t="s">
        <v>9408</v>
      </c>
      <c r="B5472" t="s">
        <v>9409</v>
      </c>
      <c r="C5472" t="s">
        <v>214</v>
      </c>
      <c r="D5472">
        <v>1.4470000000000001</v>
      </c>
      <c r="E5472">
        <v>463</v>
      </c>
      <c r="F5472" t="str">
        <f>HYPERLINK("https://www.google.com/maps/search/?api=1&amp;query=25.59720515,45.63504525", "View Map")</f>
        <v>View Map</v>
      </c>
      <c r="G5472" s="2">
        <v>0.66319750809352973</v>
      </c>
    </row>
    <row r="5473" spans="1:7" x14ac:dyDescent="0.3">
      <c r="A5473" t="s">
        <v>9410</v>
      </c>
      <c r="B5473" t="s">
        <v>9411</v>
      </c>
      <c r="C5473" t="s">
        <v>8</v>
      </c>
      <c r="D5473">
        <v>1.4470000000000001</v>
      </c>
      <c r="E5473">
        <v>463</v>
      </c>
      <c r="F5473" t="str">
        <f>HYPERLINK("https://www.google.com/maps/search/?api=1&amp;query=24.59556228,46.6833319", "View Map")</f>
        <v>View Map</v>
      </c>
    </row>
    <row r="5474" spans="1:7" x14ac:dyDescent="0.3">
      <c r="A5474" t="s">
        <v>146</v>
      </c>
      <c r="B5474" t="s">
        <v>9412</v>
      </c>
      <c r="C5474" t="s">
        <v>8</v>
      </c>
      <c r="D5474">
        <v>1.4470000000000001</v>
      </c>
      <c r="E5474">
        <v>463</v>
      </c>
      <c r="F5474" t="str">
        <f>HYPERLINK("https://www.google.com/maps/search/?api=1&amp;query=24.6390005,46.71039808", "View Map")</f>
        <v>View Map</v>
      </c>
    </row>
    <row r="5475" spans="1:7" x14ac:dyDescent="0.3">
      <c r="A5475" t="s">
        <v>9413</v>
      </c>
      <c r="B5475" t="s">
        <v>9414</v>
      </c>
      <c r="C5475" t="s">
        <v>21</v>
      </c>
      <c r="D5475">
        <v>1.446</v>
      </c>
      <c r="E5475">
        <v>463</v>
      </c>
      <c r="F5475" t="str">
        <f>HYPERLINK("https://www.google.com/maps/search/?api=1&amp;query=26.32543007,44.79288366", "View Map")</f>
        <v>View Map</v>
      </c>
    </row>
    <row r="5476" spans="1:7" x14ac:dyDescent="0.3">
      <c r="A5476" t="s">
        <v>9415</v>
      </c>
      <c r="B5476" t="s">
        <v>9416</v>
      </c>
      <c r="C5476" t="s">
        <v>270</v>
      </c>
      <c r="D5476">
        <v>1.446</v>
      </c>
      <c r="E5476">
        <v>463</v>
      </c>
      <c r="F5476" t="str">
        <f>HYPERLINK("https://www.google.com/maps/search/?api=1&amp;query=24.10071001,47.17148842", "View Map")</f>
        <v>View Map</v>
      </c>
    </row>
    <row r="5477" spans="1:7" x14ac:dyDescent="0.3">
      <c r="A5477" t="s">
        <v>9417</v>
      </c>
      <c r="B5477" t="s">
        <v>9418</v>
      </c>
      <c r="C5477" t="s">
        <v>21</v>
      </c>
      <c r="D5477">
        <v>1.446</v>
      </c>
      <c r="E5477">
        <v>463</v>
      </c>
      <c r="F5477" t="str">
        <f>HYPERLINK("https://www.google.com/maps/search/?api=1&amp;query=26.30723669,44.79485548", "View Map")</f>
        <v>View Map</v>
      </c>
      <c r="G5477" s="2">
        <v>0.58545021522022844</v>
      </c>
    </row>
    <row r="5478" spans="1:7" x14ac:dyDescent="0.3">
      <c r="A5478" t="s">
        <v>9419</v>
      </c>
      <c r="B5478" t="s">
        <v>9420</v>
      </c>
      <c r="C5478" t="s">
        <v>8</v>
      </c>
      <c r="D5478">
        <v>1.446</v>
      </c>
      <c r="E5478">
        <v>463</v>
      </c>
      <c r="F5478" t="str">
        <f>HYPERLINK("https://www.google.com/maps/search/?api=1&amp;query=24.61446134,46.68073365", "View Map")</f>
        <v>View Map</v>
      </c>
      <c r="G5478" s="2">
        <v>0.35202094501741432</v>
      </c>
    </row>
    <row r="5479" spans="1:7" x14ac:dyDescent="0.3">
      <c r="A5479" t="s">
        <v>46</v>
      </c>
      <c r="B5479" t="s">
        <v>9421</v>
      </c>
      <c r="C5479" t="s">
        <v>8</v>
      </c>
      <c r="D5479">
        <v>1.4450000000000001</v>
      </c>
      <c r="E5479">
        <v>462</v>
      </c>
      <c r="F5479" t="str">
        <f>HYPERLINK("https://www.google.com/maps/search/?api=1&amp;query=24.8766636,46.63321108", "View Map")</f>
        <v>View Map</v>
      </c>
    </row>
    <row r="5480" spans="1:7" x14ac:dyDescent="0.3">
      <c r="A5480" t="s">
        <v>9422</v>
      </c>
      <c r="B5480" t="s">
        <v>9423</v>
      </c>
      <c r="C5480" t="s">
        <v>8</v>
      </c>
      <c r="D5480">
        <v>1.4450000000000001</v>
      </c>
      <c r="E5480">
        <v>462</v>
      </c>
      <c r="F5480" t="str">
        <f>HYPERLINK("https://www.google.com/maps/search/?api=1&amp;query=24.75215056,46.77189827", "View Map")</f>
        <v>View Map</v>
      </c>
    </row>
    <row r="5481" spans="1:7" x14ac:dyDescent="0.3">
      <c r="A5481" t="s">
        <v>9424</v>
      </c>
      <c r="B5481" t="s">
        <v>9425</v>
      </c>
      <c r="C5481" t="s">
        <v>8</v>
      </c>
      <c r="D5481">
        <v>1.4450000000000001</v>
      </c>
      <c r="E5481">
        <v>462</v>
      </c>
      <c r="F5481" t="str">
        <f>HYPERLINK("https://www.google.com/maps/search/?api=1&amp;query=24.67790019,46.81000194", "View Map")</f>
        <v>View Map</v>
      </c>
    </row>
    <row r="5482" spans="1:7" x14ac:dyDescent="0.3">
      <c r="A5482" t="s">
        <v>938</v>
      </c>
      <c r="B5482" t="s">
        <v>9426</v>
      </c>
      <c r="C5482" t="s">
        <v>8</v>
      </c>
      <c r="D5482">
        <v>1.4450000000000001</v>
      </c>
      <c r="E5482">
        <v>462</v>
      </c>
      <c r="F5482" t="str">
        <f>HYPERLINK("https://www.google.com/maps/search/?api=1&amp;query=24.51514961,46.72642852", "View Map")</f>
        <v>View Map</v>
      </c>
    </row>
    <row r="5483" spans="1:7" x14ac:dyDescent="0.3">
      <c r="A5483" t="s">
        <v>9427</v>
      </c>
      <c r="B5483" t="s">
        <v>9428</v>
      </c>
      <c r="C5483" t="s">
        <v>8</v>
      </c>
      <c r="D5483">
        <v>1.4450000000000001</v>
      </c>
      <c r="E5483">
        <v>462</v>
      </c>
      <c r="F5483" t="str">
        <f>HYPERLINK("https://www.google.com/maps/search/?api=1&amp;query=24.47914617,46.80986205", "View Map")</f>
        <v>View Map</v>
      </c>
    </row>
    <row r="5484" spans="1:7" x14ac:dyDescent="0.3">
      <c r="A5484" t="s">
        <v>9429</v>
      </c>
      <c r="B5484" t="s">
        <v>9430</v>
      </c>
      <c r="C5484" t="s">
        <v>255</v>
      </c>
      <c r="D5484">
        <v>1.444</v>
      </c>
      <c r="E5484">
        <v>462</v>
      </c>
      <c r="F5484" t="str">
        <f>HYPERLINK("https://www.google.com/maps/search/?api=1&amp;query=24.53956506,44.27508693", "View Map")</f>
        <v>View Map</v>
      </c>
      <c r="G5484" s="2">
        <v>0.75887166460927957</v>
      </c>
    </row>
    <row r="5485" spans="1:7" x14ac:dyDescent="0.3">
      <c r="A5485" t="s">
        <v>28</v>
      </c>
      <c r="B5485" t="s">
        <v>9431</v>
      </c>
      <c r="C5485" t="s">
        <v>30</v>
      </c>
      <c r="D5485">
        <v>1.444</v>
      </c>
      <c r="E5485">
        <v>462</v>
      </c>
      <c r="F5485" t="str">
        <f>HYPERLINK("https://www.google.com/maps/search/?api=1&amp;query=24.0945035,47.27503035", "View Map")</f>
        <v>View Map</v>
      </c>
    </row>
    <row r="5486" spans="1:7" x14ac:dyDescent="0.3">
      <c r="A5486" t="s">
        <v>627</v>
      </c>
      <c r="B5486" t="s">
        <v>9432</v>
      </c>
      <c r="C5486" t="s">
        <v>8</v>
      </c>
      <c r="D5486">
        <v>1.444</v>
      </c>
      <c r="E5486">
        <v>462</v>
      </c>
      <c r="F5486" t="str">
        <f>HYPERLINK("https://www.google.com/maps/search/?api=1&amp;query=24.64274007,46.56680742", "View Map")</f>
        <v>View Map</v>
      </c>
    </row>
    <row r="5487" spans="1:7" x14ac:dyDescent="0.3">
      <c r="A5487" t="s">
        <v>9433</v>
      </c>
      <c r="B5487" t="s">
        <v>9434</v>
      </c>
      <c r="C5487" t="s">
        <v>8</v>
      </c>
      <c r="D5487">
        <v>1.444</v>
      </c>
      <c r="E5487">
        <v>462</v>
      </c>
      <c r="F5487" t="str">
        <f>HYPERLINK("https://www.google.com/maps/search/?api=1&amp;query=24.81758851,46.62703273", "View Map")</f>
        <v>View Map</v>
      </c>
      <c r="G5487" s="2">
        <v>9.3469529109385566E-2</v>
      </c>
    </row>
    <row r="5488" spans="1:7" x14ac:dyDescent="0.3">
      <c r="A5488" t="s">
        <v>9435</v>
      </c>
      <c r="B5488" t="s">
        <v>9436</v>
      </c>
      <c r="C5488" t="s">
        <v>255</v>
      </c>
      <c r="D5488">
        <v>1.444</v>
      </c>
      <c r="E5488">
        <v>462</v>
      </c>
      <c r="F5488" t="str">
        <f>HYPERLINK("https://www.google.com/maps/search/?api=1&amp;query=24.6322996,43.67855968", "View Map")</f>
        <v>View Map</v>
      </c>
      <c r="G5488" s="2">
        <v>0.48727480826618819</v>
      </c>
    </row>
    <row r="5489" spans="1:7" x14ac:dyDescent="0.3">
      <c r="A5489" t="s">
        <v>289</v>
      </c>
      <c r="B5489" t="s">
        <v>9437</v>
      </c>
      <c r="C5489" t="s">
        <v>393</v>
      </c>
      <c r="D5489">
        <v>1.4430000000000001</v>
      </c>
      <c r="E5489">
        <v>462</v>
      </c>
      <c r="F5489" t="str">
        <f>HYPERLINK("https://www.google.com/maps/search/?api=1&amp;query=22.51883785,44.79750998", "View Map")</f>
        <v>View Map</v>
      </c>
      <c r="G5489" s="2">
        <v>0.49614386157748702</v>
      </c>
    </row>
    <row r="5490" spans="1:7" x14ac:dyDescent="0.3">
      <c r="A5490" t="s">
        <v>433</v>
      </c>
      <c r="B5490" t="s">
        <v>9438</v>
      </c>
      <c r="C5490" t="s">
        <v>137</v>
      </c>
      <c r="D5490">
        <v>1.4430000000000001</v>
      </c>
      <c r="E5490">
        <v>462</v>
      </c>
      <c r="F5490" t="str">
        <f>HYPERLINK("https://www.google.com/maps/search/?api=1&amp;query=23.46053375,46.86585215", "View Map")</f>
        <v>View Map</v>
      </c>
      <c r="G5490" s="2">
        <v>0.40014370918677561</v>
      </c>
    </row>
    <row r="5491" spans="1:7" x14ac:dyDescent="0.3">
      <c r="A5491" t="s">
        <v>9439</v>
      </c>
      <c r="B5491" t="s">
        <v>9440</v>
      </c>
      <c r="C5491" t="s">
        <v>738</v>
      </c>
      <c r="D5491">
        <v>1.4419999999999999</v>
      </c>
      <c r="E5491">
        <v>461</v>
      </c>
      <c r="F5491" t="str">
        <f>HYPERLINK("https://www.google.com/maps/search/?api=1&amp;query=25.17553451,46.34057276", "View Map")</f>
        <v>View Map</v>
      </c>
    </row>
    <row r="5492" spans="1:7" x14ac:dyDescent="0.3">
      <c r="A5492" t="s">
        <v>9441</v>
      </c>
      <c r="B5492" t="s">
        <v>9442</v>
      </c>
      <c r="C5492" t="s">
        <v>241</v>
      </c>
      <c r="D5492">
        <v>1.4419999999999999</v>
      </c>
      <c r="E5492">
        <v>461</v>
      </c>
      <c r="F5492" t="str">
        <f>HYPERLINK("https://www.google.com/maps/search/?api=1&amp;query=20.4475283,44.85060654", "View Map")</f>
        <v>View Map</v>
      </c>
    </row>
    <row r="5493" spans="1:7" x14ac:dyDescent="0.3">
      <c r="A5493" t="s">
        <v>46</v>
      </c>
      <c r="B5493" t="s">
        <v>9443</v>
      </c>
      <c r="C5493" t="s">
        <v>8</v>
      </c>
      <c r="D5493">
        <v>1.4410000000000001</v>
      </c>
      <c r="E5493">
        <v>461</v>
      </c>
      <c r="F5493" t="str">
        <f>HYPERLINK("https://www.google.com/maps/search/?api=1&amp;query=24.6521277,46.5051015", "View Map")</f>
        <v>View Map</v>
      </c>
    </row>
    <row r="5494" spans="1:7" x14ac:dyDescent="0.3">
      <c r="A5494" t="s">
        <v>1788</v>
      </c>
      <c r="B5494" t="s">
        <v>9444</v>
      </c>
      <c r="C5494" t="s">
        <v>291</v>
      </c>
      <c r="D5494">
        <v>1.4410000000000001</v>
      </c>
      <c r="E5494">
        <v>461</v>
      </c>
      <c r="F5494" t="str">
        <f>HYPERLINK("https://www.google.com/maps/search/?api=1&amp;query=24.08258881,45.3255726", "View Map")</f>
        <v>View Map</v>
      </c>
      <c r="G5494" s="2">
        <v>0.76864192256870334</v>
      </c>
    </row>
    <row r="5495" spans="1:7" x14ac:dyDescent="0.3">
      <c r="A5495" t="s">
        <v>9445</v>
      </c>
      <c r="B5495" t="s">
        <v>9446</v>
      </c>
      <c r="C5495" t="s">
        <v>214</v>
      </c>
      <c r="D5495">
        <v>1.44</v>
      </c>
      <c r="E5495">
        <v>461</v>
      </c>
      <c r="F5495" t="str">
        <f>HYPERLINK("https://www.google.com/maps/search/?api=1&amp;query=25.89034945,45.35721029", "View Map")</f>
        <v>View Map</v>
      </c>
      <c r="G5495" s="2">
        <v>0.37556484196960271</v>
      </c>
    </row>
    <row r="5496" spans="1:7" x14ac:dyDescent="0.3">
      <c r="A5496" t="s">
        <v>46</v>
      </c>
      <c r="B5496" t="s">
        <v>9447</v>
      </c>
      <c r="C5496" t="s">
        <v>8</v>
      </c>
      <c r="D5496">
        <v>1.44</v>
      </c>
      <c r="E5496">
        <v>461</v>
      </c>
      <c r="F5496" t="str">
        <f>HYPERLINK("https://www.google.com/maps/search/?api=1&amp;query=24.84628117,46.7715538", "View Map")</f>
        <v>View Map</v>
      </c>
    </row>
    <row r="5497" spans="1:7" x14ac:dyDescent="0.3">
      <c r="A5497" t="s">
        <v>9448</v>
      </c>
      <c r="B5497" t="s">
        <v>9449</v>
      </c>
      <c r="C5497" t="s">
        <v>30</v>
      </c>
      <c r="D5497">
        <v>1.44</v>
      </c>
      <c r="E5497">
        <v>461</v>
      </c>
      <c r="F5497" t="str">
        <f>HYPERLINK("https://www.google.com/maps/search/?api=1&amp;query=24.15396657,47.32782008", "View Map")</f>
        <v>View Map</v>
      </c>
    </row>
    <row r="5498" spans="1:7" x14ac:dyDescent="0.3">
      <c r="A5498" t="s">
        <v>9450</v>
      </c>
      <c r="B5498" t="s">
        <v>9451</v>
      </c>
      <c r="C5498" t="s">
        <v>8</v>
      </c>
      <c r="D5498">
        <v>1.44</v>
      </c>
      <c r="E5498">
        <v>461</v>
      </c>
      <c r="F5498" t="str">
        <f>HYPERLINK("https://www.google.com/maps/search/?api=1&amp;query=24.58377764,46.61782926", "View Map")</f>
        <v>View Map</v>
      </c>
    </row>
    <row r="5499" spans="1:7" x14ac:dyDescent="0.3">
      <c r="A5499" t="s">
        <v>9452</v>
      </c>
      <c r="B5499" t="s">
        <v>9453</v>
      </c>
      <c r="C5499" t="s">
        <v>8</v>
      </c>
      <c r="D5499">
        <v>1.4390000000000001</v>
      </c>
      <c r="E5499">
        <v>461</v>
      </c>
      <c r="F5499" t="str">
        <f>HYPERLINK("https://www.google.com/maps/search/?api=1&amp;query=24.71022678,46.78445387", "View Map")</f>
        <v>View Map</v>
      </c>
      <c r="G5499" s="2">
        <v>0.26516160566348762</v>
      </c>
    </row>
    <row r="5500" spans="1:7" x14ac:dyDescent="0.3">
      <c r="A5500" t="s">
        <v>9454</v>
      </c>
      <c r="B5500" t="s">
        <v>9455</v>
      </c>
      <c r="C5500" t="s">
        <v>8</v>
      </c>
      <c r="D5500">
        <v>1.4390000000000001</v>
      </c>
      <c r="E5500">
        <v>460</v>
      </c>
      <c r="F5500" t="str">
        <f>HYPERLINK("https://www.google.com/maps/search/?api=1&amp;query=24.56871453,46.77826887", "View Map")</f>
        <v>View Map</v>
      </c>
    </row>
    <row r="5501" spans="1:7" x14ac:dyDescent="0.3">
      <c r="A5501" t="s">
        <v>9456</v>
      </c>
      <c r="B5501" t="s">
        <v>9457</v>
      </c>
      <c r="C5501" t="s">
        <v>77</v>
      </c>
      <c r="D5501">
        <v>1.4390000000000001</v>
      </c>
      <c r="E5501">
        <v>461</v>
      </c>
      <c r="F5501" t="str">
        <f>HYPERLINK("https://www.google.com/maps/search/?api=1&amp;query=22.28950176,46.72999823", "View Map")</f>
        <v>View Map</v>
      </c>
      <c r="G5501" s="2">
        <v>0.33979776198210881</v>
      </c>
    </row>
    <row r="5502" spans="1:7" x14ac:dyDescent="0.3">
      <c r="A5502" t="s">
        <v>9458</v>
      </c>
      <c r="B5502" t="s">
        <v>9459</v>
      </c>
      <c r="C5502" t="s">
        <v>8</v>
      </c>
      <c r="D5502">
        <v>1.4390000000000001</v>
      </c>
      <c r="E5502">
        <v>460</v>
      </c>
      <c r="F5502" t="str">
        <f>HYPERLINK("https://www.google.com/maps/search/?api=1&amp;query=24.57823074,46.6923062", "View Map")</f>
        <v>View Map</v>
      </c>
      <c r="G5502" s="2">
        <v>0.19953788350676749</v>
      </c>
    </row>
    <row r="5503" spans="1:7" x14ac:dyDescent="0.3">
      <c r="A5503" t="s">
        <v>9460</v>
      </c>
      <c r="B5503" t="s">
        <v>9461</v>
      </c>
      <c r="C5503" t="s">
        <v>255</v>
      </c>
      <c r="D5503">
        <v>1.4390000000000001</v>
      </c>
      <c r="E5503">
        <v>460</v>
      </c>
      <c r="F5503" t="str">
        <f>HYPERLINK("https://www.google.com/maps/search/?api=1&amp;query=24.49709886,44.38176297", "View Map")</f>
        <v>View Map</v>
      </c>
    </row>
    <row r="5504" spans="1:7" x14ac:dyDescent="0.3">
      <c r="A5504" t="s">
        <v>9462</v>
      </c>
      <c r="B5504" t="s">
        <v>9463</v>
      </c>
      <c r="C5504" t="s">
        <v>8</v>
      </c>
      <c r="D5504">
        <v>1.4379999999999999</v>
      </c>
      <c r="E5504">
        <v>460</v>
      </c>
      <c r="F5504" t="str">
        <f>HYPERLINK("https://www.google.com/maps/search/?api=1&amp;query=24.70716736,46.69478223", "View Map")</f>
        <v>View Map</v>
      </c>
    </row>
    <row r="5505" spans="1:7" x14ac:dyDescent="0.3">
      <c r="A5505" t="s">
        <v>275</v>
      </c>
      <c r="B5505" t="s">
        <v>9464</v>
      </c>
      <c r="C5505" t="s">
        <v>8</v>
      </c>
      <c r="D5505">
        <v>1.4379999999999999</v>
      </c>
      <c r="E5505">
        <v>460</v>
      </c>
      <c r="F5505" t="str">
        <f>HYPERLINK("https://www.google.com/maps/search/?api=1&amp;query=24.76762151,46.73791755", "View Map")</f>
        <v>View Map</v>
      </c>
      <c r="G5505" s="2">
        <v>0.42049150599800189</v>
      </c>
    </row>
    <row r="5506" spans="1:7" x14ac:dyDescent="0.3">
      <c r="A5506" t="s">
        <v>9465</v>
      </c>
      <c r="B5506" t="s">
        <v>9466</v>
      </c>
      <c r="C5506" t="s">
        <v>8</v>
      </c>
      <c r="D5506">
        <v>1.4370000000000001</v>
      </c>
      <c r="E5506">
        <v>460</v>
      </c>
      <c r="F5506" t="str">
        <f>HYPERLINK("https://www.google.com/maps/search/?api=1&amp;query=24.78454585,46.77305851", "View Map")</f>
        <v>View Map</v>
      </c>
    </row>
    <row r="5507" spans="1:7" x14ac:dyDescent="0.3">
      <c r="A5507" t="s">
        <v>7765</v>
      </c>
      <c r="B5507" t="s">
        <v>9467</v>
      </c>
      <c r="C5507" t="s">
        <v>8</v>
      </c>
      <c r="D5507">
        <v>1.4370000000000001</v>
      </c>
      <c r="E5507">
        <v>460</v>
      </c>
      <c r="F5507" t="str">
        <f>HYPERLINK("https://www.google.com/maps/search/?api=1&amp;query=24.61595918,46.6418531", "View Map")</f>
        <v>View Map</v>
      </c>
    </row>
    <row r="5508" spans="1:7" x14ac:dyDescent="0.3">
      <c r="A5508" t="s">
        <v>9468</v>
      </c>
      <c r="B5508" t="s">
        <v>9469</v>
      </c>
      <c r="C5508" t="s">
        <v>270</v>
      </c>
      <c r="D5508">
        <v>1.4370000000000001</v>
      </c>
      <c r="E5508">
        <v>460</v>
      </c>
      <c r="F5508" t="str">
        <f>HYPERLINK("https://www.google.com/maps/search/?api=1&amp;query=23.97615696,47.12199061", "View Map")</f>
        <v>View Map</v>
      </c>
      <c r="G5508" s="2">
        <v>0.50490017812186805</v>
      </c>
    </row>
    <row r="5509" spans="1:7" x14ac:dyDescent="0.3">
      <c r="A5509" t="s">
        <v>46</v>
      </c>
      <c r="B5509" t="s">
        <v>9470</v>
      </c>
      <c r="C5509" t="s">
        <v>8</v>
      </c>
      <c r="D5509">
        <v>1.4359999999999999</v>
      </c>
      <c r="E5509">
        <v>460</v>
      </c>
      <c r="F5509" t="str">
        <f>HYPERLINK("https://www.google.com/maps/search/?api=1&amp;query=24.63065981,46.52829146", "View Map")</f>
        <v>View Map</v>
      </c>
    </row>
    <row r="5510" spans="1:7" x14ac:dyDescent="0.3">
      <c r="A5510" t="s">
        <v>28</v>
      </c>
      <c r="B5510" t="s">
        <v>9471</v>
      </c>
      <c r="C5510" t="s">
        <v>30</v>
      </c>
      <c r="D5510">
        <v>1.4359999999999999</v>
      </c>
      <c r="E5510">
        <v>460</v>
      </c>
      <c r="F5510" t="str">
        <f>HYPERLINK("https://www.google.com/maps/search/?api=1&amp;query=24.16779894,47.37025955", "View Map")</f>
        <v>View Map</v>
      </c>
    </row>
    <row r="5511" spans="1:7" x14ac:dyDescent="0.3">
      <c r="A5511" t="s">
        <v>146</v>
      </c>
      <c r="B5511" t="s">
        <v>9472</v>
      </c>
      <c r="C5511" t="s">
        <v>8</v>
      </c>
      <c r="D5511">
        <v>1.4359999999999999</v>
      </c>
      <c r="E5511">
        <v>459</v>
      </c>
      <c r="F5511" t="str">
        <f>HYPERLINK("https://www.google.com/maps/search/?api=1&amp;query=24.56347807,46.5287017", "View Map")</f>
        <v>View Map</v>
      </c>
    </row>
    <row r="5512" spans="1:7" x14ac:dyDescent="0.3">
      <c r="A5512" t="s">
        <v>4412</v>
      </c>
      <c r="B5512" t="s">
        <v>9473</v>
      </c>
      <c r="C5512" t="s">
        <v>16</v>
      </c>
      <c r="D5512">
        <v>1.4350000000000001</v>
      </c>
      <c r="E5512">
        <v>459</v>
      </c>
      <c r="F5512" t="str">
        <f>HYPERLINK("https://www.google.com/maps/search/?api=1&amp;query=23.91826117,42.93859601", "View Map")</f>
        <v>View Map</v>
      </c>
      <c r="G5512" s="2">
        <v>0.39333274568911653</v>
      </c>
    </row>
    <row r="5513" spans="1:7" x14ac:dyDescent="0.3">
      <c r="A5513" t="s">
        <v>9474</v>
      </c>
      <c r="B5513" t="s">
        <v>9475</v>
      </c>
      <c r="C5513" t="s">
        <v>255</v>
      </c>
      <c r="D5513">
        <v>1.4350000000000001</v>
      </c>
      <c r="E5513">
        <v>459</v>
      </c>
      <c r="F5513" t="str">
        <f>HYPERLINK("https://www.google.com/maps/search/?api=1&amp;query=24.5001928,43.88737828", "View Map")</f>
        <v>View Map</v>
      </c>
      <c r="G5513" s="2">
        <v>0.50395223419433299</v>
      </c>
    </row>
    <row r="5514" spans="1:7" x14ac:dyDescent="0.3">
      <c r="A5514" t="s">
        <v>5359</v>
      </c>
      <c r="B5514" t="s">
        <v>9476</v>
      </c>
      <c r="C5514" t="s">
        <v>8</v>
      </c>
      <c r="D5514">
        <v>1.4350000000000001</v>
      </c>
      <c r="E5514">
        <v>459</v>
      </c>
      <c r="F5514" t="str">
        <f>HYPERLINK("https://www.google.com/maps/search/?api=1&amp;query=24.79755355,46.74844532", "View Map")</f>
        <v>View Map</v>
      </c>
    </row>
    <row r="5515" spans="1:7" x14ac:dyDescent="0.3">
      <c r="A5515" t="s">
        <v>9477</v>
      </c>
      <c r="B5515" t="s">
        <v>9478</v>
      </c>
      <c r="C5515" t="s">
        <v>270</v>
      </c>
      <c r="D5515">
        <v>1.4350000000000001</v>
      </c>
      <c r="E5515">
        <v>459</v>
      </c>
      <c r="F5515" t="str">
        <f>HYPERLINK("https://www.google.com/maps/search/?api=1&amp;query=24.07880036,47.14894328", "View Map")</f>
        <v>View Map</v>
      </c>
      <c r="G5515" s="2">
        <v>0.70314274545113231</v>
      </c>
    </row>
    <row r="5516" spans="1:7" x14ac:dyDescent="0.3">
      <c r="A5516" t="s">
        <v>9479</v>
      </c>
      <c r="B5516" t="s">
        <v>9480</v>
      </c>
      <c r="C5516" t="s">
        <v>8</v>
      </c>
      <c r="D5516">
        <v>1.4350000000000001</v>
      </c>
      <c r="E5516">
        <v>459</v>
      </c>
      <c r="F5516" t="str">
        <f>HYPERLINK("https://www.google.com/maps/search/?api=1&amp;query=24.56736661,46.70338406", "View Map")</f>
        <v>View Map</v>
      </c>
    </row>
    <row r="5517" spans="1:7" x14ac:dyDescent="0.3">
      <c r="A5517" t="s">
        <v>9481</v>
      </c>
      <c r="B5517" t="s">
        <v>9482</v>
      </c>
      <c r="C5517" t="s">
        <v>8</v>
      </c>
      <c r="D5517">
        <v>1.4339999999999999</v>
      </c>
      <c r="E5517">
        <v>459</v>
      </c>
      <c r="F5517" t="str">
        <f>HYPERLINK("https://www.google.com/maps/search/?api=1&amp;query=24.69453313,46.59940387", "View Map")</f>
        <v>View Map</v>
      </c>
    </row>
    <row r="5518" spans="1:7" x14ac:dyDescent="0.3">
      <c r="A5518" t="s">
        <v>9483</v>
      </c>
      <c r="B5518" t="s">
        <v>9484</v>
      </c>
      <c r="C5518" t="s">
        <v>77</v>
      </c>
      <c r="D5518">
        <v>1.4339999999999999</v>
      </c>
      <c r="E5518">
        <v>459</v>
      </c>
      <c r="F5518" t="str">
        <f>HYPERLINK("https://www.google.com/maps/search/?api=1&amp;query=22.29316684,46.70657369", "View Map")</f>
        <v>View Map</v>
      </c>
    </row>
    <row r="5519" spans="1:7" x14ac:dyDescent="0.3">
      <c r="A5519" t="s">
        <v>9485</v>
      </c>
      <c r="B5519" t="s">
        <v>9486</v>
      </c>
      <c r="C5519" t="s">
        <v>8</v>
      </c>
      <c r="D5519">
        <v>1.4330000000000001</v>
      </c>
      <c r="E5519">
        <v>459</v>
      </c>
      <c r="F5519" t="str">
        <f>HYPERLINK("https://www.google.com/maps/search/?api=1&amp;query=24.64501956,46.73064645", "View Map")</f>
        <v>View Map</v>
      </c>
    </row>
    <row r="5520" spans="1:7" x14ac:dyDescent="0.3">
      <c r="A5520" t="s">
        <v>9487</v>
      </c>
      <c r="B5520" t="s">
        <v>9488</v>
      </c>
      <c r="C5520" t="s">
        <v>8</v>
      </c>
      <c r="D5520">
        <v>1.4330000000000001</v>
      </c>
      <c r="E5520">
        <v>459</v>
      </c>
      <c r="F5520" t="str">
        <f>HYPERLINK("https://www.google.com/maps/search/?api=1&amp;query=24.61280683,46.66140039", "View Map")</f>
        <v>View Map</v>
      </c>
    </row>
    <row r="5521" spans="1:7" x14ac:dyDescent="0.3">
      <c r="A5521" t="s">
        <v>9489</v>
      </c>
      <c r="B5521" t="s">
        <v>9490</v>
      </c>
      <c r="C5521" t="s">
        <v>241</v>
      </c>
      <c r="D5521">
        <v>1.4330000000000001</v>
      </c>
      <c r="E5521">
        <v>459</v>
      </c>
      <c r="F5521" t="str">
        <f>HYPERLINK("https://www.google.com/maps/search/?api=1&amp;query=20.44952346,44.85353691", "View Map")</f>
        <v>View Map</v>
      </c>
    </row>
    <row r="5522" spans="1:7" x14ac:dyDescent="0.3">
      <c r="A5522" t="s">
        <v>9491</v>
      </c>
      <c r="B5522" t="s">
        <v>9492</v>
      </c>
      <c r="C5522" t="s">
        <v>30</v>
      </c>
      <c r="D5522">
        <v>1.4319999999999999</v>
      </c>
      <c r="E5522">
        <v>458</v>
      </c>
      <c r="F5522" t="str">
        <f>HYPERLINK("https://www.google.com/maps/search/?api=1&amp;query=24.1505061,47.31711542", "View Map")</f>
        <v>View Map</v>
      </c>
    </row>
    <row r="5523" spans="1:7" x14ac:dyDescent="0.3">
      <c r="A5523" t="s">
        <v>632</v>
      </c>
      <c r="B5523" t="s">
        <v>9493</v>
      </c>
      <c r="C5523" t="s">
        <v>8</v>
      </c>
      <c r="D5523">
        <v>1.4319999999999999</v>
      </c>
      <c r="E5523">
        <v>458</v>
      </c>
      <c r="F5523" t="str">
        <f>HYPERLINK("https://www.google.com/maps/search/?api=1&amp;query=24.60037473,46.57583863", "View Map")</f>
        <v>View Map</v>
      </c>
    </row>
    <row r="5524" spans="1:7" x14ac:dyDescent="0.3">
      <c r="A5524" t="s">
        <v>9494</v>
      </c>
      <c r="B5524" t="s">
        <v>9495</v>
      </c>
      <c r="C5524" t="s">
        <v>21</v>
      </c>
      <c r="D5524">
        <v>1.4319999999999999</v>
      </c>
      <c r="E5524">
        <v>458</v>
      </c>
      <c r="F5524" t="str">
        <f>HYPERLINK("https://www.google.com/maps/search/?api=1&amp;query=26.31986634,44.80842451", "View Map")</f>
        <v>View Map</v>
      </c>
    </row>
    <row r="5525" spans="1:7" x14ac:dyDescent="0.3">
      <c r="A5525" t="s">
        <v>9496</v>
      </c>
      <c r="B5525" t="s">
        <v>9497</v>
      </c>
      <c r="C5525" t="s">
        <v>8</v>
      </c>
      <c r="D5525">
        <v>1.4319999999999999</v>
      </c>
      <c r="E5525">
        <v>458</v>
      </c>
      <c r="F5525" t="str">
        <f>HYPERLINK("https://www.google.com/maps/search/?api=1&amp;query=24.58354982,46.79117141", "View Map")</f>
        <v>View Map</v>
      </c>
    </row>
    <row r="5526" spans="1:7" x14ac:dyDescent="0.3">
      <c r="A5526" t="s">
        <v>46</v>
      </c>
      <c r="B5526" t="s">
        <v>9498</v>
      </c>
      <c r="C5526" t="s">
        <v>8</v>
      </c>
      <c r="D5526">
        <v>1.431</v>
      </c>
      <c r="E5526">
        <v>458</v>
      </c>
      <c r="F5526" t="str">
        <f>HYPERLINK("https://www.google.com/maps/search/?api=1&amp;query=24.806819,46.82055937", "View Map")</f>
        <v>View Map</v>
      </c>
    </row>
    <row r="5527" spans="1:7" x14ac:dyDescent="0.3">
      <c r="A5527" t="s">
        <v>9499</v>
      </c>
      <c r="B5527" t="s">
        <v>9500</v>
      </c>
      <c r="C5527" t="s">
        <v>214</v>
      </c>
      <c r="D5527">
        <v>1.43</v>
      </c>
      <c r="E5527">
        <v>457</v>
      </c>
      <c r="F5527" t="str">
        <f>HYPERLINK("https://www.google.com/maps/search/?api=1&amp;query=25.62276427,45.57911103", "View Map")</f>
        <v>View Map</v>
      </c>
      <c r="G5527" s="2">
        <v>0.47628055618587489</v>
      </c>
    </row>
    <row r="5528" spans="1:7" x14ac:dyDescent="0.3">
      <c r="A5528" t="s">
        <v>9501</v>
      </c>
      <c r="B5528" t="s">
        <v>9502</v>
      </c>
      <c r="C5528" t="s">
        <v>8</v>
      </c>
      <c r="D5528">
        <v>1.43</v>
      </c>
      <c r="E5528">
        <v>458</v>
      </c>
      <c r="F5528" t="str">
        <f>HYPERLINK("https://www.google.com/maps/search/?api=1&amp;query=24.7765541,46.7093087", "View Map")</f>
        <v>View Map</v>
      </c>
    </row>
    <row r="5529" spans="1:7" x14ac:dyDescent="0.3">
      <c r="A5529" t="s">
        <v>9503</v>
      </c>
      <c r="B5529" t="s">
        <v>9504</v>
      </c>
      <c r="C5529" t="s">
        <v>291</v>
      </c>
      <c r="D5529">
        <v>1.43</v>
      </c>
      <c r="E5529">
        <v>458</v>
      </c>
      <c r="F5529" t="str">
        <f>HYPERLINK("https://www.google.com/maps/search/?api=1&amp;query=23.2523369,44.94704632", "View Map")</f>
        <v>View Map</v>
      </c>
      <c r="G5529" s="2">
        <v>0.62408569638739764</v>
      </c>
    </row>
    <row r="5530" spans="1:7" x14ac:dyDescent="0.3">
      <c r="A5530" t="s">
        <v>7266</v>
      </c>
      <c r="B5530" t="s">
        <v>9505</v>
      </c>
      <c r="C5530" t="s">
        <v>8</v>
      </c>
      <c r="D5530">
        <v>1.43</v>
      </c>
      <c r="E5530">
        <v>458</v>
      </c>
      <c r="F5530" t="str">
        <f>HYPERLINK("https://www.google.com/maps/search/?api=1&amp;query=24.69069652,46.65349468", "View Map")</f>
        <v>View Map</v>
      </c>
    </row>
    <row r="5531" spans="1:7" x14ac:dyDescent="0.3">
      <c r="A5531" t="s">
        <v>9506</v>
      </c>
      <c r="B5531" t="s">
        <v>9507</v>
      </c>
      <c r="C5531" t="s">
        <v>8</v>
      </c>
      <c r="D5531">
        <v>1.429</v>
      </c>
      <c r="E5531">
        <v>457</v>
      </c>
      <c r="F5531" t="str">
        <f>HYPERLINK("https://www.google.com/maps/search/?api=1&amp;query=24.77815541,46.69634206", "View Map")</f>
        <v>View Map</v>
      </c>
    </row>
    <row r="5532" spans="1:7" x14ac:dyDescent="0.3">
      <c r="A5532" t="s">
        <v>9508</v>
      </c>
      <c r="B5532" t="s">
        <v>9509</v>
      </c>
      <c r="C5532" t="s">
        <v>8</v>
      </c>
      <c r="D5532">
        <v>1.429</v>
      </c>
      <c r="E5532">
        <v>457</v>
      </c>
      <c r="F5532" t="str">
        <f>HYPERLINK("https://www.google.com/maps/search/?api=1&amp;query=24.77001706,46.70561537", "View Map")</f>
        <v>View Map</v>
      </c>
    </row>
    <row r="5533" spans="1:7" x14ac:dyDescent="0.3">
      <c r="A5533" t="s">
        <v>9510</v>
      </c>
      <c r="B5533" t="s">
        <v>9511</v>
      </c>
      <c r="C5533" t="s">
        <v>8</v>
      </c>
      <c r="D5533">
        <v>1.429</v>
      </c>
      <c r="E5533">
        <v>457</v>
      </c>
      <c r="F5533" t="str">
        <f>HYPERLINK("https://www.google.com/maps/search/?api=1&amp;query=24.63397337,46.73172063", "View Map")</f>
        <v>View Map</v>
      </c>
    </row>
    <row r="5534" spans="1:7" x14ac:dyDescent="0.3">
      <c r="A5534" t="s">
        <v>9512</v>
      </c>
      <c r="B5534" t="s">
        <v>9513</v>
      </c>
      <c r="C5534" t="s">
        <v>8</v>
      </c>
      <c r="D5534">
        <v>1.429</v>
      </c>
      <c r="E5534">
        <v>457</v>
      </c>
      <c r="F5534" t="str">
        <f>HYPERLINK("https://www.google.com/maps/search/?api=1&amp;query=24.62298743,46.69722577", "View Map")</f>
        <v>View Map</v>
      </c>
    </row>
    <row r="5535" spans="1:7" x14ac:dyDescent="0.3">
      <c r="A5535" t="s">
        <v>150</v>
      </c>
      <c r="B5535" t="s">
        <v>9514</v>
      </c>
      <c r="C5535" t="s">
        <v>8</v>
      </c>
      <c r="D5535">
        <v>1.4279999999999999</v>
      </c>
      <c r="E5535">
        <v>457</v>
      </c>
      <c r="F5535" t="str">
        <f>HYPERLINK("https://www.google.com/maps/search/?api=1&amp;query=24.81633837,46.80256587", "View Map")</f>
        <v>View Map</v>
      </c>
    </row>
    <row r="5536" spans="1:7" x14ac:dyDescent="0.3">
      <c r="A5536" t="s">
        <v>2485</v>
      </c>
      <c r="B5536" t="s">
        <v>9515</v>
      </c>
      <c r="C5536" t="s">
        <v>255</v>
      </c>
      <c r="D5536">
        <v>1.4279999999999999</v>
      </c>
      <c r="E5536">
        <v>457</v>
      </c>
      <c r="F5536" t="str">
        <f>HYPERLINK("https://www.google.com/maps/search/?api=1&amp;query=24.66678089,43.70601006", "View Map")</f>
        <v>View Map</v>
      </c>
      <c r="G5536" s="2">
        <v>0.56396409410495407</v>
      </c>
    </row>
    <row r="5537" spans="1:7" x14ac:dyDescent="0.3">
      <c r="A5537" t="s">
        <v>1594</v>
      </c>
      <c r="B5537" t="s">
        <v>9516</v>
      </c>
      <c r="C5537" t="s">
        <v>296</v>
      </c>
      <c r="D5537">
        <v>1.427</v>
      </c>
      <c r="E5537">
        <v>457</v>
      </c>
      <c r="F5537" t="str">
        <f>HYPERLINK("https://www.google.com/maps/search/?api=1&amp;query=24.48731486,46.25788611", "View Map")</f>
        <v>View Map</v>
      </c>
    </row>
    <row r="5538" spans="1:7" x14ac:dyDescent="0.3">
      <c r="A5538" t="s">
        <v>146</v>
      </c>
      <c r="B5538" t="s">
        <v>9517</v>
      </c>
      <c r="C5538" t="s">
        <v>8</v>
      </c>
      <c r="D5538">
        <v>1.427</v>
      </c>
      <c r="E5538">
        <v>457</v>
      </c>
      <c r="F5538" t="str">
        <f>HYPERLINK("https://www.google.com/maps/search/?api=1&amp;query=24.4889,46.6319", "View Map")</f>
        <v>View Map</v>
      </c>
    </row>
    <row r="5539" spans="1:7" x14ac:dyDescent="0.3">
      <c r="A5539" t="s">
        <v>9518</v>
      </c>
      <c r="B5539" t="s">
        <v>9519</v>
      </c>
      <c r="C5539" t="s">
        <v>30</v>
      </c>
      <c r="D5539">
        <v>1.4259999999999999</v>
      </c>
      <c r="E5539">
        <v>456</v>
      </c>
      <c r="F5539" t="str">
        <f>HYPERLINK("https://www.google.com/maps/search/?api=1&amp;query=24.09504013,47.25841481", "View Map")</f>
        <v>View Map</v>
      </c>
    </row>
    <row r="5540" spans="1:7" x14ac:dyDescent="0.3">
      <c r="A5540" t="s">
        <v>2597</v>
      </c>
      <c r="B5540" t="s">
        <v>9520</v>
      </c>
      <c r="C5540" t="s">
        <v>291</v>
      </c>
      <c r="D5540">
        <v>1.4259999999999999</v>
      </c>
      <c r="E5540">
        <v>456</v>
      </c>
      <c r="F5540" t="str">
        <f>HYPERLINK("https://www.google.com/maps/search/?api=1&amp;query=23.76152936,44.75952636", "View Map")</f>
        <v>View Map</v>
      </c>
      <c r="G5540" s="2">
        <v>0.40757038265043188</v>
      </c>
    </row>
    <row r="5541" spans="1:7" x14ac:dyDescent="0.3">
      <c r="A5541" t="s">
        <v>9521</v>
      </c>
      <c r="B5541" t="s">
        <v>9522</v>
      </c>
      <c r="C5541" t="s">
        <v>8</v>
      </c>
      <c r="D5541">
        <v>1.4259999999999999</v>
      </c>
      <c r="E5541">
        <v>456</v>
      </c>
      <c r="F5541" t="str">
        <f>HYPERLINK("https://www.google.com/maps/search/?api=1&amp;query=24.78295897,46.64679276", "View Map")</f>
        <v>View Map</v>
      </c>
    </row>
    <row r="5542" spans="1:7" x14ac:dyDescent="0.3">
      <c r="A5542" t="s">
        <v>9523</v>
      </c>
      <c r="B5542" t="s">
        <v>9524</v>
      </c>
      <c r="C5542" t="s">
        <v>8</v>
      </c>
      <c r="D5542">
        <v>1.4259999999999999</v>
      </c>
      <c r="E5542">
        <v>456</v>
      </c>
      <c r="F5542" t="str">
        <f>HYPERLINK("https://www.google.com/maps/search/?api=1&amp;query=24.77088626,46.78336067", "View Map")</f>
        <v>View Map</v>
      </c>
    </row>
    <row r="5543" spans="1:7" x14ac:dyDescent="0.3">
      <c r="A5543" t="s">
        <v>9525</v>
      </c>
      <c r="B5543" t="s">
        <v>9526</v>
      </c>
      <c r="C5543" t="s">
        <v>8</v>
      </c>
      <c r="D5543">
        <v>1.4259999999999999</v>
      </c>
      <c r="E5543">
        <v>456</v>
      </c>
      <c r="F5543" t="str">
        <f>HYPERLINK("https://www.google.com/maps/search/?api=1&amp;query=24.61047923,46.63983702", "View Map")</f>
        <v>View Map</v>
      </c>
    </row>
    <row r="5544" spans="1:7" x14ac:dyDescent="0.3">
      <c r="A5544" t="s">
        <v>9527</v>
      </c>
      <c r="B5544" t="s">
        <v>9528</v>
      </c>
      <c r="C5544" t="s">
        <v>214</v>
      </c>
      <c r="D5544">
        <v>1.425</v>
      </c>
      <c r="E5544">
        <v>456</v>
      </c>
      <c r="F5544" t="str">
        <f>HYPERLINK("https://www.google.com/maps/search/?api=1&amp;query=25.91118142,45.36422539", "View Map")</f>
        <v>View Map</v>
      </c>
    </row>
    <row r="5545" spans="1:7" x14ac:dyDescent="0.3">
      <c r="A5545" t="s">
        <v>9529</v>
      </c>
      <c r="B5545" t="s">
        <v>9530</v>
      </c>
      <c r="C5545" t="s">
        <v>8</v>
      </c>
      <c r="D5545">
        <v>1.425</v>
      </c>
      <c r="E5545">
        <v>456</v>
      </c>
      <c r="F5545" t="str">
        <f>HYPERLINK("https://www.google.com/maps/search/?api=1&amp;query=24.63375857,46.72684731", "View Map")</f>
        <v>View Map</v>
      </c>
    </row>
    <row r="5546" spans="1:7" x14ac:dyDescent="0.3">
      <c r="A5546" t="s">
        <v>9531</v>
      </c>
      <c r="B5546" t="s">
        <v>9532</v>
      </c>
      <c r="C5546" t="s">
        <v>241</v>
      </c>
      <c r="D5546">
        <v>1.425</v>
      </c>
      <c r="E5546">
        <v>456</v>
      </c>
      <c r="F5546" t="str">
        <f>HYPERLINK("https://www.google.com/maps/search/?api=1&amp;query=20.46083347,44.78000477", "View Map")</f>
        <v>View Map</v>
      </c>
    </row>
    <row r="5547" spans="1:7" x14ac:dyDescent="0.3">
      <c r="A5547" t="s">
        <v>9533</v>
      </c>
      <c r="B5547" t="s">
        <v>9534</v>
      </c>
      <c r="C5547" t="s">
        <v>270</v>
      </c>
      <c r="D5547">
        <v>1.425</v>
      </c>
      <c r="E5547">
        <v>456</v>
      </c>
      <c r="F5547" t="str">
        <f>HYPERLINK("https://www.google.com/maps/search/?api=1&amp;query=23.98542409,47.16326666", "View Map")</f>
        <v>View Map</v>
      </c>
    </row>
    <row r="5548" spans="1:7" x14ac:dyDescent="0.3">
      <c r="A5548" t="s">
        <v>9535</v>
      </c>
      <c r="B5548" t="s">
        <v>9536</v>
      </c>
      <c r="C5548" t="s">
        <v>21</v>
      </c>
      <c r="D5548">
        <v>1.425</v>
      </c>
      <c r="E5548">
        <v>456</v>
      </c>
      <c r="F5548" t="str">
        <f>HYPERLINK("https://www.google.com/maps/search/?api=1&amp;query=26.24918871,44.82070948", "View Map")</f>
        <v>View Map</v>
      </c>
      <c r="G5548" s="2">
        <v>0.53085096962021128</v>
      </c>
    </row>
    <row r="5549" spans="1:7" x14ac:dyDescent="0.3">
      <c r="A5549" t="s">
        <v>289</v>
      </c>
      <c r="B5549" t="s">
        <v>9537</v>
      </c>
      <c r="C5549" t="s">
        <v>291</v>
      </c>
      <c r="D5549">
        <v>1.425</v>
      </c>
      <c r="E5549">
        <v>456</v>
      </c>
      <c r="F5549" t="str">
        <f>HYPERLINK("https://www.google.com/maps/search/?api=1&amp;query=24.09542405,45.3058757", "View Map")</f>
        <v>View Map</v>
      </c>
      <c r="G5549" s="2">
        <v>0.53039573900391779</v>
      </c>
    </row>
    <row r="5550" spans="1:7" x14ac:dyDescent="0.3">
      <c r="A5550" t="s">
        <v>411</v>
      </c>
      <c r="B5550" t="s">
        <v>9538</v>
      </c>
      <c r="C5550" t="s">
        <v>77</v>
      </c>
      <c r="D5550">
        <v>1.425</v>
      </c>
      <c r="E5550">
        <v>456</v>
      </c>
      <c r="F5550" t="str">
        <f>HYPERLINK("https://www.google.com/maps/search/?api=1&amp;query=22.43369286,46.18849436", "View Map")</f>
        <v>View Map</v>
      </c>
      <c r="G5550" s="2">
        <v>0.55246959052437605</v>
      </c>
    </row>
    <row r="5551" spans="1:7" x14ac:dyDescent="0.3">
      <c r="A5551" t="s">
        <v>9539</v>
      </c>
      <c r="B5551" t="s">
        <v>9540</v>
      </c>
      <c r="C5551" t="s">
        <v>393</v>
      </c>
      <c r="D5551">
        <v>1.4239999999999999</v>
      </c>
      <c r="E5551">
        <v>456</v>
      </c>
      <c r="F5551" t="str">
        <f>HYPERLINK("https://www.google.com/maps/search/?api=1&amp;query=22.73426532,45.03370402", "View Map")</f>
        <v>View Map</v>
      </c>
      <c r="G5551" s="2">
        <v>0.73035287062465504</v>
      </c>
    </row>
    <row r="5552" spans="1:7" x14ac:dyDescent="0.3">
      <c r="A5552" t="s">
        <v>9541</v>
      </c>
      <c r="B5552" t="s">
        <v>9542</v>
      </c>
      <c r="C5552" t="s">
        <v>255</v>
      </c>
      <c r="D5552">
        <v>1.4239999999999999</v>
      </c>
      <c r="E5552">
        <v>456</v>
      </c>
      <c r="F5552" t="str">
        <f>HYPERLINK("https://www.google.com/maps/search/?api=1&amp;query=24.69088488,43.69553046", "View Map")</f>
        <v>View Map</v>
      </c>
      <c r="G5552" s="2">
        <v>0.53088453451233741</v>
      </c>
    </row>
    <row r="5553" spans="1:7" x14ac:dyDescent="0.3">
      <c r="A5553" t="s">
        <v>1080</v>
      </c>
      <c r="B5553" t="s">
        <v>9543</v>
      </c>
      <c r="C5553" t="s">
        <v>8</v>
      </c>
      <c r="D5553">
        <v>1.4239999999999999</v>
      </c>
      <c r="E5553">
        <v>456</v>
      </c>
      <c r="F5553" t="str">
        <f>HYPERLINK("https://www.google.com/maps/search/?api=1&amp;query=24.78699566,46.7386955", "View Map")</f>
        <v>View Map</v>
      </c>
    </row>
    <row r="5554" spans="1:7" x14ac:dyDescent="0.3">
      <c r="A5554" t="s">
        <v>150</v>
      </c>
      <c r="B5554" t="s">
        <v>9544</v>
      </c>
      <c r="C5554" t="s">
        <v>8</v>
      </c>
      <c r="D5554">
        <v>1.4239999999999999</v>
      </c>
      <c r="E5554">
        <v>456</v>
      </c>
      <c r="F5554" t="str">
        <f>HYPERLINK("https://www.google.com/maps/search/?api=1&amp;query=24.83327988,46.80321163", "View Map")</f>
        <v>View Map</v>
      </c>
    </row>
    <row r="5555" spans="1:7" x14ac:dyDescent="0.3">
      <c r="A5555" t="s">
        <v>644</v>
      </c>
      <c r="B5555" t="s">
        <v>9545</v>
      </c>
      <c r="C5555" t="s">
        <v>646</v>
      </c>
      <c r="D5555">
        <v>1.4239999999999999</v>
      </c>
      <c r="E5555">
        <v>456</v>
      </c>
      <c r="F5555" t="str">
        <f>HYPERLINK("https://www.google.com/maps/search/?api=1&amp;query=20.46774629,45.59039", "View Map")</f>
        <v>View Map</v>
      </c>
    </row>
    <row r="5556" spans="1:7" x14ac:dyDescent="0.3">
      <c r="A5556" t="s">
        <v>1800</v>
      </c>
      <c r="B5556" t="s">
        <v>9546</v>
      </c>
      <c r="C5556" t="s">
        <v>8</v>
      </c>
      <c r="D5556">
        <v>1.4239999999999999</v>
      </c>
      <c r="E5556">
        <v>456</v>
      </c>
      <c r="F5556" t="str">
        <f>HYPERLINK("https://www.google.com/maps/search/?api=1&amp;query=24.58110768,46.66960263", "View Map")</f>
        <v>View Map</v>
      </c>
    </row>
    <row r="5557" spans="1:7" x14ac:dyDescent="0.3">
      <c r="A5557" t="s">
        <v>8796</v>
      </c>
      <c r="B5557" t="s">
        <v>9547</v>
      </c>
      <c r="C5557" t="s">
        <v>8</v>
      </c>
      <c r="D5557">
        <v>1.4239999999999999</v>
      </c>
      <c r="E5557">
        <v>456</v>
      </c>
      <c r="F5557" t="str">
        <f>HYPERLINK("https://www.google.com/maps/search/?api=1&amp;query=24.60219016,46.6008155", "View Map")</f>
        <v>View Map</v>
      </c>
    </row>
    <row r="5558" spans="1:7" x14ac:dyDescent="0.3">
      <c r="A5558" t="s">
        <v>9548</v>
      </c>
      <c r="B5558" t="s">
        <v>9549</v>
      </c>
      <c r="C5558" t="s">
        <v>8</v>
      </c>
      <c r="D5558">
        <v>1.423</v>
      </c>
      <c r="E5558">
        <v>455</v>
      </c>
      <c r="F5558" t="str">
        <f>HYPERLINK("https://www.google.com/maps/search/?api=1&amp;query=24.72586502,46.81782594", "View Map")</f>
        <v>View Map</v>
      </c>
    </row>
    <row r="5559" spans="1:7" x14ac:dyDescent="0.3">
      <c r="A5559" t="s">
        <v>3709</v>
      </c>
      <c r="B5559" t="s">
        <v>9550</v>
      </c>
      <c r="C5559" t="s">
        <v>8</v>
      </c>
      <c r="D5559">
        <v>1.423</v>
      </c>
      <c r="E5559">
        <v>455</v>
      </c>
      <c r="F5559" t="str">
        <f>HYPERLINK("https://www.google.com/maps/search/?api=1&amp;query=24.64807603,46.55830112", "View Map")</f>
        <v>View Map</v>
      </c>
    </row>
    <row r="5560" spans="1:7" x14ac:dyDescent="0.3">
      <c r="A5560" t="s">
        <v>9551</v>
      </c>
      <c r="B5560" t="s">
        <v>9552</v>
      </c>
      <c r="C5560" t="s">
        <v>1112</v>
      </c>
      <c r="D5560">
        <v>1.423</v>
      </c>
      <c r="E5560">
        <v>455</v>
      </c>
      <c r="F5560" t="str">
        <f>HYPERLINK("https://www.google.com/maps/search/?api=1&amp;query=26.02240943,44.9593422", "View Map")</f>
        <v>View Map</v>
      </c>
    </row>
    <row r="5561" spans="1:7" x14ac:dyDescent="0.3">
      <c r="A5561" t="s">
        <v>9553</v>
      </c>
      <c r="B5561" t="s">
        <v>9554</v>
      </c>
      <c r="C5561" t="s">
        <v>8</v>
      </c>
      <c r="D5561">
        <v>1.423</v>
      </c>
      <c r="E5561">
        <v>455</v>
      </c>
      <c r="F5561" t="str">
        <f>HYPERLINK("https://www.google.com/maps/search/?api=1&amp;query=24.7374043,46.64403963", "View Map")</f>
        <v>View Map</v>
      </c>
    </row>
    <row r="5562" spans="1:7" x14ac:dyDescent="0.3">
      <c r="A5562" t="s">
        <v>9555</v>
      </c>
      <c r="B5562" t="s">
        <v>9556</v>
      </c>
      <c r="C5562" t="s">
        <v>466</v>
      </c>
      <c r="D5562">
        <v>1.423</v>
      </c>
      <c r="E5562">
        <v>456</v>
      </c>
      <c r="F5562" t="str">
        <f>HYPERLINK("https://www.google.com/maps/search/?api=1&amp;query=24.49870293,46.13917281", "View Map")</f>
        <v>View Map</v>
      </c>
    </row>
    <row r="5563" spans="1:7" x14ac:dyDescent="0.3">
      <c r="A5563" t="s">
        <v>9557</v>
      </c>
      <c r="B5563" t="s">
        <v>9558</v>
      </c>
      <c r="C5563" t="s">
        <v>699</v>
      </c>
      <c r="D5563">
        <v>1.423</v>
      </c>
      <c r="E5563">
        <v>455</v>
      </c>
      <c r="F5563" t="str">
        <f>HYPERLINK("https://www.google.com/maps/search/?api=1&amp;query=25.12247962,45.47451631", "View Map")</f>
        <v>View Map</v>
      </c>
      <c r="G5563" s="2">
        <v>0.49032806340953478</v>
      </c>
    </row>
    <row r="5564" spans="1:7" x14ac:dyDescent="0.3">
      <c r="A5564" t="s">
        <v>9559</v>
      </c>
      <c r="B5564" t="s">
        <v>9560</v>
      </c>
      <c r="C5564" t="s">
        <v>214</v>
      </c>
      <c r="D5564">
        <v>1.423</v>
      </c>
      <c r="E5564">
        <v>455</v>
      </c>
      <c r="F5564" t="str">
        <f>HYPERLINK("https://www.google.com/maps/search/?api=1&amp;query=25.69664192,45.88027634", "View Map")</f>
        <v>View Map</v>
      </c>
      <c r="G5564" s="2">
        <v>0.36342303515775032</v>
      </c>
    </row>
    <row r="5565" spans="1:7" x14ac:dyDescent="0.3">
      <c r="A5565" t="s">
        <v>9561</v>
      </c>
      <c r="B5565" t="s">
        <v>9562</v>
      </c>
      <c r="C5565" t="s">
        <v>8</v>
      </c>
      <c r="D5565">
        <v>1.4219999999999999</v>
      </c>
      <c r="E5565">
        <v>455</v>
      </c>
      <c r="F5565" t="str">
        <f>HYPERLINK("https://www.google.com/maps/search/?api=1&amp;query=24.81640306,46.80975098", "View Map")</f>
        <v>View Map</v>
      </c>
    </row>
    <row r="5566" spans="1:7" x14ac:dyDescent="0.3">
      <c r="A5566" t="s">
        <v>9563</v>
      </c>
      <c r="B5566" t="s">
        <v>9564</v>
      </c>
      <c r="C5566" t="s">
        <v>466</v>
      </c>
      <c r="D5566">
        <v>1.4219999999999999</v>
      </c>
      <c r="E5566">
        <v>455</v>
      </c>
      <c r="F5566" t="str">
        <f>HYPERLINK("https://www.google.com/maps/search/?api=1&amp;query=24.60997218,46.10771181", "View Map")</f>
        <v>View Map</v>
      </c>
    </row>
    <row r="5567" spans="1:7" x14ac:dyDescent="0.3">
      <c r="A5567" t="s">
        <v>9565</v>
      </c>
      <c r="B5567" t="s">
        <v>9566</v>
      </c>
      <c r="C5567" t="s">
        <v>137</v>
      </c>
      <c r="D5567">
        <v>1.4219999999999999</v>
      </c>
      <c r="E5567">
        <v>455</v>
      </c>
      <c r="F5567" t="str">
        <f>HYPERLINK("https://www.google.com/maps/search/?api=1&amp;query=23.51838433,46.83691924", "View Map")</f>
        <v>View Map</v>
      </c>
      <c r="G5567" s="2">
        <v>0.67610737924279851</v>
      </c>
    </row>
    <row r="5568" spans="1:7" x14ac:dyDescent="0.3">
      <c r="A5568" t="s">
        <v>9567</v>
      </c>
      <c r="B5568" t="s">
        <v>9568</v>
      </c>
      <c r="C5568" t="s">
        <v>8</v>
      </c>
      <c r="D5568">
        <v>1.4219999999999999</v>
      </c>
      <c r="E5568">
        <v>455</v>
      </c>
      <c r="F5568" t="str">
        <f>HYPERLINK("https://www.google.com/maps/search/?api=1&amp;query=24.47968017,46.80468886", "View Map")</f>
        <v>View Map</v>
      </c>
    </row>
    <row r="5569" spans="1:7" x14ac:dyDescent="0.3">
      <c r="A5569" t="s">
        <v>146</v>
      </c>
      <c r="B5569" t="s">
        <v>9569</v>
      </c>
      <c r="C5569" t="s">
        <v>8</v>
      </c>
      <c r="D5569">
        <v>1.421</v>
      </c>
      <c r="E5569">
        <v>455</v>
      </c>
      <c r="F5569" t="str">
        <f>HYPERLINK("https://www.google.com/maps/search/?api=1&amp;query=24.48516576,46.629062", "View Map")</f>
        <v>View Map</v>
      </c>
    </row>
    <row r="5570" spans="1:7" x14ac:dyDescent="0.3">
      <c r="A5570" t="s">
        <v>9570</v>
      </c>
      <c r="B5570" t="s">
        <v>9571</v>
      </c>
      <c r="C5570" t="s">
        <v>8</v>
      </c>
      <c r="D5570">
        <v>1.421</v>
      </c>
      <c r="E5570">
        <v>455</v>
      </c>
      <c r="F5570" t="str">
        <f>HYPERLINK("https://www.google.com/maps/search/?api=1&amp;query=24.69031674,46.64922137", "View Map")</f>
        <v>View Map</v>
      </c>
    </row>
    <row r="5571" spans="1:7" x14ac:dyDescent="0.3">
      <c r="A5571" t="s">
        <v>9572</v>
      </c>
      <c r="B5571" t="s">
        <v>9573</v>
      </c>
      <c r="C5571" t="s">
        <v>8</v>
      </c>
      <c r="D5571">
        <v>1.421</v>
      </c>
      <c r="E5571">
        <v>455</v>
      </c>
      <c r="F5571" t="str">
        <f>HYPERLINK("https://www.google.com/maps/search/?api=1&amp;query=24.71129217,46.66363214", "View Map")</f>
        <v>View Map</v>
      </c>
    </row>
    <row r="5572" spans="1:7" x14ac:dyDescent="0.3">
      <c r="A5572" t="s">
        <v>9574</v>
      </c>
      <c r="B5572" t="s">
        <v>9575</v>
      </c>
      <c r="C5572" t="s">
        <v>8</v>
      </c>
      <c r="D5572">
        <v>1.42</v>
      </c>
      <c r="E5572">
        <v>454</v>
      </c>
      <c r="F5572" t="str">
        <f>HYPERLINK("https://www.google.com/maps/search/?api=1&amp;query=24.55530165,46.8648805", "View Map")</f>
        <v>View Map</v>
      </c>
    </row>
    <row r="5573" spans="1:7" x14ac:dyDescent="0.3">
      <c r="A5573" t="s">
        <v>860</v>
      </c>
      <c r="B5573" t="s">
        <v>9576</v>
      </c>
      <c r="C5573" t="s">
        <v>8</v>
      </c>
      <c r="D5573">
        <v>1.42</v>
      </c>
      <c r="E5573">
        <v>454</v>
      </c>
      <c r="F5573" t="str">
        <f>HYPERLINK("https://www.google.com/maps/search/?api=1&amp;query=24.80485001,46.85844191", "View Map")</f>
        <v>View Map</v>
      </c>
    </row>
    <row r="5574" spans="1:7" x14ac:dyDescent="0.3">
      <c r="A5574" t="s">
        <v>9577</v>
      </c>
      <c r="B5574" t="s">
        <v>9578</v>
      </c>
      <c r="C5574" t="s">
        <v>8</v>
      </c>
      <c r="D5574">
        <v>1.42</v>
      </c>
      <c r="E5574">
        <v>455</v>
      </c>
      <c r="F5574" t="str">
        <f>HYPERLINK("https://www.google.com/maps/search/?api=1&amp;query=24.73544912,46.83330853", "View Map")</f>
        <v>View Map</v>
      </c>
    </row>
    <row r="5575" spans="1:7" x14ac:dyDescent="0.3">
      <c r="A5575" t="s">
        <v>9579</v>
      </c>
      <c r="B5575" t="s">
        <v>9580</v>
      </c>
      <c r="C5575" t="s">
        <v>255</v>
      </c>
      <c r="D5575">
        <v>1.42</v>
      </c>
      <c r="E5575">
        <v>454</v>
      </c>
      <c r="F5575" t="str">
        <f>HYPERLINK("https://www.google.com/maps/search/?api=1&amp;query=25.37757874,44.50922853", "View Map")</f>
        <v>View Map</v>
      </c>
    </row>
    <row r="5576" spans="1:7" x14ac:dyDescent="0.3">
      <c r="A5576" t="s">
        <v>146</v>
      </c>
      <c r="B5576" t="s">
        <v>9581</v>
      </c>
      <c r="C5576" t="s">
        <v>8</v>
      </c>
      <c r="D5576">
        <v>1.4179999999999999</v>
      </c>
      <c r="E5576">
        <v>454</v>
      </c>
      <c r="F5576" t="str">
        <f>HYPERLINK("https://www.google.com/maps/search/?api=1&amp;query=24.52843882,46.63358135", "View Map")</f>
        <v>View Map</v>
      </c>
    </row>
    <row r="5577" spans="1:7" x14ac:dyDescent="0.3">
      <c r="A5577" t="s">
        <v>46</v>
      </c>
      <c r="B5577" t="s">
        <v>9582</v>
      </c>
      <c r="C5577" t="s">
        <v>8</v>
      </c>
      <c r="D5577">
        <v>1.4179999999999999</v>
      </c>
      <c r="E5577">
        <v>454</v>
      </c>
      <c r="F5577" t="str">
        <f>HYPERLINK("https://www.google.com/maps/search/?api=1&amp;query=24.83784193,46.76692573", "View Map")</f>
        <v>View Map</v>
      </c>
    </row>
    <row r="5578" spans="1:7" x14ac:dyDescent="0.3">
      <c r="A5578" t="s">
        <v>9583</v>
      </c>
      <c r="B5578" t="s">
        <v>9584</v>
      </c>
      <c r="C5578" t="s">
        <v>8</v>
      </c>
      <c r="D5578">
        <v>1.4179999999999999</v>
      </c>
      <c r="E5578">
        <v>454</v>
      </c>
      <c r="F5578" t="str">
        <f>HYPERLINK("https://www.google.com/maps/search/?api=1&amp;query=24.56979084,46.78934587", "View Map")</f>
        <v>View Map</v>
      </c>
    </row>
    <row r="5579" spans="1:7" x14ac:dyDescent="0.3">
      <c r="A5579" t="s">
        <v>9585</v>
      </c>
      <c r="B5579" t="s">
        <v>9586</v>
      </c>
      <c r="C5579" t="s">
        <v>8</v>
      </c>
      <c r="D5579">
        <v>1.4179999999999999</v>
      </c>
      <c r="E5579">
        <v>454</v>
      </c>
      <c r="F5579" t="str">
        <f>HYPERLINK("https://www.google.com/maps/search/?api=1&amp;query=24.64143381,46.72406405", "View Map")</f>
        <v>View Map</v>
      </c>
    </row>
    <row r="5580" spans="1:7" x14ac:dyDescent="0.3">
      <c r="A5580" t="s">
        <v>9587</v>
      </c>
      <c r="B5580" t="s">
        <v>9588</v>
      </c>
      <c r="C5580" t="s">
        <v>21</v>
      </c>
      <c r="D5580">
        <v>1.417</v>
      </c>
      <c r="E5580">
        <v>453</v>
      </c>
      <c r="F5580" t="str">
        <f>HYPERLINK("https://www.google.com/maps/search/?api=1&amp;query=26.30842404,44.88709897", "View Map")</f>
        <v>View Map</v>
      </c>
      <c r="G5580" s="2">
        <v>0.54978218720902028</v>
      </c>
    </row>
    <row r="5581" spans="1:7" x14ac:dyDescent="0.3">
      <c r="A5581" t="s">
        <v>9589</v>
      </c>
      <c r="B5581" t="s">
        <v>9590</v>
      </c>
      <c r="C5581" t="s">
        <v>8</v>
      </c>
      <c r="D5581">
        <v>1.417</v>
      </c>
      <c r="E5581">
        <v>453</v>
      </c>
      <c r="F5581" t="str">
        <f>HYPERLINK("https://www.google.com/maps/search/?api=1&amp;query=24.63186336,46.56191313", "View Map")</f>
        <v>View Map</v>
      </c>
    </row>
    <row r="5582" spans="1:7" x14ac:dyDescent="0.3">
      <c r="A5582" t="s">
        <v>9591</v>
      </c>
      <c r="B5582" t="s">
        <v>9592</v>
      </c>
      <c r="C5582" t="s">
        <v>1112</v>
      </c>
      <c r="D5582">
        <v>1.417</v>
      </c>
      <c r="E5582">
        <v>453</v>
      </c>
      <c r="F5582" t="str">
        <f>HYPERLINK("https://www.google.com/maps/search/?api=1&amp;query=26.02843366,44.95013375", "View Map")</f>
        <v>View Map</v>
      </c>
    </row>
    <row r="5583" spans="1:7" x14ac:dyDescent="0.3">
      <c r="A5583" t="s">
        <v>150</v>
      </c>
      <c r="B5583" t="s">
        <v>9593</v>
      </c>
      <c r="C5583" t="s">
        <v>8</v>
      </c>
      <c r="D5583">
        <v>1.417</v>
      </c>
      <c r="E5583">
        <v>454</v>
      </c>
      <c r="F5583" t="str">
        <f>HYPERLINK("https://www.google.com/maps/search/?api=1&amp;query=24.66535291,46.72518773", "View Map")</f>
        <v>View Map</v>
      </c>
    </row>
    <row r="5584" spans="1:7" x14ac:dyDescent="0.3">
      <c r="A5584" t="s">
        <v>9594</v>
      </c>
      <c r="B5584" t="s">
        <v>9595</v>
      </c>
      <c r="C5584" t="s">
        <v>286</v>
      </c>
      <c r="D5584">
        <v>1.4159999999999999</v>
      </c>
      <c r="E5584">
        <v>453</v>
      </c>
      <c r="F5584" t="str">
        <f>HYPERLINK("https://www.google.com/maps/search/?api=1&amp;query=25.57061311,45.27738102", "View Map")</f>
        <v>View Map</v>
      </c>
      <c r="G5584" s="2">
        <v>0.57560468568784917</v>
      </c>
    </row>
    <row r="5585" spans="1:7" x14ac:dyDescent="0.3">
      <c r="A5585" t="s">
        <v>9596</v>
      </c>
      <c r="B5585" t="s">
        <v>9597</v>
      </c>
      <c r="C5585" t="s">
        <v>30</v>
      </c>
      <c r="D5585">
        <v>1.4159999999999999</v>
      </c>
      <c r="E5585">
        <v>453</v>
      </c>
      <c r="F5585" t="str">
        <f>HYPERLINK("https://www.google.com/maps/search/?api=1&amp;query=24.11664514,47.28694906", "View Map")</f>
        <v>View Map</v>
      </c>
    </row>
    <row r="5586" spans="1:7" x14ac:dyDescent="0.3">
      <c r="A5586" t="s">
        <v>1273</v>
      </c>
      <c r="B5586" t="s">
        <v>9598</v>
      </c>
      <c r="C5586" t="s">
        <v>241</v>
      </c>
      <c r="D5586">
        <v>1.4159999999999999</v>
      </c>
      <c r="E5586">
        <v>453</v>
      </c>
      <c r="F5586" t="str">
        <f>HYPERLINK("https://www.google.com/maps/search/?api=1&amp;query=20.40553075,45.1855193", "View Map")</f>
        <v>View Map</v>
      </c>
      <c r="G5586" s="2">
        <v>0.64324080693169927</v>
      </c>
    </row>
    <row r="5587" spans="1:7" x14ac:dyDescent="0.3">
      <c r="A5587" t="s">
        <v>464</v>
      </c>
      <c r="B5587" t="s">
        <v>9599</v>
      </c>
      <c r="C5587" t="s">
        <v>466</v>
      </c>
      <c r="D5587">
        <v>1.4159999999999999</v>
      </c>
      <c r="E5587">
        <v>453</v>
      </c>
      <c r="F5587" t="str">
        <f>HYPERLINK("https://www.google.com/maps/search/?api=1&amp;query=24.49925015,46.14846837", "View Map")</f>
        <v>View Map</v>
      </c>
      <c r="G5587" s="2">
        <v>0.73614239271969906</v>
      </c>
    </row>
    <row r="5588" spans="1:7" x14ac:dyDescent="0.3">
      <c r="A5588" t="s">
        <v>9600</v>
      </c>
      <c r="B5588" t="s">
        <v>9601</v>
      </c>
      <c r="C5588" t="s">
        <v>291</v>
      </c>
      <c r="D5588">
        <v>1.4159999999999999</v>
      </c>
      <c r="E5588">
        <v>453</v>
      </c>
      <c r="F5588" t="str">
        <f>HYPERLINK("https://www.google.com/maps/search/?api=1&amp;query=23.76215054,44.75934013", "View Map")</f>
        <v>View Map</v>
      </c>
      <c r="G5588" s="2">
        <v>0.39897558842315239</v>
      </c>
    </row>
    <row r="5589" spans="1:7" x14ac:dyDescent="0.3">
      <c r="A5589" t="s">
        <v>9602</v>
      </c>
      <c r="B5589" t="s">
        <v>9603</v>
      </c>
      <c r="C5589" t="s">
        <v>8</v>
      </c>
      <c r="D5589">
        <v>1.415</v>
      </c>
      <c r="E5589">
        <v>453</v>
      </c>
      <c r="F5589" t="str">
        <f>HYPERLINK("https://www.google.com/maps/search/?api=1&amp;query=24.57156322,46.72718948", "View Map")</f>
        <v>View Map</v>
      </c>
      <c r="G5589" s="2">
        <v>0.41310103415669402</v>
      </c>
    </row>
    <row r="5590" spans="1:7" x14ac:dyDescent="0.3">
      <c r="A5590" t="s">
        <v>9604</v>
      </c>
      <c r="B5590" t="s">
        <v>9605</v>
      </c>
      <c r="C5590" t="s">
        <v>77</v>
      </c>
      <c r="D5590">
        <v>1.415</v>
      </c>
      <c r="E5590">
        <v>453</v>
      </c>
      <c r="F5590" t="str">
        <f>HYPERLINK("https://www.google.com/maps/search/?api=1&amp;query=22.4266463,46.18193082", "View Map")</f>
        <v>View Map</v>
      </c>
      <c r="G5590" s="2">
        <v>0.40821168532811902</v>
      </c>
    </row>
    <row r="5591" spans="1:7" x14ac:dyDescent="0.3">
      <c r="A5591" t="s">
        <v>9606</v>
      </c>
      <c r="B5591" t="s">
        <v>9607</v>
      </c>
      <c r="C5591" t="s">
        <v>8</v>
      </c>
      <c r="D5591">
        <v>1.415</v>
      </c>
      <c r="E5591">
        <v>453</v>
      </c>
      <c r="F5591" t="str">
        <f>HYPERLINK("https://www.google.com/maps/search/?api=1&amp;query=24.57355354,46.63802744", "View Map")</f>
        <v>View Map</v>
      </c>
    </row>
    <row r="5592" spans="1:7" x14ac:dyDescent="0.3">
      <c r="A5592" t="s">
        <v>9608</v>
      </c>
      <c r="B5592" t="s">
        <v>9609</v>
      </c>
      <c r="C5592" t="s">
        <v>8</v>
      </c>
      <c r="D5592">
        <v>1.415</v>
      </c>
      <c r="E5592">
        <v>453</v>
      </c>
      <c r="F5592" t="str">
        <f>HYPERLINK("https://www.google.com/maps/search/?api=1&amp;query=24.59178048,46.62750883", "View Map")</f>
        <v>View Map</v>
      </c>
    </row>
    <row r="5593" spans="1:7" x14ac:dyDescent="0.3">
      <c r="A5593" t="s">
        <v>2485</v>
      </c>
      <c r="B5593" t="s">
        <v>9610</v>
      </c>
      <c r="C5593" t="s">
        <v>255</v>
      </c>
      <c r="D5593">
        <v>1.415</v>
      </c>
      <c r="E5593">
        <v>453</v>
      </c>
      <c r="F5593" t="str">
        <f>HYPERLINK("https://www.google.com/maps/search/?api=1&amp;query=24.71659265,43.79040719", "View Map")</f>
        <v>View Map</v>
      </c>
      <c r="G5593" s="2">
        <v>0.84508174873279729</v>
      </c>
    </row>
    <row r="5594" spans="1:7" x14ac:dyDescent="0.3">
      <c r="A5594" t="s">
        <v>4977</v>
      </c>
      <c r="B5594" t="s">
        <v>9611</v>
      </c>
      <c r="C5594" t="s">
        <v>8</v>
      </c>
      <c r="D5594">
        <v>1.4139999999999999</v>
      </c>
      <c r="E5594">
        <v>453</v>
      </c>
      <c r="F5594" t="str">
        <f>HYPERLINK("https://www.google.com/maps/search/?api=1&amp;query=24.59095325,46.56002792", "View Map")</f>
        <v>View Map</v>
      </c>
    </row>
    <row r="5595" spans="1:7" x14ac:dyDescent="0.3">
      <c r="A5595" t="s">
        <v>1137</v>
      </c>
      <c r="B5595" t="s">
        <v>9612</v>
      </c>
      <c r="C5595" t="s">
        <v>8</v>
      </c>
      <c r="D5595">
        <v>1.4139999999999999</v>
      </c>
      <c r="E5595">
        <v>452</v>
      </c>
      <c r="F5595" t="str">
        <f>HYPERLINK("https://www.google.com/maps/search/?api=1&amp;query=24.71148921,46.77371637", "View Map")</f>
        <v>View Map</v>
      </c>
    </row>
    <row r="5596" spans="1:7" x14ac:dyDescent="0.3">
      <c r="A5596" t="s">
        <v>9613</v>
      </c>
      <c r="B5596" t="s">
        <v>9614</v>
      </c>
      <c r="C5596" t="s">
        <v>291</v>
      </c>
      <c r="D5596">
        <v>1.4139999999999999</v>
      </c>
      <c r="E5596">
        <v>452</v>
      </c>
      <c r="F5596" t="str">
        <f>HYPERLINK("https://www.google.com/maps/search/?api=1&amp;query=24.10567892,45.3408084", "View Map")</f>
        <v>View Map</v>
      </c>
      <c r="G5596" s="2">
        <v>0.79984162536488423</v>
      </c>
    </row>
    <row r="5597" spans="1:7" x14ac:dyDescent="0.3">
      <c r="A5597" t="s">
        <v>362</v>
      </c>
      <c r="B5597" t="s">
        <v>9615</v>
      </c>
      <c r="C5597" t="s">
        <v>364</v>
      </c>
      <c r="D5597">
        <v>1.413</v>
      </c>
      <c r="E5597">
        <v>452</v>
      </c>
      <c r="F5597" t="str">
        <f>HYPERLINK("https://www.google.com/maps/search/?api=1&amp;query=25.25918495,45.87082906", "View Map")</f>
        <v>View Map</v>
      </c>
      <c r="G5597" s="2">
        <v>0.32443587663162748</v>
      </c>
    </row>
    <row r="5598" spans="1:7" x14ac:dyDescent="0.3">
      <c r="A5598" t="s">
        <v>9616</v>
      </c>
      <c r="B5598" t="s">
        <v>9617</v>
      </c>
      <c r="C5598" t="s">
        <v>8</v>
      </c>
      <c r="D5598">
        <v>1.413</v>
      </c>
      <c r="E5598">
        <v>452</v>
      </c>
      <c r="F5598" t="str">
        <f>HYPERLINK("https://www.google.com/maps/search/?api=1&amp;query=24.62184641,46.67882586", "View Map")</f>
        <v>View Map</v>
      </c>
    </row>
    <row r="5599" spans="1:7" x14ac:dyDescent="0.3">
      <c r="A5599" t="s">
        <v>9618</v>
      </c>
      <c r="B5599" t="s">
        <v>9619</v>
      </c>
      <c r="C5599" t="s">
        <v>255</v>
      </c>
      <c r="D5599">
        <v>1.413</v>
      </c>
      <c r="E5599">
        <v>452</v>
      </c>
      <c r="F5599" t="str">
        <f>HYPERLINK("https://www.google.com/maps/search/?api=1&amp;query=25.36849672,44.1513913", "View Map")</f>
        <v>View Map</v>
      </c>
      <c r="G5599" s="2">
        <v>0.69210828654406298</v>
      </c>
    </row>
    <row r="5600" spans="1:7" x14ac:dyDescent="0.3">
      <c r="A5600" t="s">
        <v>9620</v>
      </c>
      <c r="B5600" t="s">
        <v>9621</v>
      </c>
      <c r="C5600" t="s">
        <v>16</v>
      </c>
      <c r="D5600">
        <v>1.4119999999999999</v>
      </c>
      <c r="E5600">
        <v>452</v>
      </c>
      <c r="F5600" t="str">
        <f>HYPERLINK("https://www.google.com/maps/search/?api=1&amp;query=23.9101412,42.903208", "View Map")</f>
        <v>View Map</v>
      </c>
    </row>
    <row r="5601" spans="1:7" x14ac:dyDescent="0.3">
      <c r="A5601" t="s">
        <v>9622</v>
      </c>
      <c r="B5601" t="s">
        <v>9623</v>
      </c>
      <c r="C5601" t="s">
        <v>646</v>
      </c>
      <c r="D5601">
        <v>1.4119999999999999</v>
      </c>
      <c r="E5601">
        <v>452</v>
      </c>
      <c r="F5601" t="str">
        <f>HYPERLINK("https://www.google.com/maps/search/?api=1&amp;query=20.46035683,45.57943954", "View Map")</f>
        <v>View Map</v>
      </c>
    </row>
    <row r="5602" spans="1:7" x14ac:dyDescent="0.3">
      <c r="A5602" t="s">
        <v>146</v>
      </c>
      <c r="B5602" t="s">
        <v>9624</v>
      </c>
      <c r="C5602" t="s">
        <v>8</v>
      </c>
      <c r="D5602">
        <v>1.411</v>
      </c>
      <c r="E5602">
        <v>452</v>
      </c>
      <c r="F5602" t="str">
        <f>HYPERLINK("https://www.google.com/maps/search/?api=1&amp;query=24.56959007,46.53116667", "View Map")</f>
        <v>View Map</v>
      </c>
    </row>
    <row r="5603" spans="1:7" x14ac:dyDescent="0.3">
      <c r="A5603" t="s">
        <v>9625</v>
      </c>
      <c r="B5603" t="s">
        <v>9626</v>
      </c>
      <c r="C5603" t="s">
        <v>255</v>
      </c>
      <c r="D5603">
        <v>1.41</v>
      </c>
      <c r="E5603">
        <v>451</v>
      </c>
      <c r="F5603" t="str">
        <f>HYPERLINK("https://www.google.com/maps/search/?api=1&amp;query=25.12988871,43.4877019", "View Map")</f>
        <v>View Map</v>
      </c>
      <c r="G5603" s="2">
        <v>0.42886939266777269</v>
      </c>
    </row>
    <row r="5604" spans="1:7" x14ac:dyDescent="0.3">
      <c r="A5604" t="s">
        <v>1002</v>
      </c>
      <c r="B5604" t="s">
        <v>9627</v>
      </c>
      <c r="C5604" t="s">
        <v>820</v>
      </c>
      <c r="D5604">
        <v>1.41</v>
      </c>
      <c r="E5604">
        <v>451</v>
      </c>
      <c r="F5604" t="str">
        <f>HYPERLINK("https://www.google.com/maps/search/?api=1&amp;query=0.0,0.0", "View Map")</f>
        <v>View Map</v>
      </c>
    </row>
    <row r="5605" spans="1:7" x14ac:dyDescent="0.3">
      <c r="A5605" t="s">
        <v>9628</v>
      </c>
      <c r="B5605" t="s">
        <v>9629</v>
      </c>
      <c r="C5605" t="s">
        <v>364</v>
      </c>
      <c r="D5605">
        <v>1.41</v>
      </c>
      <c r="E5605">
        <v>451</v>
      </c>
      <c r="F5605" t="str">
        <f>HYPERLINK("https://www.google.com/maps/search/?api=1&amp;query=25.2922735,45.78647235", "View Map")</f>
        <v>View Map</v>
      </c>
      <c r="G5605" s="2">
        <v>0.64125841920495885</v>
      </c>
    </row>
    <row r="5606" spans="1:7" x14ac:dyDescent="0.3">
      <c r="A5606" t="s">
        <v>9630</v>
      </c>
      <c r="B5606" t="s">
        <v>9631</v>
      </c>
      <c r="C5606" t="s">
        <v>137</v>
      </c>
      <c r="D5606">
        <v>1.409</v>
      </c>
      <c r="E5606">
        <v>451</v>
      </c>
      <c r="F5606" t="str">
        <f>HYPERLINK("https://www.google.com/maps/search/?api=1&amp;query=23.14999816,46.91065238", "View Map")</f>
        <v>View Map</v>
      </c>
      <c r="G5606" s="2">
        <v>0.48637131185944338</v>
      </c>
    </row>
    <row r="5607" spans="1:7" x14ac:dyDescent="0.3">
      <c r="A5607" t="s">
        <v>9632</v>
      </c>
      <c r="B5607" t="s">
        <v>9633</v>
      </c>
      <c r="C5607" t="s">
        <v>8</v>
      </c>
      <c r="D5607">
        <v>1.409</v>
      </c>
      <c r="E5607">
        <v>451</v>
      </c>
      <c r="F5607" t="str">
        <f>HYPERLINK("https://www.google.com/maps/search/?api=1&amp;query=24.72848731,46.84582952", "View Map")</f>
        <v>View Map</v>
      </c>
    </row>
    <row r="5608" spans="1:7" x14ac:dyDescent="0.3">
      <c r="A5608" t="s">
        <v>9634</v>
      </c>
      <c r="B5608" t="s">
        <v>9635</v>
      </c>
      <c r="C5608" t="s">
        <v>393</v>
      </c>
      <c r="D5608">
        <v>1.4079999999999999</v>
      </c>
      <c r="E5608">
        <v>451</v>
      </c>
      <c r="F5608" t="str">
        <f>HYPERLINK("https://www.google.com/maps/search/?api=1&amp;query=23.34978772,45.40143882", "View Map")</f>
        <v>View Map</v>
      </c>
      <c r="G5608" s="2">
        <v>0.72487478393241789</v>
      </c>
    </row>
    <row r="5609" spans="1:7" x14ac:dyDescent="0.3">
      <c r="A5609" t="s">
        <v>6494</v>
      </c>
      <c r="B5609" t="s">
        <v>9636</v>
      </c>
      <c r="C5609" t="s">
        <v>1112</v>
      </c>
      <c r="D5609">
        <v>1.4079999999999999</v>
      </c>
      <c r="E5609">
        <v>451</v>
      </c>
      <c r="F5609" t="str">
        <f>HYPERLINK("https://www.google.com/maps/search/?api=1&amp;query=26.02338852,44.96419238", "View Map")</f>
        <v>View Map</v>
      </c>
      <c r="G5609" s="2">
        <v>0.71094786912324404</v>
      </c>
    </row>
    <row r="5610" spans="1:7" x14ac:dyDescent="0.3">
      <c r="A5610" t="s">
        <v>9637</v>
      </c>
      <c r="B5610" t="s">
        <v>9638</v>
      </c>
      <c r="C5610" t="s">
        <v>255</v>
      </c>
      <c r="D5610">
        <v>1.4079999999999999</v>
      </c>
      <c r="E5610">
        <v>451</v>
      </c>
      <c r="F5610" t="str">
        <f>HYPERLINK("https://www.google.com/maps/search/?api=1&amp;query=24.68131743,43.63652046", "View Map")</f>
        <v>View Map</v>
      </c>
    </row>
    <row r="5611" spans="1:7" x14ac:dyDescent="0.3">
      <c r="A5611" t="s">
        <v>9639</v>
      </c>
      <c r="B5611" t="s">
        <v>9640</v>
      </c>
      <c r="C5611" t="s">
        <v>8</v>
      </c>
      <c r="D5611">
        <v>1.4079999999999999</v>
      </c>
      <c r="E5611">
        <v>450</v>
      </c>
      <c r="F5611" t="str">
        <f>HYPERLINK("https://www.google.com/maps/search/?api=1&amp;query=24.56793027,46.79165612", "View Map")</f>
        <v>View Map</v>
      </c>
    </row>
    <row r="5612" spans="1:7" x14ac:dyDescent="0.3">
      <c r="A5612" t="s">
        <v>9641</v>
      </c>
      <c r="B5612" t="s">
        <v>9642</v>
      </c>
      <c r="C5612" t="s">
        <v>8</v>
      </c>
      <c r="D5612">
        <v>1.4079999999999999</v>
      </c>
      <c r="E5612">
        <v>450</v>
      </c>
      <c r="F5612" t="str">
        <f>HYPERLINK("https://www.google.com/maps/search/?api=1&amp;query=24.79191384,46.69051219", "View Map")</f>
        <v>View Map</v>
      </c>
    </row>
    <row r="5613" spans="1:7" x14ac:dyDescent="0.3">
      <c r="A5613" t="s">
        <v>9643</v>
      </c>
      <c r="B5613" t="s">
        <v>9644</v>
      </c>
      <c r="C5613" t="s">
        <v>8</v>
      </c>
      <c r="D5613">
        <v>1.407</v>
      </c>
      <c r="E5613">
        <v>450</v>
      </c>
      <c r="F5613" t="str">
        <f>HYPERLINK("https://www.google.com/maps/search/?api=1&amp;query=24.59289513,46.65811925", "View Map")</f>
        <v>View Map</v>
      </c>
    </row>
    <row r="5614" spans="1:7" x14ac:dyDescent="0.3">
      <c r="A5614" t="s">
        <v>3480</v>
      </c>
      <c r="B5614" t="s">
        <v>9645</v>
      </c>
      <c r="C5614" t="s">
        <v>8</v>
      </c>
      <c r="D5614">
        <v>1.407</v>
      </c>
      <c r="E5614">
        <v>450</v>
      </c>
      <c r="F5614" t="str">
        <f>HYPERLINK("https://www.google.com/maps/search/?api=1&amp;query=24.58888388,46.68225593", "View Map")</f>
        <v>View Map</v>
      </c>
      <c r="G5614" s="2">
        <v>0.43496982109196369</v>
      </c>
    </row>
    <row r="5615" spans="1:7" x14ac:dyDescent="0.3">
      <c r="A5615" t="s">
        <v>9646</v>
      </c>
      <c r="B5615" t="s">
        <v>9647</v>
      </c>
      <c r="C5615" t="s">
        <v>393</v>
      </c>
      <c r="D5615">
        <v>1.407</v>
      </c>
      <c r="E5615">
        <v>450</v>
      </c>
      <c r="F5615" t="str">
        <f>HYPERLINK("https://www.google.com/maps/search/?api=1&amp;query=23.55098726,45.50455666", "View Map")</f>
        <v>View Map</v>
      </c>
      <c r="G5615" s="2">
        <v>0.25344491309993461</v>
      </c>
    </row>
    <row r="5616" spans="1:7" x14ac:dyDescent="0.3">
      <c r="A5616" t="s">
        <v>9648</v>
      </c>
      <c r="B5616" t="s">
        <v>9649</v>
      </c>
      <c r="C5616" t="s">
        <v>8</v>
      </c>
      <c r="D5616">
        <v>1.4059999999999999</v>
      </c>
      <c r="E5616">
        <v>450</v>
      </c>
      <c r="F5616" t="str">
        <f>HYPERLINK("https://www.google.com/maps/search/?api=1&amp;query=24.60639773,46.71178913", "View Map")</f>
        <v>View Map</v>
      </c>
    </row>
    <row r="5617" spans="1:7" x14ac:dyDescent="0.3">
      <c r="A5617" t="s">
        <v>9650</v>
      </c>
      <c r="B5617" t="s">
        <v>9651</v>
      </c>
      <c r="C5617" t="s">
        <v>8</v>
      </c>
      <c r="D5617">
        <v>1.405</v>
      </c>
      <c r="E5617">
        <v>450</v>
      </c>
      <c r="F5617" t="str">
        <f>HYPERLINK("https://www.google.com/maps/search/?api=1&amp;query=24.7404933,46.82110909", "View Map")</f>
        <v>View Map</v>
      </c>
    </row>
    <row r="5618" spans="1:7" x14ac:dyDescent="0.3">
      <c r="A5618" t="s">
        <v>9652</v>
      </c>
      <c r="B5618" t="s">
        <v>9653</v>
      </c>
      <c r="C5618" t="s">
        <v>8</v>
      </c>
      <c r="D5618">
        <v>1.405</v>
      </c>
      <c r="E5618">
        <v>450</v>
      </c>
      <c r="F5618" t="str">
        <f>HYPERLINK("https://www.google.com/maps/search/?api=1&amp;query=24.69487303,46.80547083", "View Map")</f>
        <v>View Map</v>
      </c>
    </row>
    <row r="5619" spans="1:7" x14ac:dyDescent="0.3">
      <c r="A5619" t="s">
        <v>3059</v>
      </c>
      <c r="B5619" t="s">
        <v>9654</v>
      </c>
      <c r="C5619" t="s">
        <v>291</v>
      </c>
      <c r="D5619">
        <v>1.405</v>
      </c>
      <c r="E5619">
        <v>450</v>
      </c>
      <c r="F5619" t="str">
        <f>HYPERLINK("https://www.google.com/maps/search/?api=1&amp;query=24.13331271,45.15689465", "View Map")</f>
        <v>View Map</v>
      </c>
      <c r="G5619" s="2">
        <v>0.52955794452250626</v>
      </c>
    </row>
    <row r="5620" spans="1:7" x14ac:dyDescent="0.3">
      <c r="A5620" t="s">
        <v>9655</v>
      </c>
      <c r="B5620" t="s">
        <v>9656</v>
      </c>
      <c r="C5620" t="s">
        <v>8</v>
      </c>
      <c r="D5620">
        <v>1.405</v>
      </c>
      <c r="E5620">
        <v>450</v>
      </c>
      <c r="F5620" t="str">
        <f>HYPERLINK("https://www.google.com/maps/search/?api=1&amp;query=24.50242702,46.62146877", "View Map")</f>
        <v>View Map</v>
      </c>
    </row>
    <row r="5621" spans="1:7" x14ac:dyDescent="0.3">
      <c r="A5621" t="s">
        <v>9657</v>
      </c>
      <c r="B5621" t="s">
        <v>9658</v>
      </c>
      <c r="C5621" t="s">
        <v>255</v>
      </c>
      <c r="D5621">
        <v>1.405</v>
      </c>
      <c r="E5621">
        <v>450</v>
      </c>
      <c r="F5621" t="str">
        <f>HYPERLINK("https://www.google.com/maps/search/?api=1&amp;query=24.79658189,43.5995116", "View Map")</f>
        <v>View Map</v>
      </c>
      <c r="G5621" s="2">
        <v>0.89835887562050598</v>
      </c>
    </row>
    <row r="5622" spans="1:7" x14ac:dyDescent="0.3">
      <c r="A5622" t="s">
        <v>9659</v>
      </c>
      <c r="B5622" t="s">
        <v>9660</v>
      </c>
      <c r="C5622" t="s">
        <v>8</v>
      </c>
      <c r="D5622">
        <v>1.405</v>
      </c>
      <c r="E5622">
        <v>450</v>
      </c>
      <c r="F5622" t="str">
        <f>HYPERLINK("https://www.google.com/maps/search/?api=1&amp;query=24.79670332,46.6409025", "View Map")</f>
        <v>View Map</v>
      </c>
    </row>
    <row r="5623" spans="1:7" x14ac:dyDescent="0.3">
      <c r="A5623" t="s">
        <v>9661</v>
      </c>
      <c r="B5623" t="s">
        <v>9662</v>
      </c>
      <c r="C5623" t="s">
        <v>8</v>
      </c>
      <c r="D5623">
        <v>1.4039999999999999</v>
      </c>
      <c r="E5623">
        <v>449</v>
      </c>
      <c r="F5623" t="str">
        <f>HYPERLINK("https://www.google.com/maps/search/?api=1&amp;query=24.73956493,46.80968574", "View Map")</f>
        <v>View Map</v>
      </c>
    </row>
    <row r="5624" spans="1:7" x14ac:dyDescent="0.3">
      <c r="A5624" t="s">
        <v>9663</v>
      </c>
      <c r="B5624" t="s">
        <v>9664</v>
      </c>
      <c r="C5624" t="s">
        <v>8</v>
      </c>
      <c r="D5624">
        <v>1.4039999999999999</v>
      </c>
      <c r="E5624">
        <v>449</v>
      </c>
      <c r="F5624" t="str">
        <f>HYPERLINK("https://www.google.com/maps/search/?api=1&amp;query=24.7654926,46.67842436", "View Map")</f>
        <v>View Map</v>
      </c>
    </row>
    <row r="5625" spans="1:7" x14ac:dyDescent="0.3">
      <c r="A5625" t="s">
        <v>9665</v>
      </c>
      <c r="B5625" t="s">
        <v>9666</v>
      </c>
      <c r="C5625" t="s">
        <v>21</v>
      </c>
      <c r="D5625">
        <v>1.4039999999999999</v>
      </c>
      <c r="E5625">
        <v>449</v>
      </c>
      <c r="F5625" t="str">
        <f>HYPERLINK("https://www.google.com/maps/search/?api=1&amp;query=26.29396856,44.80126494", "View Map")</f>
        <v>View Map</v>
      </c>
    </row>
    <row r="5626" spans="1:7" x14ac:dyDescent="0.3">
      <c r="A5626" t="s">
        <v>9667</v>
      </c>
      <c r="B5626" t="s">
        <v>9668</v>
      </c>
      <c r="C5626" t="s">
        <v>8</v>
      </c>
      <c r="D5626">
        <v>1.4039999999999999</v>
      </c>
      <c r="E5626">
        <v>449</v>
      </c>
      <c r="F5626" t="str">
        <f>HYPERLINK("https://www.google.com/maps/search/?api=1&amp;query=24.7168028,46.84278801", "View Map")</f>
        <v>View Map</v>
      </c>
    </row>
    <row r="5627" spans="1:7" x14ac:dyDescent="0.3">
      <c r="A5627" t="s">
        <v>9669</v>
      </c>
      <c r="B5627" t="s">
        <v>9670</v>
      </c>
      <c r="C5627" t="s">
        <v>8</v>
      </c>
      <c r="D5627">
        <v>1.403</v>
      </c>
      <c r="E5627">
        <v>449</v>
      </c>
      <c r="F5627" t="str">
        <f>HYPERLINK("https://www.google.com/maps/search/?api=1&amp;query=24.81478987,46.8314077", "View Map")</f>
        <v>View Map</v>
      </c>
    </row>
    <row r="5628" spans="1:7" x14ac:dyDescent="0.3">
      <c r="A5628" t="s">
        <v>9671</v>
      </c>
      <c r="B5628" t="s">
        <v>9672</v>
      </c>
      <c r="C5628" t="s">
        <v>8</v>
      </c>
      <c r="D5628">
        <v>1.4019999999999999</v>
      </c>
      <c r="E5628">
        <v>449</v>
      </c>
      <c r="F5628" t="str">
        <f>HYPERLINK("https://www.google.com/maps/search/?api=1&amp;query=24.53798407,46.64989771", "View Map")</f>
        <v>View Map</v>
      </c>
    </row>
    <row r="5629" spans="1:7" x14ac:dyDescent="0.3">
      <c r="A5629" t="s">
        <v>9673</v>
      </c>
      <c r="B5629" t="s">
        <v>9674</v>
      </c>
      <c r="C5629" t="s">
        <v>8</v>
      </c>
      <c r="D5629">
        <v>1.4019999999999999</v>
      </c>
      <c r="E5629">
        <v>449</v>
      </c>
      <c r="F5629" t="str">
        <f>HYPERLINK("https://www.google.com/maps/search/?api=1&amp;query=24.57271975,46.76291581", "View Map")</f>
        <v>View Map</v>
      </c>
    </row>
    <row r="5630" spans="1:7" x14ac:dyDescent="0.3">
      <c r="A5630" t="s">
        <v>1002</v>
      </c>
      <c r="B5630" t="s">
        <v>9675</v>
      </c>
      <c r="C5630" t="s">
        <v>214</v>
      </c>
      <c r="D5630">
        <v>1.4019999999999999</v>
      </c>
      <c r="E5630">
        <v>449</v>
      </c>
      <c r="F5630" t="str">
        <f>HYPERLINK("https://www.google.com/maps/search/?api=1&amp;query=25.9303779,45.37408238", "View Map")</f>
        <v>View Map</v>
      </c>
      <c r="G5630" s="2">
        <v>0.42202504142281139</v>
      </c>
    </row>
    <row r="5631" spans="1:7" x14ac:dyDescent="0.3">
      <c r="A5631" t="s">
        <v>9676</v>
      </c>
      <c r="B5631" t="s">
        <v>9677</v>
      </c>
      <c r="C5631" t="s">
        <v>21</v>
      </c>
      <c r="D5631">
        <v>1.4019999999999999</v>
      </c>
      <c r="E5631">
        <v>449</v>
      </c>
      <c r="F5631" t="str">
        <f>HYPERLINK("https://www.google.com/maps/search/?api=1&amp;query=26.29610277,44.83795214", "View Map")</f>
        <v>View Map</v>
      </c>
      <c r="G5631" s="2">
        <v>0.4150435597901832</v>
      </c>
    </row>
    <row r="5632" spans="1:7" x14ac:dyDescent="0.3">
      <c r="A5632" t="s">
        <v>9678</v>
      </c>
      <c r="B5632" t="s">
        <v>9679</v>
      </c>
      <c r="C5632" t="s">
        <v>8</v>
      </c>
      <c r="D5632">
        <v>1.4019999999999999</v>
      </c>
      <c r="E5632">
        <v>448</v>
      </c>
      <c r="F5632" t="str">
        <f>HYPERLINK("https://www.google.com/maps/search/?api=1&amp;query=24.65433806,46.73687852", "View Map")</f>
        <v>View Map</v>
      </c>
    </row>
    <row r="5633" spans="1:7" x14ac:dyDescent="0.3">
      <c r="A5633" t="s">
        <v>9680</v>
      </c>
      <c r="B5633" t="s">
        <v>9681</v>
      </c>
      <c r="C5633" t="s">
        <v>8</v>
      </c>
      <c r="D5633">
        <v>1.4019999999999999</v>
      </c>
      <c r="E5633">
        <v>449</v>
      </c>
      <c r="F5633" t="str">
        <f>HYPERLINK("https://www.google.com/maps/search/?api=1&amp;query=24.57511972,46.6178974", "View Map")</f>
        <v>View Map</v>
      </c>
    </row>
    <row r="5634" spans="1:7" x14ac:dyDescent="0.3">
      <c r="A5634" t="s">
        <v>46</v>
      </c>
      <c r="B5634" t="s">
        <v>9682</v>
      </c>
      <c r="C5634" t="s">
        <v>8</v>
      </c>
      <c r="D5634">
        <v>1.4019999999999999</v>
      </c>
      <c r="E5634">
        <v>449</v>
      </c>
      <c r="F5634" t="str">
        <f>HYPERLINK("https://www.google.com/maps/search/?api=1&amp;query=24.67546,46.56398", "View Map")</f>
        <v>View Map</v>
      </c>
      <c r="G5634" s="2">
        <v>0.486929204016605</v>
      </c>
    </row>
    <row r="5635" spans="1:7" x14ac:dyDescent="0.3">
      <c r="A5635" t="s">
        <v>9683</v>
      </c>
      <c r="B5635" t="s">
        <v>9684</v>
      </c>
      <c r="C5635" t="s">
        <v>30</v>
      </c>
      <c r="D5635">
        <v>1.401</v>
      </c>
      <c r="E5635">
        <v>448</v>
      </c>
      <c r="F5635" t="str">
        <f>HYPERLINK("https://www.google.com/maps/search/?api=1&amp;query=24.14664111,47.29348137", "View Map")</f>
        <v>View Map</v>
      </c>
    </row>
    <row r="5636" spans="1:7" x14ac:dyDescent="0.3">
      <c r="A5636" t="s">
        <v>9685</v>
      </c>
      <c r="B5636" t="s">
        <v>9686</v>
      </c>
      <c r="C5636" t="s">
        <v>393</v>
      </c>
      <c r="D5636">
        <v>1.401</v>
      </c>
      <c r="E5636">
        <v>448</v>
      </c>
      <c r="F5636" t="str">
        <f>HYPERLINK("https://www.google.com/maps/search/?api=1&amp;query=23.7606316,45.66205152", "View Map")</f>
        <v>View Map</v>
      </c>
      <c r="G5636" s="2">
        <v>0.71552363142147657</v>
      </c>
    </row>
    <row r="5637" spans="1:7" x14ac:dyDescent="0.3">
      <c r="A5637" t="s">
        <v>9687</v>
      </c>
      <c r="B5637" t="s">
        <v>9688</v>
      </c>
      <c r="C5637" t="s">
        <v>8</v>
      </c>
      <c r="D5637">
        <v>1.401</v>
      </c>
      <c r="E5637">
        <v>448</v>
      </c>
      <c r="F5637" t="str">
        <f>HYPERLINK("https://www.google.com/maps/search/?api=1&amp;query=24.62014752,46.53059992", "View Map")</f>
        <v>View Map</v>
      </c>
    </row>
    <row r="5638" spans="1:7" x14ac:dyDescent="0.3">
      <c r="A5638" t="s">
        <v>9689</v>
      </c>
      <c r="B5638" t="s">
        <v>9690</v>
      </c>
      <c r="C5638" t="s">
        <v>214</v>
      </c>
      <c r="D5638">
        <v>1.401</v>
      </c>
      <c r="E5638">
        <v>448</v>
      </c>
      <c r="F5638" t="str">
        <f>HYPERLINK("https://www.google.com/maps/search/?api=1&amp;query=25.71617292,45.85913", "View Map")</f>
        <v>View Map</v>
      </c>
      <c r="G5638" s="2">
        <v>0.34680392157790851</v>
      </c>
    </row>
    <row r="5639" spans="1:7" x14ac:dyDescent="0.3">
      <c r="A5639" t="s">
        <v>146</v>
      </c>
      <c r="B5639" t="s">
        <v>9691</v>
      </c>
      <c r="C5639" t="s">
        <v>8</v>
      </c>
      <c r="D5639">
        <v>1.401</v>
      </c>
      <c r="E5639">
        <v>448</v>
      </c>
      <c r="F5639" t="str">
        <f>HYPERLINK("https://www.google.com/maps/search/?api=1&amp;query=24.4853788,46.62547786", "View Map")</f>
        <v>View Map</v>
      </c>
    </row>
    <row r="5640" spans="1:7" x14ac:dyDescent="0.3">
      <c r="A5640" t="s">
        <v>1232</v>
      </c>
      <c r="B5640" t="s">
        <v>9692</v>
      </c>
      <c r="C5640" t="s">
        <v>8</v>
      </c>
      <c r="D5640">
        <v>1.401</v>
      </c>
      <c r="E5640">
        <v>448</v>
      </c>
      <c r="F5640" t="str">
        <f>HYPERLINK("https://www.google.com/maps/search/?api=1&amp;query=24.62927119,46.54479559", "View Map")</f>
        <v>View Map</v>
      </c>
    </row>
    <row r="5641" spans="1:7" x14ac:dyDescent="0.3">
      <c r="A5641" t="s">
        <v>2168</v>
      </c>
      <c r="B5641" t="s">
        <v>9693</v>
      </c>
      <c r="C5641" t="s">
        <v>393</v>
      </c>
      <c r="D5641">
        <v>1.401</v>
      </c>
      <c r="E5641">
        <v>448</v>
      </c>
      <c r="F5641" t="str">
        <f>HYPERLINK("https://www.google.com/maps/search/?api=1&amp;query=23.4350743,45.2040246", "View Map")</f>
        <v>View Map</v>
      </c>
      <c r="G5641" s="2">
        <v>0.72985936716116473</v>
      </c>
    </row>
    <row r="5642" spans="1:7" x14ac:dyDescent="0.3">
      <c r="A5642" t="s">
        <v>1349</v>
      </c>
      <c r="B5642" t="s">
        <v>9694</v>
      </c>
      <c r="C5642" t="s">
        <v>270</v>
      </c>
      <c r="D5642">
        <v>1.4</v>
      </c>
      <c r="E5642">
        <v>448</v>
      </c>
      <c r="F5642" t="str">
        <f>HYPERLINK("https://www.google.com/maps/search/?api=1&amp;query=23.99331,47.16564", "View Map")</f>
        <v>View Map</v>
      </c>
      <c r="G5642" s="2">
        <v>0.4618487980402402</v>
      </c>
    </row>
    <row r="5643" spans="1:7" x14ac:dyDescent="0.3">
      <c r="A5643" t="s">
        <v>9695</v>
      </c>
      <c r="B5643" t="s">
        <v>9696</v>
      </c>
      <c r="C5643" t="s">
        <v>8</v>
      </c>
      <c r="D5643">
        <v>1.399</v>
      </c>
      <c r="E5643">
        <v>448</v>
      </c>
      <c r="F5643" t="str">
        <f>HYPERLINK("https://www.google.com/maps/search/?api=1&amp;query=24.58329154,46.63128856", "View Map")</f>
        <v>View Map</v>
      </c>
    </row>
    <row r="5644" spans="1:7" x14ac:dyDescent="0.3">
      <c r="A5644" t="s">
        <v>9697</v>
      </c>
      <c r="B5644" t="s">
        <v>9698</v>
      </c>
      <c r="C5644" t="s">
        <v>8</v>
      </c>
      <c r="D5644">
        <v>1.399</v>
      </c>
      <c r="E5644">
        <v>448</v>
      </c>
      <c r="F5644" t="str">
        <f>HYPERLINK("https://www.google.com/maps/search/?api=1&amp;query=24.73699554,46.81157946", "View Map")</f>
        <v>View Map</v>
      </c>
    </row>
    <row r="5645" spans="1:7" x14ac:dyDescent="0.3">
      <c r="A5645" t="s">
        <v>469</v>
      </c>
      <c r="B5645" t="s">
        <v>9699</v>
      </c>
      <c r="C5645" t="s">
        <v>8</v>
      </c>
      <c r="D5645">
        <v>1.3979999999999999</v>
      </c>
      <c r="E5645">
        <v>447</v>
      </c>
      <c r="F5645" t="str">
        <f>HYPERLINK("https://www.google.com/maps/search/?api=1&amp;query=24.634413,46.80356943", "View Map")</f>
        <v>View Map</v>
      </c>
    </row>
    <row r="5646" spans="1:7" x14ac:dyDescent="0.3">
      <c r="A5646" t="s">
        <v>9700</v>
      </c>
      <c r="B5646" t="s">
        <v>9701</v>
      </c>
      <c r="C5646" t="s">
        <v>8</v>
      </c>
      <c r="D5646">
        <v>1.3979999999999999</v>
      </c>
      <c r="E5646">
        <v>447</v>
      </c>
      <c r="F5646" t="str">
        <f>HYPERLINK("https://www.google.com/maps/search/?api=1&amp;query=24.76533818,46.79683584", "View Map")</f>
        <v>View Map</v>
      </c>
    </row>
    <row r="5647" spans="1:7" x14ac:dyDescent="0.3">
      <c r="A5647" t="s">
        <v>7498</v>
      </c>
      <c r="B5647" t="s">
        <v>9702</v>
      </c>
      <c r="C5647" t="s">
        <v>255</v>
      </c>
      <c r="D5647">
        <v>1.3959999999999999</v>
      </c>
      <c r="E5647">
        <v>447</v>
      </c>
      <c r="F5647" t="str">
        <f>HYPERLINK("https://www.google.com/maps/search/?api=1&amp;query=24.58180627,43.63213252", "View Map")</f>
        <v>View Map</v>
      </c>
      <c r="G5647" s="2">
        <v>0.57648478939567116</v>
      </c>
    </row>
    <row r="5648" spans="1:7" x14ac:dyDescent="0.3">
      <c r="A5648" t="s">
        <v>46</v>
      </c>
      <c r="B5648" t="s">
        <v>9703</v>
      </c>
      <c r="C5648" t="s">
        <v>8</v>
      </c>
      <c r="D5648">
        <v>1.3959999999999999</v>
      </c>
      <c r="E5648">
        <v>447</v>
      </c>
      <c r="F5648" t="str">
        <f>HYPERLINK("https://www.google.com/maps/search/?api=1&amp;query=24.71648238,46.68938234", "View Map")</f>
        <v>View Map</v>
      </c>
    </row>
    <row r="5649" spans="1:7" x14ac:dyDescent="0.3">
      <c r="A5649" t="s">
        <v>9704</v>
      </c>
      <c r="B5649" t="s">
        <v>9705</v>
      </c>
      <c r="C5649" t="s">
        <v>8</v>
      </c>
      <c r="D5649">
        <v>1.3959999999999999</v>
      </c>
      <c r="E5649">
        <v>447</v>
      </c>
      <c r="F5649" t="str">
        <f>HYPERLINK("https://www.google.com/maps/search/?api=1&amp;query=24.52630983,46.64841684", "View Map")</f>
        <v>View Map</v>
      </c>
    </row>
    <row r="5650" spans="1:7" x14ac:dyDescent="0.3">
      <c r="A5650" t="s">
        <v>9706</v>
      </c>
      <c r="B5650" t="s">
        <v>9707</v>
      </c>
      <c r="C5650" t="s">
        <v>8</v>
      </c>
      <c r="D5650">
        <v>1.3959999999999999</v>
      </c>
      <c r="E5650">
        <v>447</v>
      </c>
      <c r="F5650" t="str">
        <f>HYPERLINK("https://www.google.com/maps/search/?api=1&amp;query=24.63008709,46.76001989", "View Map")</f>
        <v>View Map</v>
      </c>
    </row>
    <row r="5651" spans="1:7" x14ac:dyDescent="0.3">
      <c r="A5651" t="s">
        <v>9708</v>
      </c>
      <c r="B5651" t="s">
        <v>9709</v>
      </c>
      <c r="C5651" t="s">
        <v>214</v>
      </c>
      <c r="D5651">
        <v>1.3959999999999999</v>
      </c>
      <c r="E5651">
        <v>447</v>
      </c>
      <c r="F5651" t="str">
        <f>HYPERLINK("https://www.google.com/maps/search/?api=1&amp;query=25.62337307,45.57722311", "View Map")</f>
        <v>View Map</v>
      </c>
      <c r="G5651" s="2">
        <v>0.48374304012224328</v>
      </c>
    </row>
    <row r="5652" spans="1:7" x14ac:dyDescent="0.3">
      <c r="A5652" t="s">
        <v>9710</v>
      </c>
      <c r="B5652" t="s">
        <v>9711</v>
      </c>
      <c r="C5652" t="s">
        <v>8</v>
      </c>
      <c r="D5652">
        <v>1.395</v>
      </c>
      <c r="E5652">
        <v>446</v>
      </c>
      <c r="F5652" t="str">
        <f>HYPERLINK("https://www.google.com/maps/search/?api=1&amp;query=24.5919537,46.7471375", "View Map")</f>
        <v>View Map</v>
      </c>
    </row>
    <row r="5653" spans="1:7" x14ac:dyDescent="0.3">
      <c r="A5653" t="s">
        <v>627</v>
      </c>
      <c r="B5653" t="s">
        <v>9712</v>
      </c>
      <c r="C5653" t="s">
        <v>8</v>
      </c>
      <c r="D5653">
        <v>1.395</v>
      </c>
      <c r="E5653">
        <v>446</v>
      </c>
      <c r="F5653" t="str">
        <f>HYPERLINK("https://www.google.com/maps/search/?api=1&amp;query=24.81642339,46.66552619", "View Map")</f>
        <v>View Map</v>
      </c>
    </row>
    <row r="5654" spans="1:7" x14ac:dyDescent="0.3">
      <c r="A5654" t="s">
        <v>9713</v>
      </c>
      <c r="B5654" t="s">
        <v>9714</v>
      </c>
      <c r="C5654" t="s">
        <v>8</v>
      </c>
      <c r="D5654">
        <v>1.395</v>
      </c>
      <c r="E5654">
        <v>446</v>
      </c>
      <c r="F5654" t="str">
        <f>HYPERLINK("https://www.google.com/maps/search/?api=1&amp;query=24.57175114,46.66794553", "View Map")</f>
        <v>View Map</v>
      </c>
    </row>
    <row r="5655" spans="1:7" x14ac:dyDescent="0.3">
      <c r="A5655" t="s">
        <v>9715</v>
      </c>
      <c r="B5655" t="s">
        <v>9716</v>
      </c>
      <c r="C5655" t="s">
        <v>291</v>
      </c>
      <c r="D5655">
        <v>1.3939999999999999</v>
      </c>
      <c r="E5655">
        <v>446</v>
      </c>
      <c r="F5655" t="str">
        <f>HYPERLINK("https://www.google.com/maps/search/?api=1&amp;query=24.34237632,45.82763507", "View Map")</f>
        <v>View Map</v>
      </c>
      <c r="G5655" s="2">
        <v>0.85933226566652399</v>
      </c>
    </row>
    <row r="5656" spans="1:7" x14ac:dyDescent="0.3">
      <c r="A5656" t="s">
        <v>9717</v>
      </c>
      <c r="B5656" t="s">
        <v>9718</v>
      </c>
      <c r="C5656" t="s">
        <v>30</v>
      </c>
      <c r="D5656">
        <v>1.3939999999999999</v>
      </c>
      <c r="E5656">
        <v>446</v>
      </c>
      <c r="F5656" t="str">
        <f>HYPERLINK("https://www.google.com/maps/search/?api=1&amp;query=24.12783355,47.2716166", "View Map")</f>
        <v>View Map</v>
      </c>
    </row>
    <row r="5657" spans="1:7" x14ac:dyDescent="0.3">
      <c r="A5657" t="s">
        <v>1017</v>
      </c>
      <c r="B5657" t="s">
        <v>9719</v>
      </c>
      <c r="C5657" t="s">
        <v>8</v>
      </c>
      <c r="D5657">
        <v>1.393</v>
      </c>
      <c r="E5657">
        <v>446</v>
      </c>
      <c r="F5657" t="str">
        <f>HYPERLINK("https://www.google.com/maps/search/?api=1&amp;query=24.58624799,46.64899595", "View Map")</f>
        <v>View Map</v>
      </c>
    </row>
    <row r="5658" spans="1:7" x14ac:dyDescent="0.3">
      <c r="A5658" t="s">
        <v>9720</v>
      </c>
      <c r="B5658" t="s">
        <v>9721</v>
      </c>
      <c r="C5658" t="s">
        <v>8</v>
      </c>
      <c r="D5658">
        <v>1.393</v>
      </c>
      <c r="E5658">
        <v>446</v>
      </c>
      <c r="F5658" t="str">
        <f>HYPERLINK("https://www.google.com/maps/search/?api=1&amp;query=24.73101144,46.83617173", "View Map")</f>
        <v>View Map</v>
      </c>
    </row>
    <row r="5659" spans="1:7" x14ac:dyDescent="0.3">
      <c r="A5659" t="s">
        <v>9722</v>
      </c>
      <c r="B5659" t="s">
        <v>9723</v>
      </c>
      <c r="C5659" t="s">
        <v>883</v>
      </c>
      <c r="D5659">
        <v>1.393</v>
      </c>
      <c r="E5659">
        <v>446</v>
      </c>
      <c r="F5659" t="str">
        <f>HYPERLINK("https://www.google.com/maps/search/?api=1&amp;query=25.5583522,47.16905335", "View Map")</f>
        <v>View Map</v>
      </c>
    </row>
    <row r="5660" spans="1:7" x14ac:dyDescent="0.3">
      <c r="A5660" t="s">
        <v>7492</v>
      </c>
      <c r="B5660" t="s">
        <v>9724</v>
      </c>
      <c r="C5660" t="s">
        <v>30</v>
      </c>
      <c r="D5660">
        <v>1.3919999999999999</v>
      </c>
      <c r="E5660">
        <v>445</v>
      </c>
      <c r="F5660" t="str">
        <f>HYPERLINK("https://www.google.com/maps/search/?api=1&amp;query=24.14827675,47.31042946", "View Map")</f>
        <v>View Map</v>
      </c>
    </row>
    <row r="5661" spans="1:7" x14ac:dyDescent="0.3">
      <c r="A5661" t="s">
        <v>146</v>
      </c>
      <c r="B5661" t="s">
        <v>9725</v>
      </c>
      <c r="C5661" t="s">
        <v>8</v>
      </c>
      <c r="D5661">
        <v>1.3919999999999999</v>
      </c>
      <c r="E5661">
        <v>445</v>
      </c>
      <c r="F5661" t="str">
        <f>HYPERLINK("https://www.google.com/maps/search/?api=1&amp;query=24.55670088,46.50394416", "View Map")</f>
        <v>View Map</v>
      </c>
    </row>
    <row r="5662" spans="1:7" x14ac:dyDescent="0.3">
      <c r="A5662" t="s">
        <v>9726</v>
      </c>
      <c r="B5662" t="s">
        <v>9727</v>
      </c>
      <c r="C5662" t="s">
        <v>214</v>
      </c>
      <c r="D5662">
        <v>1.3919999999999999</v>
      </c>
      <c r="E5662">
        <v>445</v>
      </c>
      <c r="F5662" t="str">
        <f>HYPERLINK("https://www.google.com/maps/search/?api=1&amp;query=25.65044437,45.55389145", "View Map")</f>
        <v>View Map</v>
      </c>
      <c r="G5662" s="2">
        <v>0.45991305556788459</v>
      </c>
    </row>
    <row r="5663" spans="1:7" x14ac:dyDescent="0.3">
      <c r="A5663" t="s">
        <v>6396</v>
      </c>
      <c r="B5663" t="s">
        <v>9728</v>
      </c>
      <c r="C5663" t="s">
        <v>8</v>
      </c>
      <c r="D5663">
        <v>1.3919999999999999</v>
      </c>
      <c r="E5663">
        <v>445</v>
      </c>
      <c r="F5663" t="str">
        <f>HYPERLINK("https://www.google.com/maps/search/?api=1&amp;query=24.76200531,46.73597415", "View Map")</f>
        <v>View Map</v>
      </c>
    </row>
    <row r="5664" spans="1:7" x14ac:dyDescent="0.3">
      <c r="A5664" t="s">
        <v>9729</v>
      </c>
      <c r="B5664" t="s">
        <v>9730</v>
      </c>
      <c r="C5664" t="s">
        <v>8</v>
      </c>
      <c r="D5664">
        <v>1.391</v>
      </c>
      <c r="E5664">
        <v>445</v>
      </c>
      <c r="F5664" t="str">
        <f>HYPERLINK("https://www.google.com/maps/search/?api=1&amp;query=24.69886074,46.73569242", "View Map")</f>
        <v>View Map</v>
      </c>
    </row>
    <row r="5665" spans="1:7" x14ac:dyDescent="0.3">
      <c r="A5665" t="s">
        <v>9731</v>
      </c>
      <c r="B5665" t="s">
        <v>9732</v>
      </c>
      <c r="C5665" t="s">
        <v>255</v>
      </c>
      <c r="D5665">
        <v>1.391</v>
      </c>
      <c r="E5665">
        <v>445</v>
      </c>
      <c r="F5665" t="str">
        <f>HYPERLINK("https://www.google.com/maps/search/?api=1&amp;query=24.28682192,43.73175809", "View Map")</f>
        <v>View Map</v>
      </c>
      <c r="G5665" s="2">
        <v>0.25562682443142082</v>
      </c>
    </row>
    <row r="5666" spans="1:7" x14ac:dyDescent="0.3">
      <c r="A5666" t="s">
        <v>196</v>
      </c>
      <c r="B5666" t="s">
        <v>9733</v>
      </c>
      <c r="C5666" t="s">
        <v>8</v>
      </c>
      <c r="D5666">
        <v>1.391</v>
      </c>
      <c r="E5666">
        <v>445</v>
      </c>
      <c r="F5666" t="str">
        <f>HYPERLINK("https://www.google.com/maps/search/?api=1&amp;query=24.71204791,46.7646552", "View Map")</f>
        <v>View Map</v>
      </c>
    </row>
    <row r="5667" spans="1:7" x14ac:dyDescent="0.3">
      <c r="A5667" t="s">
        <v>9734</v>
      </c>
      <c r="B5667" t="s">
        <v>9735</v>
      </c>
      <c r="C5667" t="s">
        <v>393</v>
      </c>
      <c r="D5667">
        <v>1.391</v>
      </c>
      <c r="E5667">
        <v>445</v>
      </c>
      <c r="F5667" t="str">
        <f>HYPERLINK("https://www.google.com/maps/search/?api=1&amp;query=22.61451635,44.88182585", "View Map")</f>
        <v>View Map</v>
      </c>
      <c r="G5667" s="2">
        <v>0.94135514634955086</v>
      </c>
    </row>
    <row r="5668" spans="1:7" x14ac:dyDescent="0.3">
      <c r="A5668" t="s">
        <v>9736</v>
      </c>
      <c r="B5668" t="s">
        <v>9737</v>
      </c>
      <c r="C5668" t="s">
        <v>8</v>
      </c>
      <c r="D5668">
        <v>1.39</v>
      </c>
      <c r="E5668">
        <v>445</v>
      </c>
      <c r="F5668" t="str">
        <f>HYPERLINK("https://www.google.com/maps/search/?api=1&amp;query=24.58478014,46.6869654", "View Map")</f>
        <v>View Map</v>
      </c>
    </row>
    <row r="5669" spans="1:7" x14ac:dyDescent="0.3">
      <c r="A5669" t="s">
        <v>9738</v>
      </c>
      <c r="B5669" t="s">
        <v>9739</v>
      </c>
      <c r="C5669" t="s">
        <v>8</v>
      </c>
      <c r="D5669">
        <v>1.39</v>
      </c>
      <c r="E5669">
        <v>445</v>
      </c>
      <c r="F5669" t="str">
        <f>HYPERLINK("https://www.google.com/maps/search/?api=1&amp;query=24.5608608,46.80118393", "View Map")</f>
        <v>View Map</v>
      </c>
    </row>
    <row r="5670" spans="1:7" x14ac:dyDescent="0.3">
      <c r="A5670" t="s">
        <v>9740</v>
      </c>
      <c r="B5670" t="s">
        <v>9741</v>
      </c>
      <c r="C5670" t="s">
        <v>241</v>
      </c>
      <c r="D5670">
        <v>1.39</v>
      </c>
      <c r="E5670">
        <v>445</v>
      </c>
      <c r="F5670" t="str">
        <f>HYPERLINK("https://www.google.com/maps/search/?api=1&amp;query=20.44461336,44.84676627", "View Map")</f>
        <v>View Map</v>
      </c>
    </row>
    <row r="5671" spans="1:7" x14ac:dyDescent="0.3">
      <c r="A5671" t="s">
        <v>9671</v>
      </c>
      <c r="B5671" t="s">
        <v>9742</v>
      </c>
      <c r="C5671" t="s">
        <v>8</v>
      </c>
      <c r="D5671">
        <v>1.389</v>
      </c>
      <c r="E5671">
        <v>445</v>
      </c>
      <c r="F5671" t="str">
        <f>HYPERLINK("https://www.google.com/maps/search/?api=1&amp;query=24.53802594,46.64991827", "View Map")</f>
        <v>View Map</v>
      </c>
    </row>
    <row r="5672" spans="1:7" x14ac:dyDescent="0.3">
      <c r="A5672" t="s">
        <v>146</v>
      </c>
      <c r="B5672" t="s">
        <v>9743</v>
      </c>
      <c r="C5672" t="s">
        <v>8</v>
      </c>
      <c r="D5672">
        <v>1.389</v>
      </c>
      <c r="E5672">
        <v>444</v>
      </c>
      <c r="F5672" t="str">
        <f>HYPERLINK("https://www.google.com/maps/search/?api=1&amp;query=24.55294949,46.60694872", "View Map")</f>
        <v>View Map</v>
      </c>
    </row>
    <row r="5673" spans="1:7" x14ac:dyDescent="0.3">
      <c r="A5673" t="s">
        <v>9281</v>
      </c>
      <c r="B5673" t="s">
        <v>9744</v>
      </c>
      <c r="C5673" t="s">
        <v>393</v>
      </c>
      <c r="D5673">
        <v>1.389</v>
      </c>
      <c r="E5673">
        <v>444</v>
      </c>
      <c r="F5673" t="str">
        <f>HYPERLINK("https://www.google.com/maps/search/?api=1&amp;query=23.49220473,45.52424705", "View Map")</f>
        <v>View Map</v>
      </c>
      <c r="G5673" s="2">
        <v>0.88765565926185186</v>
      </c>
    </row>
    <row r="5674" spans="1:7" x14ac:dyDescent="0.3">
      <c r="A5674" t="s">
        <v>9745</v>
      </c>
      <c r="B5674" t="s">
        <v>9746</v>
      </c>
      <c r="C5674" t="s">
        <v>77</v>
      </c>
      <c r="D5674">
        <v>1.389</v>
      </c>
      <c r="E5674">
        <v>445</v>
      </c>
      <c r="F5674" t="str">
        <f>HYPERLINK("https://www.google.com/maps/search/?api=1&amp;query=21.373412,46.08027915", "View Map")</f>
        <v>View Map</v>
      </c>
      <c r="G5674" s="2">
        <v>0.61382138606197334</v>
      </c>
    </row>
    <row r="5675" spans="1:7" x14ac:dyDescent="0.3">
      <c r="A5675" t="s">
        <v>9747</v>
      </c>
      <c r="B5675" t="s">
        <v>9748</v>
      </c>
      <c r="C5675" t="s">
        <v>214</v>
      </c>
      <c r="D5675">
        <v>1.389</v>
      </c>
      <c r="E5675">
        <v>445</v>
      </c>
      <c r="F5675" t="str">
        <f>HYPERLINK("https://www.google.com/maps/search/?api=1&amp;query=26.88393957,45.32156017", "View Map")</f>
        <v>View Map</v>
      </c>
      <c r="G5675" s="2">
        <v>0.57486579251049741</v>
      </c>
    </row>
    <row r="5676" spans="1:7" x14ac:dyDescent="0.3">
      <c r="A5676" t="s">
        <v>9749</v>
      </c>
      <c r="B5676" t="s">
        <v>9750</v>
      </c>
      <c r="C5676" t="s">
        <v>8</v>
      </c>
      <c r="D5676">
        <v>1.389</v>
      </c>
      <c r="E5676">
        <v>445</v>
      </c>
      <c r="F5676" t="str">
        <f>HYPERLINK("https://www.google.com/maps/search/?api=1&amp;query=24.77419944,46.69621895", "View Map")</f>
        <v>View Map</v>
      </c>
    </row>
    <row r="5677" spans="1:7" x14ac:dyDescent="0.3">
      <c r="A5677" t="s">
        <v>46</v>
      </c>
      <c r="B5677" t="s">
        <v>9751</v>
      </c>
      <c r="C5677" t="s">
        <v>8</v>
      </c>
      <c r="D5677">
        <v>1.389</v>
      </c>
      <c r="E5677">
        <v>445</v>
      </c>
      <c r="F5677" t="str">
        <f>HYPERLINK("https://www.google.com/maps/search/?api=1&amp;query=24.88061854,46.60326453", "View Map")</f>
        <v>View Map</v>
      </c>
      <c r="G5677" s="2">
        <v>0.41251289584750789</v>
      </c>
    </row>
    <row r="5678" spans="1:7" x14ac:dyDescent="0.3">
      <c r="A5678" t="s">
        <v>9752</v>
      </c>
      <c r="B5678" t="s">
        <v>9753</v>
      </c>
      <c r="C5678" t="s">
        <v>291</v>
      </c>
      <c r="D5678">
        <v>1.3879999999999999</v>
      </c>
      <c r="E5678">
        <v>444</v>
      </c>
      <c r="F5678" t="str">
        <f>HYPERLINK("https://www.google.com/maps/search/?api=1&amp;query=24.33484622,45.80896281", "View Map")</f>
        <v>View Map</v>
      </c>
    </row>
    <row r="5679" spans="1:7" x14ac:dyDescent="0.3">
      <c r="A5679" t="s">
        <v>289</v>
      </c>
      <c r="B5679" t="s">
        <v>9754</v>
      </c>
      <c r="C5679" t="s">
        <v>291</v>
      </c>
      <c r="D5679">
        <v>1.3879999999999999</v>
      </c>
      <c r="E5679">
        <v>444</v>
      </c>
      <c r="F5679" t="str">
        <f>HYPERLINK("https://www.google.com/maps/search/?api=1&amp;query=24.06414166,45.29404477", "View Map")</f>
        <v>View Map</v>
      </c>
      <c r="G5679" s="2">
        <v>0.40719520411037119</v>
      </c>
    </row>
    <row r="5680" spans="1:7" x14ac:dyDescent="0.3">
      <c r="A5680" t="s">
        <v>9755</v>
      </c>
      <c r="B5680" t="s">
        <v>9756</v>
      </c>
      <c r="C5680" t="s">
        <v>8</v>
      </c>
      <c r="D5680">
        <v>1.3879999999999999</v>
      </c>
      <c r="E5680">
        <v>444</v>
      </c>
      <c r="F5680" t="str">
        <f>HYPERLINK("https://www.google.com/maps/search/?api=1&amp;query=24.41027743,46.84188136", "View Map")</f>
        <v>View Map</v>
      </c>
    </row>
    <row r="5681" spans="1:7" x14ac:dyDescent="0.3">
      <c r="A5681" t="s">
        <v>9757</v>
      </c>
      <c r="B5681" t="s">
        <v>9758</v>
      </c>
      <c r="C5681" t="s">
        <v>8</v>
      </c>
      <c r="D5681">
        <v>1.3879999999999999</v>
      </c>
      <c r="E5681">
        <v>444</v>
      </c>
      <c r="F5681" t="str">
        <f>HYPERLINK("https://www.google.com/maps/search/?api=1&amp;query=24.83197841,46.64545065", "View Map")</f>
        <v>View Map</v>
      </c>
    </row>
    <row r="5682" spans="1:7" x14ac:dyDescent="0.3">
      <c r="A5682" t="s">
        <v>9759</v>
      </c>
      <c r="B5682" t="s">
        <v>9760</v>
      </c>
      <c r="C5682" t="s">
        <v>8</v>
      </c>
      <c r="D5682">
        <v>1.387</v>
      </c>
      <c r="E5682">
        <v>444</v>
      </c>
      <c r="F5682" t="str">
        <f>HYPERLINK("https://www.google.com/maps/search/?api=1&amp;query=24.5448554,46.66719189", "View Map")</f>
        <v>View Map</v>
      </c>
    </row>
    <row r="5683" spans="1:7" x14ac:dyDescent="0.3">
      <c r="A5683" t="s">
        <v>4564</v>
      </c>
      <c r="B5683" t="s">
        <v>9761</v>
      </c>
      <c r="C5683" t="s">
        <v>8</v>
      </c>
      <c r="D5683">
        <v>1.387</v>
      </c>
      <c r="E5683">
        <v>444</v>
      </c>
      <c r="F5683" t="str">
        <f>HYPERLINK("https://www.google.com/maps/search/?api=1&amp;query=24.54147704,46.71398818", "View Map")</f>
        <v>View Map</v>
      </c>
    </row>
    <row r="5684" spans="1:7" x14ac:dyDescent="0.3">
      <c r="A5684" t="s">
        <v>479</v>
      </c>
      <c r="B5684" t="s">
        <v>9762</v>
      </c>
      <c r="C5684" t="s">
        <v>738</v>
      </c>
      <c r="D5684">
        <v>1.387</v>
      </c>
      <c r="E5684">
        <v>444</v>
      </c>
      <c r="F5684" t="str">
        <f>HYPERLINK("https://www.google.com/maps/search/?api=1&amp;query=25.12282935,46.09716559", "View Map")</f>
        <v>View Map</v>
      </c>
      <c r="G5684" s="2">
        <v>0.49641161957470509</v>
      </c>
    </row>
    <row r="5685" spans="1:7" x14ac:dyDescent="0.3">
      <c r="A5685" t="s">
        <v>9763</v>
      </c>
      <c r="B5685" t="s">
        <v>9764</v>
      </c>
      <c r="C5685" t="s">
        <v>291</v>
      </c>
      <c r="D5685">
        <v>1.387</v>
      </c>
      <c r="E5685">
        <v>444</v>
      </c>
      <c r="F5685" t="str">
        <f>HYPERLINK("https://www.google.com/maps/search/?api=1&amp;query=23.26244133,44.64854909", "View Map")</f>
        <v>View Map</v>
      </c>
      <c r="G5685" s="2">
        <v>0.3990564256556326</v>
      </c>
    </row>
    <row r="5686" spans="1:7" x14ac:dyDescent="0.3">
      <c r="A5686" t="s">
        <v>1277</v>
      </c>
      <c r="B5686" t="s">
        <v>9765</v>
      </c>
      <c r="C5686" t="s">
        <v>8</v>
      </c>
      <c r="D5686">
        <v>1.3859999999999999</v>
      </c>
      <c r="E5686">
        <v>443</v>
      </c>
      <c r="F5686" t="str">
        <f>HYPERLINK("https://www.google.com/maps/search/?api=1&amp;query=24.60779395,46.74470817", "View Map")</f>
        <v>View Map</v>
      </c>
    </row>
    <row r="5687" spans="1:7" x14ac:dyDescent="0.3">
      <c r="A5687" t="s">
        <v>9766</v>
      </c>
      <c r="B5687" t="s">
        <v>9767</v>
      </c>
      <c r="C5687" t="s">
        <v>8</v>
      </c>
      <c r="D5687">
        <v>1.3859999999999999</v>
      </c>
      <c r="E5687">
        <v>443</v>
      </c>
      <c r="F5687" t="str">
        <f>HYPERLINK("https://www.google.com/maps/search/?api=1&amp;query=24.81240703,46.80444557", "View Map")</f>
        <v>View Map</v>
      </c>
    </row>
    <row r="5688" spans="1:7" x14ac:dyDescent="0.3">
      <c r="A5688" t="s">
        <v>9768</v>
      </c>
      <c r="B5688" t="s">
        <v>9769</v>
      </c>
      <c r="C5688" t="s">
        <v>30</v>
      </c>
      <c r="D5688">
        <v>1.3859999999999999</v>
      </c>
      <c r="E5688">
        <v>443</v>
      </c>
      <c r="F5688" t="str">
        <f>HYPERLINK("https://www.google.com/maps/search/?api=1&amp;query=24.15009745,47.31147352", "View Map")</f>
        <v>View Map</v>
      </c>
    </row>
    <row r="5689" spans="1:7" x14ac:dyDescent="0.3">
      <c r="A5689" t="s">
        <v>9770</v>
      </c>
      <c r="B5689" t="s">
        <v>9771</v>
      </c>
      <c r="C5689" t="s">
        <v>8</v>
      </c>
      <c r="D5689">
        <v>1.3859999999999999</v>
      </c>
      <c r="E5689">
        <v>444</v>
      </c>
      <c r="F5689" t="str">
        <f>HYPERLINK("https://www.google.com/maps/search/?api=1&amp;query=24.57079633,46.64131907", "View Map")</f>
        <v>View Map</v>
      </c>
    </row>
    <row r="5690" spans="1:7" x14ac:dyDescent="0.3">
      <c r="A5690" t="s">
        <v>9772</v>
      </c>
      <c r="B5690" t="s">
        <v>9773</v>
      </c>
      <c r="C5690" t="s">
        <v>8</v>
      </c>
      <c r="D5690">
        <v>1.385</v>
      </c>
      <c r="E5690">
        <v>443</v>
      </c>
      <c r="F5690" t="str">
        <f>HYPERLINK("https://www.google.com/maps/search/?api=1&amp;query=24.70717407,46.83091194", "View Map")</f>
        <v>View Map</v>
      </c>
    </row>
    <row r="5691" spans="1:7" x14ac:dyDescent="0.3">
      <c r="A5691" t="s">
        <v>9774</v>
      </c>
      <c r="B5691" t="s">
        <v>9775</v>
      </c>
      <c r="C5691" t="s">
        <v>214</v>
      </c>
      <c r="D5691">
        <v>1.385</v>
      </c>
      <c r="E5691">
        <v>443</v>
      </c>
      <c r="F5691" t="str">
        <f>HYPERLINK("https://www.google.com/maps/search/?api=1&amp;query=26.86940434,45.2427869", "View Map")</f>
        <v>View Map</v>
      </c>
      <c r="G5691" s="2">
        <v>0.61129641828566439</v>
      </c>
    </row>
    <row r="5692" spans="1:7" x14ac:dyDescent="0.3">
      <c r="A5692" t="s">
        <v>46</v>
      </c>
      <c r="B5692" t="s">
        <v>9776</v>
      </c>
      <c r="C5692" t="s">
        <v>8</v>
      </c>
      <c r="D5692">
        <v>1.3839999999999999</v>
      </c>
      <c r="E5692">
        <v>443</v>
      </c>
      <c r="F5692" t="str">
        <f>HYPERLINK("https://www.google.com/maps/search/?api=1&amp;query=24.84375129,46.79091178", "View Map")</f>
        <v>View Map</v>
      </c>
    </row>
    <row r="5693" spans="1:7" x14ac:dyDescent="0.3">
      <c r="A5693" t="s">
        <v>9777</v>
      </c>
      <c r="B5693" t="s">
        <v>9778</v>
      </c>
      <c r="C5693" t="s">
        <v>8</v>
      </c>
      <c r="D5693">
        <v>1.3839999999999999</v>
      </c>
      <c r="E5693">
        <v>443</v>
      </c>
      <c r="F5693" t="str">
        <f>HYPERLINK("https://www.google.com/maps/search/?api=1&amp;query=24.54055877,46.65375804", "View Map")</f>
        <v>View Map</v>
      </c>
    </row>
    <row r="5694" spans="1:7" x14ac:dyDescent="0.3">
      <c r="A5694" t="s">
        <v>9779</v>
      </c>
      <c r="B5694" t="s">
        <v>9780</v>
      </c>
      <c r="C5694" t="s">
        <v>8</v>
      </c>
      <c r="D5694">
        <v>1.3839999999999999</v>
      </c>
      <c r="E5694">
        <v>443</v>
      </c>
      <c r="F5694" t="str">
        <f>HYPERLINK("https://www.google.com/maps/search/?api=1&amp;query=24.78029907,46.81830926", "View Map")</f>
        <v>View Map</v>
      </c>
    </row>
    <row r="5695" spans="1:7" x14ac:dyDescent="0.3">
      <c r="A5695" t="s">
        <v>73</v>
      </c>
      <c r="B5695" t="s">
        <v>9781</v>
      </c>
      <c r="C5695" t="s">
        <v>8</v>
      </c>
      <c r="D5695">
        <v>1.3839999999999999</v>
      </c>
      <c r="E5695">
        <v>443</v>
      </c>
      <c r="F5695" t="str">
        <f>HYPERLINK("https://www.google.com/maps/search/?api=1&amp;query=24.86409161,46.63442743", "View Map")</f>
        <v>View Map</v>
      </c>
    </row>
    <row r="5696" spans="1:7" x14ac:dyDescent="0.3">
      <c r="A5696" t="s">
        <v>9782</v>
      </c>
      <c r="B5696" t="s">
        <v>9783</v>
      </c>
      <c r="C5696" t="s">
        <v>296</v>
      </c>
      <c r="D5696">
        <v>1.3839999999999999</v>
      </c>
      <c r="E5696">
        <v>443</v>
      </c>
      <c r="F5696" t="str">
        <f>HYPERLINK("https://www.google.com/maps/search/?api=1&amp;query=24.46086563,46.26911211", "View Map")</f>
        <v>View Map</v>
      </c>
    </row>
    <row r="5697" spans="1:7" x14ac:dyDescent="0.3">
      <c r="A5697" t="s">
        <v>9784</v>
      </c>
      <c r="B5697" t="s">
        <v>9785</v>
      </c>
      <c r="C5697" t="s">
        <v>8</v>
      </c>
      <c r="D5697">
        <v>1.383</v>
      </c>
      <c r="E5697">
        <v>442</v>
      </c>
      <c r="F5697" t="str">
        <f>HYPERLINK("https://www.google.com/maps/search/?api=1&amp;query=24.69832148,46.70781442", "View Map")</f>
        <v>View Map</v>
      </c>
    </row>
    <row r="5698" spans="1:7" x14ac:dyDescent="0.3">
      <c r="A5698" t="s">
        <v>9786</v>
      </c>
      <c r="B5698" t="s">
        <v>9787</v>
      </c>
      <c r="C5698" t="s">
        <v>21</v>
      </c>
      <c r="D5698">
        <v>1.383</v>
      </c>
      <c r="E5698">
        <v>442</v>
      </c>
      <c r="F5698" t="str">
        <f>HYPERLINK("https://www.google.com/maps/search/?api=1&amp;query=26.2760316,44.79253332", "View Map")</f>
        <v>View Map</v>
      </c>
      <c r="G5698" s="2">
        <v>0.53243928120098183</v>
      </c>
    </row>
    <row r="5699" spans="1:7" x14ac:dyDescent="0.3">
      <c r="A5699" t="s">
        <v>9788</v>
      </c>
      <c r="B5699" t="s">
        <v>9789</v>
      </c>
      <c r="C5699" t="s">
        <v>214</v>
      </c>
      <c r="D5699">
        <v>1.383</v>
      </c>
      <c r="E5699">
        <v>442</v>
      </c>
      <c r="F5699" t="str">
        <f>HYPERLINK("https://www.google.com/maps/search/?api=1&amp;query=25.9222978,45.35924153", "View Map")</f>
        <v>View Map</v>
      </c>
      <c r="G5699" s="2">
        <v>0.38115114386056131</v>
      </c>
    </row>
    <row r="5700" spans="1:7" x14ac:dyDescent="0.3">
      <c r="A5700" t="s">
        <v>9790</v>
      </c>
      <c r="B5700" t="s">
        <v>9791</v>
      </c>
      <c r="C5700" t="s">
        <v>291</v>
      </c>
      <c r="D5700">
        <v>1.383</v>
      </c>
      <c r="E5700">
        <v>443</v>
      </c>
      <c r="F5700" t="str">
        <f>HYPERLINK("https://www.google.com/maps/search/?api=1&amp;query=23.47397549,44.37246952", "View Map")</f>
        <v>View Map</v>
      </c>
      <c r="G5700" s="2">
        <v>0.36113708473716571</v>
      </c>
    </row>
    <row r="5701" spans="1:7" x14ac:dyDescent="0.3">
      <c r="A5701" t="s">
        <v>9792</v>
      </c>
      <c r="B5701" t="s">
        <v>9793</v>
      </c>
      <c r="C5701" t="s">
        <v>8</v>
      </c>
      <c r="D5701">
        <v>1.3819999999999999</v>
      </c>
      <c r="E5701">
        <v>442</v>
      </c>
      <c r="F5701" t="str">
        <f>HYPERLINK("https://www.google.com/maps/search/?api=1&amp;query=24.6279413,46.65734119", "View Map")</f>
        <v>View Map</v>
      </c>
    </row>
    <row r="5702" spans="1:7" x14ac:dyDescent="0.3">
      <c r="A5702" t="s">
        <v>3350</v>
      </c>
      <c r="B5702" t="s">
        <v>9794</v>
      </c>
      <c r="C5702" t="s">
        <v>8</v>
      </c>
      <c r="D5702">
        <v>1.3819999999999999</v>
      </c>
      <c r="E5702">
        <v>442</v>
      </c>
      <c r="F5702" t="str">
        <f>HYPERLINK("https://www.google.com/maps/search/?api=1&amp;query=24.56657566,46.63072662", "View Map")</f>
        <v>View Map</v>
      </c>
    </row>
    <row r="5703" spans="1:7" x14ac:dyDescent="0.3">
      <c r="A5703" t="s">
        <v>150</v>
      </c>
      <c r="B5703" t="s">
        <v>9795</v>
      </c>
      <c r="C5703" t="s">
        <v>8</v>
      </c>
      <c r="D5703">
        <v>1.381</v>
      </c>
      <c r="E5703">
        <v>442</v>
      </c>
      <c r="F5703" t="str">
        <f>HYPERLINK("https://www.google.com/maps/search/?api=1&amp;query=24.82796432,46.76651492", "View Map")</f>
        <v>View Map</v>
      </c>
    </row>
    <row r="5704" spans="1:7" x14ac:dyDescent="0.3">
      <c r="A5704" t="s">
        <v>9796</v>
      </c>
      <c r="B5704" t="s">
        <v>9797</v>
      </c>
      <c r="C5704" t="s">
        <v>30</v>
      </c>
      <c r="D5704">
        <v>1.381</v>
      </c>
      <c r="E5704">
        <v>442</v>
      </c>
      <c r="F5704" t="str">
        <f>HYPERLINK("https://www.google.com/maps/search/?api=1&amp;query=24.15753321,47.3309118", "View Map")</f>
        <v>View Map</v>
      </c>
    </row>
    <row r="5705" spans="1:7" x14ac:dyDescent="0.3">
      <c r="A5705" t="s">
        <v>6801</v>
      </c>
      <c r="B5705" t="s">
        <v>9798</v>
      </c>
      <c r="C5705" t="s">
        <v>8</v>
      </c>
      <c r="D5705">
        <v>1.38</v>
      </c>
      <c r="E5705">
        <v>442</v>
      </c>
      <c r="F5705" t="str">
        <f>HYPERLINK("https://www.google.com/maps/search/?api=1&amp;query=24.58993157,46.65970334", "View Map")</f>
        <v>View Map</v>
      </c>
    </row>
    <row r="5706" spans="1:7" x14ac:dyDescent="0.3">
      <c r="A5706" t="s">
        <v>2978</v>
      </c>
      <c r="B5706" t="s">
        <v>9799</v>
      </c>
      <c r="C5706" t="s">
        <v>8</v>
      </c>
      <c r="D5706">
        <v>1.38</v>
      </c>
      <c r="E5706">
        <v>442</v>
      </c>
      <c r="F5706" t="str">
        <f>HYPERLINK("https://www.google.com/maps/search/?api=1&amp;query=24.6929258,46.66634433", "View Map")</f>
        <v>View Map</v>
      </c>
      <c r="G5706" s="2">
        <v>0.68827231221254426</v>
      </c>
    </row>
    <row r="5707" spans="1:7" x14ac:dyDescent="0.3">
      <c r="A5707" t="s">
        <v>9800</v>
      </c>
      <c r="B5707" t="s">
        <v>9801</v>
      </c>
      <c r="C5707" t="s">
        <v>8</v>
      </c>
      <c r="D5707">
        <v>1.38</v>
      </c>
      <c r="E5707">
        <v>442</v>
      </c>
      <c r="F5707" t="str">
        <f>HYPERLINK("https://www.google.com/maps/search/?api=1&amp;query=24.63290662,46.60971567", "View Map")</f>
        <v>View Map</v>
      </c>
    </row>
    <row r="5708" spans="1:7" x14ac:dyDescent="0.3">
      <c r="A5708" t="s">
        <v>9802</v>
      </c>
      <c r="B5708" t="s">
        <v>9803</v>
      </c>
      <c r="C5708" t="s">
        <v>270</v>
      </c>
      <c r="D5708">
        <v>1.38</v>
      </c>
      <c r="E5708">
        <v>442</v>
      </c>
      <c r="F5708" t="str">
        <f>HYPERLINK("https://www.google.com/maps/search/?api=1&amp;query=23.6498131,47.1044016", "View Map")</f>
        <v>View Map</v>
      </c>
      <c r="G5708" s="2">
        <v>0.70315418542163188</v>
      </c>
    </row>
    <row r="5709" spans="1:7" x14ac:dyDescent="0.3">
      <c r="A5709" t="s">
        <v>9804</v>
      </c>
      <c r="B5709" t="s">
        <v>9805</v>
      </c>
      <c r="C5709" t="s">
        <v>30</v>
      </c>
      <c r="D5709">
        <v>1.38</v>
      </c>
      <c r="E5709">
        <v>442</v>
      </c>
      <c r="F5709" t="str">
        <f>HYPERLINK("https://www.google.com/maps/search/?api=1&amp;query=24.14282795,47.34988422", "View Map")</f>
        <v>View Map</v>
      </c>
    </row>
    <row r="5710" spans="1:7" x14ac:dyDescent="0.3">
      <c r="A5710" t="s">
        <v>7458</v>
      </c>
      <c r="B5710" t="s">
        <v>9806</v>
      </c>
      <c r="C5710" t="s">
        <v>8</v>
      </c>
      <c r="D5710">
        <v>1.38</v>
      </c>
      <c r="E5710">
        <v>442</v>
      </c>
      <c r="F5710" t="str">
        <f>HYPERLINK("https://www.google.com/maps/search/?api=1&amp;query=24.58553483,46.5749258", "View Map")</f>
        <v>View Map</v>
      </c>
    </row>
    <row r="5711" spans="1:7" x14ac:dyDescent="0.3">
      <c r="A5711" t="s">
        <v>9807</v>
      </c>
      <c r="B5711" t="s">
        <v>9808</v>
      </c>
      <c r="C5711" t="s">
        <v>255</v>
      </c>
      <c r="D5711">
        <v>1.38</v>
      </c>
      <c r="E5711">
        <v>442</v>
      </c>
      <c r="F5711" t="str">
        <f>HYPERLINK("https://www.google.com/maps/search/?api=1&amp;query=24.73012832,44.30650819", "View Map")</f>
        <v>View Map</v>
      </c>
      <c r="G5711" s="2">
        <v>0.4093013937052456</v>
      </c>
    </row>
    <row r="5712" spans="1:7" x14ac:dyDescent="0.3">
      <c r="A5712" t="s">
        <v>28</v>
      </c>
      <c r="B5712" t="s">
        <v>9809</v>
      </c>
      <c r="C5712" t="s">
        <v>30</v>
      </c>
      <c r="D5712">
        <v>1.379</v>
      </c>
      <c r="E5712">
        <v>441</v>
      </c>
      <c r="F5712" t="str">
        <f>HYPERLINK("https://www.google.com/maps/search/?api=1&amp;query=23.99141281,47.33102664", "View Map")</f>
        <v>View Map</v>
      </c>
      <c r="G5712" s="2">
        <v>0.41871316466574299</v>
      </c>
    </row>
    <row r="5713" spans="1:7" x14ac:dyDescent="0.3">
      <c r="A5713" t="s">
        <v>3000</v>
      </c>
      <c r="B5713" t="s">
        <v>9810</v>
      </c>
      <c r="C5713" t="s">
        <v>8</v>
      </c>
      <c r="D5713">
        <v>1.379</v>
      </c>
      <c r="E5713">
        <v>441</v>
      </c>
      <c r="F5713" t="str">
        <f>HYPERLINK("https://www.google.com/maps/search/?api=1&amp;query=24.74113231,46.7541525", "View Map")</f>
        <v>View Map</v>
      </c>
    </row>
    <row r="5714" spans="1:7" x14ac:dyDescent="0.3">
      <c r="A5714" t="s">
        <v>9811</v>
      </c>
      <c r="B5714" t="s">
        <v>9812</v>
      </c>
      <c r="C5714" t="s">
        <v>30</v>
      </c>
      <c r="D5714">
        <v>1.379</v>
      </c>
      <c r="E5714">
        <v>441</v>
      </c>
      <c r="F5714" t="str">
        <f>HYPERLINK("https://www.google.com/maps/search/?api=1&amp;query=24.14416276,47.34185644", "View Map")</f>
        <v>View Map</v>
      </c>
    </row>
    <row r="5715" spans="1:7" x14ac:dyDescent="0.3">
      <c r="A5715" t="s">
        <v>380</v>
      </c>
      <c r="B5715" t="s">
        <v>9813</v>
      </c>
      <c r="C5715" t="s">
        <v>214</v>
      </c>
      <c r="D5715">
        <v>1.379</v>
      </c>
      <c r="E5715">
        <v>441</v>
      </c>
      <c r="F5715" t="str">
        <f>HYPERLINK("https://www.google.com/maps/search/?api=1&amp;query=25.71415765,45.85595895", "View Map")</f>
        <v>View Map</v>
      </c>
      <c r="G5715" s="2">
        <v>0.77223207244533432</v>
      </c>
    </row>
    <row r="5716" spans="1:7" x14ac:dyDescent="0.3">
      <c r="A5716" t="s">
        <v>9814</v>
      </c>
      <c r="B5716" t="s">
        <v>9815</v>
      </c>
      <c r="C5716" t="s">
        <v>291</v>
      </c>
      <c r="D5716">
        <v>1.3779999999999999</v>
      </c>
      <c r="E5716">
        <v>441</v>
      </c>
      <c r="F5716" t="str">
        <f>HYPERLINK("https://www.google.com/maps/search/?api=1&amp;query=23.7320364,45.15953822", "View Map")</f>
        <v>View Map</v>
      </c>
      <c r="G5716" s="2">
        <v>0.72612757224245628</v>
      </c>
    </row>
    <row r="5717" spans="1:7" x14ac:dyDescent="0.3">
      <c r="A5717" t="s">
        <v>9816</v>
      </c>
      <c r="B5717" t="s">
        <v>9817</v>
      </c>
      <c r="C5717" t="s">
        <v>8</v>
      </c>
      <c r="D5717">
        <v>1.3779999999999999</v>
      </c>
      <c r="E5717">
        <v>441</v>
      </c>
      <c r="F5717" t="str">
        <f>HYPERLINK("https://www.google.com/maps/search/?api=1&amp;query=24.59341368,46.64813716", "View Map")</f>
        <v>View Map</v>
      </c>
    </row>
    <row r="5718" spans="1:7" x14ac:dyDescent="0.3">
      <c r="A5718" t="s">
        <v>9818</v>
      </c>
      <c r="B5718" t="s">
        <v>9819</v>
      </c>
      <c r="C5718" t="s">
        <v>8</v>
      </c>
      <c r="D5718">
        <v>1.3779999999999999</v>
      </c>
      <c r="E5718">
        <v>441</v>
      </c>
      <c r="F5718" t="str">
        <f>HYPERLINK("https://www.google.com/maps/search/?api=1&amp;query=24.6577291,46.66700156", "View Map")</f>
        <v>View Map</v>
      </c>
    </row>
    <row r="5719" spans="1:7" x14ac:dyDescent="0.3">
      <c r="A5719" t="s">
        <v>1273</v>
      </c>
      <c r="B5719" t="s">
        <v>9820</v>
      </c>
      <c r="C5719" t="s">
        <v>241</v>
      </c>
      <c r="D5719">
        <v>1.377</v>
      </c>
      <c r="E5719">
        <v>441</v>
      </c>
      <c r="F5719" t="str">
        <f>HYPERLINK("https://www.google.com/maps/search/?api=1&amp;query=20.40024402,44.62519994", "View Map")</f>
        <v>View Map</v>
      </c>
      <c r="G5719" s="2">
        <v>0.75513486964759846</v>
      </c>
    </row>
    <row r="5720" spans="1:7" x14ac:dyDescent="0.3">
      <c r="A5720" t="s">
        <v>2919</v>
      </c>
      <c r="B5720" t="s">
        <v>9821</v>
      </c>
      <c r="C5720" t="s">
        <v>8</v>
      </c>
      <c r="D5720">
        <v>1.377</v>
      </c>
      <c r="E5720">
        <v>441</v>
      </c>
      <c r="F5720" t="str">
        <f>HYPERLINK("https://www.google.com/maps/search/?api=1&amp;query=24.58080134,46.67239954", "View Map")</f>
        <v>View Map</v>
      </c>
    </row>
    <row r="5721" spans="1:7" x14ac:dyDescent="0.3">
      <c r="A5721" t="s">
        <v>7765</v>
      </c>
      <c r="B5721" t="s">
        <v>9822</v>
      </c>
      <c r="C5721" t="s">
        <v>8</v>
      </c>
      <c r="D5721">
        <v>1.377</v>
      </c>
      <c r="E5721">
        <v>441</v>
      </c>
      <c r="F5721" t="str">
        <f>HYPERLINK("https://www.google.com/maps/search/?api=1&amp;query=24.59284777,46.58336105", "View Map")</f>
        <v>View Map</v>
      </c>
    </row>
    <row r="5722" spans="1:7" x14ac:dyDescent="0.3">
      <c r="A5722" t="s">
        <v>9823</v>
      </c>
      <c r="B5722" t="s">
        <v>9824</v>
      </c>
      <c r="C5722" t="s">
        <v>77</v>
      </c>
      <c r="D5722">
        <v>1.3759999999999999</v>
      </c>
      <c r="E5722">
        <v>440</v>
      </c>
      <c r="F5722" t="str">
        <f>HYPERLINK("https://www.google.com/maps/search/?api=1&amp;query=22.55867186,45.41692532", "View Map")</f>
        <v>View Map</v>
      </c>
      <c r="G5722" s="2">
        <v>0.6953261651493885</v>
      </c>
    </row>
    <row r="5723" spans="1:7" x14ac:dyDescent="0.3">
      <c r="A5723" t="s">
        <v>9825</v>
      </c>
      <c r="B5723" t="s">
        <v>9826</v>
      </c>
      <c r="C5723" t="s">
        <v>291</v>
      </c>
      <c r="D5723">
        <v>1.3759999999999999</v>
      </c>
      <c r="E5723">
        <v>440</v>
      </c>
      <c r="F5723" t="str">
        <f>HYPERLINK("https://www.google.com/maps/search/?api=1&amp;query=24.15187082,45.28216069", "View Map")</f>
        <v>View Map</v>
      </c>
      <c r="G5723" s="2">
        <v>0.40291266544470827</v>
      </c>
    </row>
    <row r="5724" spans="1:7" x14ac:dyDescent="0.3">
      <c r="A5724" t="s">
        <v>9827</v>
      </c>
      <c r="B5724" t="s">
        <v>9828</v>
      </c>
      <c r="C5724" t="s">
        <v>286</v>
      </c>
      <c r="D5724">
        <v>1.375</v>
      </c>
      <c r="E5724">
        <v>440</v>
      </c>
      <c r="F5724" t="str">
        <f>HYPERLINK("https://www.google.com/maps/search/?api=1&amp;query=25.34063249,45.17601513", "View Map")</f>
        <v>View Map</v>
      </c>
      <c r="G5724" s="2">
        <v>0.57731492203525159</v>
      </c>
    </row>
    <row r="5725" spans="1:7" x14ac:dyDescent="0.3">
      <c r="A5725" t="s">
        <v>9829</v>
      </c>
      <c r="B5725" t="s">
        <v>9830</v>
      </c>
      <c r="C5725" t="s">
        <v>286</v>
      </c>
      <c r="D5725">
        <v>1.375</v>
      </c>
      <c r="E5725">
        <v>440</v>
      </c>
      <c r="F5725" t="str">
        <f>HYPERLINK("https://www.google.com/maps/search/?api=1&amp;query=25.25178451,45.21928217", "View Map")</f>
        <v>View Map</v>
      </c>
      <c r="G5725" s="2">
        <v>0.45508272872317218</v>
      </c>
    </row>
    <row r="5726" spans="1:7" x14ac:dyDescent="0.3">
      <c r="A5726" t="s">
        <v>9831</v>
      </c>
      <c r="B5726" t="s">
        <v>9832</v>
      </c>
      <c r="C5726" t="s">
        <v>21</v>
      </c>
      <c r="D5726">
        <v>1.375</v>
      </c>
      <c r="E5726">
        <v>440</v>
      </c>
      <c r="F5726" t="str">
        <f>HYPERLINK("https://www.google.com/maps/search/?api=1&amp;query=26.28945926,44.83850023", "View Map")</f>
        <v>View Map</v>
      </c>
    </row>
    <row r="5727" spans="1:7" x14ac:dyDescent="0.3">
      <c r="A5727" t="s">
        <v>9833</v>
      </c>
      <c r="B5727" t="s">
        <v>9834</v>
      </c>
      <c r="C5727" t="s">
        <v>8</v>
      </c>
      <c r="D5727">
        <v>1.375</v>
      </c>
      <c r="E5727">
        <v>440</v>
      </c>
      <c r="F5727" t="str">
        <f>HYPERLINK("https://www.google.com/maps/search/?api=1&amp;query=24.54926874,46.70853761", "View Map")</f>
        <v>View Map</v>
      </c>
    </row>
    <row r="5728" spans="1:7" x14ac:dyDescent="0.3">
      <c r="A5728" t="s">
        <v>46</v>
      </c>
      <c r="B5728" t="s">
        <v>9835</v>
      </c>
      <c r="C5728" t="s">
        <v>8</v>
      </c>
      <c r="D5728">
        <v>1.3740000000000001</v>
      </c>
      <c r="E5728">
        <v>440</v>
      </c>
      <c r="F5728" t="str">
        <f>HYPERLINK("https://www.google.com/maps/search/?api=1&amp;query=24.69526415,46.83329078", "View Map")</f>
        <v>View Map</v>
      </c>
    </row>
    <row r="5729" spans="1:7" x14ac:dyDescent="0.3">
      <c r="A5729" t="s">
        <v>9836</v>
      </c>
      <c r="B5729" t="s">
        <v>9837</v>
      </c>
      <c r="C5729" t="s">
        <v>8</v>
      </c>
      <c r="D5729">
        <v>1.373</v>
      </c>
      <c r="E5729">
        <v>439</v>
      </c>
      <c r="F5729" t="str">
        <f>HYPERLINK("https://www.google.com/maps/search/?api=1&amp;query=24.58976297,46.55213702", "View Map")</f>
        <v>View Map</v>
      </c>
    </row>
    <row r="5730" spans="1:7" x14ac:dyDescent="0.3">
      <c r="A5730" t="s">
        <v>46</v>
      </c>
      <c r="B5730" t="s">
        <v>9838</v>
      </c>
      <c r="C5730" t="s">
        <v>8</v>
      </c>
      <c r="D5730">
        <v>1.373</v>
      </c>
      <c r="E5730">
        <v>439</v>
      </c>
      <c r="F5730" t="str">
        <f>HYPERLINK("https://www.google.com/maps/search/?api=1&amp;query=24.76833018,46.62053221", "View Map")</f>
        <v>View Map</v>
      </c>
    </row>
    <row r="5731" spans="1:7" x14ac:dyDescent="0.3">
      <c r="A5731" t="s">
        <v>1273</v>
      </c>
      <c r="B5731" t="s">
        <v>9839</v>
      </c>
      <c r="C5731" t="s">
        <v>241</v>
      </c>
      <c r="D5731">
        <v>1.373</v>
      </c>
      <c r="E5731">
        <v>439</v>
      </c>
      <c r="F5731" t="str">
        <f>HYPERLINK("https://www.google.com/maps/search/?api=1&amp;query=20.48888519,44.69203228", "View Map")</f>
        <v>View Map</v>
      </c>
      <c r="G5731" s="2">
        <v>0.40806148266078229</v>
      </c>
    </row>
    <row r="5732" spans="1:7" x14ac:dyDescent="0.3">
      <c r="A5732" t="s">
        <v>9840</v>
      </c>
      <c r="B5732" t="s">
        <v>9841</v>
      </c>
      <c r="C5732" t="s">
        <v>296</v>
      </c>
      <c r="D5732">
        <v>1.373</v>
      </c>
      <c r="E5732">
        <v>439</v>
      </c>
      <c r="F5732" t="str">
        <f>HYPERLINK("https://www.google.com/maps/search/?api=1&amp;query=24.16322961,46.22191463", "View Map")</f>
        <v>View Map</v>
      </c>
      <c r="G5732" s="2">
        <v>0.74084282298293758</v>
      </c>
    </row>
    <row r="5733" spans="1:7" x14ac:dyDescent="0.3">
      <c r="A5733" t="s">
        <v>9842</v>
      </c>
      <c r="B5733" t="s">
        <v>9843</v>
      </c>
      <c r="C5733" t="s">
        <v>8</v>
      </c>
      <c r="D5733">
        <v>1.3720000000000001</v>
      </c>
      <c r="E5733">
        <v>439</v>
      </c>
      <c r="F5733" t="str">
        <f>HYPERLINK("https://www.google.com/maps/search/?api=1&amp;query=24.6061,46.7211", "View Map")</f>
        <v>View Map</v>
      </c>
    </row>
    <row r="5734" spans="1:7" x14ac:dyDescent="0.3">
      <c r="A5734" t="s">
        <v>2597</v>
      </c>
      <c r="B5734" t="s">
        <v>9844</v>
      </c>
      <c r="C5734" t="s">
        <v>291</v>
      </c>
      <c r="D5734">
        <v>1.3720000000000001</v>
      </c>
      <c r="E5734">
        <v>439</v>
      </c>
      <c r="F5734" t="str">
        <f>HYPERLINK("https://www.google.com/maps/search/?api=1&amp;query=23.70528454,44.88882774", "View Map")</f>
        <v>View Map</v>
      </c>
      <c r="G5734" s="2">
        <v>0.33976291873553099</v>
      </c>
    </row>
    <row r="5735" spans="1:7" x14ac:dyDescent="0.3">
      <c r="A5735" t="s">
        <v>9845</v>
      </c>
      <c r="B5735" t="s">
        <v>9846</v>
      </c>
      <c r="C5735" t="s">
        <v>8</v>
      </c>
      <c r="D5735">
        <v>1.3720000000000001</v>
      </c>
      <c r="E5735">
        <v>439</v>
      </c>
      <c r="F5735" t="str">
        <f>HYPERLINK("https://www.google.com/maps/search/?api=1&amp;query=24.75950667,46.70961891", "View Map")</f>
        <v>View Map</v>
      </c>
    </row>
    <row r="5736" spans="1:7" x14ac:dyDescent="0.3">
      <c r="A5736" t="s">
        <v>4653</v>
      </c>
      <c r="B5736" t="s">
        <v>9847</v>
      </c>
      <c r="C5736" t="s">
        <v>8</v>
      </c>
      <c r="D5736">
        <v>1.3720000000000001</v>
      </c>
      <c r="E5736">
        <v>439</v>
      </c>
      <c r="F5736" t="str">
        <f>HYPERLINK("https://www.google.com/maps/search/?api=1&amp;query=24.8064163,46.80970559", "View Map")</f>
        <v>View Map</v>
      </c>
    </row>
    <row r="5737" spans="1:7" x14ac:dyDescent="0.3">
      <c r="A5737" t="s">
        <v>9848</v>
      </c>
      <c r="B5737" t="s">
        <v>9849</v>
      </c>
      <c r="C5737" t="s">
        <v>8</v>
      </c>
      <c r="D5737">
        <v>1.3720000000000001</v>
      </c>
      <c r="E5737">
        <v>439</v>
      </c>
      <c r="F5737" t="str">
        <f>HYPERLINK("https://www.google.com/maps/search/?api=1&amp;query=24.63267259,46.59960982", "View Map")</f>
        <v>View Map</v>
      </c>
    </row>
    <row r="5738" spans="1:7" x14ac:dyDescent="0.3">
      <c r="A5738" t="s">
        <v>637</v>
      </c>
      <c r="B5738" t="s">
        <v>9850</v>
      </c>
      <c r="C5738" t="s">
        <v>8</v>
      </c>
      <c r="D5738">
        <v>1.3720000000000001</v>
      </c>
      <c r="E5738">
        <v>439</v>
      </c>
      <c r="F5738" t="str">
        <f>HYPERLINK("https://www.google.com/maps/search/?api=1&amp;query=24.61836314,46.54493916", "View Map")</f>
        <v>View Map</v>
      </c>
    </row>
    <row r="5739" spans="1:7" x14ac:dyDescent="0.3">
      <c r="A5739" t="s">
        <v>9851</v>
      </c>
      <c r="B5739" t="s">
        <v>9852</v>
      </c>
      <c r="C5739" t="s">
        <v>393</v>
      </c>
      <c r="D5739">
        <v>1.3720000000000001</v>
      </c>
      <c r="E5739">
        <v>439</v>
      </c>
      <c r="F5739" t="str">
        <f>HYPERLINK("https://www.google.com/maps/search/?api=1&amp;query=22.6656814,44.73859422", "View Map")</f>
        <v>View Map</v>
      </c>
      <c r="G5739" s="2">
        <v>0.74332313345445689</v>
      </c>
    </row>
    <row r="5740" spans="1:7" x14ac:dyDescent="0.3">
      <c r="A5740" t="s">
        <v>9853</v>
      </c>
      <c r="B5740" t="s">
        <v>9854</v>
      </c>
      <c r="C5740" t="s">
        <v>364</v>
      </c>
      <c r="D5740">
        <v>1.3720000000000001</v>
      </c>
      <c r="E5740">
        <v>439</v>
      </c>
      <c r="F5740" t="str">
        <f>HYPERLINK("https://www.google.com/maps/search/?api=1&amp;query=25.2207729,45.75329728", "View Map")</f>
        <v>View Map</v>
      </c>
    </row>
    <row r="5741" spans="1:7" x14ac:dyDescent="0.3">
      <c r="A5741" t="s">
        <v>1349</v>
      </c>
      <c r="B5741" t="s">
        <v>9855</v>
      </c>
      <c r="C5741" t="s">
        <v>270</v>
      </c>
      <c r="D5741">
        <v>1.3720000000000001</v>
      </c>
      <c r="E5741">
        <v>439</v>
      </c>
      <c r="F5741" t="str">
        <f>HYPERLINK("https://www.google.com/maps/search/?api=1&amp;query=23.99528546,47.14663097", "View Map")</f>
        <v>View Map</v>
      </c>
    </row>
    <row r="5742" spans="1:7" x14ac:dyDescent="0.3">
      <c r="A5742" t="s">
        <v>1303</v>
      </c>
      <c r="B5742" t="s">
        <v>9856</v>
      </c>
      <c r="C5742" t="s">
        <v>8</v>
      </c>
      <c r="D5742">
        <v>1.3720000000000001</v>
      </c>
      <c r="E5742">
        <v>439</v>
      </c>
      <c r="F5742" t="str">
        <f>HYPERLINK("https://www.google.com/maps/search/?api=1&amp;query=24.6991443,46.80976738", "View Map")</f>
        <v>View Map</v>
      </c>
      <c r="G5742" s="2">
        <v>0.68528899898977935</v>
      </c>
    </row>
    <row r="5743" spans="1:7" x14ac:dyDescent="0.3">
      <c r="A5743" t="s">
        <v>9857</v>
      </c>
      <c r="B5743" t="s">
        <v>9858</v>
      </c>
      <c r="C5743" t="s">
        <v>8</v>
      </c>
      <c r="D5743">
        <v>1.3720000000000001</v>
      </c>
      <c r="E5743">
        <v>439</v>
      </c>
      <c r="F5743" t="str">
        <f>HYPERLINK("https://www.google.com/maps/search/?api=1&amp;query=24.600182,46.57826003", "View Map")</f>
        <v>View Map</v>
      </c>
    </row>
    <row r="5744" spans="1:7" x14ac:dyDescent="0.3">
      <c r="A5744" t="s">
        <v>9859</v>
      </c>
      <c r="B5744" t="s">
        <v>9860</v>
      </c>
      <c r="C5744" t="s">
        <v>291</v>
      </c>
      <c r="D5744">
        <v>1.3720000000000001</v>
      </c>
      <c r="E5744">
        <v>439</v>
      </c>
      <c r="F5744" t="str">
        <f>HYPERLINK("https://www.google.com/maps/search/?api=1&amp;query=24.47487182,45.66728579", "View Map")</f>
        <v>View Map</v>
      </c>
      <c r="G5744" s="2">
        <v>0.49934588571705513</v>
      </c>
    </row>
    <row r="5745" spans="1:7" x14ac:dyDescent="0.3">
      <c r="A5745" t="s">
        <v>9861</v>
      </c>
      <c r="B5745" t="s">
        <v>9862</v>
      </c>
      <c r="C5745" t="s">
        <v>291</v>
      </c>
      <c r="D5745">
        <v>1.3720000000000001</v>
      </c>
      <c r="E5745">
        <v>439</v>
      </c>
      <c r="F5745" t="str">
        <f>HYPERLINK("https://www.google.com/maps/search/?api=1&amp;query=24.38066598,45.89888045", "View Map")</f>
        <v>View Map</v>
      </c>
      <c r="G5745" s="2">
        <v>0.37301071159337251</v>
      </c>
    </row>
    <row r="5746" spans="1:7" x14ac:dyDescent="0.3">
      <c r="A5746" t="s">
        <v>9863</v>
      </c>
      <c r="B5746" t="s">
        <v>9864</v>
      </c>
      <c r="C5746" t="s">
        <v>291</v>
      </c>
      <c r="D5746">
        <v>1.371</v>
      </c>
      <c r="E5746">
        <v>439</v>
      </c>
      <c r="F5746" t="str">
        <f>HYPERLINK("https://www.google.com/maps/search/?api=1&amp;query=24.08997225,45.30382836", "View Map")</f>
        <v>View Map</v>
      </c>
    </row>
    <row r="5747" spans="1:7" x14ac:dyDescent="0.3">
      <c r="A5747" t="s">
        <v>2848</v>
      </c>
      <c r="B5747" t="s">
        <v>9865</v>
      </c>
      <c r="C5747" t="s">
        <v>214</v>
      </c>
      <c r="D5747">
        <v>1.371</v>
      </c>
      <c r="E5747">
        <v>439</v>
      </c>
      <c r="F5747" t="str">
        <f>HYPERLINK("https://www.google.com/maps/search/?api=1&amp;query=26.51610134,45.35378274", "View Map")</f>
        <v>View Map</v>
      </c>
      <c r="G5747" s="2">
        <v>0.54845713887839964</v>
      </c>
    </row>
    <row r="5748" spans="1:7" x14ac:dyDescent="0.3">
      <c r="A5748" t="s">
        <v>150</v>
      </c>
      <c r="B5748" t="s">
        <v>9866</v>
      </c>
      <c r="C5748" t="s">
        <v>8</v>
      </c>
      <c r="D5748">
        <v>1.371</v>
      </c>
      <c r="E5748">
        <v>439</v>
      </c>
      <c r="F5748" t="str">
        <f>HYPERLINK("https://www.google.com/maps/search/?api=1&amp;query=24.80696893,46.69067915", "View Map")</f>
        <v>View Map</v>
      </c>
    </row>
    <row r="5749" spans="1:7" x14ac:dyDescent="0.3">
      <c r="A5749" t="s">
        <v>9867</v>
      </c>
      <c r="B5749" t="s">
        <v>9868</v>
      </c>
      <c r="C5749" t="s">
        <v>883</v>
      </c>
      <c r="D5749">
        <v>1.371</v>
      </c>
      <c r="E5749">
        <v>439</v>
      </c>
      <c r="F5749" t="str">
        <f>HYPERLINK("https://www.google.com/maps/search/?api=1&amp;query=25.57554791,47.15256028", "View Map")</f>
        <v>View Map</v>
      </c>
    </row>
    <row r="5750" spans="1:7" x14ac:dyDescent="0.3">
      <c r="A5750" t="s">
        <v>9869</v>
      </c>
      <c r="B5750" t="s">
        <v>9870</v>
      </c>
      <c r="C5750" t="s">
        <v>8</v>
      </c>
      <c r="D5750">
        <v>1.37</v>
      </c>
      <c r="E5750">
        <v>438</v>
      </c>
      <c r="F5750" t="str">
        <f>HYPERLINK("https://www.google.com/maps/search/?api=1&amp;query=24.55521152,46.76666448", "View Map")</f>
        <v>View Map</v>
      </c>
    </row>
    <row r="5751" spans="1:7" x14ac:dyDescent="0.3">
      <c r="A5751" t="s">
        <v>28</v>
      </c>
      <c r="B5751" t="s">
        <v>9871</v>
      </c>
      <c r="C5751" t="s">
        <v>30</v>
      </c>
      <c r="D5751">
        <v>1.37</v>
      </c>
      <c r="E5751">
        <v>438</v>
      </c>
      <c r="F5751" t="str">
        <f>HYPERLINK("https://www.google.com/maps/search/?api=1&amp;query=24.16525587,47.31101517", "View Map")</f>
        <v>View Map</v>
      </c>
    </row>
    <row r="5752" spans="1:7" x14ac:dyDescent="0.3">
      <c r="A5752" t="s">
        <v>9872</v>
      </c>
      <c r="B5752" t="s">
        <v>9873</v>
      </c>
      <c r="C5752" t="s">
        <v>77</v>
      </c>
      <c r="D5752">
        <v>1.369</v>
      </c>
      <c r="E5752">
        <v>438</v>
      </c>
      <c r="F5752" t="str">
        <f>HYPERLINK("https://www.google.com/maps/search/?api=1&amp;query=22.09478404,46.60777698", "View Map")</f>
        <v>View Map</v>
      </c>
      <c r="G5752" s="2">
        <v>0.81659557326002097</v>
      </c>
    </row>
    <row r="5753" spans="1:7" x14ac:dyDescent="0.3">
      <c r="A5753" t="s">
        <v>9874</v>
      </c>
      <c r="B5753" t="s">
        <v>9875</v>
      </c>
      <c r="C5753" t="s">
        <v>883</v>
      </c>
      <c r="D5753">
        <v>1.369</v>
      </c>
      <c r="E5753">
        <v>438</v>
      </c>
      <c r="F5753" t="str">
        <f>HYPERLINK("https://www.google.com/maps/search/?api=1&amp;query=25.57028937,47.1539388", "View Map")</f>
        <v>View Map</v>
      </c>
    </row>
    <row r="5754" spans="1:7" x14ac:dyDescent="0.3">
      <c r="A5754" t="s">
        <v>9876</v>
      </c>
      <c r="B5754" t="s">
        <v>9877</v>
      </c>
      <c r="C5754" t="s">
        <v>30</v>
      </c>
      <c r="D5754">
        <v>1.3680000000000001</v>
      </c>
      <c r="E5754">
        <v>438</v>
      </c>
      <c r="F5754" t="str">
        <f>HYPERLINK("https://www.google.com/maps/search/?api=1&amp;query=24.11564,47.30104", "View Map")</f>
        <v>View Map</v>
      </c>
    </row>
    <row r="5755" spans="1:7" x14ac:dyDescent="0.3">
      <c r="A5755" t="s">
        <v>9878</v>
      </c>
      <c r="B5755" t="s">
        <v>9879</v>
      </c>
      <c r="C5755" t="s">
        <v>8</v>
      </c>
      <c r="D5755">
        <v>1.3680000000000001</v>
      </c>
      <c r="E5755">
        <v>438</v>
      </c>
      <c r="F5755" t="str">
        <f>HYPERLINK("https://www.google.com/maps/search/?api=1&amp;query=24.7495465,46.79536919", "View Map")</f>
        <v>View Map</v>
      </c>
    </row>
    <row r="5756" spans="1:7" x14ac:dyDescent="0.3">
      <c r="A5756" t="s">
        <v>9880</v>
      </c>
      <c r="B5756" t="s">
        <v>9881</v>
      </c>
      <c r="C5756" t="s">
        <v>30</v>
      </c>
      <c r="D5756">
        <v>1.3680000000000001</v>
      </c>
      <c r="E5756">
        <v>438</v>
      </c>
      <c r="F5756" t="str">
        <f>HYPERLINK("https://www.google.com/maps/search/?api=1&amp;query=24.1317528,47.27933053", "View Map")</f>
        <v>View Map</v>
      </c>
    </row>
    <row r="5757" spans="1:7" x14ac:dyDescent="0.3">
      <c r="A5757" t="s">
        <v>9882</v>
      </c>
      <c r="B5757" t="s">
        <v>9883</v>
      </c>
      <c r="C5757" t="s">
        <v>364</v>
      </c>
      <c r="D5757">
        <v>1.367</v>
      </c>
      <c r="E5757">
        <v>437</v>
      </c>
      <c r="F5757" t="str">
        <f>HYPERLINK("https://www.google.com/maps/search/?api=1&amp;query=25.3022588,45.96191124", "View Map")</f>
        <v>View Map</v>
      </c>
    </row>
    <row r="5758" spans="1:7" x14ac:dyDescent="0.3">
      <c r="A5758" t="s">
        <v>1277</v>
      </c>
      <c r="B5758" t="s">
        <v>9884</v>
      </c>
      <c r="C5758" t="s">
        <v>8</v>
      </c>
      <c r="D5758">
        <v>1.367</v>
      </c>
      <c r="E5758">
        <v>438</v>
      </c>
      <c r="F5758" t="str">
        <f>HYPERLINK("https://www.google.com/maps/search/?api=1&amp;query=24.60547967,46.74862502", "View Map")</f>
        <v>View Map</v>
      </c>
    </row>
    <row r="5759" spans="1:7" x14ac:dyDescent="0.3">
      <c r="A5759" t="s">
        <v>28</v>
      </c>
      <c r="B5759" t="s">
        <v>9885</v>
      </c>
      <c r="C5759" t="s">
        <v>30</v>
      </c>
      <c r="D5759">
        <v>1.367</v>
      </c>
      <c r="E5759">
        <v>437</v>
      </c>
      <c r="F5759" t="str">
        <f>HYPERLINK("https://www.google.com/maps/search/?api=1&amp;query=24.16543716,47.37238894", "View Map")</f>
        <v>View Map</v>
      </c>
    </row>
    <row r="5760" spans="1:7" x14ac:dyDescent="0.3">
      <c r="A5760" t="s">
        <v>9886</v>
      </c>
      <c r="B5760" t="s">
        <v>9887</v>
      </c>
      <c r="C5760" t="s">
        <v>8</v>
      </c>
      <c r="D5760">
        <v>1.367</v>
      </c>
      <c r="E5760">
        <v>438</v>
      </c>
      <c r="F5760" t="str">
        <f>HYPERLINK("https://www.google.com/maps/search/?api=1&amp;query=24.84298486,46.80342975", "View Map")</f>
        <v>View Map</v>
      </c>
    </row>
    <row r="5761" spans="1:7" x14ac:dyDescent="0.3">
      <c r="A5761" t="s">
        <v>9888</v>
      </c>
      <c r="B5761" t="s">
        <v>9889</v>
      </c>
      <c r="C5761" t="s">
        <v>8</v>
      </c>
      <c r="D5761">
        <v>1.3660000000000001</v>
      </c>
      <c r="E5761">
        <v>437</v>
      </c>
      <c r="F5761" t="str">
        <f>HYPERLINK("https://www.google.com/maps/search/?api=1&amp;query=24.62840099,46.69764364", "View Map")</f>
        <v>View Map</v>
      </c>
    </row>
    <row r="5762" spans="1:7" x14ac:dyDescent="0.3">
      <c r="A5762" t="s">
        <v>9890</v>
      </c>
      <c r="B5762" t="s">
        <v>9891</v>
      </c>
      <c r="C5762" t="s">
        <v>30</v>
      </c>
      <c r="D5762">
        <v>1.3660000000000001</v>
      </c>
      <c r="E5762">
        <v>437</v>
      </c>
      <c r="F5762" t="str">
        <f>HYPERLINK("https://www.google.com/maps/search/?api=1&amp;query=24.16547531,47.32762396", "View Map")</f>
        <v>View Map</v>
      </c>
    </row>
    <row r="5763" spans="1:7" x14ac:dyDescent="0.3">
      <c r="A5763" t="s">
        <v>9892</v>
      </c>
      <c r="B5763" t="s">
        <v>9893</v>
      </c>
      <c r="C5763" t="s">
        <v>255</v>
      </c>
      <c r="D5763">
        <v>1.3660000000000001</v>
      </c>
      <c r="E5763">
        <v>437</v>
      </c>
      <c r="F5763" t="str">
        <f>HYPERLINK("https://www.google.com/maps/search/?api=1&amp;query=24.45727667,44.70477", "View Map")</f>
        <v>View Map</v>
      </c>
      <c r="G5763" s="2">
        <v>0.79315538442781464</v>
      </c>
    </row>
    <row r="5764" spans="1:7" x14ac:dyDescent="0.3">
      <c r="A5764" t="s">
        <v>9894</v>
      </c>
      <c r="B5764" t="s">
        <v>9895</v>
      </c>
      <c r="C5764" t="s">
        <v>8</v>
      </c>
      <c r="D5764">
        <v>1.3660000000000001</v>
      </c>
      <c r="E5764">
        <v>437</v>
      </c>
      <c r="F5764" t="str">
        <f>HYPERLINK("https://www.google.com/maps/search/?api=1&amp;query=24.74006077,46.8114395", "View Map")</f>
        <v>View Map</v>
      </c>
    </row>
    <row r="5765" spans="1:7" x14ac:dyDescent="0.3">
      <c r="A5765" t="s">
        <v>9896</v>
      </c>
      <c r="B5765" t="s">
        <v>9897</v>
      </c>
      <c r="C5765" t="s">
        <v>16</v>
      </c>
      <c r="D5765">
        <v>1.3660000000000001</v>
      </c>
      <c r="E5765">
        <v>437</v>
      </c>
      <c r="F5765" t="str">
        <f>HYPERLINK("https://www.google.com/maps/search/?api=1&amp;query=23.75535513,42.89533973", "View Map")</f>
        <v>View Map</v>
      </c>
      <c r="G5765" s="2">
        <v>0.67622816733701152</v>
      </c>
    </row>
    <row r="5766" spans="1:7" x14ac:dyDescent="0.3">
      <c r="A5766" t="s">
        <v>678</v>
      </c>
      <c r="B5766" t="s">
        <v>9898</v>
      </c>
      <c r="C5766" t="s">
        <v>21</v>
      </c>
      <c r="D5766">
        <v>1.3660000000000001</v>
      </c>
      <c r="E5766">
        <v>437</v>
      </c>
      <c r="F5766" t="str">
        <f>HYPERLINK("https://www.google.com/maps/search/?api=1&amp;query=26.3122329,44.90016945", "View Map")</f>
        <v>View Map</v>
      </c>
      <c r="G5766" s="2">
        <v>0.63574069758067508</v>
      </c>
    </row>
    <row r="5767" spans="1:7" x14ac:dyDescent="0.3">
      <c r="A5767" t="s">
        <v>8373</v>
      </c>
      <c r="B5767" t="s">
        <v>9899</v>
      </c>
      <c r="C5767" t="s">
        <v>820</v>
      </c>
      <c r="D5767">
        <v>1.365</v>
      </c>
      <c r="E5767">
        <v>437</v>
      </c>
      <c r="F5767" t="str">
        <f>HYPERLINK("https://www.google.com/maps/search/?api=1&amp;query=0.0,0.0", "View Map")</f>
        <v>View Map</v>
      </c>
    </row>
    <row r="5768" spans="1:7" x14ac:dyDescent="0.3">
      <c r="A5768" t="s">
        <v>9900</v>
      </c>
      <c r="B5768" t="s">
        <v>9901</v>
      </c>
      <c r="C5768" t="s">
        <v>255</v>
      </c>
      <c r="D5768">
        <v>1.365</v>
      </c>
      <c r="E5768">
        <v>437</v>
      </c>
      <c r="F5768" t="str">
        <f>HYPERLINK("https://www.google.com/maps/search/?api=1&amp;query=24.53529618,43.29960306", "View Map")</f>
        <v>View Map</v>
      </c>
      <c r="G5768" s="2">
        <v>0.53385859547166925</v>
      </c>
    </row>
    <row r="5769" spans="1:7" x14ac:dyDescent="0.3">
      <c r="A5769" t="s">
        <v>627</v>
      </c>
      <c r="B5769" t="s">
        <v>9902</v>
      </c>
      <c r="C5769" t="s">
        <v>8</v>
      </c>
      <c r="D5769">
        <v>1.365</v>
      </c>
      <c r="E5769">
        <v>437</v>
      </c>
      <c r="F5769" t="str">
        <f>HYPERLINK("https://www.google.com/maps/search/?api=1&amp;query=24.79856247,46.71481601", "View Map")</f>
        <v>View Map</v>
      </c>
    </row>
    <row r="5770" spans="1:7" x14ac:dyDescent="0.3">
      <c r="A5770" t="s">
        <v>9903</v>
      </c>
      <c r="B5770" t="s">
        <v>9904</v>
      </c>
      <c r="C5770" t="s">
        <v>8</v>
      </c>
      <c r="D5770">
        <v>1.365</v>
      </c>
      <c r="E5770">
        <v>437</v>
      </c>
      <c r="F5770" t="str">
        <f>HYPERLINK("https://www.google.com/maps/search/?api=1&amp;query=24.6578,46.6983", "View Map")</f>
        <v>View Map</v>
      </c>
    </row>
    <row r="5771" spans="1:7" x14ac:dyDescent="0.3">
      <c r="A5771" t="s">
        <v>9905</v>
      </c>
      <c r="B5771" t="s">
        <v>9906</v>
      </c>
      <c r="C5771" t="s">
        <v>8</v>
      </c>
      <c r="D5771">
        <v>1.365</v>
      </c>
      <c r="E5771">
        <v>437</v>
      </c>
      <c r="F5771" t="str">
        <f>HYPERLINK("https://www.google.com/maps/search/?api=1&amp;query=24.58987102,46.63173362", "View Map")</f>
        <v>View Map</v>
      </c>
    </row>
    <row r="5772" spans="1:7" x14ac:dyDescent="0.3">
      <c r="A5772" t="s">
        <v>9907</v>
      </c>
      <c r="B5772" t="s">
        <v>9908</v>
      </c>
      <c r="C5772" t="s">
        <v>291</v>
      </c>
      <c r="D5772">
        <v>1.3640000000000001</v>
      </c>
      <c r="E5772">
        <v>436</v>
      </c>
      <c r="F5772" t="str">
        <f>HYPERLINK("https://www.google.com/maps/search/?api=1&amp;query=24.36507001,45.28321109", "View Map")</f>
        <v>View Map</v>
      </c>
      <c r="G5772" s="2">
        <v>0.57970895163835012</v>
      </c>
    </row>
    <row r="5773" spans="1:7" x14ac:dyDescent="0.3">
      <c r="A5773" t="s">
        <v>9909</v>
      </c>
      <c r="B5773" t="s">
        <v>9910</v>
      </c>
      <c r="C5773" t="s">
        <v>214</v>
      </c>
      <c r="D5773">
        <v>1.3640000000000001</v>
      </c>
      <c r="E5773">
        <v>436</v>
      </c>
      <c r="F5773" t="str">
        <f>HYPERLINK("https://www.google.com/maps/search/?api=1&amp;query=26.1118044,45.80209596", "View Map")</f>
        <v>View Map</v>
      </c>
      <c r="G5773" s="2">
        <v>0.36832042438239548</v>
      </c>
    </row>
    <row r="5774" spans="1:7" x14ac:dyDescent="0.3">
      <c r="A5774" t="s">
        <v>9911</v>
      </c>
      <c r="B5774" t="s">
        <v>9912</v>
      </c>
      <c r="C5774" t="s">
        <v>8</v>
      </c>
      <c r="D5774">
        <v>1.3640000000000001</v>
      </c>
      <c r="E5774">
        <v>437</v>
      </c>
      <c r="F5774" t="str">
        <f>HYPERLINK("https://www.google.com/maps/search/?api=1&amp;query=24.78271439,46.79052022", "View Map")</f>
        <v>View Map</v>
      </c>
    </row>
    <row r="5775" spans="1:7" x14ac:dyDescent="0.3">
      <c r="A5775" t="s">
        <v>9913</v>
      </c>
      <c r="B5775" t="s">
        <v>9914</v>
      </c>
      <c r="C5775" t="s">
        <v>291</v>
      </c>
      <c r="D5775">
        <v>1.3640000000000001</v>
      </c>
      <c r="E5775">
        <v>437</v>
      </c>
      <c r="F5775" t="str">
        <f>HYPERLINK("https://www.google.com/maps/search/?api=1&amp;query=24.14321153,45.16710425", "View Map")</f>
        <v>View Map</v>
      </c>
      <c r="G5775" s="2">
        <v>0.81090181105745796</v>
      </c>
    </row>
    <row r="5776" spans="1:7" x14ac:dyDescent="0.3">
      <c r="A5776" t="s">
        <v>9915</v>
      </c>
      <c r="B5776" t="s">
        <v>9916</v>
      </c>
      <c r="C5776" t="s">
        <v>30</v>
      </c>
      <c r="D5776">
        <v>1.363</v>
      </c>
      <c r="E5776">
        <v>436</v>
      </c>
      <c r="F5776" t="str">
        <f>HYPERLINK("https://www.google.com/maps/search/?api=1&amp;query=24.15857421,47.32944498", "View Map")</f>
        <v>View Map</v>
      </c>
    </row>
    <row r="5777" spans="1:7" x14ac:dyDescent="0.3">
      <c r="A5777" t="s">
        <v>9917</v>
      </c>
      <c r="B5777" t="s">
        <v>9918</v>
      </c>
      <c r="C5777" t="s">
        <v>8</v>
      </c>
      <c r="D5777">
        <v>1.363</v>
      </c>
      <c r="E5777">
        <v>436</v>
      </c>
      <c r="F5777" t="str">
        <f>HYPERLINK("https://www.google.com/maps/search/?api=1&amp;query=24.56940234,46.63376082", "View Map")</f>
        <v>View Map</v>
      </c>
    </row>
    <row r="5778" spans="1:7" x14ac:dyDescent="0.3">
      <c r="A5778" t="s">
        <v>9919</v>
      </c>
      <c r="B5778" t="s">
        <v>9920</v>
      </c>
      <c r="C5778" t="s">
        <v>8</v>
      </c>
      <c r="D5778">
        <v>1.363</v>
      </c>
      <c r="E5778">
        <v>436</v>
      </c>
      <c r="F5778" t="str">
        <f>HYPERLINK("https://www.google.com/maps/search/?api=1&amp;query=24.68089277,46.68395598", "View Map")</f>
        <v>View Map</v>
      </c>
    </row>
    <row r="5779" spans="1:7" x14ac:dyDescent="0.3">
      <c r="A5779" t="s">
        <v>9921</v>
      </c>
      <c r="B5779" t="s">
        <v>9922</v>
      </c>
      <c r="C5779" t="s">
        <v>8</v>
      </c>
      <c r="D5779">
        <v>1.363</v>
      </c>
      <c r="E5779">
        <v>436</v>
      </c>
      <c r="F5779" t="str">
        <f>HYPERLINK("https://www.google.com/maps/search/?api=1&amp;query=24.55007307,46.71197656", "View Map")</f>
        <v>View Map</v>
      </c>
    </row>
    <row r="5780" spans="1:7" x14ac:dyDescent="0.3">
      <c r="A5780" t="s">
        <v>9923</v>
      </c>
      <c r="B5780" t="s">
        <v>9924</v>
      </c>
      <c r="C5780" t="s">
        <v>8</v>
      </c>
      <c r="D5780">
        <v>1.3620000000000001</v>
      </c>
      <c r="E5780">
        <v>436</v>
      </c>
      <c r="F5780" t="str">
        <f>HYPERLINK("https://www.google.com/maps/search/?api=1&amp;query=24.66859689,46.74926245", "View Map")</f>
        <v>View Map</v>
      </c>
    </row>
    <row r="5781" spans="1:7" x14ac:dyDescent="0.3">
      <c r="A5781" t="s">
        <v>9925</v>
      </c>
      <c r="B5781" t="s">
        <v>9926</v>
      </c>
      <c r="C5781" t="s">
        <v>291</v>
      </c>
      <c r="D5781">
        <v>1.361</v>
      </c>
      <c r="E5781">
        <v>435</v>
      </c>
      <c r="F5781" t="str">
        <f>HYPERLINK("https://www.google.com/maps/search/?api=1&amp;query=23.76244006,45.08238373", "View Map")</f>
        <v>View Map</v>
      </c>
      <c r="G5781" s="2">
        <v>0.51991452148011397</v>
      </c>
    </row>
    <row r="5782" spans="1:7" x14ac:dyDescent="0.3">
      <c r="A5782" t="s">
        <v>9927</v>
      </c>
      <c r="B5782" t="s">
        <v>9928</v>
      </c>
      <c r="C5782" t="s">
        <v>214</v>
      </c>
      <c r="D5782">
        <v>1.361</v>
      </c>
      <c r="E5782">
        <v>436</v>
      </c>
      <c r="F5782" t="str">
        <f>HYPERLINK("https://www.google.com/maps/search/?api=1&amp;query=25.90609461,45.39241928", "View Map")</f>
        <v>View Map</v>
      </c>
    </row>
    <row r="5783" spans="1:7" x14ac:dyDescent="0.3">
      <c r="A5783" t="s">
        <v>9929</v>
      </c>
      <c r="B5783" t="s">
        <v>9930</v>
      </c>
      <c r="C5783" t="s">
        <v>8</v>
      </c>
      <c r="D5783">
        <v>1.361</v>
      </c>
      <c r="E5783">
        <v>436</v>
      </c>
      <c r="F5783" t="str">
        <f>HYPERLINK("https://www.google.com/maps/search/?api=1&amp;query=24.57666991,46.71126927", "View Map")</f>
        <v>View Map</v>
      </c>
    </row>
    <row r="5784" spans="1:7" x14ac:dyDescent="0.3">
      <c r="A5784" t="s">
        <v>150</v>
      </c>
      <c r="B5784" t="s">
        <v>9931</v>
      </c>
      <c r="C5784" t="s">
        <v>8</v>
      </c>
      <c r="D5784">
        <v>1.361</v>
      </c>
      <c r="E5784">
        <v>436</v>
      </c>
      <c r="F5784" t="str">
        <f>HYPERLINK("https://www.google.com/maps/search/?api=1&amp;query=24.84913459,46.78743306", "View Map")</f>
        <v>View Map</v>
      </c>
    </row>
    <row r="5785" spans="1:7" x14ac:dyDescent="0.3">
      <c r="A5785" t="s">
        <v>9932</v>
      </c>
      <c r="B5785" t="s">
        <v>9933</v>
      </c>
      <c r="C5785" t="s">
        <v>8</v>
      </c>
      <c r="D5785">
        <v>1.36</v>
      </c>
      <c r="E5785">
        <v>435</v>
      </c>
      <c r="F5785" t="str">
        <f>HYPERLINK("https://www.google.com/maps/search/?api=1&amp;query=24.80123547,46.79103692", "View Map")</f>
        <v>View Map</v>
      </c>
    </row>
    <row r="5786" spans="1:7" x14ac:dyDescent="0.3">
      <c r="A5786" t="s">
        <v>9934</v>
      </c>
      <c r="B5786" t="s">
        <v>9935</v>
      </c>
      <c r="C5786" t="s">
        <v>137</v>
      </c>
      <c r="D5786">
        <v>1.36</v>
      </c>
      <c r="E5786">
        <v>435</v>
      </c>
      <c r="F5786" t="str">
        <f>HYPERLINK("https://www.google.com/maps/search/?api=1&amp;query=23.49638055,46.82524312", "View Map")</f>
        <v>View Map</v>
      </c>
      <c r="G5786" s="2">
        <v>0.45738680704515677</v>
      </c>
    </row>
    <row r="5787" spans="1:7" x14ac:dyDescent="0.3">
      <c r="A5787" t="s">
        <v>9936</v>
      </c>
      <c r="B5787" t="s">
        <v>9937</v>
      </c>
      <c r="C5787" t="s">
        <v>291</v>
      </c>
      <c r="D5787">
        <v>1.36</v>
      </c>
      <c r="E5787">
        <v>435</v>
      </c>
      <c r="F5787" t="str">
        <f>HYPERLINK("https://www.google.com/maps/search/?api=1&amp;query=23.66821,44.73170167", "View Map")</f>
        <v>View Map</v>
      </c>
      <c r="G5787" s="2">
        <v>0.74933884543501494</v>
      </c>
    </row>
    <row r="5788" spans="1:7" x14ac:dyDescent="0.3">
      <c r="A5788" t="s">
        <v>9938</v>
      </c>
      <c r="B5788" t="s">
        <v>9939</v>
      </c>
      <c r="C5788" t="s">
        <v>8</v>
      </c>
      <c r="D5788">
        <v>1.36</v>
      </c>
      <c r="E5788">
        <v>435</v>
      </c>
      <c r="F5788" t="str">
        <f>HYPERLINK("https://www.google.com/maps/search/?api=1&amp;query=24.65932438,46.67192101", "View Map")</f>
        <v>View Map</v>
      </c>
    </row>
    <row r="5789" spans="1:7" x14ac:dyDescent="0.3">
      <c r="A5789" t="s">
        <v>150</v>
      </c>
      <c r="B5789" t="s">
        <v>9940</v>
      </c>
      <c r="C5789" t="s">
        <v>8</v>
      </c>
      <c r="D5789">
        <v>1.36</v>
      </c>
      <c r="E5789">
        <v>435</v>
      </c>
      <c r="F5789" t="str">
        <f>HYPERLINK("https://www.google.com/maps/search/?api=1&amp;query=24.85586175,46.81746251", "View Map")</f>
        <v>View Map</v>
      </c>
    </row>
    <row r="5790" spans="1:7" x14ac:dyDescent="0.3">
      <c r="A5790" t="s">
        <v>717</v>
      </c>
      <c r="B5790" t="s">
        <v>9941</v>
      </c>
      <c r="C5790" t="s">
        <v>255</v>
      </c>
      <c r="D5790">
        <v>1.36</v>
      </c>
      <c r="E5790">
        <v>435</v>
      </c>
      <c r="F5790" t="str">
        <f>HYPERLINK("https://www.google.com/maps/search/?api=1&amp;query=24.5604116,44.41139127", "View Map")</f>
        <v>View Map</v>
      </c>
      <c r="G5790" s="2">
        <v>0.36198161256002348</v>
      </c>
    </row>
    <row r="5791" spans="1:7" x14ac:dyDescent="0.3">
      <c r="A5791" t="s">
        <v>9942</v>
      </c>
      <c r="B5791" t="s">
        <v>9943</v>
      </c>
      <c r="C5791" t="s">
        <v>8</v>
      </c>
      <c r="D5791">
        <v>1.359</v>
      </c>
      <c r="E5791">
        <v>435</v>
      </c>
      <c r="F5791" t="str">
        <f>HYPERLINK("https://www.google.com/maps/search/?api=1&amp;query=24.701344,46.854539", "View Map")</f>
        <v>View Map</v>
      </c>
      <c r="G5791" s="2">
        <v>0.4781203010770671</v>
      </c>
    </row>
    <row r="5792" spans="1:7" x14ac:dyDescent="0.3">
      <c r="A5792" t="s">
        <v>717</v>
      </c>
      <c r="B5792" t="s">
        <v>9944</v>
      </c>
      <c r="C5792" t="s">
        <v>255</v>
      </c>
      <c r="D5792">
        <v>1.359</v>
      </c>
      <c r="E5792">
        <v>435</v>
      </c>
      <c r="F5792" t="str">
        <f>HYPERLINK("https://www.google.com/maps/search/?api=1&amp;query=24.51417729,44.38954389", "View Map")</f>
        <v>View Map</v>
      </c>
    </row>
    <row r="5793" spans="1:7" x14ac:dyDescent="0.3">
      <c r="A5793" t="s">
        <v>9945</v>
      </c>
      <c r="B5793" t="s">
        <v>9946</v>
      </c>
      <c r="C5793" t="s">
        <v>21</v>
      </c>
      <c r="D5793">
        <v>1.3580000000000001</v>
      </c>
      <c r="E5793">
        <v>434</v>
      </c>
      <c r="F5793" t="str">
        <f>HYPERLINK("https://www.google.com/maps/search/?api=1&amp;query=26.25259888,44.82221262", "View Map")</f>
        <v>View Map</v>
      </c>
      <c r="G5793" s="2">
        <v>0.41055800225089439</v>
      </c>
    </row>
    <row r="5794" spans="1:7" x14ac:dyDescent="0.3">
      <c r="A5794" t="s">
        <v>9947</v>
      </c>
      <c r="B5794" t="s">
        <v>9948</v>
      </c>
      <c r="C5794" t="s">
        <v>466</v>
      </c>
      <c r="D5794">
        <v>1.3580000000000001</v>
      </c>
      <c r="E5794">
        <v>434</v>
      </c>
      <c r="F5794" t="str">
        <f>HYPERLINK("https://www.google.com/maps/search/?api=1&amp;query=24.51650506,46.13180462", "View Map")</f>
        <v>View Map</v>
      </c>
      <c r="G5794" s="2">
        <v>0.4090391684307873</v>
      </c>
    </row>
    <row r="5795" spans="1:7" x14ac:dyDescent="0.3">
      <c r="A5795" t="s">
        <v>46</v>
      </c>
      <c r="B5795" t="s">
        <v>9949</v>
      </c>
      <c r="C5795" t="s">
        <v>55</v>
      </c>
      <c r="D5795">
        <v>1.357</v>
      </c>
      <c r="E5795">
        <v>434</v>
      </c>
      <c r="F5795" t="str">
        <f>HYPERLINK("https://www.google.com/maps/search/?api=1&amp;query=24.77703387,46.56426728", "View Map")</f>
        <v>View Map</v>
      </c>
    </row>
    <row r="5796" spans="1:7" x14ac:dyDescent="0.3">
      <c r="A5796" t="s">
        <v>9950</v>
      </c>
      <c r="B5796" t="s">
        <v>9951</v>
      </c>
      <c r="C5796" t="s">
        <v>8</v>
      </c>
      <c r="D5796">
        <v>1.357</v>
      </c>
      <c r="E5796">
        <v>434</v>
      </c>
      <c r="F5796" t="str">
        <f>HYPERLINK("https://www.google.com/maps/search/?api=1&amp;query=24.53020796,46.7136984", "View Map")</f>
        <v>View Map</v>
      </c>
    </row>
    <row r="5797" spans="1:7" x14ac:dyDescent="0.3">
      <c r="A5797" t="s">
        <v>9952</v>
      </c>
      <c r="B5797" t="s">
        <v>9953</v>
      </c>
      <c r="C5797" t="s">
        <v>8</v>
      </c>
      <c r="D5797">
        <v>1.357</v>
      </c>
      <c r="E5797">
        <v>434</v>
      </c>
      <c r="F5797" t="str">
        <f>HYPERLINK("https://www.google.com/maps/search/?api=1&amp;query=24.74876461,46.83573612", "View Map")</f>
        <v>View Map</v>
      </c>
    </row>
    <row r="5798" spans="1:7" x14ac:dyDescent="0.3">
      <c r="A5798" t="s">
        <v>9954</v>
      </c>
      <c r="B5798" t="s">
        <v>9955</v>
      </c>
      <c r="C5798" t="s">
        <v>8</v>
      </c>
      <c r="D5798">
        <v>1.3560000000000001</v>
      </c>
      <c r="E5798">
        <v>434</v>
      </c>
      <c r="F5798" t="str">
        <f>HYPERLINK("https://www.google.com/maps/search/?api=1&amp;query=24.69719825,46.84303037", "View Map")</f>
        <v>View Map</v>
      </c>
    </row>
    <row r="5799" spans="1:7" x14ac:dyDescent="0.3">
      <c r="A5799" t="s">
        <v>9956</v>
      </c>
      <c r="B5799" t="s">
        <v>9957</v>
      </c>
      <c r="C5799" t="s">
        <v>8</v>
      </c>
      <c r="D5799">
        <v>1.3560000000000001</v>
      </c>
      <c r="E5799">
        <v>434</v>
      </c>
      <c r="F5799" t="str">
        <f>HYPERLINK("https://www.google.com/maps/search/?api=1&amp;query=24.55679048,46.69763322", "View Map")</f>
        <v>View Map</v>
      </c>
    </row>
    <row r="5800" spans="1:7" x14ac:dyDescent="0.3">
      <c r="A5800" t="s">
        <v>3253</v>
      </c>
      <c r="B5800" t="s">
        <v>9958</v>
      </c>
      <c r="C5800" t="s">
        <v>8</v>
      </c>
      <c r="D5800">
        <v>1.3560000000000001</v>
      </c>
      <c r="E5800">
        <v>434</v>
      </c>
      <c r="F5800" t="str">
        <f>HYPERLINK("https://www.google.com/maps/search/?api=1&amp;query=24.48458402,46.63339454", "View Map")</f>
        <v>View Map</v>
      </c>
      <c r="G5800" s="2">
        <v>0.79225598921660578</v>
      </c>
    </row>
    <row r="5801" spans="1:7" x14ac:dyDescent="0.3">
      <c r="A5801" t="s">
        <v>9959</v>
      </c>
      <c r="B5801" t="s">
        <v>9960</v>
      </c>
      <c r="C5801" t="s">
        <v>214</v>
      </c>
      <c r="D5801">
        <v>1.3560000000000001</v>
      </c>
      <c r="E5801">
        <v>434</v>
      </c>
      <c r="F5801" t="str">
        <f>HYPERLINK("https://www.google.com/maps/search/?api=1&amp;query=25.91433329,45.35995208", "View Map")</f>
        <v>View Map</v>
      </c>
      <c r="G5801" s="2">
        <v>0.37749392503053042</v>
      </c>
    </row>
    <row r="5802" spans="1:7" x14ac:dyDescent="0.3">
      <c r="A5802" t="s">
        <v>9961</v>
      </c>
      <c r="B5802" t="s">
        <v>9962</v>
      </c>
      <c r="C5802" t="s">
        <v>291</v>
      </c>
      <c r="D5802">
        <v>1.3560000000000001</v>
      </c>
      <c r="E5802">
        <v>434</v>
      </c>
      <c r="F5802" t="str">
        <f>HYPERLINK("https://www.google.com/maps/search/?api=1&amp;query=24.08917096,45.30063389", "View Map")</f>
        <v>View Map</v>
      </c>
      <c r="G5802" s="2">
        <v>0.57615736043507715</v>
      </c>
    </row>
    <row r="5803" spans="1:7" x14ac:dyDescent="0.3">
      <c r="A5803" t="s">
        <v>9963</v>
      </c>
      <c r="B5803" t="s">
        <v>9964</v>
      </c>
      <c r="C5803" t="s">
        <v>255</v>
      </c>
      <c r="D5803">
        <v>1.355</v>
      </c>
      <c r="E5803">
        <v>433</v>
      </c>
      <c r="F5803" t="str">
        <f>HYPERLINK("https://www.google.com/maps/search/?api=1&amp;query=24.4977101,44.38097031", "View Map")</f>
        <v>View Map</v>
      </c>
    </row>
    <row r="5804" spans="1:7" x14ac:dyDescent="0.3">
      <c r="A5804" t="s">
        <v>46</v>
      </c>
      <c r="B5804" t="s">
        <v>9965</v>
      </c>
      <c r="C5804" t="s">
        <v>8</v>
      </c>
      <c r="D5804">
        <v>1.355</v>
      </c>
      <c r="E5804">
        <v>433</v>
      </c>
      <c r="F5804" t="str">
        <f>HYPERLINK("https://www.google.com/maps/search/?api=1&amp;query=24.57526456,46.75556312", "View Map")</f>
        <v>View Map</v>
      </c>
    </row>
    <row r="5805" spans="1:7" x14ac:dyDescent="0.3">
      <c r="A5805" t="s">
        <v>9966</v>
      </c>
      <c r="B5805" t="s">
        <v>9967</v>
      </c>
      <c r="C5805" t="s">
        <v>291</v>
      </c>
      <c r="D5805">
        <v>1.355</v>
      </c>
      <c r="E5805">
        <v>434</v>
      </c>
      <c r="F5805" t="str">
        <f>HYPERLINK("https://www.google.com/maps/search/?api=1&amp;query=24.1811198,44.9535089", "View Map")</f>
        <v>View Map</v>
      </c>
      <c r="G5805" s="2">
        <v>0.68828022193974681</v>
      </c>
    </row>
    <row r="5806" spans="1:7" x14ac:dyDescent="0.3">
      <c r="A5806" t="s">
        <v>9968</v>
      </c>
      <c r="B5806" t="s">
        <v>9969</v>
      </c>
      <c r="C5806" t="s">
        <v>214</v>
      </c>
      <c r="D5806">
        <v>1.355</v>
      </c>
      <c r="E5806">
        <v>434</v>
      </c>
      <c r="F5806" t="str">
        <f>HYPERLINK("https://www.google.com/maps/search/?api=1&amp;query=26.58088706,45.26077117", "View Map")</f>
        <v>View Map</v>
      </c>
      <c r="G5806" s="2">
        <v>0.66840737194813959</v>
      </c>
    </row>
    <row r="5807" spans="1:7" x14ac:dyDescent="0.3">
      <c r="A5807" t="s">
        <v>9970</v>
      </c>
      <c r="B5807" t="s">
        <v>9971</v>
      </c>
      <c r="C5807" t="s">
        <v>8</v>
      </c>
      <c r="D5807">
        <v>1.355</v>
      </c>
      <c r="E5807">
        <v>434</v>
      </c>
      <c r="F5807" t="str">
        <f>HYPERLINK("https://www.google.com/maps/search/?api=1&amp;query=24.67824282,46.74213766", "View Map")</f>
        <v>View Map</v>
      </c>
    </row>
    <row r="5808" spans="1:7" x14ac:dyDescent="0.3">
      <c r="A5808" t="s">
        <v>9972</v>
      </c>
      <c r="B5808" t="s">
        <v>9973</v>
      </c>
      <c r="C5808" t="s">
        <v>77</v>
      </c>
      <c r="D5808">
        <v>1.3540000000000001</v>
      </c>
      <c r="E5808">
        <v>433</v>
      </c>
      <c r="F5808" t="str">
        <f>HYPERLINK("https://www.google.com/maps/search/?api=1&amp;query=22.28995848,46.72270743", "View Map")</f>
        <v>View Map</v>
      </c>
    </row>
    <row r="5809" spans="1:7" x14ac:dyDescent="0.3">
      <c r="A5809" t="s">
        <v>9974</v>
      </c>
      <c r="B5809" t="s">
        <v>9975</v>
      </c>
      <c r="C5809" t="s">
        <v>241</v>
      </c>
      <c r="D5809">
        <v>1.3540000000000001</v>
      </c>
      <c r="E5809">
        <v>433</v>
      </c>
      <c r="F5809" t="str">
        <f>HYPERLINK("https://www.google.com/maps/search/?api=1&amp;query=20.47482579,44.78790104", "View Map")</f>
        <v>View Map</v>
      </c>
      <c r="G5809" s="2">
        <v>0.37562454339074969</v>
      </c>
    </row>
    <row r="5810" spans="1:7" x14ac:dyDescent="0.3">
      <c r="A5810" t="s">
        <v>717</v>
      </c>
      <c r="B5810" t="s">
        <v>9976</v>
      </c>
      <c r="C5810" t="s">
        <v>255</v>
      </c>
      <c r="D5810">
        <v>1.353</v>
      </c>
      <c r="E5810">
        <v>433</v>
      </c>
      <c r="F5810" t="str">
        <f>HYPERLINK("https://www.google.com/maps/search/?api=1&amp;query=24.49637837,44.35010036", "View Map")</f>
        <v>View Map</v>
      </c>
      <c r="G5810" s="2">
        <v>0.51269982550426951</v>
      </c>
    </row>
    <row r="5811" spans="1:7" x14ac:dyDescent="0.3">
      <c r="A5811" t="s">
        <v>9977</v>
      </c>
      <c r="B5811" t="s">
        <v>9978</v>
      </c>
      <c r="C5811" t="s">
        <v>291</v>
      </c>
      <c r="D5811">
        <v>1.353</v>
      </c>
      <c r="E5811">
        <v>433</v>
      </c>
      <c r="F5811" t="str">
        <f>HYPERLINK("https://www.google.com/maps/search/?api=1&amp;query=23.74358378,44.40237344", "View Map")</f>
        <v>View Map</v>
      </c>
      <c r="G5811" s="2">
        <v>0.52539013385465783</v>
      </c>
    </row>
    <row r="5812" spans="1:7" x14ac:dyDescent="0.3">
      <c r="A5812" t="s">
        <v>9979</v>
      </c>
      <c r="B5812" t="s">
        <v>9980</v>
      </c>
      <c r="C5812" t="s">
        <v>21</v>
      </c>
      <c r="D5812">
        <v>1.353</v>
      </c>
      <c r="E5812">
        <v>433</v>
      </c>
      <c r="F5812" t="str">
        <f>HYPERLINK("https://www.google.com/maps/search/?api=1&amp;query=26.79735161,44.62553418", "View Map")</f>
        <v>View Map</v>
      </c>
      <c r="G5812" s="2">
        <v>0.70023908726751538</v>
      </c>
    </row>
    <row r="5813" spans="1:7" x14ac:dyDescent="0.3">
      <c r="A5813" t="s">
        <v>9981</v>
      </c>
      <c r="B5813" t="s">
        <v>9982</v>
      </c>
      <c r="C5813" t="s">
        <v>1112</v>
      </c>
      <c r="D5813">
        <v>1.3520000000000001</v>
      </c>
      <c r="E5813">
        <v>432</v>
      </c>
      <c r="F5813" t="str">
        <f>HYPERLINK("https://www.google.com/maps/search/?api=1&amp;query=26.14164065,44.91215617", "View Map")</f>
        <v>View Map</v>
      </c>
      <c r="G5813" s="2">
        <v>0.57909483130676787</v>
      </c>
    </row>
    <row r="5814" spans="1:7" x14ac:dyDescent="0.3">
      <c r="A5814" t="s">
        <v>9983</v>
      </c>
      <c r="B5814" t="s">
        <v>9984</v>
      </c>
      <c r="C5814" t="s">
        <v>8</v>
      </c>
      <c r="D5814">
        <v>1.3520000000000001</v>
      </c>
      <c r="E5814">
        <v>433</v>
      </c>
      <c r="F5814" t="str">
        <f>HYPERLINK("https://www.google.com/maps/search/?api=1&amp;query=24.69632084,46.85240821", "View Map")</f>
        <v>View Map</v>
      </c>
    </row>
    <row r="5815" spans="1:7" x14ac:dyDescent="0.3">
      <c r="A5815" t="s">
        <v>9985</v>
      </c>
      <c r="B5815" t="s">
        <v>9986</v>
      </c>
      <c r="C5815" t="s">
        <v>296</v>
      </c>
      <c r="D5815">
        <v>1.3520000000000001</v>
      </c>
      <c r="E5815">
        <v>433</v>
      </c>
      <c r="F5815" t="str">
        <f>HYPERLINK("https://www.google.com/maps/search/?api=1&amp;query=24.47853459,46.28657536", "View Map")</f>
        <v>View Map</v>
      </c>
    </row>
    <row r="5816" spans="1:7" x14ac:dyDescent="0.3">
      <c r="A5816" t="s">
        <v>678</v>
      </c>
      <c r="B5816" t="s">
        <v>9987</v>
      </c>
      <c r="C5816" t="s">
        <v>21</v>
      </c>
      <c r="D5816">
        <v>1.3520000000000001</v>
      </c>
      <c r="E5816">
        <v>433</v>
      </c>
      <c r="F5816" t="str">
        <f>HYPERLINK("https://www.google.com/maps/search/?api=1&amp;query=26.3199066,44.88848237", "View Map")</f>
        <v>View Map</v>
      </c>
      <c r="G5816" s="2">
        <v>0.4225811423084862</v>
      </c>
    </row>
    <row r="5817" spans="1:7" x14ac:dyDescent="0.3">
      <c r="A5817" t="s">
        <v>9988</v>
      </c>
      <c r="B5817" t="s">
        <v>9989</v>
      </c>
      <c r="C5817" t="s">
        <v>8</v>
      </c>
      <c r="D5817">
        <v>1.3520000000000001</v>
      </c>
      <c r="E5817">
        <v>433</v>
      </c>
      <c r="F5817" t="str">
        <f>HYPERLINK("https://www.google.com/maps/search/?api=1&amp;query=24.75242845,46.78925601", "View Map")</f>
        <v>View Map</v>
      </c>
    </row>
    <row r="5818" spans="1:7" x14ac:dyDescent="0.3">
      <c r="A5818" t="s">
        <v>9990</v>
      </c>
      <c r="B5818" t="s">
        <v>9991</v>
      </c>
      <c r="C5818" t="s">
        <v>8</v>
      </c>
      <c r="D5818">
        <v>1.351</v>
      </c>
      <c r="E5818">
        <v>432</v>
      </c>
      <c r="F5818" t="str">
        <f>HYPERLINK("https://www.google.com/maps/search/?api=1&amp;query=24.60117139,46.59770174", "View Map")</f>
        <v>View Map</v>
      </c>
    </row>
    <row r="5819" spans="1:7" x14ac:dyDescent="0.3">
      <c r="A5819" t="s">
        <v>9992</v>
      </c>
      <c r="B5819" t="s">
        <v>9993</v>
      </c>
      <c r="C5819" t="s">
        <v>8</v>
      </c>
      <c r="D5819">
        <v>1.351</v>
      </c>
      <c r="E5819">
        <v>432</v>
      </c>
      <c r="F5819" t="str">
        <f>HYPERLINK("https://www.google.com/maps/search/?api=1&amp;query=24.64412074,46.72204792", "View Map")</f>
        <v>View Map</v>
      </c>
    </row>
    <row r="5820" spans="1:7" x14ac:dyDescent="0.3">
      <c r="A5820" t="s">
        <v>9994</v>
      </c>
      <c r="B5820" t="s">
        <v>9995</v>
      </c>
      <c r="C5820" t="s">
        <v>8</v>
      </c>
      <c r="D5820">
        <v>1.35</v>
      </c>
      <c r="E5820">
        <v>432</v>
      </c>
      <c r="F5820" t="str">
        <f>HYPERLINK("https://www.google.com/maps/search/?api=1&amp;query=24.56348884,46.70273816", "View Map")</f>
        <v>View Map</v>
      </c>
    </row>
    <row r="5821" spans="1:7" x14ac:dyDescent="0.3">
      <c r="A5821" t="s">
        <v>9996</v>
      </c>
      <c r="B5821" t="s">
        <v>9997</v>
      </c>
      <c r="C5821" t="s">
        <v>8</v>
      </c>
      <c r="D5821">
        <v>1.35</v>
      </c>
      <c r="E5821">
        <v>432</v>
      </c>
      <c r="F5821" t="str">
        <f>HYPERLINK("https://www.google.com/maps/search/?api=1&amp;query=24.62959525,46.71986943", "View Map")</f>
        <v>View Map</v>
      </c>
    </row>
    <row r="5822" spans="1:7" x14ac:dyDescent="0.3">
      <c r="A5822" t="s">
        <v>146</v>
      </c>
      <c r="B5822" t="s">
        <v>9998</v>
      </c>
      <c r="C5822" t="s">
        <v>8</v>
      </c>
      <c r="D5822">
        <v>1.35</v>
      </c>
      <c r="E5822">
        <v>432</v>
      </c>
      <c r="F5822" t="str">
        <f>HYPERLINK("https://www.google.com/maps/search/?api=1&amp;query=24.52129251,46.65667587", "View Map")</f>
        <v>View Map</v>
      </c>
    </row>
    <row r="5823" spans="1:7" x14ac:dyDescent="0.3">
      <c r="A5823" t="s">
        <v>9999</v>
      </c>
      <c r="B5823" t="s">
        <v>10000</v>
      </c>
      <c r="C5823" t="s">
        <v>466</v>
      </c>
      <c r="D5823">
        <v>1.35</v>
      </c>
      <c r="E5823">
        <v>432</v>
      </c>
      <c r="F5823" t="str">
        <f>HYPERLINK("https://www.google.com/maps/search/?api=1&amp;query=24.61034417,46.12456146", "View Map")</f>
        <v>View Map</v>
      </c>
    </row>
    <row r="5824" spans="1:7" x14ac:dyDescent="0.3">
      <c r="A5824" t="s">
        <v>10001</v>
      </c>
      <c r="B5824" t="s">
        <v>10002</v>
      </c>
      <c r="C5824" t="s">
        <v>137</v>
      </c>
      <c r="D5824">
        <v>1.35</v>
      </c>
      <c r="E5824">
        <v>432</v>
      </c>
      <c r="F5824" t="str">
        <f>HYPERLINK("https://www.google.com/maps/search/?api=1&amp;query=23.43982993,46.78019961", "View Map")</f>
        <v>View Map</v>
      </c>
      <c r="G5824" s="2">
        <v>0.45666807403824589</v>
      </c>
    </row>
    <row r="5825" spans="1:7" x14ac:dyDescent="0.3">
      <c r="A5825" t="s">
        <v>331</v>
      </c>
      <c r="B5825" t="s">
        <v>10003</v>
      </c>
      <c r="C5825" t="s">
        <v>8</v>
      </c>
      <c r="D5825">
        <v>1.349</v>
      </c>
      <c r="E5825">
        <v>432</v>
      </c>
      <c r="F5825" t="str">
        <f>HYPERLINK("https://www.google.com/maps/search/?api=1&amp;query=24.69333033,46.83849449", "View Map")</f>
        <v>View Map</v>
      </c>
    </row>
    <row r="5826" spans="1:7" x14ac:dyDescent="0.3">
      <c r="A5826" t="s">
        <v>10004</v>
      </c>
      <c r="B5826" t="s">
        <v>10005</v>
      </c>
      <c r="C5826" t="s">
        <v>214</v>
      </c>
      <c r="D5826">
        <v>1.349</v>
      </c>
      <c r="E5826">
        <v>432</v>
      </c>
      <c r="F5826" t="str">
        <f>HYPERLINK("https://www.google.com/maps/search/?api=1&amp;query=25.58244467,45.61083001", "View Map")</f>
        <v>View Map</v>
      </c>
    </row>
    <row r="5827" spans="1:7" x14ac:dyDescent="0.3">
      <c r="A5827" t="s">
        <v>10006</v>
      </c>
      <c r="B5827" t="s">
        <v>10007</v>
      </c>
      <c r="C5827" t="s">
        <v>8</v>
      </c>
      <c r="D5827">
        <v>1.349</v>
      </c>
      <c r="E5827">
        <v>432</v>
      </c>
      <c r="F5827" t="str">
        <f>HYPERLINK("https://www.google.com/maps/search/?api=1&amp;query=24.6399689,46.69333075", "View Map")</f>
        <v>View Map</v>
      </c>
      <c r="G5827" s="2">
        <v>0.39595294235837092</v>
      </c>
    </row>
    <row r="5828" spans="1:7" x14ac:dyDescent="0.3">
      <c r="A5828" t="s">
        <v>9281</v>
      </c>
      <c r="B5828" t="s">
        <v>10008</v>
      </c>
      <c r="C5828" t="s">
        <v>393</v>
      </c>
      <c r="D5828">
        <v>1.349</v>
      </c>
      <c r="E5828">
        <v>432</v>
      </c>
      <c r="F5828" t="str">
        <f>HYPERLINK("https://www.google.com/maps/search/?api=1&amp;query=23.57149364,45.57081571", "View Map")</f>
        <v>View Map</v>
      </c>
      <c r="G5828" s="2">
        <v>0.67770305711523871</v>
      </c>
    </row>
    <row r="5829" spans="1:7" x14ac:dyDescent="0.3">
      <c r="A5829" t="s">
        <v>533</v>
      </c>
      <c r="B5829" t="s">
        <v>10009</v>
      </c>
      <c r="C5829" t="s">
        <v>8</v>
      </c>
      <c r="D5829">
        <v>1.349</v>
      </c>
      <c r="E5829">
        <v>432</v>
      </c>
      <c r="F5829" t="str">
        <f>HYPERLINK("https://www.google.com/maps/search/?api=1&amp;query=24.81903982,46.72484829", "View Map")</f>
        <v>View Map</v>
      </c>
      <c r="G5829" s="2">
        <v>0.35556448758325698</v>
      </c>
    </row>
    <row r="5830" spans="1:7" x14ac:dyDescent="0.3">
      <c r="A5830" t="s">
        <v>10010</v>
      </c>
      <c r="B5830" t="s">
        <v>10011</v>
      </c>
      <c r="C5830" t="s">
        <v>291</v>
      </c>
      <c r="D5830">
        <v>1.349</v>
      </c>
      <c r="E5830">
        <v>432</v>
      </c>
      <c r="F5830" t="str">
        <f>HYPERLINK("https://www.google.com/maps/search/?api=1&amp;query=24.08258881,45.3255726", "View Map")</f>
        <v>View Map</v>
      </c>
    </row>
    <row r="5831" spans="1:7" x14ac:dyDescent="0.3">
      <c r="A5831" t="s">
        <v>10012</v>
      </c>
      <c r="B5831" t="s">
        <v>10013</v>
      </c>
      <c r="C5831" t="s">
        <v>466</v>
      </c>
      <c r="D5831">
        <v>1.3480000000000001</v>
      </c>
      <c r="E5831">
        <v>432</v>
      </c>
      <c r="F5831" t="str">
        <f>HYPERLINK("https://www.google.com/maps/search/?api=1&amp;query=24.59671314,46.13215887", "View Map")</f>
        <v>View Map</v>
      </c>
    </row>
    <row r="5832" spans="1:7" x14ac:dyDescent="0.3">
      <c r="A5832" t="s">
        <v>10014</v>
      </c>
      <c r="B5832" t="s">
        <v>10015</v>
      </c>
      <c r="C5832" t="s">
        <v>8</v>
      </c>
      <c r="D5832">
        <v>1.3480000000000001</v>
      </c>
      <c r="E5832">
        <v>431</v>
      </c>
      <c r="F5832" t="str">
        <f>HYPERLINK("https://www.google.com/maps/search/?api=1&amp;query=24.58098811,46.55421894", "View Map")</f>
        <v>View Map</v>
      </c>
    </row>
    <row r="5833" spans="1:7" x14ac:dyDescent="0.3">
      <c r="A5833" t="s">
        <v>10016</v>
      </c>
      <c r="B5833" t="s">
        <v>10017</v>
      </c>
      <c r="C5833" t="s">
        <v>270</v>
      </c>
      <c r="D5833">
        <v>1.3480000000000001</v>
      </c>
      <c r="E5833">
        <v>431</v>
      </c>
      <c r="F5833" t="str">
        <f>HYPERLINK("https://www.google.com/maps/search/?api=1&amp;query=23.97700917,47.14186417", "View Map")</f>
        <v>View Map</v>
      </c>
      <c r="G5833" s="2">
        <v>0.67776193135903962</v>
      </c>
    </row>
    <row r="5834" spans="1:7" x14ac:dyDescent="0.3">
      <c r="A5834" t="s">
        <v>627</v>
      </c>
      <c r="B5834" t="s">
        <v>10018</v>
      </c>
      <c r="C5834" t="s">
        <v>55</v>
      </c>
      <c r="D5834">
        <v>1.3480000000000001</v>
      </c>
      <c r="E5834">
        <v>431</v>
      </c>
      <c r="F5834" t="str">
        <f>HYPERLINK("https://www.google.com/maps/search/?api=1&amp;query=24.74006311,46.60411801", "View Map")</f>
        <v>View Map</v>
      </c>
    </row>
    <row r="5835" spans="1:7" x14ac:dyDescent="0.3">
      <c r="A5835" t="s">
        <v>46</v>
      </c>
      <c r="B5835" t="s">
        <v>10019</v>
      </c>
      <c r="C5835" t="s">
        <v>8</v>
      </c>
      <c r="D5835">
        <v>1.3480000000000001</v>
      </c>
      <c r="E5835">
        <v>431</v>
      </c>
      <c r="F5835" t="str">
        <f>HYPERLINK("https://www.google.com/maps/search/?api=1&amp;query=24.63956849,46.48335121", "View Map")</f>
        <v>View Map</v>
      </c>
    </row>
    <row r="5836" spans="1:7" x14ac:dyDescent="0.3">
      <c r="A5836" t="s">
        <v>242</v>
      </c>
      <c r="B5836" t="s">
        <v>10020</v>
      </c>
      <c r="C5836" t="s">
        <v>8</v>
      </c>
      <c r="D5836">
        <v>1.3460000000000001</v>
      </c>
      <c r="E5836">
        <v>431</v>
      </c>
      <c r="F5836" t="str">
        <f>HYPERLINK("https://www.google.com/maps/search/?api=1&amp;query=24.77664649,46.78707668", "View Map")</f>
        <v>View Map</v>
      </c>
    </row>
    <row r="5837" spans="1:7" x14ac:dyDescent="0.3">
      <c r="A5837" t="s">
        <v>10021</v>
      </c>
      <c r="B5837" t="s">
        <v>10022</v>
      </c>
      <c r="C5837" t="s">
        <v>255</v>
      </c>
      <c r="D5837">
        <v>1.3460000000000001</v>
      </c>
      <c r="E5837">
        <v>431</v>
      </c>
      <c r="F5837" t="str">
        <f>HYPERLINK("https://www.google.com/maps/search/?api=1&amp;query=25.33391363,44.46656504", "View Map")</f>
        <v>View Map</v>
      </c>
    </row>
    <row r="5838" spans="1:7" x14ac:dyDescent="0.3">
      <c r="A5838" t="s">
        <v>10023</v>
      </c>
      <c r="B5838" t="s">
        <v>10024</v>
      </c>
      <c r="C5838" t="s">
        <v>646</v>
      </c>
      <c r="D5838">
        <v>1.345</v>
      </c>
      <c r="E5838">
        <v>430</v>
      </c>
      <c r="F5838" t="str">
        <f>HYPERLINK("https://www.google.com/maps/search/?api=1&amp;query=20.45912802,45.58403891", "View Map")</f>
        <v>View Map</v>
      </c>
      <c r="G5838" s="2">
        <v>0.54626880178733972</v>
      </c>
    </row>
    <row r="5839" spans="1:7" x14ac:dyDescent="0.3">
      <c r="A5839" t="s">
        <v>10025</v>
      </c>
      <c r="B5839" t="s">
        <v>10026</v>
      </c>
      <c r="C5839" t="s">
        <v>393</v>
      </c>
      <c r="D5839">
        <v>1.345</v>
      </c>
      <c r="E5839">
        <v>430</v>
      </c>
      <c r="F5839" t="str">
        <f>HYPERLINK("https://www.google.com/maps/search/?api=1&amp;query=23.80876136,45.25760658", "View Map")</f>
        <v>View Map</v>
      </c>
      <c r="G5839" s="2">
        <v>0.60782510686974167</v>
      </c>
    </row>
    <row r="5840" spans="1:7" x14ac:dyDescent="0.3">
      <c r="A5840" t="s">
        <v>10027</v>
      </c>
      <c r="B5840" t="s">
        <v>10028</v>
      </c>
      <c r="C5840" t="s">
        <v>30</v>
      </c>
      <c r="D5840">
        <v>1.345</v>
      </c>
      <c r="E5840">
        <v>430</v>
      </c>
      <c r="F5840" t="str">
        <f>HYPERLINK("https://www.google.com/maps/search/?api=1&amp;query=24.07694626,47.25893452", "View Map")</f>
        <v>View Map</v>
      </c>
    </row>
    <row r="5841" spans="1:7" x14ac:dyDescent="0.3">
      <c r="A5841" t="s">
        <v>10029</v>
      </c>
      <c r="B5841" t="s">
        <v>10030</v>
      </c>
      <c r="C5841" t="s">
        <v>8</v>
      </c>
      <c r="D5841">
        <v>1.345</v>
      </c>
      <c r="E5841">
        <v>431</v>
      </c>
      <c r="F5841" t="str">
        <f>HYPERLINK("https://www.google.com/maps/search/?api=1&amp;query=24.72791224,46.81771026", "View Map")</f>
        <v>View Map</v>
      </c>
    </row>
    <row r="5842" spans="1:7" x14ac:dyDescent="0.3">
      <c r="A5842" t="s">
        <v>10031</v>
      </c>
      <c r="B5842" t="s">
        <v>10032</v>
      </c>
      <c r="C5842" t="s">
        <v>8</v>
      </c>
      <c r="D5842">
        <v>1.345</v>
      </c>
      <c r="E5842">
        <v>430</v>
      </c>
      <c r="F5842" t="str">
        <f>HYPERLINK("https://www.google.com/maps/search/?api=1&amp;query=24.67451059,46.74260757", "View Map")</f>
        <v>View Map</v>
      </c>
    </row>
    <row r="5843" spans="1:7" x14ac:dyDescent="0.3">
      <c r="A5843" t="s">
        <v>7266</v>
      </c>
      <c r="B5843" t="s">
        <v>10033</v>
      </c>
      <c r="C5843" t="s">
        <v>8</v>
      </c>
      <c r="D5843">
        <v>1.345</v>
      </c>
      <c r="E5843">
        <v>430</v>
      </c>
      <c r="F5843" t="str">
        <f>HYPERLINK("https://www.google.com/maps/search/?api=1&amp;query=24.68857769,46.65314299", "View Map")</f>
        <v>View Map</v>
      </c>
    </row>
    <row r="5844" spans="1:7" x14ac:dyDescent="0.3">
      <c r="A5844" t="s">
        <v>146</v>
      </c>
      <c r="B5844" t="s">
        <v>10034</v>
      </c>
      <c r="C5844" t="s">
        <v>820</v>
      </c>
      <c r="D5844">
        <v>1.345</v>
      </c>
      <c r="E5844">
        <v>430</v>
      </c>
      <c r="F5844" t="str">
        <f>HYPERLINK("https://www.google.com/maps/search/?api=1&amp;query=0.0,0.0", "View Map")</f>
        <v>View Map</v>
      </c>
    </row>
    <row r="5845" spans="1:7" x14ac:dyDescent="0.3">
      <c r="A5845" t="s">
        <v>46</v>
      </c>
      <c r="B5845" t="s">
        <v>10035</v>
      </c>
      <c r="C5845" t="s">
        <v>8</v>
      </c>
      <c r="D5845">
        <v>1.3440000000000001</v>
      </c>
      <c r="E5845">
        <v>430</v>
      </c>
      <c r="F5845" t="str">
        <f>HYPERLINK("https://www.google.com/maps/search/?api=1&amp;query=24.62481282,46.50276354", "View Map")</f>
        <v>View Map</v>
      </c>
    </row>
    <row r="5846" spans="1:7" x14ac:dyDescent="0.3">
      <c r="A5846" t="s">
        <v>860</v>
      </c>
      <c r="B5846" t="s">
        <v>10036</v>
      </c>
      <c r="C5846" t="s">
        <v>8</v>
      </c>
      <c r="D5846">
        <v>1.3440000000000001</v>
      </c>
      <c r="E5846">
        <v>430</v>
      </c>
      <c r="F5846" t="str">
        <f>HYPERLINK("https://www.google.com/maps/search/?api=1&amp;query=24.69569309,46.86418031", "View Map")</f>
        <v>View Map</v>
      </c>
      <c r="G5846" s="2">
        <v>1.0071723783916211</v>
      </c>
    </row>
    <row r="5847" spans="1:7" x14ac:dyDescent="0.3">
      <c r="A5847" t="s">
        <v>661</v>
      </c>
      <c r="B5847" t="s">
        <v>10037</v>
      </c>
      <c r="C5847" t="s">
        <v>214</v>
      </c>
      <c r="D5847">
        <v>1.3440000000000001</v>
      </c>
      <c r="E5847">
        <v>430</v>
      </c>
      <c r="F5847" t="str">
        <f>HYPERLINK("https://www.google.com/maps/search/?api=1&amp;query=25.62463033,45.55000901", "View Map")</f>
        <v>View Map</v>
      </c>
      <c r="G5847" s="2">
        <v>0.77687430153430415</v>
      </c>
    </row>
    <row r="5848" spans="1:7" x14ac:dyDescent="0.3">
      <c r="A5848" t="s">
        <v>10038</v>
      </c>
      <c r="B5848" t="s">
        <v>10039</v>
      </c>
      <c r="C5848" t="s">
        <v>8</v>
      </c>
      <c r="D5848">
        <v>1.3440000000000001</v>
      </c>
      <c r="E5848">
        <v>430</v>
      </c>
      <c r="F5848" t="str">
        <f>HYPERLINK("https://www.google.com/maps/search/?api=1&amp;query=24.57606074,46.55586837", "View Map")</f>
        <v>View Map</v>
      </c>
    </row>
    <row r="5849" spans="1:7" x14ac:dyDescent="0.3">
      <c r="A5849" t="s">
        <v>289</v>
      </c>
      <c r="B5849" t="s">
        <v>10040</v>
      </c>
      <c r="C5849" t="s">
        <v>291</v>
      </c>
      <c r="D5849">
        <v>1.3440000000000001</v>
      </c>
      <c r="E5849">
        <v>430</v>
      </c>
      <c r="F5849" t="str">
        <f>HYPERLINK("https://www.google.com/maps/search/?api=1&amp;query=24.36746763,45.31252312", "View Map")</f>
        <v>View Map</v>
      </c>
      <c r="G5849" s="2">
        <v>0.66094488206134727</v>
      </c>
    </row>
    <row r="5850" spans="1:7" x14ac:dyDescent="0.3">
      <c r="A5850" t="s">
        <v>10041</v>
      </c>
      <c r="B5850" t="s">
        <v>10042</v>
      </c>
      <c r="C5850" t="s">
        <v>8</v>
      </c>
      <c r="D5850">
        <v>1.3440000000000001</v>
      </c>
      <c r="E5850">
        <v>430</v>
      </c>
      <c r="F5850" t="str">
        <f>HYPERLINK("https://www.google.com/maps/search/?api=1&amp;query=24.5787509,46.53423297", "View Map")</f>
        <v>View Map</v>
      </c>
    </row>
    <row r="5851" spans="1:7" x14ac:dyDescent="0.3">
      <c r="A5851" t="s">
        <v>10043</v>
      </c>
      <c r="B5851" t="s">
        <v>10044</v>
      </c>
      <c r="C5851" t="s">
        <v>8</v>
      </c>
      <c r="D5851">
        <v>1.3440000000000001</v>
      </c>
      <c r="E5851">
        <v>430</v>
      </c>
      <c r="F5851" t="str">
        <f>HYPERLINK("https://www.google.com/maps/search/?api=1&amp;query=24.60900302,46.74887425", "View Map")</f>
        <v>View Map</v>
      </c>
    </row>
    <row r="5852" spans="1:7" x14ac:dyDescent="0.3">
      <c r="A5852" t="s">
        <v>10045</v>
      </c>
      <c r="B5852" t="s">
        <v>10046</v>
      </c>
      <c r="C5852" t="s">
        <v>8</v>
      </c>
      <c r="D5852">
        <v>1.3440000000000001</v>
      </c>
      <c r="E5852">
        <v>430</v>
      </c>
      <c r="F5852" t="str">
        <f>HYPERLINK("https://www.google.com/maps/search/?api=1&amp;query=24.79293953,46.70741138", "View Map")</f>
        <v>View Map</v>
      </c>
    </row>
    <row r="5853" spans="1:7" x14ac:dyDescent="0.3">
      <c r="A5853" t="s">
        <v>4163</v>
      </c>
      <c r="B5853" t="s">
        <v>10047</v>
      </c>
      <c r="C5853" t="s">
        <v>8</v>
      </c>
      <c r="D5853">
        <v>1.3440000000000001</v>
      </c>
      <c r="E5853">
        <v>430</v>
      </c>
      <c r="F5853" t="str">
        <f>HYPERLINK("https://www.google.com/maps/search/?api=1&amp;query=24.75061858,46.78284778", "View Map")</f>
        <v>View Map</v>
      </c>
    </row>
    <row r="5854" spans="1:7" x14ac:dyDescent="0.3">
      <c r="A5854" t="s">
        <v>10048</v>
      </c>
      <c r="B5854" t="s">
        <v>10049</v>
      </c>
      <c r="C5854" t="s">
        <v>699</v>
      </c>
      <c r="D5854">
        <v>1.343</v>
      </c>
      <c r="E5854">
        <v>430</v>
      </c>
      <c r="F5854" t="str">
        <f>HYPERLINK("https://www.google.com/maps/search/?api=1&amp;query=25.11995825,45.49277008", "View Map")</f>
        <v>View Map</v>
      </c>
    </row>
    <row r="5855" spans="1:7" x14ac:dyDescent="0.3">
      <c r="A5855" t="s">
        <v>10050</v>
      </c>
      <c r="B5855" t="s">
        <v>10051</v>
      </c>
      <c r="C5855" t="s">
        <v>738</v>
      </c>
      <c r="D5855">
        <v>1.343</v>
      </c>
      <c r="E5855">
        <v>430</v>
      </c>
      <c r="F5855" t="str">
        <f>HYPERLINK("https://www.google.com/maps/search/?api=1&amp;query=25.10892054,46.11415273", "View Map")</f>
        <v>View Map</v>
      </c>
      <c r="G5855" s="2">
        <v>0.41381463933630519</v>
      </c>
    </row>
    <row r="5856" spans="1:7" x14ac:dyDescent="0.3">
      <c r="A5856" t="s">
        <v>10052</v>
      </c>
      <c r="B5856" t="s">
        <v>10053</v>
      </c>
      <c r="C5856" t="s">
        <v>8</v>
      </c>
      <c r="D5856">
        <v>1.343</v>
      </c>
      <c r="E5856">
        <v>430</v>
      </c>
      <c r="F5856" t="str">
        <f>HYPERLINK("https://www.google.com/maps/search/?api=1&amp;query=24.55615944,46.70645238", "View Map")</f>
        <v>View Map</v>
      </c>
    </row>
    <row r="5857" spans="1:7" x14ac:dyDescent="0.3">
      <c r="A5857" t="s">
        <v>10054</v>
      </c>
      <c r="B5857" t="s">
        <v>10055</v>
      </c>
      <c r="C5857" t="s">
        <v>8</v>
      </c>
      <c r="D5857">
        <v>1.343</v>
      </c>
      <c r="E5857">
        <v>430</v>
      </c>
      <c r="F5857" t="str">
        <f>HYPERLINK("https://www.google.com/maps/search/?api=1&amp;query=24.57911872,46.60023553", "View Map")</f>
        <v>View Map</v>
      </c>
    </row>
    <row r="5858" spans="1:7" x14ac:dyDescent="0.3">
      <c r="A5858" t="s">
        <v>10056</v>
      </c>
      <c r="B5858" t="s">
        <v>10057</v>
      </c>
      <c r="C5858" t="s">
        <v>8</v>
      </c>
      <c r="D5858">
        <v>1.343</v>
      </c>
      <c r="E5858">
        <v>430</v>
      </c>
      <c r="F5858" t="str">
        <f>HYPERLINK("https://www.google.com/maps/search/?api=1&amp;query=24.5394457,46.73131103", "View Map")</f>
        <v>View Map</v>
      </c>
    </row>
    <row r="5859" spans="1:7" x14ac:dyDescent="0.3">
      <c r="A5859" t="s">
        <v>10058</v>
      </c>
      <c r="B5859" t="s">
        <v>10059</v>
      </c>
      <c r="C5859" t="s">
        <v>16</v>
      </c>
      <c r="D5859">
        <v>1.3420000000000001</v>
      </c>
      <c r="E5859">
        <v>430</v>
      </c>
      <c r="F5859" t="str">
        <f>HYPERLINK("https://www.google.com/maps/search/?api=1&amp;query=23.88048096,42.90114382", "View Map")</f>
        <v>View Map</v>
      </c>
    </row>
    <row r="5860" spans="1:7" x14ac:dyDescent="0.3">
      <c r="A5860" t="s">
        <v>10060</v>
      </c>
      <c r="B5860" t="s">
        <v>10061</v>
      </c>
      <c r="C5860" t="s">
        <v>8</v>
      </c>
      <c r="D5860">
        <v>1.3420000000000001</v>
      </c>
      <c r="E5860">
        <v>429</v>
      </c>
      <c r="F5860" t="str">
        <f>HYPERLINK("https://www.google.com/maps/search/?api=1&amp;query=24.70471191,46.63058775", "View Map")</f>
        <v>View Map</v>
      </c>
    </row>
    <row r="5861" spans="1:7" x14ac:dyDescent="0.3">
      <c r="A5861" t="s">
        <v>10062</v>
      </c>
      <c r="B5861" t="s">
        <v>10063</v>
      </c>
      <c r="C5861" t="s">
        <v>8</v>
      </c>
      <c r="D5861">
        <v>1.3420000000000001</v>
      </c>
      <c r="E5861">
        <v>429</v>
      </c>
      <c r="F5861" t="str">
        <f>HYPERLINK("https://www.google.com/maps/search/?api=1&amp;query=24.79823311,46.62257654", "View Map")</f>
        <v>View Map</v>
      </c>
    </row>
    <row r="5862" spans="1:7" x14ac:dyDescent="0.3">
      <c r="A5862" t="s">
        <v>719</v>
      </c>
      <c r="B5862" t="s">
        <v>10064</v>
      </c>
      <c r="C5862" t="s">
        <v>8</v>
      </c>
      <c r="D5862">
        <v>1.3420000000000001</v>
      </c>
      <c r="E5862">
        <v>430</v>
      </c>
      <c r="F5862" t="str">
        <f>HYPERLINK("https://www.google.com/maps/search/?api=1&amp;query=24.65333946,46.8200158", "View Map")</f>
        <v>View Map</v>
      </c>
    </row>
    <row r="5863" spans="1:7" x14ac:dyDescent="0.3">
      <c r="A5863" t="s">
        <v>10065</v>
      </c>
      <c r="B5863" t="s">
        <v>10066</v>
      </c>
      <c r="C5863" t="s">
        <v>8</v>
      </c>
      <c r="D5863">
        <v>1.341</v>
      </c>
      <c r="E5863">
        <v>429</v>
      </c>
      <c r="F5863" t="str">
        <f>HYPERLINK("https://www.google.com/maps/search/?api=1&amp;query=24.64161127,46.71922078", "View Map")</f>
        <v>View Map</v>
      </c>
    </row>
    <row r="5864" spans="1:7" x14ac:dyDescent="0.3">
      <c r="A5864" t="s">
        <v>22</v>
      </c>
      <c r="B5864" t="s">
        <v>10067</v>
      </c>
      <c r="C5864" t="s">
        <v>8</v>
      </c>
      <c r="D5864">
        <v>1.341</v>
      </c>
      <c r="E5864">
        <v>429</v>
      </c>
      <c r="F5864" t="str">
        <f>HYPERLINK("https://www.google.com/maps/search/?api=1&amp;query=24.60079956,46.74184377", "View Map")</f>
        <v>View Map</v>
      </c>
    </row>
    <row r="5865" spans="1:7" x14ac:dyDescent="0.3">
      <c r="A5865" t="s">
        <v>706</v>
      </c>
      <c r="B5865" t="s">
        <v>10068</v>
      </c>
      <c r="C5865" t="s">
        <v>8</v>
      </c>
      <c r="D5865">
        <v>1.341</v>
      </c>
      <c r="E5865">
        <v>429</v>
      </c>
      <c r="F5865" t="str">
        <f>HYPERLINK("https://www.google.com/maps/search/?api=1&amp;query=24.51455283,46.72960547", "View Map")</f>
        <v>View Map</v>
      </c>
    </row>
    <row r="5866" spans="1:7" x14ac:dyDescent="0.3">
      <c r="A5866" t="s">
        <v>6622</v>
      </c>
      <c r="B5866" t="s">
        <v>10069</v>
      </c>
      <c r="C5866" t="s">
        <v>137</v>
      </c>
      <c r="D5866">
        <v>1.34</v>
      </c>
      <c r="E5866">
        <v>429</v>
      </c>
      <c r="F5866" t="str">
        <f>HYPERLINK("https://www.google.com/maps/search/?api=1&amp;query=23.49321066,46.85493617", "View Map")</f>
        <v>View Map</v>
      </c>
    </row>
    <row r="5867" spans="1:7" x14ac:dyDescent="0.3">
      <c r="A5867" t="s">
        <v>10070</v>
      </c>
      <c r="B5867" t="s">
        <v>10071</v>
      </c>
      <c r="C5867" t="s">
        <v>214</v>
      </c>
      <c r="D5867">
        <v>1.34</v>
      </c>
      <c r="E5867">
        <v>429</v>
      </c>
      <c r="F5867" t="str">
        <f>HYPERLINK("https://www.google.com/maps/search/?api=1&amp;query=25.92237125,45.37394874", "View Map")</f>
        <v>View Map</v>
      </c>
      <c r="G5867" s="2">
        <v>0.4530695590737937</v>
      </c>
    </row>
    <row r="5868" spans="1:7" x14ac:dyDescent="0.3">
      <c r="A5868" t="s">
        <v>10072</v>
      </c>
      <c r="B5868" t="s">
        <v>10073</v>
      </c>
      <c r="C5868" t="s">
        <v>30</v>
      </c>
      <c r="D5868">
        <v>1.339</v>
      </c>
      <c r="E5868">
        <v>428</v>
      </c>
      <c r="F5868" t="str">
        <f>HYPERLINK("https://www.google.com/maps/search/?api=1&amp;query=24.13844227,47.34505128", "View Map")</f>
        <v>View Map</v>
      </c>
    </row>
    <row r="5869" spans="1:7" x14ac:dyDescent="0.3">
      <c r="A5869" t="s">
        <v>10074</v>
      </c>
      <c r="B5869" t="s">
        <v>10075</v>
      </c>
      <c r="C5869" t="s">
        <v>21</v>
      </c>
      <c r="D5869">
        <v>1.339</v>
      </c>
      <c r="E5869">
        <v>429</v>
      </c>
      <c r="F5869" t="str">
        <f>HYPERLINK("https://www.google.com/maps/search/?api=1&amp;query=26.26667943,44.82596861", "View Map")</f>
        <v>View Map</v>
      </c>
      <c r="G5869" s="2">
        <v>0.51143541045720098</v>
      </c>
    </row>
    <row r="5870" spans="1:7" x14ac:dyDescent="0.3">
      <c r="A5870" t="s">
        <v>10076</v>
      </c>
      <c r="B5870" t="s">
        <v>10077</v>
      </c>
      <c r="C5870" t="s">
        <v>241</v>
      </c>
      <c r="D5870">
        <v>1.339</v>
      </c>
      <c r="E5870">
        <v>429</v>
      </c>
      <c r="F5870" t="str">
        <f>HYPERLINK("https://www.google.com/maps/search/?api=1&amp;query=20.45466368,44.85435293", "View Map")</f>
        <v>View Map</v>
      </c>
    </row>
    <row r="5871" spans="1:7" x14ac:dyDescent="0.3">
      <c r="A5871" t="s">
        <v>10078</v>
      </c>
      <c r="B5871" t="s">
        <v>10079</v>
      </c>
      <c r="C5871" t="s">
        <v>8</v>
      </c>
      <c r="D5871">
        <v>1.339</v>
      </c>
      <c r="E5871">
        <v>428</v>
      </c>
      <c r="F5871" t="str">
        <f>HYPERLINK("https://www.google.com/maps/search/?api=1&amp;query=24.59062406,46.64018161", "View Map")</f>
        <v>View Map</v>
      </c>
    </row>
    <row r="5872" spans="1:7" x14ac:dyDescent="0.3">
      <c r="A5872" t="s">
        <v>3761</v>
      </c>
      <c r="B5872" t="s">
        <v>10080</v>
      </c>
      <c r="C5872" t="s">
        <v>8</v>
      </c>
      <c r="D5872">
        <v>1.3380000000000001</v>
      </c>
      <c r="E5872">
        <v>428</v>
      </c>
      <c r="F5872" t="str">
        <f>HYPERLINK("https://www.google.com/maps/search/?api=1&amp;query=24.60835605,46.75752616", "View Map")</f>
        <v>View Map</v>
      </c>
      <c r="G5872" s="2">
        <v>0.40979968045881521</v>
      </c>
    </row>
    <row r="5873" spans="1:7" x14ac:dyDescent="0.3">
      <c r="A5873" t="s">
        <v>10081</v>
      </c>
      <c r="B5873" t="s">
        <v>10082</v>
      </c>
      <c r="C5873" t="s">
        <v>291</v>
      </c>
      <c r="D5873">
        <v>1.3380000000000001</v>
      </c>
      <c r="E5873">
        <v>428</v>
      </c>
      <c r="F5873" t="str">
        <f>HYPERLINK("https://www.google.com/maps/search/?api=1&amp;query=23.761085,44.50477299", "View Map")</f>
        <v>View Map</v>
      </c>
      <c r="G5873" s="2">
        <v>0.39805709558192959</v>
      </c>
    </row>
    <row r="5874" spans="1:7" x14ac:dyDescent="0.3">
      <c r="A5874" t="s">
        <v>10083</v>
      </c>
      <c r="B5874" t="s">
        <v>10084</v>
      </c>
      <c r="C5874" t="s">
        <v>255</v>
      </c>
      <c r="D5874">
        <v>1.3380000000000001</v>
      </c>
      <c r="E5874">
        <v>428</v>
      </c>
      <c r="F5874" t="str">
        <f>HYPERLINK("https://www.google.com/maps/search/?api=1&amp;query=24.5338014,44.26879178", "View Map")</f>
        <v>View Map</v>
      </c>
    </row>
    <row r="5875" spans="1:7" x14ac:dyDescent="0.3">
      <c r="A5875" t="s">
        <v>10085</v>
      </c>
      <c r="B5875" t="s">
        <v>10086</v>
      </c>
      <c r="C5875" t="s">
        <v>8</v>
      </c>
      <c r="D5875">
        <v>1.3380000000000001</v>
      </c>
      <c r="E5875">
        <v>428</v>
      </c>
      <c r="F5875" t="str">
        <f>HYPERLINK("https://www.google.com/maps/search/?api=1&amp;query=24.68107705,46.78706511", "View Map")</f>
        <v>View Map</v>
      </c>
    </row>
    <row r="5876" spans="1:7" x14ac:dyDescent="0.3">
      <c r="A5876" t="s">
        <v>10087</v>
      </c>
      <c r="B5876" t="s">
        <v>10088</v>
      </c>
      <c r="C5876" t="s">
        <v>241</v>
      </c>
      <c r="D5876">
        <v>1.3380000000000001</v>
      </c>
      <c r="E5876">
        <v>428</v>
      </c>
      <c r="F5876" t="str">
        <f>HYPERLINK("https://www.google.com/maps/search/?api=1&amp;query=21.51459893,43.92254326", "View Map")</f>
        <v>View Map</v>
      </c>
      <c r="G5876" s="2">
        <v>0.73633039773091757</v>
      </c>
    </row>
    <row r="5877" spans="1:7" x14ac:dyDescent="0.3">
      <c r="A5877" t="s">
        <v>10089</v>
      </c>
      <c r="B5877" t="s">
        <v>10090</v>
      </c>
      <c r="C5877" t="s">
        <v>8</v>
      </c>
      <c r="D5877">
        <v>1.337</v>
      </c>
      <c r="E5877">
        <v>428</v>
      </c>
      <c r="F5877" t="str">
        <f>HYPERLINK("https://www.google.com/maps/search/?api=1&amp;query=24.57801037,46.69770333", "View Map")</f>
        <v>View Map</v>
      </c>
    </row>
    <row r="5878" spans="1:7" x14ac:dyDescent="0.3">
      <c r="A5878" t="s">
        <v>2076</v>
      </c>
      <c r="B5878" t="s">
        <v>10091</v>
      </c>
      <c r="C5878" t="s">
        <v>8</v>
      </c>
      <c r="D5878">
        <v>1.337</v>
      </c>
      <c r="E5878">
        <v>428</v>
      </c>
      <c r="F5878" t="str">
        <f>HYPERLINK("https://www.google.com/maps/search/?api=1&amp;query=24.57300444,46.71496257", "View Map")</f>
        <v>View Map</v>
      </c>
    </row>
    <row r="5879" spans="1:7" x14ac:dyDescent="0.3">
      <c r="A5879" t="s">
        <v>10092</v>
      </c>
      <c r="B5879" t="s">
        <v>10093</v>
      </c>
      <c r="C5879" t="s">
        <v>8</v>
      </c>
      <c r="D5879">
        <v>1.337</v>
      </c>
      <c r="E5879">
        <v>428</v>
      </c>
      <c r="F5879" t="str">
        <f>HYPERLINK("https://www.google.com/maps/search/?api=1&amp;query=24.660922,46.710624", "View Map")</f>
        <v>View Map</v>
      </c>
    </row>
    <row r="5880" spans="1:7" x14ac:dyDescent="0.3">
      <c r="A5880" t="s">
        <v>46</v>
      </c>
      <c r="B5880" t="s">
        <v>10094</v>
      </c>
      <c r="C5880" t="s">
        <v>8</v>
      </c>
      <c r="D5880">
        <v>1.3360000000000001</v>
      </c>
      <c r="E5880">
        <v>428</v>
      </c>
      <c r="F5880" t="str">
        <f>HYPERLINK("https://www.google.com/maps/search/?api=1&amp;query=24.92334319,46.82037301", "View Map")</f>
        <v>View Map</v>
      </c>
    </row>
    <row r="5881" spans="1:7" x14ac:dyDescent="0.3">
      <c r="A5881" t="s">
        <v>10095</v>
      </c>
      <c r="B5881" t="s">
        <v>10096</v>
      </c>
      <c r="C5881" t="s">
        <v>8</v>
      </c>
      <c r="D5881">
        <v>1.3360000000000001</v>
      </c>
      <c r="E5881">
        <v>427</v>
      </c>
      <c r="F5881" t="str">
        <f>HYPERLINK("https://www.google.com/maps/search/?api=1&amp;query=24.56507762,46.75921428", "View Map")</f>
        <v>View Map</v>
      </c>
    </row>
    <row r="5882" spans="1:7" x14ac:dyDescent="0.3">
      <c r="A5882" t="s">
        <v>146</v>
      </c>
      <c r="B5882" t="s">
        <v>10097</v>
      </c>
      <c r="C5882" t="s">
        <v>8</v>
      </c>
      <c r="D5882">
        <v>1.3360000000000001</v>
      </c>
      <c r="E5882">
        <v>427</v>
      </c>
      <c r="F5882" t="str">
        <f>HYPERLINK("https://www.google.com/maps/search/?api=1&amp;query=24.5733,46.6092", "View Map")</f>
        <v>View Map</v>
      </c>
    </row>
    <row r="5883" spans="1:7" x14ac:dyDescent="0.3">
      <c r="A5883" t="s">
        <v>10098</v>
      </c>
      <c r="B5883" t="s">
        <v>10099</v>
      </c>
      <c r="C5883" t="s">
        <v>8</v>
      </c>
      <c r="D5883">
        <v>1.3360000000000001</v>
      </c>
      <c r="E5883">
        <v>428</v>
      </c>
      <c r="F5883" t="str">
        <f>HYPERLINK("https://www.google.com/maps/search/?api=1&amp;query=24.75049468,46.79014355", "View Map")</f>
        <v>View Map</v>
      </c>
    </row>
    <row r="5884" spans="1:7" x14ac:dyDescent="0.3">
      <c r="A5884" t="s">
        <v>10100</v>
      </c>
      <c r="B5884" t="s">
        <v>10101</v>
      </c>
      <c r="C5884" t="s">
        <v>286</v>
      </c>
      <c r="D5884">
        <v>1.3360000000000001</v>
      </c>
      <c r="E5884">
        <v>427</v>
      </c>
      <c r="F5884" t="str">
        <f>HYPERLINK("https://www.google.com/maps/search/?api=1&amp;query=25.29422746,45.51875417", "View Map")</f>
        <v>View Map</v>
      </c>
      <c r="G5884" s="2">
        <v>0.18225005188863519</v>
      </c>
    </row>
    <row r="5885" spans="1:7" x14ac:dyDescent="0.3">
      <c r="A5885" t="s">
        <v>10102</v>
      </c>
      <c r="B5885" t="s">
        <v>10103</v>
      </c>
      <c r="C5885" t="s">
        <v>8</v>
      </c>
      <c r="D5885">
        <v>1.335</v>
      </c>
      <c r="E5885">
        <v>427</v>
      </c>
      <c r="F5885" t="str">
        <f>HYPERLINK("https://www.google.com/maps/search/?api=1&amp;query=24.77657298,46.67614731", "View Map")</f>
        <v>View Map</v>
      </c>
    </row>
    <row r="5886" spans="1:7" x14ac:dyDescent="0.3">
      <c r="A5886" t="s">
        <v>10104</v>
      </c>
      <c r="B5886" t="s">
        <v>10105</v>
      </c>
      <c r="C5886" t="s">
        <v>21</v>
      </c>
      <c r="D5886">
        <v>1.335</v>
      </c>
      <c r="E5886">
        <v>427</v>
      </c>
      <c r="F5886" t="str">
        <f>HYPERLINK("https://www.google.com/maps/search/?api=1&amp;query=26.26531803,44.8064033", "View Map")</f>
        <v>View Map</v>
      </c>
      <c r="G5886" s="2">
        <v>0.56122059368190647</v>
      </c>
    </row>
    <row r="5887" spans="1:7" x14ac:dyDescent="0.3">
      <c r="A5887" t="s">
        <v>10106</v>
      </c>
      <c r="B5887" t="s">
        <v>10107</v>
      </c>
      <c r="C5887" t="s">
        <v>255</v>
      </c>
      <c r="D5887">
        <v>1.335</v>
      </c>
      <c r="E5887">
        <v>427</v>
      </c>
      <c r="F5887" t="str">
        <f>HYPERLINK("https://www.google.com/maps/search/?api=1&amp;query=25.17804773,44.5987014", "View Map")</f>
        <v>View Map</v>
      </c>
    </row>
    <row r="5888" spans="1:7" x14ac:dyDescent="0.3">
      <c r="A5888" t="s">
        <v>411</v>
      </c>
      <c r="B5888" t="s">
        <v>10108</v>
      </c>
      <c r="C5888" t="s">
        <v>77</v>
      </c>
      <c r="D5888">
        <v>1.335</v>
      </c>
      <c r="E5888">
        <v>427</v>
      </c>
      <c r="F5888" t="str">
        <f>HYPERLINK("https://www.google.com/maps/search/?api=1&amp;query=22.27756152,46.72174519", "View Map")</f>
        <v>View Map</v>
      </c>
      <c r="G5888" s="2">
        <v>0.86540443011521917</v>
      </c>
    </row>
    <row r="5889" spans="1:7" x14ac:dyDescent="0.3">
      <c r="A5889" t="s">
        <v>10109</v>
      </c>
      <c r="B5889" t="s">
        <v>10110</v>
      </c>
      <c r="C5889" t="s">
        <v>8</v>
      </c>
      <c r="D5889">
        <v>1.3340000000000001</v>
      </c>
      <c r="E5889">
        <v>427</v>
      </c>
      <c r="F5889" t="str">
        <f>HYPERLINK("https://www.google.com/maps/search/?api=1&amp;query=24.77037236,46.67634442", "View Map")</f>
        <v>View Map</v>
      </c>
    </row>
    <row r="5890" spans="1:7" x14ac:dyDescent="0.3">
      <c r="A5890" t="s">
        <v>661</v>
      </c>
      <c r="B5890" t="s">
        <v>10111</v>
      </c>
      <c r="C5890" t="s">
        <v>214</v>
      </c>
      <c r="D5890">
        <v>1.3340000000000001</v>
      </c>
      <c r="E5890">
        <v>427</v>
      </c>
      <c r="F5890" t="str">
        <f>HYPERLINK("https://www.google.com/maps/search/?api=1&amp;query=25.56943359,45.65551821", "View Map")</f>
        <v>View Map</v>
      </c>
      <c r="G5890" s="2">
        <v>0.38783198276290698</v>
      </c>
    </row>
    <row r="5891" spans="1:7" x14ac:dyDescent="0.3">
      <c r="A5891" t="s">
        <v>10112</v>
      </c>
      <c r="B5891" t="s">
        <v>10113</v>
      </c>
      <c r="C5891" t="s">
        <v>8</v>
      </c>
      <c r="D5891">
        <v>1.3340000000000001</v>
      </c>
      <c r="E5891">
        <v>427</v>
      </c>
      <c r="F5891" t="str">
        <f>HYPERLINK("https://www.google.com/maps/search/?api=1&amp;query=24.58734101,46.58076877", "View Map")</f>
        <v>View Map</v>
      </c>
    </row>
    <row r="5892" spans="1:7" x14ac:dyDescent="0.3">
      <c r="A5892" t="s">
        <v>46</v>
      </c>
      <c r="B5892" t="s">
        <v>10114</v>
      </c>
      <c r="C5892" t="s">
        <v>8</v>
      </c>
      <c r="D5892">
        <v>1.333</v>
      </c>
      <c r="E5892">
        <v>426</v>
      </c>
      <c r="F5892" t="str">
        <f>HYPERLINK("https://www.google.com/maps/search/?api=1&amp;query=24.89909243,46.86152296", "View Map")</f>
        <v>View Map</v>
      </c>
    </row>
    <row r="5893" spans="1:7" x14ac:dyDescent="0.3">
      <c r="A5893" t="s">
        <v>46</v>
      </c>
      <c r="B5893" t="s">
        <v>10115</v>
      </c>
      <c r="C5893" t="s">
        <v>820</v>
      </c>
      <c r="D5893">
        <v>1.333</v>
      </c>
      <c r="E5893">
        <v>427</v>
      </c>
      <c r="F5893" t="str">
        <f>HYPERLINK("https://www.google.com/maps/search/?api=1&amp;query=0.0,0.0", "View Map")</f>
        <v>View Map</v>
      </c>
    </row>
    <row r="5894" spans="1:7" x14ac:dyDescent="0.3">
      <c r="A5894" t="s">
        <v>1002</v>
      </c>
      <c r="B5894" t="s">
        <v>10116</v>
      </c>
      <c r="C5894" t="s">
        <v>214</v>
      </c>
      <c r="D5894">
        <v>1.333</v>
      </c>
      <c r="E5894">
        <v>426</v>
      </c>
      <c r="F5894" t="str">
        <f>HYPERLINK("https://www.google.com/maps/search/?api=1&amp;query=25.89260308,45.35906302", "View Map")</f>
        <v>View Map</v>
      </c>
      <c r="G5894" s="2">
        <v>0.44847224870281188</v>
      </c>
    </row>
    <row r="5895" spans="1:7" x14ac:dyDescent="0.3">
      <c r="A5895" t="s">
        <v>717</v>
      </c>
      <c r="B5895" t="s">
        <v>10117</v>
      </c>
      <c r="C5895" t="s">
        <v>255</v>
      </c>
      <c r="D5895">
        <v>1.3320000000000001</v>
      </c>
      <c r="E5895">
        <v>426</v>
      </c>
      <c r="F5895" t="str">
        <f>HYPERLINK("https://www.google.com/maps/search/?api=1&amp;query=24.55884528,44.460481", "View Map")</f>
        <v>View Map</v>
      </c>
      <c r="G5895" s="2">
        <v>0.37046710088235718</v>
      </c>
    </row>
    <row r="5896" spans="1:7" x14ac:dyDescent="0.3">
      <c r="A5896" t="s">
        <v>10118</v>
      </c>
      <c r="B5896" t="s">
        <v>10119</v>
      </c>
      <c r="C5896" t="s">
        <v>241</v>
      </c>
      <c r="D5896">
        <v>1.3320000000000001</v>
      </c>
      <c r="E5896">
        <v>426</v>
      </c>
      <c r="F5896" t="str">
        <f>HYPERLINK("https://www.google.com/maps/search/?api=1&amp;query=20.43206224,44.89612837", "View Map")</f>
        <v>View Map</v>
      </c>
      <c r="G5896" s="2">
        <v>0.79830116792124239</v>
      </c>
    </row>
    <row r="5897" spans="1:7" x14ac:dyDescent="0.3">
      <c r="A5897" t="s">
        <v>46</v>
      </c>
      <c r="B5897" t="s">
        <v>10120</v>
      </c>
      <c r="C5897" t="s">
        <v>8</v>
      </c>
      <c r="D5897">
        <v>1.3320000000000001</v>
      </c>
      <c r="E5897">
        <v>426</v>
      </c>
      <c r="F5897" t="str">
        <f>HYPERLINK("https://www.google.com/maps/search/?api=1&amp;query=24.92525789,46.82341566", "View Map")</f>
        <v>View Map</v>
      </c>
    </row>
    <row r="5898" spans="1:7" x14ac:dyDescent="0.3">
      <c r="A5898" t="s">
        <v>10121</v>
      </c>
      <c r="B5898" t="s">
        <v>10122</v>
      </c>
      <c r="C5898" t="s">
        <v>241</v>
      </c>
      <c r="D5898">
        <v>1.3320000000000001</v>
      </c>
      <c r="E5898">
        <v>426</v>
      </c>
      <c r="F5898" t="str">
        <f>HYPERLINK("https://www.google.com/maps/search/?api=1&amp;query=21.97257853,44.9686352", "View Map")</f>
        <v>View Map</v>
      </c>
      <c r="G5898" s="2">
        <v>0.34331150204955241</v>
      </c>
    </row>
    <row r="5899" spans="1:7" x14ac:dyDescent="0.3">
      <c r="A5899" t="s">
        <v>717</v>
      </c>
      <c r="B5899" t="s">
        <v>10123</v>
      </c>
      <c r="C5899" t="s">
        <v>255</v>
      </c>
      <c r="D5899">
        <v>1.331</v>
      </c>
      <c r="E5899">
        <v>426</v>
      </c>
      <c r="F5899" t="str">
        <f>HYPERLINK("https://www.google.com/maps/search/?api=1&amp;query=24.49640596,44.35814961", "View Map")</f>
        <v>View Map</v>
      </c>
    </row>
    <row r="5900" spans="1:7" x14ac:dyDescent="0.3">
      <c r="A5900" t="s">
        <v>289</v>
      </c>
      <c r="B5900" t="s">
        <v>10124</v>
      </c>
      <c r="C5900" t="s">
        <v>291</v>
      </c>
      <c r="D5900">
        <v>1.331</v>
      </c>
      <c r="E5900">
        <v>426</v>
      </c>
      <c r="F5900" t="str">
        <f>HYPERLINK("https://www.google.com/maps/search/?api=1&amp;query=24.19918893,45.87847073", "View Map")</f>
        <v>View Map</v>
      </c>
      <c r="G5900" s="2">
        <v>0.77240642959964279</v>
      </c>
    </row>
    <row r="5901" spans="1:7" x14ac:dyDescent="0.3">
      <c r="A5901" t="s">
        <v>10125</v>
      </c>
      <c r="B5901" t="s">
        <v>10126</v>
      </c>
      <c r="C5901" t="s">
        <v>8</v>
      </c>
      <c r="D5901">
        <v>1.331</v>
      </c>
      <c r="E5901">
        <v>426</v>
      </c>
      <c r="F5901" t="str">
        <f>HYPERLINK("https://www.google.com/maps/search/?api=1&amp;query=24.5764,46.5892", "View Map")</f>
        <v>View Map</v>
      </c>
    </row>
    <row r="5902" spans="1:7" x14ac:dyDescent="0.3">
      <c r="A5902" t="s">
        <v>661</v>
      </c>
      <c r="B5902" t="s">
        <v>10127</v>
      </c>
      <c r="C5902" t="s">
        <v>214</v>
      </c>
      <c r="D5902">
        <v>1.331</v>
      </c>
      <c r="E5902">
        <v>426</v>
      </c>
      <c r="F5902" t="str">
        <f>HYPERLINK("https://www.google.com/maps/search/?api=1&amp;query=25.70290708,45.45487016", "View Map")</f>
        <v>View Map</v>
      </c>
      <c r="G5902" s="2">
        <v>0.38144350455734682</v>
      </c>
    </row>
    <row r="5903" spans="1:7" x14ac:dyDescent="0.3">
      <c r="A5903" t="s">
        <v>10128</v>
      </c>
      <c r="B5903" t="s">
        <v>10129</v>
      </c>
      <c r="C5903" t="s">
        <v>77</v>
      </c>
      <c r="D5903">
        <v>1.33</v>
      </c>
      <c r="E5903">
        <v>426</v>
      </c>
      <c r="F5903" t="str">
        <f>HYPERLINK("https://www.google.com/maps/search/?api=1&amp;query=22.41563592,46.60517186", "View Map")</f>
        <v>View Map</v>
      </c>
      <c r="G5903" s="2">
        <v>0.45666769643386218</v>
      </c>
    </row>
    <row r="5904" spans="1:7" x14ac:dyDescent="0.3">
      <c r="A5904" t="s">
        <v>530</v>
      </c>
      <c r="B5904" t="s">
        <v>10130</v>
      </c>
      <c r="C5904" t="s">
        <v>8</v>
      </c>
      <c r="D5904">
        <v>1.33</v>
      </c>
      <c r="E5904">
        <v>426</v>
      </c>
      <c r="F5904" t="str">
        <f>HYPERLINK("https://www.google.com/maps/search/?api=1&amp;query=24.7644685,46.76665468", "View Map")</f>
        <v>View Map</v>
      </c>
    </row>
    <row r="5905" spans="1:7" x14ac:dyDescent="0.3">
      <c r="A5905" t="s">
        <v>10131</v>
      </c>
      <c r="B5905" t="s">
        <v>10132</v>
      </c>
      <c r="C5905" t="s">
        <v>286</v>
      </c>
      <c r="D5905">
        <v>1.329</v>
      </c>
      <c r="E5905">
        <v>425</v>
      </c>
      <c r="F5905" t="str">
        <f>HYPERLINK("https://www.google.com/maps/search/?api=1&amp;query=25.57061311,45.27738102", "View Map")</f>
        <v>View Map</v>
      </c>
    </row>
    <row r="5906" spans="1:7" x14ac:dyDescent="0.3">
      <c r="A5906" t="s">
        <v>146</v>
      </c>
      <c r="B5906" t="s">
        <v>10133</v>
      </c>
      <c r="C5906" t="s">
        <v>8</v>
      </c>
      <c r="D5906">
        <v>1.329</v>
      </c>
      <c r="E5906">
        <v>425</v>
      </c>
      <c r="F5906" t="str">
        <f>HYPERLINK("https://www.google.com/maps/search/?api=1&amp;query=24.54339607,46.51293146", "View Map")</f>
        <v>View Map</v>
      </c>
    </row>
    <row r="5907" spans="1:7" x14ac:dyDescent="0.3">
      <c r="A5907" t="s">
        <v>10134</v>
      </c>
      <c r="B5907" t="s">
        <v>10135</v>
      </c>
      <c r="C5907" t="s">
        <v>255</v>
      </c>
      <c r="D5907">
        <v>1.3280000000000001</v>
      </c>
      <c r="E5907">
        <v>425</v>
      </c>
      <c r="F5907" t="str">
        <f>HYPERLINK("https://www.google.com/maps/search/?api=1&amp;query=24.66204796,44.31512671", "View Map")</f>
        <v>View Map</v>
      </c>
      <c r="G5907" s="2">
        <v>0.44247984728964379</v>
      </c>
    </row>
    <row r="5908" spans="1:7" x14ac:dyDescent="0.3">
      <c r="A5908" t="s">
        <v>10136</v>
      </c>
      <c r="B5908" t="s">
        <v>10137</v>
      </c>
      <c r="C5908" t="s">
        <v>8</v>
      </c>
      <c r="D5908">
        <v>1.3280000000000001</v>
      </c>
      <c r="E5908">
        <v>425</v>
      </c>
      <c r="F5908" t="str">
        <f>HYPERLINK("https://www.google.com/maps/search/?api=1&amp;query=24.60801842,46.72861881", "View Map")</f>
        <v>View Map</v>
      </c>
    </row>
    <row r="5909" spans="1:7" x14ac:dyDescent="0.3">
      <c r="A5909" t="s">
        <v>10138</v>
      </c>
      <c r="B5909" t="s">
        <v>10139</v>
      </c>
      <c r="C5909" t="s">
        <v>8</v>
      </c>
      <c r="D5909">
        <v>1.3280000000000001</v>
      </c>
      <c r="E5909">
        <v>425</v>
      </c>
      <c r="F5909" t="str">
        <f>HYPERLINK("https://www.google.com/maps/search/?api=1&amp;query=24.81630679,46.72359517", "View Map")</f>
        <v>View Map</v>
      </c>
    </row>
    <row r="5910" spans="1:7" x14ac:dyDescent="0.3">
      <c r="A5910" t="s">
        <v>10140</v>
      </c>
      <c r="B5910" t="s">
        <v>10141</v>
      </c>
      <c r="C5910" t="s">
        <v>1112</v>
      </c>
      <c r="D5910">
        <v>1.3280000000000001</v>
      </c>
      <c r="E5910">
        <v>425</v>
      </c>
      <c r="F5910" t="str">
        <f>HYPERLINK("https://www.google.com/maps/search/?api=1&amp;query=26.04111751,44.94225798", "View Map")</f>
        <v>View Map</v>
      </c>
      <c r="G5910" s="2">
        <v>0.47403198279507708</v>
      </c>
    </row>
    <row r="5911" spans="1:7" x14ac:dyDescent="0.3">
      <c r="A5911" t="s">
        <v>46</v>
      </c>
      <c r="B5911" t="s">
        <v>10142</v>
      </c>
      <c r="C5911" t="s">
        <v>8</v>
      </c>
      <c r="D5911">
        <v>1.327</v>
      </c>
      <c r="E5911">
        <v>425</v>
      </c>
      <c r="F5911" t="str">
        <f>HYPERLINK("https://www.google.com/maps/search/?api=1&amp;query=24.76863869,46.6986284", "View Map")</f>
        <v>View Map</v>
      </c>
    </row>
    <row r="5912" spans="1:7" x14ac:dyDescent="0.3">
      <c r="A5912" t="s">
        <v>10143</v>
      </c>
      <c r="B5912" t="s">
        <v>10144</v>
      </c>
      <c r="C5912" t="s">
        <v>77</v>
      </c>
      <c r="D5912">
        <v>1.327</v>
      </c>
      <c r="E5912">
        <v>425</v>
      </c>
      <c r="F5912" t="str">
        <f>HYPERLINK("https://www.google.com/maps/search/?api=1&amp;query=22.29803487,46.71590642", "View Map")</f>
        <v>View Map</v>
      </c>
    </row>
    <row r="5913" spans="1:7" x14ac:dyDescent="0.3">
      <c r="A5913" t="s">
        <v>10145</v>
      </c>
      <c r="B5913" t="s">
        <v>10146</v>
      </c>
      <c r="C5913" t="s">
        <v>296</v>
      </c>
      <c r="D5913">
        <v>1.327</v>
      </c>
      <c r="E5913">
        <v>425</v>
      </c>
      <c r="F5913" t="str">
        <f>HYPERLINK("https://www.google.com/maps/search/?api=1&amp;query=24.47174856,46.26727057", "View Map")</f>
        <v>View Map</v>
      </c>
    </row>
    <row r="5914" spans="1:7" x14ac:dyDescent="0.3">
      <c r="A5914" t="s">
        <v>10147</v>
      </c>
      <c r="B5914" t="s">
        <v>10148</v>
      </c>
      <c r="C5914" t="s">
        <v>291</v>
      </c>
      <c r="D5914">
        <v>1.327</v>
      </c>
      <c r="E5914">
        <v>425</v>
      </c>
      <c r="F5914" t="str">
        <f>HYPERLINK("https://www.google.com/maps/search/?api=1&amp;query=24.27436093,45.87334135", "View Map")</f>
        <v>View Map</v>
      </c>
      <c r="G5914" s="2">
        <v>0.71900650272724387</v>
      </c>
    </row>
    <row r="5915" spans="1:7" x14ac:dyDescent="0.3">
      <c r="A5915" t="s">
        <v>627</v>
      </c>
      <c r="B5915" t="s">
        <v>10149</v>
      </c>
      <c r="C5915" t="s">
        <v>8</v>
      </c>
      <c r="D5915">
        <v>1.3260000000000001</v>
      </c>
      <c r="E5915">
        <v>424</v>
      </c>
      <c r="F5915" t="str">
        <f>HYPERLINK("https://www.google.com/maps/search/?api=1&amp;query=24.81156308,46.65588961", "View Map")</f>
        <v>View Map</v>
      </c>
    </row>
    <row r="5916" spans="1:7" x14ac:dyDescent="0.3">
      <c r="A5916" t="s">
        <v>10150</v>
      </c>
      <c r="B5916" t="s">
        <v>10151</v>
      </c>
      <c r="C5916" t="s">
        <v>296</v>
      </c>
      <c r="D5916">
        <v>1.325</v>
      </c>
      <c r="E5916">
        <v>424</v>
      </c>
      <c r="F5916" t="str">
        <f>HYPERLINK("https://www.google.com/maps/search/?api=1&amp;query=24.36809771,46.43821997", "View Map")</f>
        <v>View Map</v>
      </c>
    </row>
    <row r="5917" spans="1:7" x14ac:dyDescent="0.3">
      <c r="A5917" t="s">
        <v>2848</v>
      </c>
      <c r="B5917" t="s">
        <v>10152</v>
      </c>
      <c r="C5917" t="s">
        <v>214</v>
      </c>
      <c r="D5917">
        <v>1.325</v>
      </c>
      <c r="E5917">
        <v>424</v>
      </c>
      <c r="F5917" t="str">
        <f>HYPERLINK("https://www.google.com/maps/search/?api=1&amp;query=26.87350708,45.31841607", "View Map")</f>
        <v>View Map</v>
      </c>
      <c r="G5917" s="2">
        <v>0.42458823394887829</v>
      </c>
    </row>
    <row r="5918" spans="1:7" x14ac:dyDescent="0.3">
      <c r="A5918" t="s">
        <v>10153</v>
      </c>
      <c r="B5918" t="s">
        <v>10154</v>
      </c>
      <c r="C5918" t="s">
        <v>255</v>
      </c>
      <c r="D5918">
        <v>1.325</v>
      </c>
      <c r="E5918">
        <v>424</v>
      </c>
      <c r="F5918" t="str">
        <f>HYPERLINK("https://www.google.com/maps/search/?api=1&amp;query=25.37801483,44.46428497", "View Map")</f>
        <v>View Map</v>
      </c>
      <c r="G5918" s="2">
        <v>0.57809035117871432</v>
      </c>
    </row>
    <row r="5919" spans="1:7" x14ac:dyDescent="0.3">
      <c r="A5919" t="s">
        <v>10155</v>
      </c>
      <c r="B5919" t="s">
        <v>10156</v>
      </c>
      <c r="C5919" t="s">
        <v>255</v>
      </c>
      <c r="D5919">
        <v>1.325</v>
      </c>
      <c r="E5919">
        <v>424</v>
      </c>
      <c r="F5919" t="str">
        <f>HYPERLINK("https://www.google.com/maps/search/?api=1&amp;query=24.5272251,44.39335204", "View Map")</f>
        <v>View Map</v>
      </c>
    </row>
    <row r="5920" spans="1:7" x14ac:dyDescent="0.3">
      <c r="A5920" t="s">
        <v>3347</v>
      </c>
      <c r="B5920" t="s">
        <v>10157</v>
      </c>
      <c r="C5920" t="s">
        <v>8</v>
      </c>
      <c r="D5920">
        <v>1.325</v>
      </c>
      <c r="E5920">
        <v>424</v>
      </c>
      <c r="F5920" t="str">
        <f>HYPERLINK("https://www.google.com/maps/search/?api=1&amp;query=24.66914235,46.75346042", "View Map")</f>
        <v>View Map</v>
      </c>
    </row>
    <row r="5921" spans="1:7" x14ac:dyDescent="0.3">
      <c r="A5921" t="s">
        <v>10158</v>
      </c>
      <c r="B5921" t="s">
        <v>10159</v>
      </c>
      <c r="C5921" t="s">
        <v>8</v>
      </c>
      <c r="D5921">
        <v>1.325</v>
      </c>
      <c r="E5921">
        <v>424</v>
      </c>
      <c r="F5921" t="str">
        <f>HYPERLINK("https://www.google.com/maps/search/?api=1&amp;query=24.59649693,46.72643655", "View Map")</f>
        <v>View Map</v>
      </c>
    </row>
    <row r="5922" spans="1:7" x14ac:dyDescent="0.3">
      <c r="A5922" t="s">
        <v>10160</v>
      </c>
      <c r="B5922" t="s">
        <v>10161</v>
      </c>
      <c r="C5922" t="s">
        <v>255</v>
      </c>
      <c r="D5922">
        <v>1.3240000000000001</v>
      </c>
      <c r="E5922">
        <v>424</v>
      </c>
      <c r="F5922" t="str">
        <f>HYPERLINK("https://www.google.com/maps/search/?api=1&amp;query=25.01688057,43.83679136", "View Map")</f>
        <v>View Map</v>
      </c>
      <c r="G5922" s="2">
        <v>0.63243932313071161</v>
      </c>
    </row>
    <row r="5923" spans="1:7" x14ac:dyDescent="0.3">
      <c r="A5923" t="s">
        <v>10162</v>
      </c>
      <c r="B5923" t="s">
        <v>10163</v>
      </c>
      <c r="C5923" t="s">
        <v>255</v>
      </c>
      <c r="D5923">
        <v>1.3240000000000001</v>
      </c>
      <c r="E5923">
        <v>424</v>
      </c>
      <c r="F5923" t="str">
        <f>HYPERLINK("https://www.google.com/maps/search/?api=1&amp;query=25.27284107,44.57736159", "View Map")</f>
        <v>View Map</v>
      </c>
    </row>
    <row r="5924" spans="1:7" x14ac:dyDescent="0.3">
      <c r="A5924" t="s">
        <v>10164</v>
      </c>
      <c r="B5924" t="s">
        <v>10165</v>
      </c>
      <c r="C5924" t="s">
        <v>8</v>
      </c>
      <c r="D5924">
        <v>1.323</v>
      </c>
      <c r="E5924">
        <v>423</v>
      </c>
      <c r="F5924" t="str">
        <f>HYPERLINK("https://www.google.com/maps/search/?api=1&amp;query=24.62050689,46.756776", "View Map")</f>
        <v>View Map</v>
      </c>
    </row>
    <row r="5925" spans="1:7" x14ac:dyDescent="0.3">
      <c r="A5925" t="s">
        <v>10166</v>
      </c>
      <c r="B5925" t="s">
        <v>10167</v>
      </c>
      <c r="C5925" t="s">
        <v>30</v>
      </c>
      <c r="D5925">
        <v>1.323</v>
      </c>
      <c r="E5925">
        <v>423</v>
      </c>
      <c r="F5925" t="str">
        <f>HYPERLINK("https://www.google.com/maps/search/?api=1&amp;query=24.14195455,47.35611666", "View Map")</f>
        <v>View Map</v>
      </c>
    </row>
    <row r="5926" spans="1:7" x14ac:dyDescent="0.3">
      <c r="A5926" t="s">
        <v>10168</v>
      </c>
      <c r="B5926" t="s">
        <v>10169</v>
      </c>
      <c r="C5926" t="s">
        <v>8</v>
      </c>
      <c r="D5926">
        <v>1.323</v>
      </c>
      <c r="E5926">
        <v>423</v>
      </c>
      <c r="F5926" t="str">
        <f>HYPERLINK("https://www.google.com/maps/search/?api=1&amp;query=24.74268216,46.84643578", "View Map")</f>
        <v>View Map</v>
      </c>
    </row>
    <row r="5927" spans="1:7" x14ac:dyDescent="0.3">
      <c r="A5927" t="s">
        <v>10170</v>
      </c>
      <c r="B5927" t="s">
        <v>10171</v>
      </c>
      <c r="C5927" t="s">
        <v>393</v>
      </c>
      <c r="D5927">
        <v>1.3220000000000001</v>
      </c>
      <c r="E5927">
        <v>423</v>
      </c>
      <c r="F5927" t="str">
        <f>HYPERLINK("https://www.google.com/maps/search/?api=1&amp;query=22.52562563,45.08520444", "View Map")</f>
        <v>View Map</v>
      </c>
    </row>
    <row r="5928" spans="1:7" x14ac:dyDescent="0.3">
      <c r="A5928" t="s">
        <v>10172</v>
      </c>
      <c r="B5928" t="s">
        <v>10173</v>
      </c>
      <c r="C5928" t="s">
        <v>255</v>
      </c>
      <c r="D5928">
        <v>1.3220000000000001</v>
      </c>
      <c r="E5928">
        <v>423</v>
      </c>
      <c r="F5928" t="str">
        <f>HYPERLINK("https://www.google.com/maps/search/?api=1&amp;query=24.29413225,43.67441934", "View Map")</f>
        <v>View Map</v>
      </c>
    </row>
    <row r="5929" spans="1:7" x14ac:dyDescent="0.3">
      <c r="A5929" t="s">
        <v>1788</v>
      </c>
      <c r="B5929" t="s">
        <v>10174</v>
      </c>
      <c r="C5929" t="s">
        <v>393</v>
      </c>
      <c r="D5929">
        <v>1.3220000000000001</v>
      </c>
      <c r="E5929">
        <v>423</v>
      </c>
      <c r="F5929" t="str">
        <f>HYPERLINK("https://www.google.com/maps/search/?api=1&amp;query=23.27130064,45.22166751", "View Map")</f>
        <v>View Map</v>
      </c>
      <c r="G5929" s="2">
        <v>0.65446536957658408</v>
      </c>
    </row>
    <row r="5930" spans="1:7" x14ac:dyDescent="0.3">
      <c r="A5930" t="s">
        <v>10175</v>
      </c>
      <c r="B5930" t="s">
        <v>10176</v>
      </c>
      <c r="C5930" t="s">
        <v>738</v>
      </c>
      <c r="D5930">
        <v>1.321</v>
      </c>
      <c r="E5930">
        <v>423</v>
      </c>
      <c r="F5930" t="str">
        <f>HYPERLINK("https://www.google.com/maps/search/?api=1&amp;query=25.1252026,46.15805671", "View Map")</f>
        <v>View Map</v>
      </c>
      <c r="G5930" s="2">
        <v>0.42303169634845728</v>
      </c>
    </row>
    <row r="5931" spans="1:7" x14ac:dyDescent="0.3">
      <c r="A5931" t="s">
        <v>10177</v>
      </c>
      <c r="B5931" t="s">
        <v>10178</v>
      </c>
      <c r="C5931" t="s">
        <v>8</v>
      </c>
      <c r="D5931">
        <v>1.321</v>
      </c>
      <c r="E5931">
        <v>423</v>
      </c>
      <c r="F5931" t="str">
        <f>HYPERLINK("https://www.google.com/maps/search/?api=1&amp;query=24.73044357,46.82668979", "View Map")</f>
        <v>View Map</v>
      </c>
    </row>
    <row r="5932" spans="1:7" x14ac:dyDescent="0.3">
      <c r="A5932" t="s">
        <v>10179</v>
      </c>
      <c r="B5932" t="s">
        <v>10180</v>
      </c>
      <c r="C5932" t="s">
        <v>55</v>
      </c>
      <c r="D5932">
        <v>1.321</v>
      </c>
      <c r="E5932">
        <v>423</v>
      </c>
      <c r="F5932" t="str">
        <f>HYPERLINK("https://www.google.com/maps/search/?api=1&amp;query=24.72616,46.5738", "View Map")</f>
        <v>View Map</v>
      </c>
      <c r="G5932" s="2">
        <v>0.53021517868650969</v>
      </c>
    </row>
    <row r="5933" spans="1:7" x14ac:dyDescent="0.3">
      <c r="A5933" t="s">
        <v>2790</v>
      </c>
      <c r="B5933" t="s">
        <v>10181</v>
      </c>
      <c r="C5933" t="s">
        <v>8</v>
      </c>
      <c r="D5933">
        <v>1.321</v>
      </c>
      <c r="E5933">
        <v>423</v>
      </c>
      <c r="F5933" t="str">
        <f>HYPERLINK("https://www.google.com/maps/search/?api=1&amp;query=24.69260445,46.64457872", "View Map")</f>
        <v>View Map</v>
      </c>
    </row>
    <row r="5934" spans="1:7" x14ac:dyDescent="0.3">
      <c r="A5934" t="s">
        <v>10182</v>
      </c>
      <c r="B5934" t="s">
        <v>10183</v>
      </c>
      <c r="C5934" t="s">
        <v>214</v>
      </c>
      <c r="D5934">
        <v>1.321</v>
      </c>
      <c r="E5934">
        <v>423</v>
      </c>
      <c r="F5934" t="str">
        <f>HYPERLINK("https://www.google.com/maps/search/?api=1&amp;query=25.90401363,45.36998863", "View Map")</f>
        <v>View Map</v>
      </c>
      <c r="G5934" s="2">
        <v>0.35186553751406818</v>
      </c>
    </row>
    <row r="5935" spans="1:7" x14ac:dyDescent="0.3">
      <c r="A5935" t="s">
        <v>10184</v>
      </c>
      <c r="B5935" t="s">
        <v>10185</v>
      </c>
      <c r="C5935" t="s">
        <v>291</v>
      </c>
      <c r="D5935">
        <v>1.319</v>
      </c>
      <c r="E5935">
        <v>422</v>
      </c>
      <c r="F5935" t="str">
        <f>HYPERLINK("https://www.google.com/maps/search/?api=1&amp;query=23.82280479,45.04893285", "View Map")</f>
        <v>View Map</v>
      </c>
      <c r="G5935" s="2">
        <v>0.5288815827672978</v>
      </c>
    </row>
    <row r="5936" spans="1:7" x14ac:dyDescent="0.3">
      <c r="A5936" t="s">
        <v>146</v>
      </c>
      <c r="B5936" t="s">
        <v>10186</v>
      </c>
      <c r="C5936" t="s">
        <v>8</v>
      </c>
      <c r="D5936">
        <v>1.319</v>
      </c>
      <c r="E5936">
        <v>422</v>
      </c>
      <c r="F5936" t="str">
        <f>HYPERLINK("https://www.google.com/maps/search/?api=1&amp;query=24.56537457,46.55861561", "View Map")</f>
        <v>View Map</v>
      </c>
    </row>
    <row r="5937" spans="1:7" x14ac:dyDescent="0.3">
      <c r="A5937" t="s">
        <v>10187</v>
      </c>
      <c r="B5937" t="s">
        <v>10188</v>
      </c>
      <c r="C5937" t="s">
        <v>21</v>
      </c>
      <c r="D5937">
        <v>1.319</v>
      </c>
      <c r="E5937">
        <v>422</v>
      </c>
      <c r="F5937" t="str">
        <f>HYPERLINK("https://www.google.com/maps/search/?api=1&amp;query=26.31842505,44.81195489", "View Map")</f>
        <v>View Map</v>
      </c>
    </row>
    <row r="5938" spans="1:7" x14ac:dyDescent="0.3">
      <c r="A5938" t="s">
        <v>10189</v>
      </c>
      <c r="B5938" t="s">
        <v>10190</v>
      </c>
      <c r="C5938" t="s">
        <v>8</v>
      </c>
      <c r="D5938">
        <v>1.3180000000000001</v>
      </c>
      <c r="E5938">
        <v>422</v>
      </c>
      <c r="F5938" t="str">
        <f>HYPERLINK("https://www.google.com/maps/search/?api=1&amp;query=24.7006,46.6803", "View Map")</f>
        <v>View Map</v>
      </c>
    </row>
    <row r="5939" spans="1:7" x14ac:dyDescent="0.3">
      <c r="A5939" t="s">
        <v>10191</v>
      </c>
      <c r="B5939" t="s">
        <v>10192</v>
      </c>
      <c r="C5939" t="s">
        <v>8</v>
      </c>
      <c r="D5939">
        <v>1.3180000000000001</v>
      </c>
      <c r="E5939">
        <v>422</v>
      </c>
      <c r="F5939" t="str">
        <f>HYPERLINK("https://www.google.com/maps/search/?api=1&amp;query=24.64554442,46.56415336", "View Map")</f>
        <v>View Map</v>
      </c>
    </row>
    <row r="5940" spans="1:7" x14ac:dyDescent="0.3">
      <c r="A5940" t="s">
        <v>10193</v>
      </c>
      <c r="B5940" t="s">
        <v>10194</v>
      </c>
      <c r="C5940" t="s">
        <v>699</v>
      </c>
      <c r="D5940">
        <v>1.3180000000000001</v>
      </c>
      <c r="E5940">
        <v>422</v>
      </c>
      <c r="F5940" t="str">
        <f>HYPERLINK("https://www.google.com/maps/search/?api=1&amp;query=25.11995825,45.49277008", "View Map")</f>
        <v>View Map</v>
      </c>
    </row>
    <row r="5941" spans="1:7" x14ac:dyDescent="0.3">
      <c r="A5941" t="s">
        <v>10195</v>
      </c>
      <c r="B5941" t="s">
        <v>10196</v>
      </c>
      <c r="C5941" t="s">
        <v>291</v>
      </c>
      <c r="D5941">
        <v>1.3180000000000001</v>
      </c>
      <c r="E5941">
        <v>422</v>
      </c>
      <c r="F5941" t="str">
        <f>HYPERLINK("https://www.google.com/maps/search/?api=1&amp;query=23.99568566,45.07618615", "View Map")</f>
        <v>View Map</v>
      </c>
      <c r="G5941" s="2">
        <v>0.68504291231606029</v>
      </c>
    </row>
    <row r="5942" spans="1:7" x14ac:dyDescent="0.3">
      <c r="A5942" t="s">
        <v>5118</v>
      </c>
      <c r="B5942" t="s">
        <v>10197</v>
      </c>
      <c r="C5942" t="s">
        <v>8</v>
      </c>
      <c r="D5942">
        <v>1.3169999999999999</v>
      </c>
      <c r="E5942">
        <v>421</v>
      </c>
      <c r="F5942" t="str">
        <f>HYPERLINK("https://www.google.com/maps/search/?api=1&amp;query=24.58706693,46.62038853", "View Map")</f>
        <v>View Map</v>
      </c>
    </row>
    <row r="5943" spans="1:7" x14ac:dyDescent="0.3">
      <c r="A5943" t="s">
        <v>10198</v>
      </c>
      <c r="B5943" t="s">
        <v>10199</v>
      </c>
      <c r="C5943" t="s">
        <v>8</v>
      </c>
      <c r="D5943">
        <v>1.3169999999999999</v>
      </c>
      <c r="E5943">
        <v>421</v>
      </c>
      <c r="F5943" t="str">
        <f>HYPERLINK("https://www.google.com/maps/search/?api=1&amp;query=24.76015784,46.61615019", "View Map")</f>
        <v>View Map</v>
      </c>
    </row>
    <row r="5944" spans="1:7" x14ac:dyDescent="0.3">
      <c r="A5944" t="s">
        <v>10200</v>
      </c>
      <c r="B5944" t="s">
        <v>10201</v>
      </c>
      <c r="C5944" t="s">
        <v>8</v>
      </c>
      <c r="D5944">
        <v>1.3169999999999999</v>
      </c>
      <c r="E5944">
        <v>422</v>
      </c>
      <c r="F5944" t="str">
        <f>HYPERLINK("https://www.google.com/maps/search/?api=1&amp;query=24.60699233,46.68713834", "View Map")</f>
        <v>View Map</v>
      </c>
    </row>
    <row r="5945" spans="1:7" x14ac:dyDescent="0.3">
      <c r="A5945" t="s">
        <v>10202</v>
      </c>
      <c r="B5945" t="s">
        <v>10203</v>
      </c>
      <c r="C5945" t="s">
        <v>255</v>
      </c>
      <c r="D5945">
        <v>1.3169999999999999</v>
      </c>
      <c r="E5945">
        <v>421</v>
      </c>
      <c r="F5945" t="str">
        <f>HYPERLINK("https://www.google.com/maps/search/?api=1&amp;query=24.56880428,44.05312961", "View Map")</f>
        <v>View Map</v>
      </c>
      <c r="G5945" s="2">
        <v>0.5891931543779525</v>
      </c>
    </row>
    <row r="5946" spans="1:7" x14ac:dyDescent="0.3">
      <c r="A5946" t="s">
        <v>10204</v>
      </c>
      <c r="B5946" t="s">
        <v>10205</v>
      </c>
      <c r="C5946" t="s">
        <v>699</v>
      </c>
      <c r="D5946">
        <v>1.3169999999999999</v>
      </c>
      <c r="E5946">
        <v>421</v>
      </c>
      <c r="F5946" t="str">
        <f>HYPERLINK("https://www.google.com/maps/search/?api=1&amp;query=25.12273988,45.48894326", "View Map")</f>
        <v>View Map</v>
      </c>
      <c r="G5946" s="2">
        <v>0.37065847106705729</v>
      </c>
    </row>
    <row r="5947" spans="1:7" x14ac:dyDescent="0.3">
      <c r="A5947" t="s">
        <v>10206</v>
      </c>
      <c r="B5947" t="s">
        <v>10207</v>
      </c>
      <c r="C5947" t="s">
        <v>738</v>
      </c>
      <c r="D5947">
        <v>1.3160000000000001</v>
      </c>
      <c r="E5947">
        <v>421</v>
      </c>
      <c r="F5947" t="str">
        <f>HYPERLINK("https://www.google.com/maps/search/?api=1&amp;query=25.106708,46.09482098", "View Map")</f>
        <v>View Map</v>
      </c>
      <c r="G5947" s="2">
        <v>0.41583030727199438</v>
      </c>
    </row>
    <row r="5948" spans="1:7" x14ac:dyDescent="0.3">
      <c r="A5948" t="s">
        <v>10208</v>
      </c>
      <c r="B5948" t="s">
        <v>10209</v>
      </c>
      <c r="C5948" t="s">
        <v>8</v>
      </c>
      <c r="D5948">
        <v>1.3160000000000001</v>
      </c>
      <c r="E5948">
        <v>421</v>
      </c>
      <c r="F5948" t="str">
        <f>HYPERLINK("https://www.google.com/maps/search/?api=1&amp;query=24.68707294,46.66600359", "View Map")</f>
        <v>View Map</v>
      </c>
    </row>
    <row r="5949" spans="1:7" x14ac:dyDescent="0.3">
      <c r="A5949" t="s">
        <v>146</v>
      </c>
      <c r="B5949" t="s">
        <v>10210</v>
      </c>
      <c r="C5949" t="s">
        <v>8</v>
      </c>
      <c r="D5949">
        <v>1.3160000000000001</v>
      </c>
      <c r="E5949">
        <v>421</v>
      </c>
      <c r="F5949" t="str">
        <f>HYPERLINK("https://www.google.com/maps/search/?api=1&amp;query=24.55938506,46.59043477", "View Map")</f>
        <v>View Map</v>
      </c>
    </row>
    <row r="5950" spans="1:7" x14ac:dyDescent="0.3">
      <c r="A5950" t="s">
        <v>10211</v>
      </c>
      <c r="B5950" t="s">
        <v>10212</v>
      </c>
      <c r="C5950" t="s">
        <v>8</v>
      </c>
      <c r="D5950">
        <v>1.3160000000000001</v>
      </c>
      <c r="E5950">
        <v>421</v>
      </c>
      <c r="F5950" t="str">
        <f>HYPERLINK("https://www.google.com/maps/search/?api=1&amp;query=24.6286,46.5689", "View Map")</f>
        <v>View Map</v>
      </c>
    </row>
    <row r="5951" spans="1:7" x14ac:dyDescent="0.3">
      <c r="A5951" t="s">
        <v>1774</v>
      </c>
      <c r="B5951" t="s">
        <v>10213</v>
      </c>
      <c r="C5951" t="s">
        <v>55</v>
      </c>
      <c r="D5951">
        <v>1.3160000000000001</v>
      </c>
      <c r="E5951">
        <v>421</v>
      </c>
      <c r="F5951" t="str">
        <f>HYPERLINK("https://www.google.com/maps/search/?api=1&amp;query=24.75584955,46.54914048", "View Map")</f>
        <v>View Map</v>
      </c>
    </row>
    <row r="5952" spans="1:7" x14ac:dyDescent="0.3">
      <c r="A5952" t="s">
        <v>10214</v>
      </c>
      <c r="B5952" t="s">
        <v>10215</v>
      </c>
      <c r="C5952" t="s">
        <v>8</v>
      </c>
      <c r="D5952">
        <v>1.3140000000000001</v>
      </c>
      <c r="E5952">
        <v>420</v>
      </c>
      <c r="F5952" t="str">
        <f>HYPERLINK("https://www.google.com/maps/search/?api=1&amp;query=24.62662333,46.7469217", "View Map")</f>
        <v>View Map</v>
      </c>
    </row>
    <row r="5953" spans="1:7" x14ac:dyDescent="0.3">
      <c r="A5953" t="s">
        <v>1639</v>
      </c>
      <c r="B5953" t="s">
        <v>10216</v>
      </c>
      <c r="C5953" t="s">
        <v>8</v>
      </c>
      <c r="D5953">
        <v>1.3140000000000001</v>
      </c>
      <c r="E5953">
        <v>420</v>
      </c>
      <c r="F5953" t="str">
        <f>HYPERLINK("https://www.google.com/maps/search/?api=1&amp;query=24.5670318,46.79597581", "View Map")</f>
        <v>View Map</v>
      </c>
    </row>
    <row r="5954" spans="1:7" x14ac:dyDescent="0.3">
      <c r="A5954" t="s">
        <v>10217</v>
      </c>
      <c r="B5954" t="s">
        <v>10218</v>
      </c>
      <c r="C5954" t="s">
        <v>286</v>
      </c>
      <c r="D5954">
        <v>1.3129999999999999</v>
      </c>
      <c r="E5954">
        <v>420</v>
      </c>
      <c r="F5954" t="str">
        <f>HYPERLINK("https://www.google.com/maps/search/?api=1&amp;query=25.25615142,45.22882708", "View Map")</f>
        <v>View Map</v>
      </c>
    </row>
    <row r="5955" spans="1:7" x14ac:dyDescent="0.3">
      <c r="A5955" t="s">
        <v>46</v>
      </c>
      <c r="B5955" t="s">
        <v>10219</v>
      </c>
      <c r="C5955" t="s">
        <v>8</v>
      </c>
      <c r="D5955">
        <v>1.3129999999999999</v>
      </c>
      <c r="E5955">
        <v>420</v>
      </c>
      <c r="F5955" t="str">
        <f>HYPERLINK("https://www.google.com/maps/search/?api=1&amp;query=24.6916555,46.57511498", "View Map")</f>
        <v>View Map</v>
      </c>
    </row>
    <row r="5956" spans="1:7" x14ac:dyDescent="0.3">
      <c r="A5956" t="s">
        <v>2285</v>
      </c>
      <c r="B5956" t="s">
        <v>10220</v>
      </c>
      <c r="C5956" t="s">
        <v>8</v>
      </c>
      <c r="D5956">
        <v>1.3129999999999999</v>
      </c>
      <c r="E5956">
        <v>420</v>
      </c>
      <c r="F5956" t="str">
        <f>HYPERLINK("https://www.google.com/maps/search/?api=1&amp;query=24.71765096,46.76281726", "View Map")</f>
        <v>View Map</v>
      </c>
    </row>
    <row r="5957" spans="1:7" x14ac:dyDescent="0.3">
      <c r="A5957" t="s">
        <v>10221</v>
      </c>
      <c r="B5957" t="s">
        <v>10222</v>
      </c>
      <c r="C5957" t="s">
        <v>738</v>
      </c>
      <c r="D5957">
        <v>1.3129999999999999</v>
      </c>
      <c r="E5957">
        <v>420</v>
      </c>
      <c r="F5957" t="str">
        <f>HYPERLINK("https://www.google.com/maps/search/?api=1&amp;query=25.12631851,46.11828498", "View Map")</f>
        <v>View Map</v>
      </c>
      <c r="G5957" s="2">
        <v>0.36504187675823779</v>
      </c>
    </row>
    <row r="5958" spans="1:7" x14ac:dyDescent="0.3">
      <c r="A5958" t="s">
        <v>10223</v>
      </c>
      <c r="B5958" t="s">
        <v>10224</v>
      </c>
      <c r="C5958" t="s">
        <v>8</v>
      </c>
      <c r="D5958">
        <v>1.3120000000000001</v>
      </c>
      <c r="E5958">
        <v>420</v>
      </c>
      <c r="F5958" t="str">
        <f>HYPERLINK("https://www.google.com/maps/search/?api=1&amp;query=24.58225674,46.56108025", "View Map")</f>
        <v>View Map</v>
      </c>
    </row>
    <row r="5959" spans="1:7" x14ac:dyDescent="0.3">
      <c r="A5959" t="s">
        <v>10225</v>
      </c>
      <c r="B5959" t="s">
        <v>10226</v>
      </c>
      <c r="C5959" t="s">
        <v>8</v>
      </c>
      <c r="D5959">
        <v>1.3120000000000001</v>
      </c>
      <c r="E5959">
        <v>420</v>
      </c>
      <c r="F5959" t="str">
        <f>HYPERLINK("https://www.google.com/maps/search/?api=1&amp;query=24.63260131,46.70355403", "View Map")</f>
        <v>View Map</v>
      </c>
    </row>
    <row r="5960" spans="1:7" x14ac:dyDescent="0.3">
      <c r="A5960" t="s">
        <v>10227</v>
      </c>
      <c r="B5960" t="s">
        <v>10228</v>
      </c>
      <c r="C5960" t="s">
        <v>8</v>
      </c>
      <c r="D5960">
        <v>1.3120000000000001</v>
      </c>
      <c r="E5960">
        <v>420</v>
      </c>
      <c r="F5960" t="str">
        <f>HYPERLINK("https://www.google.com/maps/search/?api=1&amp;query=24.58322854,46.62525201", "View Map")</f>
        <v>View Map</v>
      </c>
    </row>
    <row r="5961" spans="1:7" x14ac:dyDescent="0.3">
      <c r="A5961" t="s">
        <v>678</v>
      </c>
      <c r="B5961" t="s">
        <v>10229</v>
      </c>
      <c r="C5961" t="s">
        <v>21</v>
      </c>
      <c r="D5961">
        <v>1.3089999999999999</v>
      </c>
      <c r="E5961">
        <v>419</v>
      </c>
      <c r="F5961" t="str">
        <f>HYPERLINK("https://www.google.com/maps/search/?api=1&amp;query=26.30842404,44.88709897", "View Map")</f>
        <v>View Map</v>
      </c>
    </row>
    <row r="5962" spans="1:7" x14ac:dyDescent="0.3">
      <c r="A5962" t="s">
        <v>10230</v>
      </c>
      <c r="B5962" t="s">
        <v>10231</v>
      </c>
      <c r="C5962" t="s">
        <v>214</v>
      </c>
      <c r="D5962">
        <v>1.3089999999999999</v>
      </c>
      <c r="E5962">
        <v>419</v>
      </c>
      <c r="F5962" t="str">
        <f>HYPERLINK("https://www.google.com/maps/search/?api=1&amp;query=26.42516133,45.35949602", "View Map")</f>
        <v>View Map</v>
      </c>
      <c r="G5962" s="2">
        <v>0.59341570476979844</v>
      </c>
    </row>
    <row r="5963" spans="1:7" x14ac:dyDescent="0.3">
      <c r="A5963" t="s">
        <v>10232</v>
      </c>
      <c r="B5963" t="s">
        <v>10233</v>
      </c>
      <c r="C5963" t="s">
        <v>255</v>
      </c>
      <c r="D5963">
        <v>1.3089999999999999</v>
      </c>
      <c r="E5963">
        <v>419</v>
      </c>
      <c r="F5963" t="str">
        <f>HYPERLINK("https://www.google.com/maps/search/?api=1&amp;query=24.5107218,44.39540927", "View Map")</f>
        <v>View Map</v>
      </c>
    </row>
    <row r="5964" spans="1:7" x14ac:dyDescent="0.3">
      <c r="A5964" t="s">
        <v>10234</v>
      </c>
      <c r="B5964" t="s">
        <v>10235</v>
      </c>
      <c r="C5964" t="s">
        <v>8</v>
      </c>
      <c r="D5964">
        <v>1.3089999999999999</v>
      </c>
      <c r="E5964">
        <v>419</v>
      </c>
      <c r="F5964" t="str">
        <f>HYPERLINK("https://www.google.com/maps/search/?api=1&amp;query=24.59669837,46.60896618", "View Map")</f>
        <v>View Map</v>
      </c>
    </row>
    <row r="5965" spans="1:7" x14ac:dyDescent="0.3">
      <c r="A5965" t="s">
        <v>10236</v>
      </c>
      <c r="B5965" t="s">
        <v>10237</v>
      </c>
      <c r="C5965" t="s">
        <v>8</v>
      </c>
      <c r="D5965">
        <v>1.3089999999999999</v>
      </c>
      <c r="E5965">
        <v>419</v>
      </c>
      <c r="F5965" t="str">
        <f>HYPERLINK("https://www.google.com/maps/search/?api=1&amp;query=24.77349657,46.78068338", "View Map")</f>
        <v>View Map</v>
      </c>
    </row>
    <row r="5966" spans="1:7" x14ac:dyDescent="0.3">
      <c r="A5966" t="s">
        <v>717</v>
      </c>
      <c r="B5966" t="s">
        <v>10238</v>
      </c>
      <c r="C5966" t="s">
        <v>255</v>
      </c>
      <c r="D5966">
        <v>1.3089999999999999</v>
      </c>
      <c r="E5966">
        <v>419</v>
      </c>
      <c r="F5966" t="str">
        <f>HYPERLINK("https://www.google.com/maps/search/?api=1&amp;query=24.70065778,44.29033148", "View Map")</f>
        <v>View Map</v>
      </c>
      <c r="G5966" s="2">
        <v>0.40063146252262499</v>
      </c>
    </row>
    <row r="5967" spans="1:7" x14ac:dyDescent="0.3">
      <c r="A5967" t="s">
        <v>678</v>
      </c>
      <c r="B5967" t="s">
        <v>10239</v>
      </c>
      <c r="C5967" t="s">
        <v>21</v>
      </c>
      <c r="D5967">
        <v>1.3089999999999999</v>
      </c>
      <c r="E5967">
        <v>419</v>
      </c>
      <c r="F5967" t="str">
        <f>HYPERLINK("https://www.google.com/maps/search/?api=1&amp;query=26.31179001,44.89703433", "View Map")</f>
        <v>View Map</v>
      </c>
      <c r="G5967" s="2">
        <v>0.63983151203030542</v>
      </c>
    </row>
    <row r="5968" spans="1:7" x14ac:dyDescent="0.3">
      <c r="A5968" t="s">
        <v>10240</v>
      </c>
      <c r="B5968" t="s">
        <v>10241</v>
      </c>
      <c r="C5968" t="s">
        <v>214</v>
      </c>
      <c r="D5968">
        <v>1.3080000000000001</v>
      </c>
      <c r="E5968">
        <v>418</v>
      </c>
      <c r="F5968" t="str">
        <f>HYPERLINK("https://www.google.com/maps/search/?api=1&amp;query=25.62308728,45.57784672", "View Map")</f>
        <v>View Map</v>
      </c>
      <c r="G5968" s="2">
        <v>0.58855323354786893</v>
      </c>
    </row>
    <row r="5969" spans="1:7" x14ac:dyDescent="0.3">
      <c r="A5969" t="s">
        <v>10242</v>
      </c>
      <c r="B5969" t="s">
        <v>10243</v>
      </c>
      <c r="C5969" t="s">
        <v>255</v>
      </c>
      <c r="D5969">
        <v>1.3069999999999999</v>
      </c>
      <c r="E5969">
        <v>418</v>
      </c>
      <c r="F5969" t="str">
        <f>HYPERLINK("https://www.google.com/maps/search/?api=1&amp;query=24.20811766,44.22881196", "View Map")</f>
        <v>View Map</v>
      </c>
      <c r="G5969" s="2">
        <v>0.61403878034209158</v>
      </c>
    </row>
    <row r="5970" spans="1:7" x14ac:dyDescent="0.3">
      <c r="A5970" t="s">
        <v>479</v>
      </c>
      <c r="B5970" t="s">
        <v>10244</v>
      </c>
      <c r="C5970" t="s">
        <v>738</v>
      </c>
      <c r="D5970">
        <v>1.3069999999999999</v>
      </c>
      <c r="E5970">
        <v>418</v>
      </c>
      <c r="F5970" t="str">
        <f>HYPERLINK("https://www.google.com/maps/search/?api=1&amp;query=25.11783538,46.15459488", "View Map")</f>
        <v>View Map</v>
      </c>
      <c r="G5970" s="2">
        <v>0.4818077450388969</v>
      </c>
    </row>
    <row r="5971" spans="1:7" x14ac:dyDescent="0.3">
      <c r="A5971" t="s">
        <v>146</v>
      </c>
      <c r="B5971" t="s">
        <v>10245</v>
      </c>
      <c r="C5971" t="s">
        <v>8</v>
      </c>
      <c r="D5971">
        <v>1.3069999999999999</v>
      </c>
      <c r="E5971">
        <v>418</v>
      </c>
      <c r="F5971" t="str">
        <f>HYPERLINK("https://www.google.com/maps/search/?api=1&amp;query=24.54504639,46.66965809", "View Map")</f>
        <v>View Map</v>
      </c>
    </row>
    <row r="5972" spans="1:7" x14ac:dyDescent="0.3">
      <c r="A5972" t="s">
        <v>10246</v>
      </c>
      <c r="B5972" t="s">
        <v>10247</v>
      </c>
      <c r="C5972" t="s">
        <v>364</v>
      </c>
      <c r="D5972">
        <v>1.306</v>
      </c>
      <c r="E5972">
        <v>418</v>
      </c>
      <c r="F5972" t="str">
        <f>HYPERLINK("https://www.google.com/maps/search/?api=1&amp;query=25.2858865,45.9534747", "View Map")</f>
        <v>View Map</v>
      </c>
      <c r="G5972" s="2">
        <v>0.5535105648994556</v>
      </c>
    </row>
    <row r="5973" spans="1:7" x14ac:dyDescent="0.3">
      <c r="A5973" t="s">
        <v>479</v>
      </c>
      <c r="B5973" t="s">
        <v>10248</v>
      </c>
      <c r="C5973" t="s">
        <v>738</v>
      </c>
      <c r="D5973">
        <v>1.306</v>
      </c>
      <c r="E5973">
        <v>418</v>
      </c>
      <c r="F5973" t="str">
        <f>HYPERLINK("https://www.google.com/maps/search/?api=1&amp;query=25.10189233,46.19809131", "View Map")</f>
        <v>View Map</v>
      </c>
      <c r="G5973" s="2">
        <v>0.42415956594152782</v>
      </c>
    </row>
    <row r="5974" spans="1:7" x14ac:dyDescent="0.3">
      <c r="A5974" t="s">
        <v>10249</v>
      </c>
      <c r="B5974" t="s">
        <v>10250</v>
      </c>
      <c r="C5974" t="s">
        <v>255</v>
      </c>
      <c r="D5974">
        <v>1.306</v>
      </c>
      <c r="E5974">
        <v>418</v>
      </c>
      <c r="F5974" t="str">
        <f>HYPERLINK("https://www.google.com/maps/search/?api=1&amp;query=24.30572994,43.76523383", "View Map")</f>
        <v>View Map</v>
      </c>
      <c r="G5974" s="2">
        <v>0.49670149583137102</v>
      </c>
    </row>
    <row r="5975" spans="1:7" x14ac:dyDescent="0.3">
      <c r="A5975" t="s">
        <v>10251</v>
      </c>
      <c r="B5975" t="s">
        <v>10252</v>
      </c>
      <c r="C5975" t="s">
        <v>8</v>
      </c>
      <c r="D5975">
        <v>1.306</v>
      </c>
      <c r="E5975">
        <v>418</v>
      </c>
      <c r="F5975" t="str">
        <f>HYPERLINK("https://www.google.com/maps/search/?api=1&amp;query=24.60946121,46.73922631", "View Map")</f>
        <v>View Map</v>
      </c>
    </row>
    <row r="5976" spans="1:7" x14ac:dyDescent="0.3">
      <c r="A5976" t="s">
        <v>10253</v>
      </c>
      <c r="B5976" t="s">
        <v>10254</v>
      </c>
      <c r="C5976" t="s">
        <v>137</v>
      </c>
      <c r="D5976">
        <v>1.306</v>
      </c>
      <c r="E5976">
        <v>418</v>
      </c>
      <c r="F5976" t="str">
        <f>HYPERLINK("https://www.google.com/maps/search/?api=1&amp;query=23.45332115,46.80601719", "View Map")</f>
        <v>View Map</v>
      </c>
    </row>
    <row r="5977" spans="1:7" x14ac:dyDescent="0.3">
      <c r="A5977" t="s">
        <v>10255</v>
      </c>
      <c r="B5977" t="s">
        <v>10256</v>
      </c>
      <c r="C5977" t="s">
        <v>8</v>
      </c>
      <c r="D5977">
        <v>1.3049999999999999</v>
      </c>
      <c r="E5977">
        <v>418</v>
      </c>
      <c r="F5977" t="str">
        <f>HYPERLINK("https://www.google.com/maps/search/?api=1&amp;query=24.60625292,46.63032186", "View Map")</f>
        <v>View Map</v>
      </c>
    </row>
    <row r="5978" spans="1:7" x14ac:dyDescent="0.3">
      <c r="A5978" t="s">
        <v>451</v>
      </c>
      <c r="B5978" t="s">
        <v>10257</v>
      </c>
      <c r="C5978" t="s">
        <v>8</v>
      </c>
      <c r="D5978">
        <v>1.3049999999999999</v>
      </c>
      <c r="E5978">
        <v>418</v>
      </c>
      <c r="F5978" t="str">
        <f>HYPERLINK("https://www.google.com/maps/search/?api=1&amp;query=24.80514492,46.77496815", "View Map")</f>
        <v>View Map</v>
      </c>
      <c r="G5978" s="2">
        <v>0.37154076824218191</v>
      </c>
    </row>
    <row r="5979" spans="1:7" x14ac:dyDescent="0.3">
      <c r="A5979" t="s">
        <v>717</v>
      </c>
      <c r="B5979" t="s">
        <v>10258</v>
      </c>
      <c r="C5979" t="s">
        <v>255</v>
      </c>
      <c r="D5979">
        <v>1.3049999999999999</v>
      </c>
      <c r="E5979">
        <v>417</v>
      </c>
      <c r="F5979" t="str">
        <f>HYPERLINK("https://www.google.com/maps/search/?api=1&amp;query=24.52465644,45.03134405", "View Map")</f>
        <v>View Map</v>
      </c>
      <c r="G5979" s="2">
        <v>0.74477006050148231</v>
      </c>
    </row>
    <row r="5980" spans="1:7" x14ac:dyDescent="0.3">
      <c r="A5980" t="s">
        <v>3735</v>
      </c>
      <c r="B5980" t="s">
        <v>10259</v>
      </c>
      <c r="C5980" t="s">
        <v>255</v>
      </c>
      <c r="D5980">
        <v>1.3049999999999999</v>
      </c>
      <c r="E5980">
        <v>418</v>
      </c>
      <c r="F5980" t="str">
        <f>HYPERLINK("https://www.google.com/maps/search/?api=1&amp;query=25.20792934,44.59124785", "View Map")</f>
        <v>View Map</v>
      </c>
      <c r="G5980" s="2">
        <v>0.40889426553142111</v>
      </c>
    </row>
    <row r="5981" spans="1:7" x14ac:dyDescent="0.3">
      <c r="A5981" t="s">
        <v>10260</v>
      </c>
      <c r="B5981" t="s">
        <v>10261</v>
      </c>
      <c r="C5981" t="s">
        <v>8</v>
      </c>
      <c r="D5981">
        <v>1.3049999999999999</v>
      </c>
      <c r="E5981">
        <v>418</v>
      </c>
      <c r="F5981" t="str">
        <f>HYPERLINK("https://www.google.com/maps/search/?api=1&amp;query=24.7306116,46.69007696", "View Map")</f>
        <v>View Map</v>
      </c>
    </row>
    <row r="5982" spans="1:7" x14ac:dyDescent="0.3">
      <c r="A5982" t="s">
        <v>10262</v>
      </c>
      <c r="B5982" t="s">
        <v>10263</v>
      </c>
      <c r="C5982" t="s">
        <v>8</v>
      </c>
      <c r="D5982">
        <v>1.3049999999999999</v>
      </c>
      <c r="E5982">
        <v>418</v>
      </c>
      <c r="F5982" t="str">
        <f>HYPERLINK("https://www.google.com/maps/search/?api=1&amp;query=24.65698403,46.7440842", "View Map")</f>
        <v>View Map</v>
      </c>
    </row>
    <row r="5983" spans="1:7" x14ac:dyDescent="0.3">
      <c r="A5983" t="s">
        <v>10264</v>
      </c>
      <c r="B5983" t="s">
        <v>10265</v>
      </c>
      <c r="C5983" t="s">
        <v>8</v>
      </c>
      <c r="D5983">
        <v>1.304</v>
      </c>
      <c r="E5983">
        <v>417</v>
      </c>
      <c r="F5983" t="str">
        <f>HYPERLINK("https://www.google.com/maps/search/?api=1&amp;query=24.56348315,46.69582513", "View Map")</f>
        <v>View Map</v>
      </c>
    </row>
    <row r="5984" spans="1:7" x14ac:dyDescent="0.3">
      <c r="A5984" t="s">
        <v>10266</v>
      </c>
      <c r="B5984" t="s">
        <v>10267</v>
      </c>
      <c r="C5984" t="s">
        <v>30</v>
      </c>
      <c r="D5984">
        <v>1.3029999999999999</v>
      </c>
      <c r="E5984">
        <v>417</v>
      </c>
      <c r="F5984" t="str">
        <f>HYPERLINK("https://www.google.com/maps/search/?api=1&amp;query=24.14565997,47.3011425", "View Map")</f>
        <v>View Map</v>
      </c>
    </row>
    <row r="5985" spans="1:7" x14ac:dyDescent="0.3">
      <c r="A5985" t="s">
        <v>10268</v>
      </c>
      <c r="B5985" t="s">
        <v>10269</v>
      </c>
      <c r="C5985" t="s">
        <v>291</v>
      </c>
      <c r="D5985">
        <v>1.3029999999999999</v>
      </c>
      <c r="E5985">
        <v>417</v>
      </c>
      <c r="F5985" t="str">
        <f>HYPERLINK("https://www.google.com/maps/search/?api=1&amp;query=24.08655519,45.29570223", "View Map")</f>
        <v>View Map</v>
      </c>
    </row>
    <row r="5986" spans="1:7" x14ac:dyDescent="0.3">
      <c r="A5986" t="s">
        <v>10270</v>
      </c>
      <c r="B5986" t="s">
        <v>10271</v>
      </c>
      <c r="C5986" t="s">
        <v>8</v>
      </c>
      <c r="D5986">
        <v>1.302</v>
      </c>
      <c r="E5986">
        <v>417</v>
      </c>
      <c r="F5986" t="str">
        <f>HYPERLINK("https://www.google.com/maps/search/?api=1&amp;query=24.65275801,46.69929603", "View Map")</f>
        <v>View Map</v>
      </c>
    </row>
    <row r="5987" spans="1:7" x14ac:dyDescent="0.3">
      <c r="A5987" t="s">
        <v>10272</v>
      </c>
      <c r="B5987" t="s">
        <v>10273</v>
      </c>
      <c r="C5987" t="s">
        <v>77</v>
      </c>
      <c r="D5987">
        <v>1.302</v>
      </c>
      <c r="E5987">
        <v>417</v>
      </c>
      <c r="F5987" t="str">
        <f>HYPERLINK("https://www.google.com/maps/search/?api=1&amp;query=22.74584708,46.30852893", "View Map")</f>
        <v>View Map</v>
      </c>
      <c r="G5987" s="2">
        <v>0.5034231161140108</v>
      </c>
    </row>
    <row r="5988" spans="1:7" x14ac:dyDescent="0.3">
      <c r="A5988" t="s">
        <v>10274</v>
      </c>
      <c r="B5988" t="s">
        <v>10275</v>
      </c>
      <c r="C5988" t="s">
        <v>883</v>
      </c>
      <c r="D5988">
        <v>1.302</v>
      </c>
      <c r="E5988">
        <v>417</v>
      </c>
      <c r="F5988" t="str">
        <f>HYPERLINK("https://www.google.com/maps/search/?api=1&amp;query=25.53464809,47.17668441", "View Map")</f>
        <v>View Map</v>
      </c>
    </row>
    <row r="5989" spans="1:7" x14ac:dyDescent="0.3">
      <c r="A5989" t="s">
        <v>10276</v>
      </c>
      <c r="B5989" t="s">
        <v>10277</v>
      </c>
      <c r="C5989" t="s">
        <v>30</v>
      </c>
      <c r="D5989">
        <v>1.3009999999999999</v>
      </c>
      <c r="E5989">
        <v>416</v>
      </c>
      <c r="F5989" t="str">
        <f>HYPERLINK("https://www.google.com/maps/search/?api=1&amp;query=24.1634512,47.35696384", "View Map")</f>
        <v>View Map</v>
      </c>
    </row>
    <row r="5990" spans="1:7" x14ac:dyDescent="0.3">
      <c r="A5990" t="s">
        <v>10278</v>
      </c>
      <c r="B5990" t="s">
        <v>10279</v>
      </c>
      <c r="C5990" t="s">
        <v>8</v>
      </c>
      <c r="D5990">
        <v>1.3009999999999999</v>
      </c>
      <c r="E5990">
        <v>416</v>
      </c>
      <c r="F5990" t="str">
        <f>HYPERLINK("https://www.google.com/maps/search/?api=1&amp;query=24.60067308,46.70792031", "View Map")</f>
        <v>View Map</v>
      </c>
    </row>
    <row r="5991" spans="1:7" x14ac:dyDescent="0.3">
      <c r="A5991" t="s">
        <v>10280</v>
      </c>
      <c r="B5991" t="s">
        <v>10281</v>
      </c>
      <c r="C5991" t="s">
        <v>8</v>
      </c>
      <c r="D5991">
        <v>1.2989999999999999</v>
      </c>
      <c r="E5991">
        <v>416</v>
      </c>
      <c r="F5991" t="str">
        <f>HYPERLINK("https://www.google.com/maps/search/?api=1&amp;query=24.74477046,46.70895248", "View Map")</f>
        <v>View Map</v>
      </c>
    </row>
    <row r="5992" spans="1:7" x14ac:dyDescent="0.3">
      <c r="A5992" t="s">
        <v>10282</v>
      </c>
      <c r="B5992" t="s">
        <v>10283</v>
      </c>
      <c r="C5992" t="s">
        <v>214</v>
      </c>
      <c r="D5992">
        <v>1.2989999999999999</v>
      </c>
      <c r="E5992">
        <v>416</v>
      </c>
      <c r="F5992" t="str">
        <f>HYPERLINK("https://www.google.com/maps/search/?api=1&amp;query=25.69590528,45.88815379", "View Map")</f>
        <v>View Map</v>
      </c>
    </row>
    <row r="5993" spans="1:7" x14ac:dyDescent="0.3">
      <c r="A5993" t="s">
        <v>10284</v>
      </c>
      <c r="B5993" t="s">
        <v>10285</v>
      </c>
      <c r="C5993" t="s">
        <v>8</v>
      </c>
      <c r="D5993">
        <v>1.2989999999999999</v>
      </c>
      <c r="E5993">
        <v>416</v>
      </c>
      <c r="F5993" t="str">
        <f>HYPERLINK("https://www.google.com/maps/search/?api=1&amp;query=24.82233523,46.79747346", "View Map")</f>
        <v>View Map</v>
      </c>
    </row>
    <row r="5994" spans="1:7" x14ac:dyDescent="0.3">
      <c r="A5994" t="s">
        <v>146</v>
      </c>
      <c r="B5994" t="s">
        <v>10286</v>
      </c>
      <c r="C5994" t="s">
        <v>8</v>
      </c>
      <c r="D5994">
        <v>1.2989999999999999</v>
      </c>
      <c r="E5994">
        <v>416</v>
      </c>
      <c r="F5994" t="str">
        <f>HYPERLINK("https://www.google.com/maps/search/?api=1&amp;query=24.5016583,46.66427185", "View Map")</f>
        <v>View Map</v>
      </c>
    </row>
    <row r="5995" spans="1:7" x14ac:dyDescent="0.3">
      <c r="A5995" t="s">
        <v>10287</v>
      </c>
      <c r="B5995" t="s">
        <v>10288</v>
      </c>
      <c r="C5995" t="s">
        <v>8</v>
      </c>
      <c r="D5995">
        <v>1.298</v>
      </c>
      <c r="E5995">
        <v>415</v>
      </c>
      <c r="F5995" t="str">
        <f>HYPERLINK("https://www.google.com/maps/search/?api=1&amp;query=24.585948,46.628697", "View Map")</f>
        <v>View Map</v>
      </c>
    </row>
    <row r="5996" spans="1:7" x14ac:dyDescent="0.3">
      <c r="A5996" t="s">
        <v>10289</v>
      </c>
      <c r="B5996" t="s">
        <v>10290</v>
      </c>
      <c r="C5996" t="s">
        <v>55</v>
      </c>
      <c r="D5996">
        <v>1.298</v>
      </c>
      <c r="E5996">
        <v>415</v>
      </c>
      <c r="F5996" t="str">
        <f>HYPERLINK("https://www.google.com/maps/search/?api=1&amp;query=24.90268,46.38495", "View Map")</f>
        <v>View Map</v>
      </c>
    </row>
    <row r="5997" spans="1:7" x14ac:dyDescent="0.3">
      <c r="A5997" t="s">
        <v>10291</v>
      </c>
      <c r="B5997" t="s">
        <v>10292</v>
      </c>
      <c r="C5997" t="s">
        <v>364</v>
      </c>
      <c r="D5997">
        <v>1.2969999999999999</v>
      </c>
      <c r="E5997">
        <v>415</v>
      </c>
      <c r="F5997" t="str">
        <f>HYPERLINK("https://www.google.com/maps/search/?api=1&amp;query=25.25178521,45.87034996", "View Map")</f>
        <v>View Map</v>
      </c>
    </row>
    <row r="5998" spans="1:7" x14ac:dyDescent="0.3">
      <c r="A5998" t="s">
        <v>10293</v>
      </c>
      <c r="B5998" t="s">
        <v>10294</v>
      </c>
      <c r="C5998" t="s">
        <v>699</v>
      </c>
      <c r="D5998">
        <v>1.2969999999999999</v>
      </c>
      <c r="E5998">
        <v>415</v>
      </c>
      <c r="F5998" t="str">
        <f>HYPERLINK("https://www.google.com/maps/search/?api=1&amp;query=25.11646891,45.48871868", "View Map")</f>
        <v>View Map</v>
      </c>
    </row>
    <row r="5999" spans="1:7" x14ac:dyDescent="0.3">
      <c r="A5999" t="s">
        <v>46</v>
      </c>
      <c r="B5999" t="s">
        <v>10295</v>
      </c>
      <c r="C5999" t="s">
        <v>820</v>
      </c>
      <c r="D5999">
        <v>1.2969999999999999</v>
      </c>
      <c r="E5999">
        <v>415</v>
      </c>
      <c r="F5999" t="str">
        <f>HYPERLINK("https://www.google.com/maps/search/?api=1&amp;query=0.0,0.0", "View Map")</f>
        <v>View Map</v>
      </c>
    </row>
    <row r="6000" spans="1:7" x14ac:dyDescent="0.3">
      <c r="A6000" t="s">
        <v>10296</v>
      </c>
      <c r="B6000" t="s">
        <v>10297</v>
      </c>
      <c r="C6000" t="s">
        <v>8</v>
      </c>
      <c r="D6000">
        <v>1.2969999999999999</v>
      </c>
      <c r="E6000">
        <v>415</v>
      </c>
      <c r="F6000" t="str">
        <f>HYPERLINK("https://www.google.com/maps/search/?api=1&amp;query=24.62204231,46.71914289", "View Map")</f>
        <v>View Map</v>
      </c>
    </row>
    <row r="6001" spans="1:7" x14ac:dyDescent="0.3">
      <c r="A6001" t="s">
        <v>7528</v>
      </c>
      <c r="B6001" t="s">
        <v>10298</v>
      </c>
      <c r="C6001" t="s">
        <v>21</v>
      </c>
      <c r="D6001">
        <v>1.2969999999999999</v>
      </c>
      <c r="E6001">
        <v>415</v>
      </c>
      <c r="F6001" t="str">
        <f>HYPERLINK("https://www.google.com/maps/search/?api=1&amp;query=26.26062953,44.79651285", "View Map")</f>
        <v>View Map</v>
      </c>
      <c r="G6001" s="2">
        <v>0.48164509454198262</v>
      </c>
    </row>
    <row r="6002" spans="1:7" x14ac:dyDescent="0.3">
      <c r="A6002" t="s">
        <v>10299</v>
      </c>
      <c r="B6002" t="s">
        <v>10300</v>
      </c>
      <c r="C6002" t="s">
        <v>241</v>
      </c>
      <c r="D6002">
        <v>1.296</v>
      </c>
      <c r="E6002">
        <v>415</v>
      </c>
      <c r="F6002" t="str">
        <f>HYPERLINK("https://www.google.com/maps/search/?api=1&amp;query=20.44769901,44.85665624", "View Map")</f>
        <v>View Map</v>
      </c>
    </row>
    <row r="6003" spans="1:7" x14ac:dyDescent="0.3">
      <c r="A6003" t="s">
        <v>10301</v>
      </c>
      <c r="B6003" t="s">
        <v>10302</v>
      </c>
      <c r="C6003" t="s">
        <v>21</v>
      </c>
      <c r="D6003">
        <v>1.296</v>
      </c>
      <c r="E6003">
        <v>415</v>
      </c>
      <c r="F6003" t="str">
        <f>HYPERLINK("https://www.google.com/maps/search/?api=1&amp;query=26.29559539,44.81703037", "View Map")</f>
        <v>View Map</v>
      </c>
      <c r="G6003" s="2">
        <v>0.46088285667921342</v>
      </c>
    </row>
    <row r="6004" spans="1:7" x14ac:dyDescent="0.3">
      <c r="A6004" t="s">
        <v>10303</v>
      </c>
      <c r="B6004" t="s">
        <v>10304</v>
      </c>
      <c r="C6004" t="s">
        <v>30</v>
      </c>
      <c r="D6004">
        <v>1.296</v>
      </c>
      <c r="E6004">
        <v>415</v>
      </c>
      <c r="F6004" t="str">
        <f>HYPERLINK("https://www.google.com/maps/search/?api=1&amp;query=24.16662228,47.22325455", "View Map")</f>
        <v>View Map</v>
      </c>
    </row>
    <row r="6005" spans="1:7" x14ac:dyDescent="0.3">
      <c r="A6005" t="s">
        <v>10305</v>
      </c>
      <c r="B6005" t="s">
        <v>10306</v>
      </c>
      <c r="C6005" t="s">
        <v>8</v>
      </c>
      <c r="D6005">
        <v>1.296</v>
      </c>
      <c r="E6005">
        <v>415</v>
      </c>
      <c r="F6005" t="str">
        <f>HYPERLINK("https://www.google.com/maps/search/?api=1&amp;query=24.69286185,46.76104565", "View Map")</f>
        <v>View Map</v>
      </c>
    </row>
    <row r="6006" spans="1:7" x14ac:dyDescent="0.3">
      <c r="A6006" t="s">
        <v>10307</v>
      </c>
      <c r="B6006" t="s">
        <v>10308</v>
      </c>
      <c r="C6006" t="s">
        <v>8</v>
      </c>
      <c r="D6006">
        <v>1.296</v>
      </c>
      <c r="E6006">
        <v>415</v>
      </c>
      <c r="F6006" t="str">
        <f>HYPERLINK("https://www.google.com/maps/search/?api=1&amp;query=24.63499489,46.69469169", "View Map")</f>
        <v>View Map</v>
      </c>
    </row>
    <row r="6007" spans="1:7" x14ac:dyDescent="0.3">
      <c r="A6007" t="s">
        <v>10309</v>
      </c>
      <c r="B6007" t="s">
        <v>10310</v>
      </c>
      <c r="C6007" t="s">
        <v>30</v>
      </c>
      <c r="D6007">
        <v>1.2949999999999999</v>
      </c>
      <c r="E6007">
        <v>414</v>
      </c>
      <c r="F6007" t="str">
        <f>HYPERLINK("https://www.google.com/maps/search/?api=1&amp;query=24.1274545,47.35663597", "View Map")</f>
        <v>View Map</v>
      </c>
    </row>
    <row r="6008" spans="1:7" x14ac:dyDescent="0.3">
      <c r="A6008" t="s">
        <v>10311</v>
      </c>
      <c r="B6008" t="s">
        <v>10312</v>
      </c>
      <c r="C6008" t="s">
        <v>137</v>
      </c>
      <c r="D6008">
        <v>1.2949999999999999</v>
      </c>
      <c r="E6008">
        <v>414</v>
      </c>
      <c r="F6008" t="str">
        <f>HYPERLINK("https://www.google.com/maps/search/?api=1&amp;query=23.43296608,46.78970342", "View Map")</f>
        <v>View Map</v>
      </c>
    </row>
    <row r="6009" spans="1:7" x14ac:dyDescent="0.3">
      <c r="A6009" t="s">
        <v>717</v>
      </c>
      <c r="B6009" t="s">
        <v>10313</v>
      </c>
      <c r="C6009" t="s">
        <v>255</v>
      </c>
      <c r="D6009">
        <v>1.2949999999999999</v>
      </c>
      <c r="E6009">
        <v>415</v>
      </c>
      <c r="F6009" t="str">
        <f>HYPERLINK("https://www.google.com/maps/search/?api=1&amp;query=24.90250444,44.55066916", "View Map")</f>
        <v>View Map</v>
      </c>
      <c r="G6009" s="2">
        <v>0.30888691829916032</v>
      </c>
    </row>
    <row r="6010" spans="1:7" x14ac:dyDescent="0.3">
      <c r="A6010" t="s">
        <v>10314</v>
      </c>
      <c r="B6010" t="s">
        <v>10315</v>
      </c>
      <c r="C6010" t="s">
        <v>8</v>
      </c>
      <c r="D6010">
        <v>1.294</v>
      </c>
      <c r="E6010">
        <v>414</v>
      </c>
      <c r="F6010" t="str">
        <f>HYPERLINK("https://www.google.com/maps/search/?api=1&amp;query=24.67183976,46.7109325", "View Map")</f>
        <v>View Map</v>
      </c>
    </row>
    <row r="6011" spans="1:7" x14ac:dyDescent="0.3">
      <c r="A6011" t="s">
        <v>10316</v>
      </c>
      <c r="B6011" t="s">
        <v>10317</v>
      </c>
      <c r="C6011" t="s">
        <v>699</v>
      </c>
      <c r="D6011">
        <v>1.294</v>
      </c>
      <c r="E6011">
        <v>414</v>
      </c>
      <c r="F6011" t="str">
        <f>HYPERLINK("https://www.google.com/maps/search/?api=1&amp;query=24.4506932,45.43582587", "View Map")</f>
        <v>View Map</v>
      </c>
      <c r="G6011" s="2">
        <v>0.4572088738405129</v>
      </c>
    </row>
    <row r="6012" spans="1:7" x14ac:dyDescent="0.3">
      <c r="A6012" t="s">
        <v>146</v>
      </c>
      <c r="B6012" t="s">
        <v>10318</v>
      </c>
      <c r="C6012" t="s">
        <v>8</v>
      </c>
      <c r="D6012">
        <v>1.294</v>
      </c>
      <c r="E6012">
        <v>414</v>
      </c>
      <c r="F6012" t="str">
        <f>HYPERLINK("https://www.google.com/maps/search/?api=1&amp;query=24.68186405,46.57806454", "View Map")</f>
        <v>View Map</v>
      </c>
      <c r="G6012" s="2">
        <v>0.79930448994221936</v>
      </c>
    </row>
    <row r="6013" spans="1:7" x14ac:dyDescent="0.3">
      <c r="A6013" t="s">
        <v>10319</v>
      </c>
      <c r="B6013" t="s">
        <v>10320</v>
      </c>
      <c r="C6013" t="s">
        <v>883</v>
      </c>
      <c r="D6013">
        <v>1.2929999999999999</v>
      </c>
      <c r="E6013">
        <v>414</v>
      </c>
      <c r="F6013" t="str">
        <f>HYPERLINK("https://www.google.com/maps/search/?api=1&amp;query=25.54037221,47.17522838", "View Map")</f>
        <v>View Map</v>
      </c>
    </row>
    <row r="6014" spans="1:7" x14ac:dyDescent="0.3">
      <c r="A6014" t="s">
        <v>46</v>
      </c>
      <c r="B6014" t="s">
        <v>10321</v>
      </c>
      <c r="C6014" t="s">
        <v>8</v>
      </c>
      <c r="D6014">
        <v>1.2929999999999999</v>
      </c>
      <c r="E6014">
        <v>414</v>
      </c>
      <c r="F6014" t="str">
        <f>HYPERLINK("https://www.google.com/maps/search/?api=1&amp;query=24.55351955,46.78062111", "View Map")</f>
        <v>View Map</v>
      </c>
    </row>
    <row r="6015" spans="1:7" x14ac:dyDescent="0.3">
      <c r="A6015" t="s">
        <v>10322</v>
      </c>
      <c r="B6015" t="s">
        <v>10323</v>
      </c>
      <c r="C6015" t="s">
        <v>8</v>
      </c>
      <c r="D6015">
        <v>1.292</v>
      </c>
      <c r="E6015">
        <v>413</v>
      </c>
      <c r="F6015" t="str">
        <f>HYPERLINK("https://www.google.com/maps/search/?api=1&amp;query=24.6759383,46.5872309", "View Map")</f>
        <v>View Map</v>
      </c>
    </row>
    <row r="6016" spans="1:7" x14ac:dyDescent="0.3">
      <c r="A6016" t="s">
        <v>10324</v>
      </c>
      <c r="B6016" t="s">
        <v>10325</v>
      </c>
      <c r="C6016" t="s">
        <v>77</v>
      </c>
      <c r="D6016">
        <v>1.292</v>
      </c>
      <c r="E6016">
        <v>414</v>
      </c>
      <c r="F6016" t="str">
        <f>HYPERLINK("https://www.google.com/maps/search/?api=1&amp;query=22.2887865,46.72974124", "View Map")</f>
        <v>View Map</v>
      </c>
    </row>
    <row r="6017" spans="1:7" x14ac:dyDescent="0.3">
      <c r="A6017" t="s">
        <v>10326</v>
      </c>
      <c r="B6017" t="s">
        <v>10327</v>
      </c>
      <c r="C6017" t="s">
        <v>214</v>
      </c>
      <c r="D6017">
        <v>1.292</v>
      </c>
      <c r="E6017">
        <v>413</v>
      </c>
      <c r="F6017" t="str">
        <f>HYPERLINK("https://www.google.com/maps/search/?api=1&amp;query=26.49368864,45.3492732", "View Map")</f>
        <v>View Map</v>
      </c>
      <c r="G6017" s="2">
        <v>0.3616942547916423</v>
      </c>
    </row>
    <row r="6018" spans="1:7" x14ac:dyDescent="0.3">
      <c r="A6018" t="s">
        <v>10328</v>
      </c>
      <c r="B6018" t="s">
        <v>10329</v>
      </c>
      <c r="C6018" t="s">
        <v>8</v>
      </c>
      <c r="D6018">
        <v>1.292</v>
      </c>
      <c r="E6018">
        <v>413</v>
      </c>
      <c r="F6018" t="str">
        <f>HYPERLINK("https://www.google.com/maps/search/?api=1&amp;query=24.7304454,46.67497269", "View Map")</f>
        <v>View Map</v>
      </c>
    </row>
    <row r="6019" spans="1:7" x14ac:dyDescent="0.3">
      <c r="A6019" t="s">
        <v>22</v>
      </c>
      <c r="B6019" t="s">
        <v>10330</v>
      </c>
      <c r="C6019" t="s">
        <v>241</v>
      </c>
      <c r="D6019">
        <v>1.292</v>
      </c>
      <c r="E6019">
        <v>413</v>
      </c>
      <c r="F6019" t="str">
        <f>HYPERLINK("https://www.google.com/maps/search/?api=1&amp;query=20.44190688,44.85356486", "View Map")</f>
        <v>View Map</v>
      </c>
    </row>
    <row r="6020" spans="1:7" x14ac:dyDescent="0.3">
      <c r="A6020" t="s">
        <v>10331</v>
      </c>
      <c r="B6020" t="s">
        <v>10332</v>
      </c>
      <c r="C6020" t="s">
        <v>8</v>
      </c>
      <c r="D6020">
        <v>1.292</v>
      </c>
      <c r="E6020">
        <v>414</v>
      </c>
      <c r="F6020" t="str">
        <f>HYPERLINK("https://www.google.com/maps/search/?api=1&amp;query=24.57281045,46.71298924", "View Map")</f>
        <v>View Map</v>
      </c>
    </row>
    <row r="6021" spans="1:7" x14ac:dyDescent="0.3">
      <c r="A6021" t="s">
        <v>46</v>
      </c>
      <c r="B6021" t="s">
        <v>10333</v>
      </c>
      <c r="C6021" t="s">
        <v>8</v>
      </c>
      <c r="D6021">
        <v>1.292</v>
      </c>
      <c r="E6021">
        <v>413</v>
      </c>
      <c r="F6021" t="str">
        <f>HYPERLINK("https://www.google.com/maps/search/?api=1&amp;query=24.73750858,46.85446625", "View Map")</f>
        <v>View Map</v>
      </c>
    </row>
    <row r="6022" spans="1:7" x14ac:dyDescent="0.3">
      <c r="A6022" t="s">
        <v>10334</v>
      </c>
      <c r="B6022" t="s">
        <v>10335</v>
      </c>
      <c r="C6022" t="s">
        <v>55</v>
      </c>
      <c r="D6022">
        <v>1.2909999999999999</v>
      </c>
      <c r="E6022">
        <v>413</v>
      </c>
      <c r="F6022" t="str">
        <f>HYPERLINK("https://www.google.com/maps/search/?api=1&amp;query=24.75448262,46.56772563", "View Map")</f>
        <v>View Map</v>
      </c>
    </row>
    <row r="6023" spans="1:7" x14ac:dyDescent="0.3">
      <c r="A6023" t="s">
        <v>10336</v>
      </c>
      <c r="B6023" t="s">
        <v>10337</v>
      </c>
      <c r="C6023" t="s">
        <v>4447</v>
      </c>
      <c r="D6023">
        <v>1.29</v>
      </c>
      <c r="E6023">
        <v>413</v>
      </c>
      <c r="F6023" t="str">
        <f>HYPERLINK("https://www.google.com/maps/search/?api=1&amp;query=24.37711887,42.08170429", "View Map")</f>
        <v>View Map</v>
      </c>
      <c r="G6023" s="2">
        <v>0.51904555715099865</v>
      </c>
    </row>
    <row r="6024" spans="1:7" x14ac:dyDescent="0.3">
      <c r="A6024" t="s">
        <v>9548</v>
      </c>
      <c r="B6024" t="s">
        <v>10338</v>
      </c>
      <c r="C6024" t="s">
        <v>8</v>
      </c>
      <c r="D6024">
        <v>1.29</v>
      </c>
      <c r="E6024">
        <v>413</v>
      </c>
      <c r="F6024" t="str">
        <f>HYPERLINK("https://www.google.com/maps/search/?api=1&amp;query=24.60294939,46.74625428", "View Map")</f>
        <v>View Map</v>
      </c>
    </row>
    <row r="6025" spans="1:7" x14ac:dyDescent="0.3">
      <c r="A6025" t="s">
        <v>10339</v>
      </c>
      <c r="B6025" t="s">
        <v>10340</v>
      </c>
      <c r="C6025" t="s">
        <v>8</v>
      </c>
      <c r="D6025">
        <v>1.29</v>
      </c>
      <c r="E6025">
        <v>413</v>
      </c>
      <c r="F6025" t="str">
        <f>HYPERLINK("https://www.google.com/maps/search/?api=1&amp;query=24.62136464,46.73677947", "View Map")</f>
        <v>View Map</v>
      </c>
    </row>
    <row r="6026" spans="1:7" x14ac:dyDescent="0.3">
      <c r="A6026" t="s">
        <v>430</v>
      </c>
      <c r="B6026" t="s">
        <v>10341</v>
      </c>
      <c r="C6026" t="s">
        <v>8</v>
      </c>
      <c r="D6026">
        <v>1.2889999999999999</v>
      </c>
      <c r="E6026">
        <v>412</v>
      </c>
      <c r="F6026" t="str">
        <f>HYPERLINK("https://www.google.com/maps/search/?api=1&amp;query=24.69737175,46.76072907", "View Map")</f>
        <v>View Map</v>
      </c>
    </row>
    <row r="6027" spans="1:7" x14ac:dyDescent="0.3">
      <c r="A6027" t="s">
        <v>10342</v>
      </c>
      <c r="B6027" t="s">
        <v>10343</v>
      </c>
      <c r="C6027" t="s">
        <v>8</v>
      </c>
      <c r="D6027">
        <v>1.2889999999999999</v>
      </c>
      <c r="E6027">
        <v>413</v>
      </c>
      <c r="F6027" t="str">
        <f>HYPERLINK("https://www.google.com/maps/search/?api=1&amp;query=24.7942456,46.89612415", "View Map")</f>
        <v>View Map</v>
      </c>
    </row>
    <row r="6028" spans="1:7" x14ac:dyDescent="0.3">
      <c r="A6028" t="s">
        <v>10344</v>
      </c>
      <c r="B6028" t="s">
        <v>10345</v>
      </c>
      <c r="C6028" t="s">
        <v>30</v>
      </c>
      <c r="D6028">
        <v>1.2889999999999999</v>
      </c>
      <c r="E6028">
        <v>412</v>
      </c>
      <c r="F6028" t="str">
        <f>HYPERLINK("https://www.google.com/maps/search/?api=1&amp;query=24.13478606,47.2754049", "View Map")</f>
        <v>View Map</v>
      </c>
    </row>
    <row r="6029" spans="1:7" x14ac:dyDescent="0.3">
      <c r="A6029" t="s">
        <v>10346</v>
      </c>
      <c r="B6029" t="s">
        <v>10347</v>
      </c>
      <c r="C6029" t="s">
        <v>8</v>
      </c>
      <c r="D6029">
        <v>1.2889999999999999</v>
      </c>
      <c r="E6029">
        <v>412</v>
      </c>
      <c r="F6029" t="str">
        <f>HYPERLINK("https://www.google.com/maps/search/?api=1&amp;query=24.6977115,46.76944296", "View Map")</f>
        <v>View Map</v>
      </c>
    </row>
    <row r="6030" spans="1:7" x14ac:dyDescent="0.3">
      <c r="A6030" t="s">
        <v>10348</v>
      </c>
      <c r="B6030" t="s">
        <v>10349</v>
      </c>
      <c r="C6030" t="s">
        <v>8</v>
      </c>
      <c r="D6030">
        <v>1.288</v>
      </c>
      <c r="E6030">
        <v>412</v>
      </c>
      <c r="F6030" t="str">
        <f>HYPERLINK("https://www.google.com/maps/search/?api=1&amp;query=24.57890155,46.64578439", "View Map")</f>
        <v>View Map</v>
      </c>
    </row>
    <row r="6031" spans="1:7" x14ac:dyDescent="0.3">
      <c r="A6031" t="s">
        <v>10350</v>
      </c>
      <c r="B6031" t="s">
        <v>10351</v>
      </c>
      <c r="C6031" t="s">
        <v>255</v>
      </c>
      <c r="D6031">
        <v>1.288</v>
      </c>
      <c r="E6031">
        <v>412</v>
      </c>
      <c r="F6031" t="str">
        <f>HYPERLINK("https://www.google.com/maps/search/?api=1&amp;query=24.53348459,44.40622392", "View Map")</f>
        <v>View Map</v>
      </c>
      <c r="G6031" s="2">
        <v>0.36137132596202748</v>
      </c>
    </row>
    <row r="6032" spans="1:7" x14ac:dyDescent="0.3">
      <c r="A6032" t="s">
        <v>10352</v>
      </c>
      <c r="B6032" t="s">
        <v>10353</v>
      </c>
      <c r="C6032" t="s">
        <v>296</v>
      </c>
      <c r="D6032">
        <v>1.288</v>
      </c>
      <c r="E6032">
        <v>412</v>
      </c>
      <c r="F6032" t="str">
        <f>HYPERLINK("https://www.google.com/maps/search/?api=1&amp;query=24.4898738,46.2706662", "View Map")</f>
        <v>View Map</v>
      </c>
      <c r="G6032" s="2">
        <v>0.58505848453593479</v>
      </c>
    </row>
    <row r="6033" spans="1:7" x14ac:dyDescent="0.3">
      <c r="A6033" t="s">
        <v>10354</v>
      </c>
      <c r="B6033" t="s">
        <v>10355</v>
      </c>
      <c r="C6033" t="s">
        <v>255</v>
      </c>
      <c r="D6033">
        <v>1.2869999999999999</v>
      </c>
      <c r="E6033">
        <v>412</v>
      </c>
      <c r="F6033" t="str">
        <f>HYPERLINK("https://www.google.com/maps/search/?api=1&amp;query=24.78898215,43.54235104", "View Map")</f>
        <v>View Map</v>
      </c>
      <c r="G6033" s="2">
        <v>0.75648585917106881</v>
      </c>
    </row>
    <row r="6034" spans="1:7" x14ac:dyDescent="0.3">
      <c r="A6034" t="s">
        <v>1788</v>
      </c>
      <c r="B6034" t="s">
        <v>10356</v>
      </c>
      <c r="C6034" t="s">
        <v>393</v>
      </c>
      <c r="D6034">
        <v>1.2869999999999999</v>
      </c>
      <c r="E6034">
        <v>412</v>
      </c>
      <c r="F6034" t="str">
        <f>HYPERLINK("https://www.google.com/maps/search/?api=1&amp;query=23.58089921,45.596801", "View Map")</f>
        <v>View Map</v>
      </c>
      <c r="G6034" s="2">
        <v>0.39414875421648149</v>
      </c>
    </row>
    <row r="6035" spans="1:7" x14ac:dyDescent="0.3">
      <c r="A6035" t="s">
        <v>146</v>
      </c>
      <c r="B6035" t="s">
        <v>10357</v>
      </c>
      <c r="C6035" t="s">
        <v>8</v>
      </c>
      <c r="D6035">
        <v>1.2869999999999999</v>
      </c>
      <c r="E6035">
        <v>412</v>
      </c>
      <c r="F6035" t="str">
        <f>HYPERLINK("https://www.google.com/maps/search/?api=1&amp;query=24.56369751,46.55344939", "View Map")</f>
        <v>View Map</v>
      </c>
    </row>
    <row r="6036" spans="1:7" x14ac:dyDescent="0.3">
      <c r="A6036" t="s">
        <v>10358</v>
      </c>
      <c r="B6036" t="s">
        <v>10359</v>
      </c>
      <c r="C6036" t="s">
        <v>8</v>
      </c>
      <c r="D6036">
        <v>1.2869999999999999</v>
      </c>
      <c r="E6036">
        <v>412</v>
      </c>
      <c r="F6036" t="str">
        <f>HYPERLINK("https://www.google.com/maps/search/?api=1&amp;query=24.78508555,46.7574838", "View Map")</f>
        <v>View Map</v>
      </c>
    </row>
    <row r="6037" spans="1:7" x14ac:dyDescent="0.3">
      <c r="A6037" t="s">
        <v>10360</v>
      </c>
      <c r="B6037" t="s">
        <v>10361</v>
      </c>
      <c r="C6037" t="s">
        <v>8</v>
      </c>
      <c r="D6037">
        <v>1.286</v>
      </c>
      <c r="E6037">
        <v>412</v>
      </c>
      <c r="F6037" t="str">
        <f>HYPERLINK("https://www.google.com/maps/search/?api=1&amp;query=24.79634876,46.85507738", "View Map")</f>
        <v>View Map</v>
      </c>
      <c r="G6037" s="2">
        <v>0.85703012032735704</v>
      </c>
    </row>
    <row r="6038" spans="1:7" x14ac:dyDescent="0.3">
      <c r="A6038" t="s">
        <v>10362</v>
      </c>
      <c r="B6038" t="s">
        <v>10363</v>
      </c>
      <c r="C6038" t="s">
        <v>8</v>
      </c>
      <c r="D6038">
        <v>1.286</v>
      </c>
      <c r="E6038">
        <v>411</v>
      </c>
      <c r="F6038" t="str">
        <f>HYPERLINK("https://www.google.com/maps/search/?api=1&amp;query=24.59697641,46.71298921", "View Map")</f>
        <v>View Map</v>
      </c>
    </row>
    <row r="6039" spans="1:7" x14ac:dyDescent="0.3">
      <c r="A6039" t="s">
        <v>10364</v>
      </c>
      <c r="B6039" t="s">
        <v>10365</v>
      </c>
      <c r="C6039" t="s">
        <v>270</v>
      </c>
      <c r="D6039">
        <v>1.286</v>
      </c>
      <c r="E6039">
        <v>411</v>
      </c>
      <c r="F6039" t="str">
        <f>HYPERLINK("https://www.google.com/maps/search/?api=1&amp;query=24.09829014,47.1705359", "View Map")</f>
        <v>View Map</v>
      </c>
      <c r="G6039" s="2">
        <v>0.61934286523179971</v>
      </c>
    </row>
    <row r="6040" spans="1:7" x14ac:dyDescent="0.3">
      <c r="A6040" t="s">
        <v>10366</v>
      </c>
      <c r="B6040" t="s">
        <v>10367</v>
      </c>
      <c r="C6040" t="s">
        <v>241</v>
      </c>
      <c r="D6040">
        <v>1.286</v>
      </c>
      <c r="E6040">
        <v>411</v>
      </c>
      <c r="F6040" t="str">
        <f>HYPERLINK("https://www.google.com/maps/search/?api=1&amp;query=20.41361575,44.83857602", "View Map")</f>
        <v>View Map</v>
      </c>
    </row>
    <row r="6041" spans="1:7" x14ac:dyDescent="0.3">
      <c r="A6041" t="s">
        <v>10368</v>
      </c>
      <c r="B6041" t="s">
        <v>10369</v>
      </c>
      <c r="C6041" t="s">
        <v>214</v>
      </c>
      <c r="D6041">
        <v>1.286</v>
      </c>
      <c r="E6041">
        <v>412</v>
      </c>
      <c r="F6041" t="str">
        <f>HYPERLINK("https://www.google.com/maps/search/?api=1&amp;query=25.89624686,45.34235569", "View Map")</f>
        <v>View Map</v>
      </c>
      <c r="G6041" s="2">
        <v>0.35679369172572561</v>
      </c>
    </row>
    <row r="6042" spans="1:7" x14ac:dyDescent="0.3">
      <c r="A6042" t="s">
        <v>10370</v>
      </c>
      <c r="B6042" t="s">
        <v>10371</v>
      </c>
      <c r="C6042" t="s">
        <v>291</v>
      </c>
      <c r="D6042">
        <v>1.286</v>
      </c>
      <c r="E6042">
        <v>411</v>
      </c>
      <c r="F6042" t="str">
        <f>HYPERLINK("https://www.google.com/maps/search/?api=1&amp;query=24.07702216,45.29751483", "View Map")</f>
        <v>View Map</v>
      </c>
      <c r="G6042" s="2">
        <v>0.36996505399759561</v>
      </c>
    </row>
    <row r="6043" spans="1:7" x14ac:dyDescent="0.3">
      <c r="A6043" t="s">
        <v>10372</v>
      </c>
      <c r="B6043" t="s">
        <v>10373</v>
      </c>
      <c r="C6043" t="s">
        <v>8</v>
      </c>
      <c r="D6043">
        <v>1.286</v>
      </c>
      <c r="E6043">
        <v>412</v>
      </c>
      <c r="F6043" t="str">
        <f>HYPERLINK("https://www.google.com/maps/search/?api=1&amp;query=24.60027854,46.7803692", "View Map")</f>
        <v>View Map</v>
      </c>
    </row>
    <row r="6044" spans="1:7" x14ac:dyDescent="0.3">
      <c r="A6044" t="s">
        <v>10374</v>
      </c>
      <c r="B6044" t="s">
        <v>10375</v>
      </c>
      <c r="C6044" t="s">
        <v>241</v>
      </c>
      <c r="D6044">
        <v>1.2849999999999999</v>
      </c>
      <c r="E6044">
        <v>411</v>
      </c>
      <c r="F6044" t="str">
        <f>HYPERLINK("https://www.google.com/maps/search/?api=1&amp;query=20.43053484,44.77776548", "View Map")</f>
        <v>View Map</v>
      </c>
    </row>
    <row r="6045" spans="1:7" x14ac:dyDescent="0.3">
      <c r="A6045" t="s">
        <v>10376</v>
      </c>
      <c r="B6045" t="s">
        <v>10377</v>
      </c>
      <c r="C6045" t="s">
        <v>8</v>
      </c>
      <c r="D6045">
        <v>1.2849999999999999</v>
      </c>
      <c r="E6045">
        <v>411</v>
      </c>
      <c r="F6045" t="str">
        <f>HYPERLINK("https://www.google.com/maps/search/?api=1&amp;query=24.5831,46.5647", "View Map")</f>
        <v>View Map</v>
      </c>
    </row>
    <row r="6046" spans="1:7" x14ac:dyDescent="0.3">
      <c r="A6046" t="s">
        <v>46</v>
      </c>
      <c r="B6046" t="s">
        <v>10378</v>
      </c>
      <c r="C6046" t="s">
        <v>8</v>
      </c>
      <c r="D6046">
        <v>1.284</v>
      </c>
      <c r="E6046">
        <v>411</v>
      </c>
      <c r="F6046" t="str">
        <f>HYPERLINK("https://www.google.com/maps/search/?api=1&amp;query=24.57879545,46.76070941", "View Map")</f>
        <v>View Map</v>
      </c>
      <c r="G6046" s="2">
        <v>0.53409646729145721</v>
      </c>
    </row>
    <row r="6047" spans="1:7" x14ac:dyDescent="0.3">
      <c r="A6047" t="s">
        <v>4851</v>
      </c>
      <c r="B6047" t="s">
        <v>10379</v>
      </c>
      <c r="C6047" t="s">
        <v>8</v>
      </c>
      <c r="D6047">
        <v>1.284</v>
      </c>
      <c r="E6047">
        <v>411</v>
      </c>
      <c r="F6047" t="str">
        <f>HYPERLINK("https://www.google.com/maps/search/?api=1&amp;query=24.7582138,46.67039093", "View Map")</f>
        <v>View Map</v>
      </c>
      <c r="G6047" s="2">
        <v>0.38867759172042171</v>
      </c>
    </row>
    <row r="6048" spans="1:7" x14ac:dyDescent="0.3">
      <c r="A6048" t="s">
        <v>10380</v>
      </c>
      <c r="B6048" t="s">
        <v>10381</v>
      </c>
      <c r="C6048" t="s">
        <v>291</v>
      </c>
      <c r="D6048">
        <v>1.284</v>
      </c>
      <c r="E6048">
        <v>411</v>
      </c>
      <c r="F6048" t="str">
        <f>HYPERLINK("https://www.google.com/maps/search/?api=1&amp;query=24.49558798,45.76257009", "View Map")</f>
        <v>View Map</v>
      </c>
      <c r="G6048" s="2">
        <v>0.54522613251730245</v>
      </c>
    </row>
    <row r="6049" spans="1:7" x14ac:dyDescent="0.3">
      <c r="A6049" t="s">
        <v>10382</v>
      </c>
      <c r="B6049" t="s">
        <v>10383</v>
      </c>
      <c r="C6049" t="s">
        <v>8</v>
      </c>
      <c r="D6049">
        <v>1.284</v>
      </c>
      <c r="E6049">
        <v>411</v>
      </c>
      <c r="F6049" t="str">
        <f>HYPERLINK("https://www.google.com/maps/search/?api=1&amp;query=24.76775785,46.70300627", "View Map")</f>
        <v>View Map</v>
      </c>
    </row>
    <row r="6050" spans="1:7" x14ac:dyDescent="0.3">
      <c r="A6050" t="s">
        <v>10384</v>
      </c>
      <c r="B6050" t="s">
        <v>10385</v>
      </c>
      <c r="C6050" t="s">
        <v>255</v>
      </c>
      <c r="D6050">
        <v>1.284</v>
      </c>
      <c r="E6050">
        <v>411</v>
      </c>
      <c r="F6050" t="str">
        <f>HYPERLINK("https://www.google.com/maps/search/?api=1&amp;query=24.5251853,43.38060095", "View Map")</f>
        <v>View Map</v>
      </c>
      <c r="G6050" s="2">
        <v>0.5203340460359025</v>
      </c>
    </row>
    <row r="6051" spans="1:7" x14ac:dyDescent="0.3">
      <c r="A6051" t="s">
        <v>146</v>
      </c>
      <c r="B6051" t="s">
        <v>10386</v>
      </c>
      <c r="C6051" t="s">
        <v>8</v>
      </c>
      <c r="D6051">
        <v>1.2829999999999999</v>
      </c>
      <c r="E6051">
        <v>410</v>
      </c>
      <c r="F6051" t="str">
        <f>HYPERLINK("https://www.google.com/maps/search/?api=1&amp;query=24.54059323,46.6510544", "View Map")</f>
        <v>View Map</v>
      </c>
    </row>
    <row r="6052" spans="1:7" x14ac:dyDescent="0.3">
      <c r="A6052" t="s">
        <v>10387</v>
      </c>
      <c r="B6052" t="s">
        <v>10388</v>
      </c>
      <c r="C6052" t="s">
        <v>8</v>
      </c>
      <c r="D6052">
        <v>1.2829999999999999</v>
      </c>
      <c r="E6052">
        <v>410</v>
      </c>
      <c r="F6052" t="str">
        <f>HYPERLINK("https://www.google.com/maps/search/?api=1&amp;query=24.83641929,46.79463942", "View Map")</f>
        <v>View Map</v>
      </c>
    </row>
    <row r="6053" spans="1:7" x14ac:dyDescent="0.3">
      <c r="A6053" t="s">
        <v>10389</v>
      </c>
      <c r="B6053" t="s">
        <v>10390</v>
      </c>
      <c r="C6053" t="s">
        <v>30</v>
      </c>
      <c r="D6053">
        <v>1.2829999999999999</v>
      </c>
      <c r="E6053">
        <v>411</v>
      </c>
      <c r="F6053" t="str">
        <f>HYPERLINK("https://www.google.com/maps/search/?api=1&amp;query=24.16462939,47.23568308", "View Map")</f>
        <v>View Map</v>
      </c>
    </row>
    <row r="6054" spans="1:7" x14ac:dyDescent="0.3">
      <c r="A6054" t="s">
        <v>46</v>
      </c>
      <c r="B6054" t="s">
        <v>10391</v>
      </c>
      <c r="C6054" t="s">
        <v>8</v>
      </c>
      <c r="D6054">
        <v>1.282</v>
      </c>
      <c r="E6054">
        <v>410</v>
      </c>
      <c r="F6054" t="str">
        <f>HYPERLINK("https://www.google.com/maps/search/?api=1&amp;query=24.50799546,46.90469539", "View Map")</f>
        <v>View Map</v>
      </c>
    </row>
    <row r="6055" spans="1:7" x14ac:dyDescent="0.3">
      <c r="A6055" t="s">
        <v>10392</v>
      </c>
      <c r="B6055" t="s">
        <v>10393</v>
      </c>
      <c r="C6055" t="s">
        <v>296</v>
      </c>
      <c r="D6055">
        <v>1.282</v>
      </c>
      <c r="E6055">
        <v>410</v>
      </c>
      <c r="F6055" t="str">
        <f>HYPERLINK("https://www.google.com/maps/search/?api=1&amp;query=24.46784848,46.28473382", "View Map")</f>
        <v>View Map</v>
      </c>
    </row>
    <row r="6056" spans="1:7" x14ac:dyDescent="0.3">
      <c r="A6056" t="s">
        <v>150</v>
      </c>
      <c r="B6056" t="s">
        <v>10394</v>
      </c>
      <c r="C6056" t="s">
        <v>8</v>
      </c>
      <c r="D6056">
        <v>1.282</v>
      </c>
      <c r="E6056">
        <v>410</v>
      </c>
      <c r="F6056" t="str">
        <f>HYPERLINK("https://www.google.com/maps/search/?api=1&amp;query=24.83331876,46.74016241", "View Map")</f>
        <v>View Map</v>
      </c>
    </row>
    <row r="6057" spans="1:7" x14ac:dyDescent="0.3">
      <c r="A6057" t="s">
        <v>9047</v>
      </c>
      <c r="B6057" t="s">
        <v>10395</v>
      </c>
      <c r="C6057" t="s">
        <v>8</v>
      </c>
      <c r="D6057">
        <v>1.282</v>
      </c>
      <c r="E6057">
        <v>410</v>
      </c>
      <c r="F6057" t="str">
        <f>HYPERLINK("https://www.google.com/maps/search/?api=1&amp;query=24.70330615,46.80677754", "View Map")</f>
        <v>View Map</v>
      </c>
    </row>
    <row r="6058" spans="1:7" x14ac:dyDescent="0.3">
      <c r="A6058" t="s">
        <v>3595</v>
      </c>
      <c r="B6058" t="s">
        <v>10396</v>
      </c>
      <c r="C6058" t="s">
        <v>241</v>
      </c>
      <c r="D6058">
        <v>1.282</v>
      </c>
      <c r="E6058">
        <v>410</v>
      </c>
      <c r="F6058" t="str">
        <f>HYPERLINK("https://www.google.com/maps/search/?api=1&amp;query=20.46896653,44.76785049", "View Map")</f>
        <v>View Map</v>
      </c>
      <c r="G6058" s="2">
        <v>0.86612196503403427</v>
      </c>
    </row>
    <row r="6059" spans="1:7" x14ac:dyDescent="0.3">
      <c r="A6059" t="s">
        <v>46</v>
      </c>
      <c r="B6059" t="s">
        <v>10397</v>
      </c>
      <c r="C6059" t="s">
        <v>820</v>
      </c>
      <c r="D6059">
        <v>1.2809999999999999</v>
      </c>
      <c r="E6059">
        <v>410</v>
      </c>
      <c r="F6059" t="str">
        <f>HYPERLINK("https://www.google.com/maps/search/?api=1&amp;query=0.0,0.0", "View Map")</f>
        <v>View Map</v>
      </c>
    </row>
    <row r="6060" spans="1:7" x14ac:dyDescent="0.3">
      <c r="A6060" t="s">
        <v>10398</v>
      </c>
      <c r="B6060" t="s">
        <v>10399</v>
      </c>
      <c r="C6060" t="s">
        <v>291</v>
      </c>
      <c r="D6060">
        <v>1.28</v>
      </c>
      <c r="E6060">
        <v>410</v>
      </c>
      <c r="F6060" t="str">
        <f>HYPERLINK("https://www.google.com/maps/search/?api=1&amp;query=23.9893458,45.11420791", "View Map")</f>
        <v>View Map</v>
      </c>
      <c r="G6060" s="2">
        <v>0.85267947094690844</v>
      </c>
    </row>
    <row r="6061" spans="1:7" x14ac:dyDescent="0.3">
      <c r="A6061" t="s">
        <v>10400</v>
      </c>
      <c r="B6061" t="s">
        <v>10401</v>
      </c>
      <c r="C6061" t="s">
        <v>393</v>
      </c>
      <c r="D6061">
        <v>1.28</v>
      </c>
      <c r="E6061">
        <v>410</v>
      </c>
      <c r="F6061" t="str">
        <f>HYPERLINK("https://www.google.com/maps/search/?api=1&amp;query=23.56318566,45.56510243", "View Map")</f>
        <v>View Map</v>
      </c>
      <c r="G6061" s="2">
        <v>0.30441640112234769</v>
      </c>
    </row>
    <row r="6062" spans="1:7" x14ac:dyDescent="0.3">
      <c r="A6062" t="s">
        <v>4543</v>
      </c>
      <c r="B6062" t="s">
        <v>10402</v>
      </c>
      <c r="C6062" t="s">
        <v>8</v>
      </c>
      <c r="D6062">
        <v>1.28</v>
      </c>
      <c r="E6062">
        <v>410</v>
      </c>
      <c r="F6062" t="str">
        <f>HYPERLINK("https://www.google.com/maps/search/?api=1&amp;query=24.69603898,46.77451051", "View Map")</f>
        <v>View Map</v>
      </c>
    </row>
    <row r="6063" spans="1:7" x14ac:dyDescent="0.3">
      <c r="A6063" t="s">
        <v>146</v>
      </c>
      <c r="B6063" t="s">
        <v>10403</v>
      </c>
      <c r="C6063" t="s">
        <v>8</v>
      </c>
      <c r="D6063">
        <v>1.28</v>
      </c>
      <c r="E6063">
        <v>410</v>
      </c>
      <c r="F6063" t="str">
        <f>HYPERLINK("https://www.google.com/maps/search/?api=1&amp;query=24.5607347,46.53351707", "View Map")</f>
        <v>View Map</v>
      </c>
    </row>
    <row r="6064" spans="1:7" x14ac:dyDescent="0.3">
      <c r="A6064" t="s">
        <v>10404</v>
      </c>
      <c r="B6064" t="s">
        <v>10405</v>
      </c>
      <c r="C6064" t="s">
        <v>699</v>
      </c>
      <c r="D6064">
        <v>1.28</v>
      </c>
      <c r="E6064">
        <v>410</v>
      </c>
      <c r="F6064" t="str">
        <f>HYPERLINK("https://www.google.com/maps/search/?api=1&amp;query=24.44878782,45.44294053", "View Map")</f>
        <v>View Map</v>
      </c>
      <c r="G6064" s="2">
        <v>0.29223964939910468</v>
      </c>
    </row>
    <row r="6065" spans="1:7" x14ac:dyDescent="0.3">
      <c r="A6065" t="s">
        <v>10406</v>
      </c>
      <c r="B6065" t="s">
        <v>10407</v>
      </c>
      <c r="C6065" t="s">
        <v>21</v>
      </c>
      <c r="D6065">
        <v>1.2789999999999999</v>
      </c>
      <c r="E6065">
        <v>409</v>
      </c>
      <c r="F6065" t="str">
        <f>HYPERLINK("https://www.google.com/maps/search/?api=1&amp;query=26.31834558,44.9109559", "View Map")</f>
        <v>View Map</v>
      </c>
      <c r="G6065" s="2">
        <v>0.76157760446616141</v>
      </c>
    </row>
    <row r="6066" spans="1:7" x14ac:dyDescent="0.3">
      <c r="A6066" t="s">
        <v>10408</v>
      </c>
      <c r="B6066" t="s">
        <v>10409</v>
      </c>
      <c r="C6066" t="s">
        <v>8</v>
      </c>
      <c r="D6066">
        <v>1.2789999999999999</v>
      </c>
      <c r="E6066">
        <v>409</v>
      </c>
      <c r="F6066" t="str">
        <f>HYPERLINK("https://www.google.com/maps/search/?api=1&amp;query=24.57247468,46.62085921", "View Map")</f>
        <v>View Map</v>
      </c>
    </row>
    <row r="6067" spans="1:7" x14ac:dyDescent="0.3">
      <c r="A6067" t="s">
        <v>10410</v>
      </c>
      <c r="B6067" t="s">
        <v>10411</v>
      </c>
      <c r="C6067" t="s">
        <v>8</v>
      </c>
      <c r="D6067">
        <v>1.2789999999999999</v>
      </c>
      <c r="E6067">
        <v>409</v>
      </c>
      <c r="F6067" t="str">
        <f>HYPERLINK("https://www.google.com/maps/search/?api=1&amp;query=24.60396187,46.71313876", "View Map")</f>
        <v>View Map</v>
      </c>
    </row>
    <row r="6068" spans="1:7" x14ac:dyDescent="0.3">
      <c r="A6068" t="s">
        <v>10412</v>
      </c>
      <c r="B6068" t="s">
        <v>10413</v>
      </c>
      <c r="C6068" t="s">
        <v>8</v>
      </c>
      <c r="D6068">
        <v>1.2789999999999999</v>
      </c>
      <c r="E6068">
        <v>409</v>
      </c>
      <c r="F6068" t="str">
        <f>HYPERLINK("https://www.google.com/maps/search/?api=1&amp;query=24.73016061,46.7463302", "View Map")</f>
        <v>View Map</v>
      </c>
    </row>
    <row r="6069" spans="1:7" x14ac:dyDescent="0.3">
      <c r="A6069" t="s">
        <v>10414</v>
      </c>
      <c r="B6069" t="s">
        <v>10415</v>
      </c>
      <c r="C6069" t="s">
        <v>291</v>
      </c>
      <c r="D6069">
        <v>1.2789999999999999</v>
      </c>
      <c r="E6069">
        <v>409</v>
      </c>
      <c r="F6069" t="str">
        <f>HYPERLINK("https://www.google.com/maps/search/?api=1&amp;query=23.99871744,44.94730572", "View Map")</f>
        <v>View Map</v>
      </c>
    </row>
    <row r="6070" spans="1:7" x14ac:dyDescent="0.3">
      <c r="A6070" t="s">
        <v>10416</v>
      </c>
      <c r="B6070" t="s">
        <v>10417</v>
      </c>
      <c r="C6070" t="s">
        <v>286</v>
      </c>
      <c r="D6070">
        <v>1.278</v>
      </c>
      <c r="E6070">
        <v>409</v>
      </c>
      <c r="F6070" t="str">
        <f>HYPERLINK("https://www.google.com/maps/search/?api=1&amp;query=25.2975303,45.52773251", "View Map")</f>
        <v>View Map</v>
      </c>
      <c r="G6070" s="2">
        <v>0.58283356795378316</v>
      </c>
    </row>
    <row r="6071" spans="1:7" x14ac:dyDescent="0.3">
      <c r="A6071" t="s">
        <v>717</v>
      </c>
      <c r="B6071" t="s">
        <v>10418</v>
      </c>
      <c r="C6071" t="s">
        <v>255</v>
      </c>
      <c r="D6071">
        <v>1.278</v>
      </c>
      <c r="E6071">
        <v>409</v>
      </c>
      <c r="F6071" t="str">
        <f>HYPERLINK("https://www.google.com/maps/search/?api=1&amp;query=24.58295333,43.72861", "View Map")</f>
        <v>View Map</v>
      </c>
      <c r="G6071" s="2">
        <v>0.43907976347743138</v>
      </c>
    </row>
    <row r="6072" spans="1:7" x14ac:dyDescent="0.3">
      <c r="A6072" t="s">
        <v>10419</v>
      </c>
      <c r="B6072" t="s">
        <v>10420</v>
      </c>
      <c r="C6072" t="s">
        <v>21</v>
      </c>
      <c r="D6072">
        <v>1.278</v>
      </c>
      <c r="E6072">
        <v>409</v>
      </c>
      <c r="F6072" t="str">
        <f>HYPERLINK("https://www.google.com/maps/search/?api=1&amp;query=26.31160481,44.80105833", "View Map")</f>
        <v>View Map</v>
      </c>
      <c r="G6072" s="2">
        <v>0.4019953738968024</v>
      </c>
    </row>
    <row r="6073" spans="1:7" x14ac:dyDescent="0.3">
      <c r="A6073" t="s">
        <v>46</v>
      </c>
      <c r="B6073" t="s">
        <v>10421</v>
      </c>
      <c r="C6073" t="s">
        <v>55</v>
      </c>
      <c r="D6073">
        <v>1.2769999999999999</v>
      </c>
      <c r="E6073">
        <v>409</v>
      </c>
      <c r="F6073" t="str">
        <f>HYPERLINK("https://www.google.com/maps/search/?api=1&amp;query=24.90235961,46.36975225", "View Map")</f>
        <v>View Map</v>
      </c>
    </row>
    <row r="6074" spans="1:7" x14ac:dyDescent="0.3">
      <c r="A6074" t="s">
        <v>10422</v>
      </c>
      <c r="B6074" t="s">
        <v>10423</v>
      </c>
      <c r="C6074" t="s">
        <v>291</v>
      </c>
      <c r="D6074">
        <v>1.2769999999999999</v>
      </c>
      <c r="E6074">
        <v>409</v>
      </c>
      <c r="F6074" t="str">
        <f>HYPERLINK("https://www.google.com/maps/search/?api=1&amp;query=24.09291253,45.30080909", "View Map")</f>
        <v>View Map</v>
      </c>
    </row>
    <row r="6075" spans="1:7" x14ac:dyDescent="0.3">
      <c r="A6075" t="s">
        <v>10424</v>
      </c>
      <c r="B6075" t="s">
        <v>10425</v>
      </c>
      <c r="C6075" t="s">
        <v>8</v>
      </c>
      <c r="D6075">
        <v>1.2769999999999999</v>
      </c>
      <c r="E6075">
        <v>409</v>
      </c>
      <c r="F6075" t="str">
        <f>HYPERLINK("https://www.google.com/maps/search/?api=1&amp;query=24.58289464,46.61137916", "View Map")</f>
        <v>View Map</v>
      </c>
    </row>
    <row r="6076" spans="1:7" x14ac:dyDescent="0.3">
      <c r="A6076" t="s">
        <v>10426</v>
      </c>
      <c r="B6076" t="s">
        <v>10427</v>
      </c>
      <c r="C6076" t="s">
        <v>270</v>
      </c>
      <c r="D6076">
        <v>1.2769999999999999</v>
      </c>
      <c r="E6076">
        <v>409</v>
      </c>
      <c r="F6076" t="str">
        <f>HYPERLINK("https://www.google.com/maps/search/?api=1&amp;query=24.01255424,47.13182357", "View Map")</f>
        <v>View Map</v>
      </c>
    </row>
    <row r="6077" spans="1:7" x14ac:dyDescent="0.3">
      <c r="A6077" t="s">
        <v>10428</v>
      </c>
      <c r="B6077" t="s">
        <v>10429</v>
      </c>
      <c r="C6077" t="s">
        <v>137</v>
      </c>
      <c r="D6077">
        <v>1.276</v>
      </c>
      <c r="E6077">
        <v>408</v>
      </c>
      <c r="F6077" t="str">
        <f>HYPERLINK("https://www.google.com/maps/search/?api=1&amp;query=23.44914289,46.8054243", "View Map")</f>
        <v>View Map</v>
      </c>
      <c r="G6077" s="2">
        <v>0.41443173495784758</v>
      </c>
    </row>
    <row r="6078" spans="1:7" x14ac:dyDescent="0.3">
      <c r="A6078" t="s">
        <v>10430</v>
      </c>
      <c r="B6078" t="s">
        <v>10431</v>
      </c>
      <c r="C6078" t="s">
        <v>291</v>
      </c>
      <c r="D6078">
        <v>1.276</v>
      </c>
      <c r="E6078">
        <v>408</v>
      </c>
      <c r="F6078" t="str">
        <f>HYPERLINK("https://www.google.com/maps/search/?api=1&amp;query=24.36630565,45.56818365", "View Map")</f>
        <v>View Map</v>
      </c>
      <c r="G6078" s="2">
        <v>1.1541767069422</v>
      </c>
    </row>
    <row r="6079" spans="1:7" x14ac:dyDescent="0.3">
      <c r="A6079" t="s">
        <v>10432</v>
      </c>
      <c r="B6079" t="s">
        <v>10433</v>
      </c>
      <c r="C6079" t="s">
        <v>296</v>
      </c>
      <c r="D6079">
        <v>1.276</v>
      </c>
      <c r="E6079">
        <v>408</v>
      </c>
      <c r="F6079" t="str">
        <f>HYPERLINK("https://www.google.com/maps/search/?api=1&amp;query=24.46323689,46.27010026", "View Map")</f>
        <v>View Map</v>
      </c>
    </row>
    <row r="6080" spans="1:7" x14ac:dyDescent="0.3">
      <c r="A6080" t="s">
        <v>385</v>
      </c>
      <c r="B6080" t="s">
        <v>10434</v>
      </c>
      <c r="C6080" t="s">
        <v>255</v>
      </c>
      <c r="D6080">
        <v>1.276</v>
      </c>
      <c r="E6080">
        <v>408</v>
      </c>
      <c r="F6080" t="str">
        <f>HYPERLINK("https://www.google.com/maps/search/?api=1&amp;query=24.51929135,44.38986041", "View Map")</f>
        <v>View Map</v>
      </c>
      <c r="G6080" s="2">
        <v>0.53407222149694644</v>
      </c>
    </row>
    <row r="6081" spans="1:7" x14ac:dyDescent="0.3">
      <c r="A6081" t="s">
        <v>10435</v>
      </c>
      <c r="B6081" t="s">
        <v>10436</v>
      </c>
      <c r="C6081" t="s">
        <v>8</v>
      </c>
      <c r="D6081">
        <v>1.276</v>
      </c>
      <c r="E6081">
        <v>408</v>
      </c>
      <c r="F6081" t="str">
        <f>HYPERLINK("https://www.google.com/maps/search/?api=1&amp;query=24.62518095,46.80412896", "View Map")</f>
        <v>View Map</v>
      </c>
    </row>
    <row r="6082" spans="1:7" x14ac:dyDescent="0.3">
      <c r="A6082" t="s">
        <v>10437</v>
      </c>
      <c r="B6082" t="s">
        <v>10438</v>
      </c>
      <c r="C6082" t="s">
        <v>16</v>
      </c>
      <c r="D6082">
        <v>1.2749999999999999</v>
      </c>
      <c r="E6082">
        <v>408</v>
      </c>
      <c r="F6082" t="str">
        <f>HYPERLINK("https://www.google.com/maps/search/?api=1&amp;query=23.88255453,42.91331173", "View Map")</f>
        <v>View Map</v>
      </c>
    </row>
    <row r="6083" spans="1:7" x14ac:dyDescent="0.3">
      <c r="A6083" t="s">
        <v>2485</v>
      </c>
      <c r="B6083" t="s">
        <v>10439</v>
      </c>
      <c r="C6083" t="s">
        <v>255</v>
      </c>
      <c r="D6083">
        <v>1.2749999999999999</v>
      </c>
      <c r="E6083">
        <v>408</v>
      </c>
      <c r="F6083" t="str">
        <f>HYPERLINK("https://www.google.com/maps/search/?api=1&amp;query=25.13643382,43.47864151", "View Map")</f>
        <v>View Map</v>
      </c>
      <c r="G6083" s="2">
        <v>0.8664663024762933</v>
      </c>
    </row>
    <row r="6084" spans="1:7" x14ac:dyDescent="0.3">
      <c r="A6084" t="s">
        <v>146</v>
      </c>
      <c r="B6084" t="s">
        <v>10440</v>
      </c>
      <c r="C6084" t="s">
        <v>8</v>
      </c>
      <c r="D6084">
        <v>1.2749999999999999</v>
      </c>
      <c r="E6084">
        <v>408</v>
      </c>
      <c r="F6084" t="str">
        <f>HYPERLINK("https://www.google.com/maps/search/?api=1&amp;query=24.5056,46.7317", "View Map")</f>
        <v>View Map</v>
      </c>
    </row>
    <row r="6085" spans="1:7" x14ac:dyDescent="0.3">
      <c r="A6085" t="s">
        <v>10441</v>
      </c>
      <c r="B6085" t="s">
        <v>10442</v>
      </c>
      <c r="C6085" t="s">
        <v>8</v>
      </c>
      <c r="D6085">
        <v>1.2749999999999999</v>
      </c>
      <c r="E6085">
        <v>408</v>
      </c>
      <c r="F6085" t="str">
        <f>HYPERLINK("https://www.google.com/maps/search/?api=1&amp;query=24.63925396,46.74277525", "View Map")</f>
        <v>View Map</v>
      </c>
    </row>
    <row r="6086" spans="1:7" x14ac:dyDescent="0.3">
      <c r="A6086" t="s">
        <v>10443</v>
      </c>
      <c r="B6086" t="s">
        <v>10444</v>
      </c>
      <c r="C6086" t="s">
        <v>21</v>
      </c>
      <c r="D6086">
        <v>1.274</v>
      </c>
      <c r="E6086">
        <v>408</v>
      </c>
      <c r="F6086" t="str">
        <f>HYPERLINK("https://www.google.com/maps/search/?api=1&amp;query=26.60250872,44.63659438", "View Map")</f>
        <v>View Map</v>
      </c>
      <c r="G6086" s="2">
        <v>0.4777505408595546</v>
      </c>
    </row>
    <row r="6087" spans="1:7" x14ac:dyDescent="0.3">
      <c r="A6087" t="s">
        <v>10445</v>
      </c>
      <c r="B6087" t="s">
        <v>10446</v>
      </c>
      <c r="C6087" t="s">
        <v>286</v>
      </c>
      <c r="D6087">
        <v>1.274</v>
      </c>
      <c r="E6087">
        <v>408</v>
      </c>
      <c r="F6087" t="str">
        <f>HYPERLINK("https://www.google.com/maps/search/?api=1&amp;query=25.21522981,45.24311928", "View Map")</f>
        <v>View Map</v>
      </c>
    </row>
    <row r="6088" spans="1:7" x14ac:dyDescent="0.3">
      <c r="A6088" t="s">
        <v>10447</v>
      </c>
      <c r="B6088" t="s">
        <v>10448</v>
      </c>
      <c r="C6088" t="s">
        <v>30</v>
      </c>
      <c r="D6088">
        <v>1.274</v>
      </c>
      <c r="E6088">
        <v>408</v>
      </c>
      <c r="F6088" t="str">
        <f>HYPERLINK("https://www.google.com/maps/search/?api=1&amp;query=24.16576412,47.23282945", "View Map")</f>
        <v>View Map</v>
      </c>
      <c r="G6088" s="2">
        <v>0.4925922151964543</v>
      </c>
    </row>
    <row r="6089" spans="1:7" x14ac:dyDescent="0.3">
      <c r="A6089" t="s">
        <v>10449</v>
      </c>
      <c r="B6089" t="s">
        <v>10450</v>
      </c>
      <c r="C6089" t="s">
        <v>16</v>
      </c>
      <c r="D6089">
        <v>1.2729999999999999</v>
      </c>
      <c r="E6089">
        <v>407</v>
      </c>
      <c r="F6089" t="str">
        <f>HYPERLINK("https://www.google.com/maps/search/?api=1&amp;query=23.89546359,42.91269593", "View Map")</f>
        <v>View Map</v>
      </c>
      <c r="G6089" s="2">
        <v>9.5138725519026052E-2</v>
      </c>
    </row>
    <row r="6090" spans="1:7" x14ac:dyDescent="0.3">
      <c r="A6090" t="s">
        <v>10451</v>
      </c>
      <c r="B6090" t="s">
        <v>10452</v>
      </c>
      <c r="C6090" t="s">
        <v>8</v>
      </c>
      <c r="D6090">
        <v>1.2729999999999999</v>
      </c>
      <c r="E6090">
        <v>407</v>
      </c>
      <c r="F6090" t="str">
        <f>HYPERLINK("https://www.google.com/maps/search/?api=1&amp;query=24.76625567,46.75047061", "View Map")</f>
        <v>View Map</v>
      </c>
    </row>
    <row r="6091" spans="1:7" x14ac:dyDescent="0.3">
      <c r="A6091" t="s">
        <v>10453</v>
      </c>
      <c r="B6091" t="s">
        <v>10454</v>
      </c>
      <c r="C6091" t="s">
        <v>8</v>
      </c>
      <c r="D6091">
        <v>1.2729999999999999</v>
      </c>
      <c r="E6091">
        <v>407</v>
      </c>
      <c r="F6091" t="str">
        <f>HYPERLINK("https://www.google.com/maps/search/?api=1&amp;query=24.63707465,46.72614532", "View Map")</f>
        <v>View Map</v>
      </c>
    </row>
    <row r="6092" spans="1:7" x14ac:dyDescent="0.3">
      <c r="A6092" t="s">
        <v>10455</v>
      </c>
      <c r="B6092" t="s">
        <v>10456</v>
      </c>
      <c r="C6092" t="s">
        <v>8</v>
      </c>
      <c r="D6092">
        <v>1.2729999999999999</v>
      </c>
      <c r="E6092">
        <v>407</v>
      </c>
      <c r="F6092" t="str">
        <f>HYPERLINK("https://www.google.com/maps/search/?api=1&amp;query=24.63823435,46.80044857", "View Map")</f>
        <v>View Map</v>
      </c>
    </row>
    <row r="6093" spans="1:7" x14ac:dyDescent="0.3">
      <c r="A6093" t="s">
        <v>10457</v>
      </c>
      <c r="B6093" t="s">
        <v>10458</v>
      </c>
      <c r="C6093" t="s">
        <v>8</v>
      </c>
      <c r="D6093">
        <v>1.272</v>
      </c>
      <c r="E6093">
        <v>407</v>
      </c>
      <c r="F6093" t="str">
        <f>HYPERLINK("https://www.google.com/maps/search/?api=1&amp;query=24.63891245,46.72356187", "View Map")</f>
        <v>View Map</v>
      </c>
    </row>
    <row r="6094" spans="1:7" x14ac:dyDescent="0.3">
      <c r="A6094" t="s">
        <v>10459</v>
      </c>
      <c r="B6094" t="s">
        <v>10460</v>
      </c>
      <c r="C6094" t="s">
        <v>8</v>
      </c>
      <c r="D6094">
        <v>1.272</v>
      </c>
      <c r="E6094">
        <v>407</v>
      </c>
      <c r="F6094" t="str">
        <f>HYPERLINK("https://www.google.com/maps/search/?api=1&amp;query=24.7525709,46.74424847", "View Map")</f>
        <v>View Map</v>
      </c>
    </row>
    <row r="6095" spans="1:7" x14ac:dyDescent="0.3">
      <c r="A6095" t="s">
        <v>8780</v>
      </c>
      <c r="B6095" t="s">
        <v>10461</v>
      </c>
      <c r="C6095" t="s">
        <v>8</v>
      </c>
      <c r="D6095">
        <v>1.272</v>
      </c>
      <c r="E6095">
        <v>407</v>
      </c>
      <c r="F6095" t="str">
        <f>HYPERLINK("https://www.google.com/maps/search/?api=1&amp;query=24.58951031,46.56543391", "View Map")</f>
        <v>View Map</v>
      </c>
    </row>
    <row r="6096" spans="1:7" x14ac:dyDescent="0.3">
      <c r="A6096" t="s">
        <v>10462</v>
      </c>
      <c r="B6096" t="s">
        <v>10463</v>
      </c>
      <c r="C6096" t="s">
        <v>255</v>
      </c>
      <c r="D6096">
        <v>1.272</v>
      </c>
      <c r="E6096">
        <v>407</v>
      </c>
      <c r="F6096" t="str">
        <f>HYPERLINK("https://www.google.com/maps/search/?api=1&amp;query=24.28526474,43.73408193", "View Map")</f>
        <v>View Map</v>
      </c>
      <c r="G6096" s="2">
        <v>0.75169473987858326</v>
      </c>
    </row>
    <row r="6097" spans="1:7" x14ac:dyDescent="0.3">
      <c r="A6097" t="s">
        <v>1273</v>
      </c>
      <c r="B6097" t="s">
        <v>10464</v>
      </c>
      <c r="C6097" t="s">
        <v>241</v>
      </c>
      <c r="D6097">
        <v>1.272</v>
      </c>
      <c r="E6097">
        <v>407</v>
      </c>
      <c r="F6097" t="str">
        <f>HYPERLINK("https://www.google.com/maps/search/?api=1&amp;query=20.41969598,44.8391955", "View Map")</f>
        <v>View Map</v>
      </c>
    </row>
    <row r="6098" spans="1:7" x14ac:dyDescent="0.3">
      <c r="A6098" t="s">
        <v>10465</v>
      </c>
      <c r="B6098" t="s">
        <v>10466</v>
      </c>
      <c r="C6098" t="s">
        <v>8</v>
      </c>
      <c r="D6098">
        <v>1.2709999999999999</v>
      </c>
      <c r="E6098">
        <v>407</v>
      </c>
      <c r="F6098" t="str">
        <f>HYPERLINK("https://www.google.com/maps/search/?api=1&amp;query=24.58263047,46.57392003", "View Map")</f>
        <v>View Map</v>
      </c>
    </row>
    <row r="6099" spans="1:7" x14ac:dyDescent="0.3">
      <c r="A6099" t="s">
        <v>10467</v>
      </c>
      <c r="B6099" t="s">
        <v>10468</v>
      </c>
      <c r="C6099" t="s">
        <v>8</v>
      </c>
      <c r="D6099">
        <v>1.2709999999999999</v>
      </c>
      <c r="E6099">
        <v>407</v>
      </c>
      <c r="F6099" t="str">
        <f>HYPERLINK("https://www.google.com/maps/search/?api=1&amp;query=24.6058,46.725", "View Map")</f>
        <v>View Map</v>
      </c>
    </row>
    <row r="6100" spans="1:7" x14ac:dyDescent="0.3">
      <c r="A6100" t="s">
        <v>10469</v>
      </c>
      <c r="B6100" t="s">
        <v>10470</v>
      </c>
      <c r="C6100" t="s">
        <v>8</v>
      </c>
      <c r="D6100">
        <v>1.2709999999999999</v>
      </c>
      <c r="E6100">
        <v>407</v>
      </c>
      <c r="F6100" t="str">
        <f>HYPERLINK("https://www.google.com/maps/search/?api=1&amp;query=24.52555067,46.68268864", "View Map")</f>
        <v>View Map</v>
      </c>
    </row>
    <row r="6101" spans="1:7" x14ac:dyDescent="0.3">
      <c r="A6101" t="s">
        <v>46</v>
      </c>
      <c r="B6101" t="s">
        <v>10471</v>
      </c>
      <c r="C6101" t="s">
        <v>8</v>
      </c>
      <c r="D6101">
        <v>1.2709999999999999</v>
      </c>
      <c r="E6101">
        <v>407</v>
      </c>
      <c r="F6101" t="str">
        <f>HYPERLINK("https://www.google.com/maps/search/?api=1&amp;query=24.89074023,46.60977969", "View Map")</f>
        <v>View Map</v>
      </c>
    </row>
    <row r="6102" spans="1:7" x14ac:dyDescent="0.3">
      <c r="A6102" t="s">
        <v>10472</v>
      </c>
      <c r="B6102" t="s">
        <v>10473</v>
      </c>
      <c r="C6102" t="s">
        <v>8</v>
      </c>
      <c r="D6102">
        <v>1.2709999999999999</v>
      </c>
      <c r="E6102">
        <v>407</v>
      </c>
      <c r="F6102" t="str">
        <f>HYPERLINK("https://www.google.com/maps/search/?api=1&amp;query=24.58381633,46.52631987", "View Map")</f>
        <v>View Map</v>
      </c>
    </row>
    <row r="6103" spans="1:7" x14ac:dyDescent="0.3">
      <c r="A6103" t="s">
        <v>10474</v>
      </c>
      <c r="B6103" t="s">
        <v>10475</v>
      </c>
      <c r="C6103" t="s">
        <v>30</v>
      </c>
      <c r="D6103">
        <v>1.27</v>
      </c>
      <c r="E6103">
        <v>407</v>
      </c>
      <c r="F6103" t="str">
        <f>HYPERLINK("https://www.google.com/maps/search/?api=1&amp;query=24.16798549,47.22101496", "View Map")</f>
        <v>View Map</v>
      </c>
    </row>
    <row r="6104" spans="1:7" x14ac:dyDescent="0.3">
      <c r="A6104" t="s">
        <v>10476</v>
      </c>
      <c r="B6104" t="s">
        <v>10477</v>
      </c>
      <c r="C6104" t="s">
        <v>8</v>
      </c>
      <c r="D6104">
        <v>1.27</v>
      </c>
      <c r="E6104">
        <v>407</v>
      </c>
      <c r="F6104" t="str">
        <f>HYPERLINK("https://www.google.com/maps/search/?api=1&amp;query=24.59409306,46.77022116", "View Map")</f>
        <v>View Map</v>
      </c>
    </row>
    <row r="6105" spans="1:7" x14ac:dyDescent="0.3">
      <c r="A6105" t="s">
        <v>10478</v>
      </c>
      <c r="B6105" t="s">
        <v>10479</v>
      </c>
      <c r="C6105" t="s">
        <v>286</v>
      </c>
      <c r="D6105">
        <v>1.27</v>
      </c>
      <c r="E6105">
        <v>406</v>
      </c>
      <c r="F6105" t="str">
        <f>HYPERLINK("https://www.google.com/maps/search/?api=1&amp;query=25.25402279,45.25575858", "View Map")</f>
        <v>View Map</v>
      </c>
      <c r="G6105" s="2">
        <v>0.45003650024601533</v>
      </c>
    </row>
    <row r="6106" spans="1:7" x14ac:dyDescent="0.3">
      <c r="A6106" t="s">
        <v>46</v>
      </c>
      <c r="B6106" t="s">
        <v>10480</v>
      </c>
      <c r="C6106" t="s">
        <v>8</v>
      </c>
      <c r="D6106">
        <v>1.27</v>
      </c>
      <c r="E6106">
        <v>406</v>
      </c>
      <c r="F6106" t="str">
        <f>HYPERLINK("https://www.google.com/maps/search/?api=1&amp;query=24.92525789,46.82341566", "View Map")</f>
        <v>View Map</v>
      </c>
    </row>
    <row r="6107" spans="1:7" x14ac:dyDescent="0.3">
      <c r="A6107" t="s">
        <v>10481</v>
      </c>
      <c r="B6107" t="s">
        <v>10482</v>
      </c>
      <c r="C6107" t="s">
        <v>8</v>
      </c>
      <c r="D6107">
        <v>1.27</v>
      </c>
      <c r="E6107">
        <v>407</v>
      </c>
      <c r="F6107" t="str">
        <f>HYPERLINK("https://www.google.com/maps/search/?api=1&amp;query=24.58809406,46.55910426", "View Map")</f>
        <v>View Map</v>
      </c>
    </row>
    <row r="6108" spans="1:7" x14ac:dyDescent="0.3">
      <c r="A6108" t="s">
        <v>10483</v>
      </c>
      <c r="B6108" t="s">
        <v>10484</v>
      </c>
      <c r="C6108" t="s">
        <v>270</v>
      </c>
      <c r="D6108">
        <v>1.27</v>
      </c>
      <c r="E6108">
        <v>406</v>
      </c>
      <c r="F6108" t="str">
        <f>HYPERLINK("https://www.google.com/maps/search/?api=1&amp;query=23.9933,47.12672", "View Map")</f>
        <v>View Map</v>
      </c>
    </row>
    <row r="6109" spans="1:7" x14ac:dyDescent="0.3">
      <c r="A6109" t="s">
        <v>644</v>
      </c>
      <c r="B6109" t="s">
        <v>10485</v>
      </c>
      <c r="C6109" t="s">
        <v>646</v>
      </c>
      <c r="D6109">
        <v>1.2689999999999999</v>
      </c>
      <c r="E6109">
        <v>406</v>
      </c>
      <c r="F6109" t="str">
        <f>HYPERLINK("https://www.google.com/maps/search/?api=1&amp;query=20.40405734,45.39538372", "View Map")</f>
        <v>View Map</v>
      </c>
    </row>
    <row r="6110" spans="1:7" x14ac:dyDescent="0.3">
      <c r="A6110" t="s">
        <v>10486</v>
      </c>
      <c r="B6110" t="s">
        <v>10487</v>
      </c>
      <c r="C6110" t="s">
        <v>21</v>
      </c>
      <c r="D6110">
        <v>1.2689999999999999</v>
      </c>
      <c r="E6110">
        <v>406</v>
      </c>
      <c r="F6110" t="str">
        <f>HYPERLINK("https://www.google.com/maps/search/?api=1&amp;query=26.26303825,44.79285671", "View Map")</f>
        <v>View Map</v>
      </c>
      <c r="G6110" s="2">
        <v>0.56489908651173448</v>
      </c>
    </row>
    <row r="6111" spans="1:7" x14ac:dyDescent="0.3">
      <c r="A6111" t="s">
        <v>10488</v>
      </c>
      <c r="B6111" t="s">
        <v>10489</v>
      </c>
      <c r="C6111" t="s">
        <v>8</v>
      </c>
      <c r="D6111">
        <v>1.2689999999999999</v>
      </c>
      <c r="E6111">
        <v>406</v>
      </c>
      <c r="F6111" t="str">
        <f>HYPERLINK("https://www.google.com/maps/search/?api=1&amp;query=24.60321578,46.64297181", "View Map")</f>
        <v>View Map</v>
      </c>
    </row>
    <row r="6112" spans="1:7" x14ac:dyDescent="0.3">
      <c r="A6112" t="s">
        <v>2597</v>
      </c>
      <c r="B6112" t="s">
        <v>10490</v>
      </c>
      <c r="C6112" t="s">
        <v>291</v>
      </c>
      <c r="D6112">
        <v>1.2689999999999999</v>
      </c>
      <c r="E6112">
        <v>406</v>
      </c>
      <c r="F6112" t="str">
        <f>HYPERLINK("https://www.google.com/maps/search/?api=1&amp;query=23.25990736,44.64970997", "View Map")</f>
        <v>View Map</v>
      </c>
      <c r="G6112" s="2">
        <v>0.59840720949106452</v>
      </c>
    </row>
    <row r="6113" spans="1:7" x14ac:dyDescent="0.3">
      <c r="A6113" t="s">
        <v>10491</v>
      </c>
      <c r="B6113" t="s">
        <v>10492</v>
      </c>
      <c r="C6113" t="s">
        <v>8</v>
      </c>
      <c r="D6113">
        <v>1.2689999999999999</v>
      </c>
      <c r="E6113">
        <v>406</v>
      </c>
      <c r="F6113" t="str">
        <f>HYPERLINK("https://www.google.com/maps/search/?api=1&amp;query=24.70551311,46.80711284", "View Map")</f>
        <v>View Map</v>
      </c>
    </row>
    <row r="6114" spans="1:7" x14ac:dyDescent="0.3">
      <c r="A6114" t="s">
        <v>627</v>
      </c>
      <c r="B6114" t="s">
        <v>10493</v>
      </c>
      <c r="C6114" t="s">
        <v>8</v>
      </c>
      <c r="D6114">
        <v>1.2689999999999999</v>
      </c>
      <c r="E6114">
        <v>406</v>
      </c>
      <c r="F6114" t="str">
        <f>HYPERLINK("https://www.google.com/maps/search/?api=1&amp;query=24.8291428,46.63729708", "View Map")</f>
        <v>View Map</v>
      </c>
    </row>
    <row r="6115" spans="1:7" x14ac:dyDescent="0.3">
      <c r="A6115" t="s">
        <v>46</v>
      </c>
      <c r="B6115" t="s">
        <v>10494</v>
      </c>
      <c r="C6115" t="s">
        <v>8</v>
      </c>
      <c r="D6115">
        <v>1.2689999999999999</v>
      </c>
      <c r="E6115">
        <v>406</v>
      </c>
      <c r="F6115" t="str">
        <f>HYPERLINK("https://www.google.com/maps/search/?api=1&amp;query=24.74720507,46.62626778", "View Map")</f>
        <v>View Map</v>
      </c>
    </row>
    <row r="6116" spans="1:7" x14ac:dyDescent="0.3">
      <c r="A6116" t="s">
        <v>10495</v>
      </c>
      <c r="B6116" t="s">
        <v>10496</v>
      </c>
      <c r="C6116" t="s">
        <v>8</v>
      </c>
      <c r="D6116">
        <v>1.268</v>
      </c>
      <c r="E6116">
        <v>406</v>
      </c>
      <c r="F6116" t="str">
        <f>HYPERLINK("https://www.google.com/maps/search/?api=1&amp;query=24.75760229,46.77967643", "View Map")</f>
        <v>View Map</v>
      </c>
    </row>
    <row r="6117" spans="1:7" x14ac:dyDescent="0.3">
      <c r="A6117" t="s">
        <v>10497</v>
      </c>
      <c r="B6117" t="s">
        <v>10498</v>
      </c>
      <c r="C6117" t="s">
        <v>8</v>
      </c>
      <c r="D6117">
        <v>1.268</v>
      </c>
      <c r="E6117">
        <v>406</v>
      </c>
      <c r="F6117" t="str">
        <f>HYPERLINK("https://www.google.com/maps/search/?api=1&amp;query=24.59614393,46.67438373", "View Map")</f>
        <v>View Map</v>
      </c>
    </row>
    <row r="6118" spans="1:7" x14ac:dyDescent="0.3">
      <c r="A6118" t="s">
        <v>10499</v>
      </c>
      <c r="B6118" t="s">
        <v>10500</v>
      </c>
      <c r="C6118" t="s">
        <v>286</v>
      </c>
      <c r="D6118">
        <v>1.268</v>
      </c>
      <c r="E6118">
        <v>406</v>
      </c>
      <c r="F6118" t="str">
        <f>HYPERLINK("https://www.google.com/maps/search/?api=1&amp;query=25.44723793,45.29628393", "View Map")</f>
        <v>View Map</v>
      </c>
      <c r="G6118" s="2">
        <v>0.76083538137565587</v>
      </c>
    </row>
    <row r="6119" spans="1:7" x14ac:dyDescent="0.3">
      <c r="A6119" t="s">
        <v>3786</v>
      </c>
      <c r="B6119" t="s">
        <v>10501</v>
      </c>
      <c r="C6119" t="s">
        <v>8</v>
      </c>
      <c r="D6119">
        <v>1.2669999999999999</v>
      </c>
      <c r="E6119">
        <v>405</v>
      </c>
      <c r="F6119" t="str">
        <f>HYPERLINK("https://www.google.com/maps/search/?api=1&amp;query=24.69292043,46.76261806", "View Map")</f>
        <v>View Map</v>
      </c>
      <c r="G6119" s="2">
        <v>0.28436963115281377</v>
      </c>
    </row>
    <row r="6120" spans="1:7" x14ac:dyDescent="0.3">
      <c r="A6120" t="s">
        <v>46</v>
      </c>
      <c r="B6120" t="s">
        <v>10502</v>
      </c>
      <c r="C6120" t="s">
        <v>8</v>
      </c>
      <c r="D6120">
        <v>1.2669999999999999</v>
      </c>
      <c r="E6120">
        <v>406</v>
      </c>
      <c r="F6120" t="str">
        <f>HYPERLINK("https://www.google.com/maps/search/?api=1&amp;query=24.84005,46.65085", "View Map")</f>
        <v>View Map</v>
      </c>
    </row>
    <row r="6121" spans="1:7" x14ac:dyDescent="0.3">
      <c r="A6121" t="s">
        <v>10503</v>
      </c>
      <c r="B6121" t="s">
        <v>10504</v>
      </c>
      <c r="C6121" t="s">
        <v>8</v>
      </c>
      <c r="D6121">
        <v>1.2669999999999999</v>
      </c>
      <c r="E6121">
        <v>405</v>
      </c>
      <c r="F6121" t="str">
        <f>HYPERLINK("https://www.google.com/maps/search/?api=1&amp;query=24.61283324,46.73596205", "View Map")</f>
        <v>View Map</v>
      </c>
    </row>
    <row r="6122" spans="1:7" x14ac:dyDescent="0.3">
      <c r="A6122" t="s">
        <v>678</v>
      </c>
      <c r="B6122" t="s">
        <v>10505</v>
      </c>
      <c r="C6122" t="s">
        <v>21</v>
      </c>
      <c r="D6122">
        <v>1.266</v>
      </c>
      <c r="E6122">
        <v>405</v>
      </c>
      <c r="F6122" t="str">
        <f>HYPERLINK("https://www.google.com/maps/search/?api=1&amp;query=26.30099117,44.88517657", "View Map")</f>
        <v>View Map</v>
      </c>
    </row>
    <row r="6123" spans="1:7" x14ac:dyDescent="0.3">
      <c r="A6123" t="s">
        <v>46</v>
      </c>
      <c r="B6123" t="s">
        <v>10506</v>
      </c>
      <c r="C6123" t="s">
        <v>8</v>
      </c>
      <c r="D6123">
        <v>1.266</v>
      </c>
      <c r="E6123">
        <v>405</v>
      </c>
      <c r="F6123" t="str">
        <f>HYPERLINK("https://www.google.com/maps/search/?api=1&amp;query=24.74720507,46.62626778", "View Map")</f>
        <v>View Map</v>
      </c>
    </row>
    <row r="6124" spans="1:7" x14ac:dyDescent="0.3">
      <c r="A6124" t="s">
        <v>10507</v>
      </c>
      <c r="B6124" t="s">
        <v>10508</v>
      </c>
      <c r="C6124" t="s">
        <v>21</v>
      </c>
      <c r="D6124">
        <v>1.266</v>
      </c>
      <c r="E6124">
        <v>405</v>
      </c>
      <c r="F6124" t="str">
        <f>HYPERLINK("https://www.google.com/maps/search/?api=1&amp;query=26.24563633,44.8073106", "View Map")</f>
        <v>View Map</v>
      </c>
      <c r="G6124" s="2">
        <v>0.46412606419647878</v>
      </c>
    </row>
    <row r="6125" spans="1:7" x14ac:dyDescent="0.3">
      <c r="A6125" t="s">
        <v>433</v>
      </c>
      <c r="B6125" t="s">
        <v>10509</v>
      </c>
      <c r="C6125" t="s">
        <v>137</v>
      </c>
      <c r="D6125">
        <v>1.266</v>
      </c>
      <c r="E6125">
        <v>405</v>
      </c>
      <c r="F6125" t="str">
        <f>HYPERLINK("https://www.google.com/maps/search/?api=1&amp;query=23.43246151,46.79009905", "View Map")</f>
        <v>View Map</v>
      </c>
      <c r="G6125" s="2">
        <v>0.67217492206894069</v>
      </c>
    </row>
    <row r="6126" spans="1:7" x14ac:dyDescent="0.3">
      <c r="A6126" t="s">
        <v>10510</v>
      </c>
      <c r="B6126" t="s">
        <v>10511</v>
      </c>
      <c r="C6126" t="s">
        <v>8</v>
      </c>
      <c r="D6126">
        <v>1.266</v>
      </c>
      <c r="E6126">
        <v>405</v>
      </c>
      <c r="F6126" t="str">
        <f>HYPERLINK("https://www.google.com/maps/search/?api=1&amp;query=24.56508027,46.6890892", "View Map")</f>
        <v>View Map</v>
      </c>
    </row>
    <row r="6127" spans="1:7" x14ac:dyDescent="0.3">
      <c r="A6127" t="s">
        <v>46</v>
      </c>
      <c r="B6127" t="s">
        <v>10512</v>
      </c>
      <c r="C6127" t="s">
        <v>8</v>
      </c>
      <c r="D6127">
        <v>1.266</v>
      </c>
      <c r="E6127">
        <v>405</v>
      </c>
      <c r="F6127" t="str">
        <f>HYPERLINK("https://www.google.com/maps/search/?api=1&amp;query=24.67927937,46.79905819", "View Map")</f>
        <v>View Map</v>
      </c>
    </row>
    <row r="6128" spans="1:7" x14ac:dyDescent="0.3">
      <c r="A6128" t="s">
        <v>146</v>
      </c>
      <c r="B6128" t="s">
        <v>10513</v>
      </c>
      <c r="C6128" t="s">
        <v>8</v>
      </c>
      <c r="D6128">
        <v>1.266</v>
      </c>
      <c r="E6128">
        <v>405</v>
      </c>
      <c r="F6128" t="str">
        <f>HYPERLINK("https://www.google.com/maps/search/?api=1&amp;query=24.53983419,46.71934268", "View Map")</f>
        <v>View Map</v>
      </c>
    </row>
    <row r="6129" spans="1:7" x14ac:dyDescent="0.3">
      <c r="A6129" t="s">
        <v>10514</v>
      </c>
      <c r="B6129" t="s">
        <v>10515</v>
      </c>
      <c r="C6129" t="s">
        <v>8</v>
      </c>
      <c r="D6129">
        <v>1.2649999999999999</v>
      </c>
      <c r="E6129">
        <v>405</v>
      </c>
      <c r="F6129" t="str">
        <f>HYPERLINK("https://www.google.com/maps/search/?api=1&amp;query=24.62696308,46.66555846", "View Map")</f>
        <v>View Map</v>
      </c>
    </row>
    <row r="6130" spans="1:7" x14ac:dyDescent="0.3">
      <c r="A6130" t="s">
        <v>28</v>
      </c>
      <c r="B6130" t="s">
        <v>10516</v>
      </c>
      <c r="C6130" t="s">
        <v>30</v>
      </c>
      <c r="D6130">
        <v>1.2649999999999999</v>
      </c>
      <c r="E6130">
        <v>405</v>
      </c>
      <c r="F6130" t="str">
        <f>HYPERLINK("https://www.google.com/maps/search/?api=1&amp;query=24.16221239,47.30892066", "View Map")</f>
        <v>View Map</v>
      </c>
    </row>
    <row r="6131" spans="1:7" x14ac:dyDescent="0.3">
      <c r="A6131" t="s">
        <v>10517</v>
      </c>
      <c r="B6131" t="s">
        <v>10518</v>
      </c>
      <c r="C6131" t="s">
        <v>137</v>
      </c>
      <c r="D6131">
        <v>1.2649999999999999</v>
      </c>
      <c r="E6131">
        <v>405</v>
      </c>
      <c r="F6131" t="str">
        <f>HYPERLINK("https://www.google.com/maps/search/?api=1&amp;query=23.50153995,46.88417735", "View Map")</f>
        <v>View Map</v>
      </c>
      <c r="G6131" s="2">
        <v>0.47513701498401217</v>
      </c>
    </row>
    <row r="6132" spans="1:7" x14ac:dyDescent="0.3">
      <c r="A6132" t="s">
        <v>10519</v>
      </c>
      <c r="B6132" t="s">
        <v>10520</v>
      </c>
      <c r="C6132" t="s">
        <v>8</v>
      </c>
      <c r="D6132">
        <v>1.2649999999999999</v>
      </c>
      <c r="E6132">
        <v>405</v>
      </c>
      <c r="F6132" t="str">
        <f>HYPERLINK("https://www.google.com/maps/search/?api=1&amp;query=24.61066501,46.73360823", "View Map")</f>
        <v>View Map</v>
      </c>
    </row>
    <row r="6133" spans="1:7" x14ac:dyDescent="0.3">
      <c r="A6133" t="s">
        <v>10521</v>
      </c>
      <c r="B6133" t="s">
        <v>10522</v>
      </c>
      <c r="C6133" t="s">
        <v>255</v>
      </c>
      <c r="D6133">
        <v>1.2649999999999999</v>
      </c>
      <c r="E6133">
        <v>405</v>
      </c>
      <c r="F6133" t="str">
        <f>HYPERLINK("https://www.google.com/maps/search/?api=1&amp;query=24.79101228,43.77163996", "View Map")</f>
        <v>View Map</v>
      </c>
      <c r="G6133" s="2">
        <v>0.36048910400356138</v>
      </c>
    </row>
    <row r="6134" spans="1:7" x14ac:dyDescent="0.3">
      <c r="A6134" t="s">
        <v>10523</v>
      </c>
      <c r="B6134" t="s">
        <v>10524</v>
      </c>
      <c r="C6134" t="s">
        <v>291</v>
      </c>
      <c r="D6134">
        <v>1.264</v>
      </c>
      <c r="E6134">
        <v>405</v>
      </c>
      <c r="F6134" t="str">
        <f>HYPERLINK("https://www.google.com/maps/search/?api=1&amp;query=23.47268564,44.36219286", "View Map")</f>
        <v>View Map</v>
      </c>
      <c r="G6134" s="2">
        <v>0.84522842683212895</v>
      </c>
    </row>
    <row r="6135" spans="1:7" x14ac:dyDescent="0.3">
      <c r="A6135" t="s">
        <v>10525</v>
      </c>
      <c r="B6135" t="s">
        <v>10526</v>
      </c>
      <c r="C6135" t="s">
        <v>8</v>
      </c>
      <c r="D6135">
        <v>1.2629999999999999</v>
      </c>
      <c r="E6135">
        <v>404</v>
      </c>
      <c r="F6135" t="str">
        <f>HYPERLINK("https://www.google.com/maps/search/?api=1&amp;query=24.5996097,46.68403518", "View Map")</f>
        <v>View Map</v>
      </c>
    </row>
    <row r="6136" spans="1:7" x14ac:dyDescent="0.3">
      <c r="A6136" t="s">
        <v>10527</v>
      </c>
      <c r="B6136" t="s">
        <v>10528</v>
      </c>
      <c r="C6136" t="s">
        <v>77</v>
      </c>
      <c r="D6136">
        <v>1.2629999999999999</v>
      </c>
      <c r="E6136">
        <v>404</v>
      </c>
      <c r="F6136" t="str">
        <f>HYPERLINK("https://www.google.com/maps/search/?api=1&amp;query=22.09111335,46.70330382", "View Map")</f>
        <v>View Map</v>
      </c>
    </row>
    <row r="6137" spans="1:7" x14ac:dyDescent="0.3">
      <c r="A6137" t="s">
        <v>10529</v>
      </c>
      <c r="B6137" t="s">
        <v>10530</v>
      </c>
      <c r="C6137" t="s">
        <v>8</v>
      </c>
      <c r="D6137">
        <v>1.2629999999999999</v>
      </c>
      <c r="E6137">
        <v>404</v>
      </c>
      <c r="F6137" t="str">
        <f>HYPERLINK("https://www.google.com/maps/search/?api=1&amp;query=24.65559307,46.74966852", "View Map")</f>
        <v>View Map</v>
      </c>
    </row>
    <row r="6138" spans="1:7" x14ac:dyDescent="0.3">
      <c r="A6138" t="s">
        <v>46</v>
      </c>
      <c r="B6138" t="s">
        <v>10531</v>
      </c>
      <c r="C6138" t="s">
        <v>8</v>
      </c>
      <c r="D6138">
        <v>1.2629999999999999</v>
      </c>
      <c r="E6138">
        <v>404</v>
      </c>
      <c r="F6138" t="str">
        <f>HYPERLINK("https://www.google.com/maps/search/?api=1&amp;query=24.77103029,46.65556605", "View Map")</f>
        <v>View Map</v>
      </c>
    </row>
    <row r="6139" spans="1:7" x14ac:dyDescent="0.3">
      <c r="A6139" t="s">
        <v>10532</v>
      </c>
      <c r="B6139" t="s">
        <v>10533</v>
      </c>
      <c r="C6139" t="s">
        <v>393</v>
      </c>
      <c r="D6139">
        <v>1.2629999999999999</v>
      </c>
      <c r="E6139">
        <v>404</v>
      </c>
      <c r="F6139" t="str">
        <f>HYPERLINK("https://www.google.com/maps/search/?api=1&amp;query=22.92876782,45.45121733", "View Map")</f>
        <v>View Map</v>
      </c>
      <c r="G6139" s="2">
        <v>0.78562419984176968</v>
      </c>
    </row>
    <row r="6140" spans="1:7" x14ac:dyDescent="0.3">
      <c r="A6140" t="s">
        <v>10534</v>
      </c>
      <c r="B6140" t="s">
        <v>10535</v>
      </c>
      <c r="C6140" t="s">
        <v>241</v>
      </c>
      <c r="D6140">
        <v>1.2629999999999999</v>
      </c>
      <c r="E6140">
        <v>404</v>
      </c>
      <c r="F6140" t="str">
        <f>HYPERLINK("https://www.google.com/maps/search/?api=1&amp;query=20.4369,44.8533", "View Map")</f>
        <v>View Map</v>
      </c>
      <c r="G6140" s="2">
        <v>0.48022061334766258</v>
      </c>
    </row>
    <row r="6141" spans="1:7" x14ac:dyDescent="0.3">
      <c r="A6141" t="s">
        <v>10536</v>
      </c>
      <c r="B6141" t="s">
        <v>10537</v>
      </c>
      <c r="C6141" t="s">
        <v>255</v>
      </c>
      <c r="D6141">
        <v>1.2629999999999999</v>
      </c>
      <c r="E6141">
        <v>404</v>
      </c>
      <c r="F6141" t="str">
        <f>HYPERLINK("https://www.google.com/maps/search/?api=1&amp;query=24.53431002,44.27060475", "View Map")</f>
        <v>View Map</v>
      </c>
      <c r="G6141" s="2">
        <v>0.85645546740896483</v>
      </c>
    </row>
    <row r="6142" spans="1:7" x14ac:dyDescent="0.3">
      <c r="A6142" t="s">
        <v>10538</v>
      </c>
      <c r="B6142" t="s">
        <v>10539</v>
      </c>
      <c r="C6142" t="s">
        <v>8</v>
      </c>
      <c r="D6142">
        <v>1.2629999999999999</v>
      </c>
      <c r="E6142">
        <v>404</v>
      </c>
      <c r="F6142" t="str">
        <f>HYPERLINK("https://www.google.com/maps/search/?api=1&amp;query=24.63527663,46.61824809", "View Map")</f>
        <v>View Map</v>
      </c>
    </row>
    <row r="6143" spans="1:7" x14ac:dyDescent="0.3">
      <c r="A6143" t="s">
        <v>10540</v>
      </c>
      <c r="B6143" t="s">
        <v>10541</v>
      </c>
      <c r="C6143" t="s">
        <v>8</v>
      </c>
      <c r="D6143">
        <v>1.262</v>
      </c>
      <c r="E6143">
        <v>404</v>
      </c>
      <c r="F6143" t="str">
        <f>HYPERLINK("https://www.google.com/maps/search/?api=1&amp;query=24.78974,46.61907", "View Map")</f>
        <v>View Map</v>
      </c>
    </row>
    <row r="6144" spans="1:7" x14ac:dyDescent="0.3">
      <c r="A6144" t="s">
        <v>10542</v>
      </c>
      <c r="B6144" t="s">
        <v>10543</v>
      </c>
      <c r="C6144" t="s">
        <v>255</v>
      </c>
      <c r="D6144">
        <v>1.262</v>
      </c>
      <c r="E6144">
        <v>404</v>
      </c>
      <c r="F6144" t="str">
        <f>HYPERLINK("https://www.google.com/maps/search/?api=1&amp;query=25.02958379,44.72767675", "View Map")</f>
        <v>View Map</v>
      </c>
      <c r="G6144" s="2">
        <v>0.45522774018394091</v>
      </c>
    </row>
    <row r="6145" spans="1:7" x14ac:dyDescent="0.3">
      <c r="A6145" t="s">
        <v>6540</v>
      </c>
      <c r="B6145" t="s">
        <v>10544</v>
      </c>
      <c r="C6145" t="s">
        <v>291</v>
      </c>
      <c r="D6145">
        <v>1.262</v>
      </c>
      <c r="E6145">
        <v>404</v>
      </c>
      <c r="F6145" t="str">
        <f>HYPERLINK("https://www.google.com/maps/search/?api=1&amp;query=24.41198609,45.8157187", "View Map")</f>
        <v>View Map</v>
      </c>
      <c r="G6145" s="2">
        <v>0.48862532735501002</v>
      </c>
    </row>
    <row r="6146" spans="1:7" x14ac:dyDescent="0.3">
      <c r="A6146" t="s">
        <v>10545</v>
      </c>
      <c r="B6146" t="s">
        <v>10546</v>
      </c>
      <c r="C6146" t="s">
        <v>8</v>
      </c>
      <c r="D6146">
        <v>1.262</v>
      </c>
      <c r="E6146">
        <v>404</v>
      </c>
      <c r="F6146" t="str">
        <f>HYPERLINK("https://www.google.com/maps/search/?api=1&amp;query=24.80503329,46.71316172", "View Map")</f>
        <v>View Map</v>
      </c>
    </row>
    <row r="6147" spans="1:7" x14ac:dyDescent="0.3">
      <c r="A6147" t="s">
        <v>146</v>
      </c>
      <c r="B6147" t="s">
        <v>10547</v>
      </c>
      <c r="C6147" t="s">
        <v>8</v>
      </c>
      <c r="D6147">
        <v>1.262</v>
      </c>
      <c r="E6147">
        <v>404</v>
      </c>
      <c r="F6147" t="str">
        <f>HYPERLINK("https://www.google.com/maps/search/?api=1&amp;query=24.55050256,46.56866486", "View Map")</f>
        <v>View Map</v>
      </c>
    </row>
    <row r="6148" spans="1:7" x14ac:dyDescent="0.3">
      <c r="A6148" t="s">
        <v>10548</v>
      </c>
      <c r="B6148" t="s">
        <v>10549</v>
      </c>
      <c r="C6148" t="s">
        <v>646</v>
      </c>
      <c r="D6148">
        <v>1.262</v>
      </c>
      <c r="E6148">
        <v>404</v>
      </c>
      <c r="F6148" t="str">
        <f>HYPERLINK("https://www.google.com/maps/search/?api=1&amp;query=20.46139988,45.57659715", "View Map")</f>
        <v>View Map</v>
      </c>
    </row>
    <row r="6149" spans="1:7" x14ac:dyDescent="0.3">
      <c r="A6149" t="s">
        <v>10550</v>
      </c>
      <c r="B6149" t="s">
        <v>10551</v>
      </c>
      <c r="C6149" t="s">
        <v>55</v>
      </c>
      <c r="D6149">
        <v>1.262</v>
      </c>
      <c r="E6149">
        <v>404</v>
      </c>
      <c r="F6149" t="str">
        <f>HYPERLINK("https://www.google.com/maps/search/?api=1&amp;query=24.76274997,46.57498541", "View Map")</f>
        <v>View Map</v>
      </c>
    </row>
    <row r="6150" spans="1:7" x14ac:dyDescent="0.3">
      <c r="A6150" t="s">
        <v>10552</v>
      </c>
      <c r="B6150" t="s">
        <v>10553</v>
      </c>
      <c r="C6150" t="s">
        <v>1112</v>
      </c>
      <c r="D6150">
        <v>1.2609999999999999</v>
      </c>
      <c r="E6150">
        <v>403</v>
      </c>
      <c r="F6150" t="str">
        <f>HYPERLINK("https://www.google.com/maps/search/?api=1&amp;query=26.02190702,44.96110111", "View Map")</f>
        <v>View Map</v>
      </c>
      <c r="G6150" s="2">
        <v>0.66581888056859162</v>
      </c>
    </row>
    <row r="6151" spans="1:7" x14ac:dyDescent="0.3">
      <c r="A6151" t="s">
        <v>10554</v>
      </c>
      <c r="B6151" t="s">
        <v>10555</v>
      </c>
      <c r="C6151" t="s">
        <v>30</v>
      </c>
      <c r="D6151">
        <v>1.26</v>
      </c>
      <c r="E6151">
        <v>403</v>
      </c>
      <c r="F6151" t="str">
        <f>HYPERLINK("https://www.google.com/maps/search/?api=1&amp;query=24.1527329,47.35323747", "View Map")</f>
        <v>View Map</v>
      </c>
    </row>
    <row r="6152" spans="1:7" x14ac:dyDescent="0.3">
      <c r="A6152" t="s">
        <v>10556</v>
      </c>
      <c r="B6152" t="s">
        <v>10557</v>
      </c>
      <c r="C6152" t="s">
        <v>30</v>
      </c>
      <c r="D6152">
        <v>1.26</v>
      </c>
      <c r="E6152">
        <v>403</v>
      </c>
      <c r="F6152" t="str">
        <f>HYPERLINK("https://www.google.com/maps/search/?api=1&amp;query=24.1106,47.2861", "View Map")</f>
        <v>View Map</v>
      </c>
    </row>
    <row r="6153" spans="1:7" x14ac:dyDescent="0.3">
      <c r="A6153" t="s">
        <v>678</v>
      </c>
      <c r="B6153" t="s">
        <v>10558</v>
      </c>
      <c r="C6153" t="s">
        <v>21</v>
      </c>
      <c r="D6153">
        <v>1.26</v>
      </c>
      <c r="E6153">
        <v>403</v>
      </c>
      <c r="F6153" t="str">
        <f>HYPERLINK("https://www.google.com/maps/search/?api=1&amp;query=26.31819154,44.88778169", "View Map")</f>
        <v>View Map</v>
      </c>
      <c r="G6153" s="2">
        <v>0.3912179168936063</v>
      </c>
    </row>
    <row r="6154" spans="1:7" x14ac:dyDescent="0.3">
      <c r="A6154" t="s">
        <v>46</v>
      </c>
      <c r="B6154" t="s">
        <v>10559</v>
      </c>
      <c r="C6154" t="s">
        <v>8</v>
      </c>
      <c r="D6154">
        <v>1.26</v>
      </c>
      <c r="E6154">
        <v>403</v>
      </c>
      <c r="F6154" t="str">
        <f>HYPERLINK("https://www.google.com/maps/search/?api=1&amp;query=24.7762919,46.69795398", "View Map")</f>
        <v>View Map</v>
      </c>
    </row>
    <row r="6155" spans="1:7" x14ac:dyDescent="0.3">
      <c r="A6155" t="s">
        <v>717</v>
      </c>
      <c r="B6155" t="s">
        <v>10560</v>
      </c>
      <c r="C6155" t="s">
        <v>255</v>
      </c>
      <c r="D6155">
        <v>1.2589999999999999</v>
      </c>
      <c r="E6155">
        <v>403</v>
      </c>
      <c r="F6155" t="str">
        <f>HYPERLINK("https://www.google.com/maps/search/?api=1&amp;query=24.48794584,44.35939509", "View Map")</f>
        <v>View Map</v>
      </c>
    </row>
    <row r="6156" spans="1:7" x14ac:dyDescent="0.3">
      <c r="A6156" t="s">
        <v>10561</v>
      </c>
      <c r="B6156" t="s">
        <v>10562</v>
      </c>
      <c r="C6156" t="s">
        <v>21</v>
      </c>
      <c r="D6156">
        <v>1.258</v>
      </c>
      <c r="E6156">
        <v>402</v>
      </c>
      <c r="F6156" t="str">
        <f>HYPERLINK("https://www.google.com/maps/search/?api=1&amp;query=26.29644102,44.83353243", "View Map")</f>
        <v>View Map</v>
      </c>
    </row>
    <row r="6157" spans="1:7" x14ac:dyDescent="0.3">
      <c r="A6157" t="s">
        <v>10563</v>
      </c>
      <c r="B6157" t="s">
        <v>10564</v>
      </c>
      <c r="C6157" t="s">
        <v>241</v>
      </c>
      <c r="D6157">
        <v>1.258</v>
      </c>
      <c r="E6157">
        <v>402</v>
      </c>
      <c r="F6157" t="str">
        <f>HYPERLINK("https://www.google.com/maps/search/?api=1&amp;query=20.44153651,44.84647715", "View Map")</f>
        <v>View Map</v>
      </c>
    </row>
    <row r="6158" spans="1:7" x14ac:dyDescent="0.3">
      <c r="A6158" t="s">
        <v>10565</v>
      </c>
      <c r="B6158" t="s">
        <v>10566</v>
      </c>
      <c r="C6158" t="s">
        <v>296</v>
      </c>
      <c r="D6158">
        <v>1.2569999999999999</v>
      </c>
      <c r="E6158">
        <v>402</v>
      </c>
      <c r="F6158" t="str">
        <f>HYPERLINK("https://www.google.com/maps/search/?api=1&amp;query=24.48347263,46.29817261", "View Map")</f>
        <v>View Map</v>
      </c>
    </row>
    <row r="6159" spans="1:7" x14ac:dyDescent="0.3">
      <c r="A6159" t="s">
        <v>889</v>
      </c>
      <c r="B6159" t="s">
        <v>10567</v>
      </c>
      <c r="C6159" t="s">
        <v>8</v>
      </c>
      <c r="D6159">
        <v>1.2569999999999999</v>
      </c>
      <c r="E6159">
        <v>402</v>
      </c>
      <c r="F6159" t="str">
        <f>HYPERLINK("https://www.google.com/maps/search/?api=1&amp;query=24.77325432,46.63898777", "View Map")</f>
        <v>View Map</v>
      </c>
    </row>
    <row r="6160" spans="1:7" x14ac:dyDescent="0.3">
      <c r="A6160" t="s">
        <v>10568</v>
      </c>
      <c r="B6160" t="s">
        <v>10569</v>
      </c>
      <c r="C6160" t="s">
        <v>364</v>
      </c>
      <c r="D6160">
        <v>1.2569999999999999</v>
      </c>
      <c r="E6160">
        <v>402</v>
      </c>
      <c r="F6160" t="str">
        <f>HYPERLINK("https://www.google.com/maps/search/?api=1&amp;query=25.19588156,45.85584349", "View Map")</f>
        <v>View Map</v>
      </c>
    </row>
    <row r="6161" spans="1:7" x14ac:dyDescent="0.3">
      <c r="A6161" t="s">
        <v>10570</v>
      </c>
      <c r="B6161" t="s">
        <v>10571</v>
      </c>
      <c r="C6161" t="s">
        <v>30</v>
      </c>
      <c r="D6161">
        <v>1.2569999999999999</v>
      </c>
      <c r="E6161">
        <v>402</v>
      </c>
      <c r="F6161" t="str">
        <f>HYPERLINK("https://www.google.com/maps/search/?api=1&amp;query=24.11965184,47.27743509", "View Map")</f>
        <v>View Map</v>
      </c>
    </row>
    <row r="6162" spans="1:7" x14ac:dyDescent="0.3">
      <c r="A6162" t="s">
        <v>10572</v>
      </c>
      <c r="B6162" t="s">
        <v>10573</v>
      </c>
      <c r="C6162" t="s">
        <v>8</v>
      </c>
      <c r="D6162">
        <v>1.2569999999999999</v>
      </c>
      <c r="E6162">
        <v>402</v>
      </c>
      <c r="F6162" t="str">
        <f>HYPERLINK("https://www.google.com/maps/search/?api=1&amp;query=24.62979386,46.69627981", "View Map")</f>
        <v>View Map</v>
      </c>
    </row>
    <row r="6163" spans="1:7" x14ac:dyDescent="0.3">
      <c r="A6163" t="s">
        <v>10574</v>
      </c>
      <c r="B6163" t="s">
        <v>10575</v>
      </c>
      <c r="C6163" t="s">
        <v>255</v>
      </c>
      <c r="D6163">
        <v>1.256</v>
      </c>
      <c r="E6163">
        <v>402</v>
      </c>
      <c r="F6163" t="str">
        <f>HYPERLINK("https://www.google.com/maps/search/?api=1&amp;query=24.35622798,44.50191406", "View Map")</f>
        <v>View Map</v>
      </c>
      <c r="G6163" s="2">
        <v>0.39362919170820448</v>
      </c>
    </row>
    <row r="6164" spans="1:7" x14ac:dyDescent="0.3">
      <c r="A6164" t="s">
        <v>46</v>
      </c>
      <c r="B6164" t="s">
        <v>10576</v>
      </c>
      <c r="C6164" t="s">
        <v>55</v>
      </c>
      <c r="D6164">
        <v>1.256</v>
      </c>
      <c r="E6164">
        <v>402</v>
      </c>
      <c r="F6164" t="str">
        <f>HYPERLINK("https://www.google.com/maps/search/?api=1&amp;query=24.73790449,46.51362086", "View Map")</f>
        <v>View Map</v>
      </c>
    </row>
    <row r="6165" spans="1:7" x14ac:dyDescent="0.3">
      <c r="A6165" t="s">
        <v>10577</v>
      </c>
      <c r="B6165" t="s">
        <v>10578</v>
      </c>
      <c r="C6165" t="s">
        <v>8</v>
      </c>
      <c r="D6165">
        <v>1.256</v>
      </c>
      <c r="E6165">
        <v>402</v>
      </c>
      <c r="F6165" t="str">
        <f>HYPERLINK("https://www.google.com/maps/search/?api=1&amp;query=24.58327794,46.56908346", "View Map")</f>
        <v>View Map</v>
      </c>
    </row>
    <row r="6166" spans="1:7" x14ac:dyDescent="0.3">
      <c r="A6166" t="s">
        <v>10579</v>
      </c>
      <c r="B6166" t="s">
        <v>10580</v>
      </c>
      <c r="C6166" t="s">
        <v>291</v>
      </c>
      <c r="D6166">
        <v>1.256</v>
      </c>
      <c r="E6166">
        <v>402</v>
      </c>
      <c r="F6166" t="str">
        <f>HYPERLINK("https://www.google.com/maps/search/?api=1&amp;query=24.39459389,45.82929202", "View Map")</f>
        <v>View Map</v>
      </c>
      <c r="G6166" s="2">
        <v>0.40238131732700028</v>
      </c>
    </row>
    <row r="6167" spans="1:7" x14ac:dyDescent="0.3">
      <c r="A6167" t="s">
        <v>10581</v>
      </c>
      <c r="B6167" t="s">
        <v>10582</v>
      </c>
      <c r="C6167" t="s">
        <v>8</v>
      </c>
      <c r="D6167">
        <v>1.256</v>
      </c>
      <c r="E6167">
        <v>402</v>
      </c>
      <c r="F6167" t="str">
        <f>HYPERLINK("https://www.google.com/maps/search/?api=1&amp;query=24.54056004,46.65375507", "View Map")</f>
        <v>View Map</v>
      </c>
    </row>
    <row r="6168" spans="1:7" x14ac:dyDescent="0.3">
      <c r="A6168" t="s">
        <v>10583</v>
      </c>
      <c r="B6168" t="s">
        <v>10584</v>
      </c>
      <c r="C6168" t="s">
        <v>286</v>
      </c>
      <c r="D6168">
        <v>1.256</v>
      </c>
      <c r="E6168">
        <v>402</v>
      </c>
      <c r="F6168" t="str">
        <f>HYPERLINK("https://www.google.com/maps/search/?api=1&amp;query=25.24849802,45.25629547", "View Map")</f>
        <v>View Map</v>
      </c>
    </row>
    <row r="6169" spans="1:7" x14ac:dyDescent="0.3">
      <c r="A6169" t="s">
        <v>10585</v>
      </c>
      <c r="B6169" t="s">
        <v>10586</v>
      </c>
      <c r="C6169" t="s">
        <v>255</v>
      </c>
      <c r="D6169">
        <v>1.2549999999999999</v>
      </c>
      <c r="E6169">
        <v>402</v>
      </c>
      <c r="F6169" t="str">
        <f>HYPERLINK("https://www.google.com/maps/search/?api=1&amp;query=24.2841259,43.7436505", "View Map")</f>
        <v>View Map</v>
      </c>
      <c r="G6169" s="2">
        <v>0.54777106819969024</v>
      </c>
    </row>
    <row r="6170" spans="1:7" x14ac:dyDescent="0.3">
      <c r="A6170" t="s">
        <v>1788</v>
      </c>
      <c r="B6170" t="s">
        <v>10587</v>
      </c>
      <c r="C6170" t="s">
        <v>393</v>
      </c>
      <c r="D6170">
        <v>1.2549999999999999</v>
      </c>
      <c r="E6170">
        <v>402</v>
      </c>
      <c r="F6170" t="str">
        <f>HYPERLINK("https://www.google.com/maps/search/?api=1&amp;query=23.5732873,45.57676162", "View Map")</f>
        <v>View Map</v>
      </c>
      <c r="G6170" s="2">
        <v>0.7866388502195919</v>
      </c>
    </row>
    <row r="6171" spans="1:7" x14ac:dyDescent="0.3">
      <c r="A6171" t="s">
        <v>2575</v>
      </c>
      <c r="B6171" t="s">
        <v>10588</v>
      </c>
      <c r="C6171" t="s">
        <v>8</v>
      </c>
      <c r="D6171">
        <v>1.2549999999999999</v>
      </c>
      <c r="E6171">
        <v>402</v>
      </c>
      <c r="F6171" t="str">
        <f>HYPERLINK("https://www.google.com/maps/search/?api=1&amp;query=24.81278726,46.65225156", "View Map")</f>
        <v>View Map</v>
      </c>
    </row>
    <row r="6172" spans="1:7" x14ac:dyDescent="0.3">
      <c r="A6172" t="s">
        <v>3723</v>
      </c>
      <c r="B6172" t="s">
        <v>10589</v>
      </c>
      <c r="C6172" t="s">
        <v>8</v>
      </c>
      <c r="D6172">
        <v>1.254</v>
      </c>
      <c r="E6172">
        <v>401</v>
      </c>
      <c r="F6172" t="str">
        <f>HYPERLINK("https://www.google.com/maps/search/?api=1&amp;query=24.73938537,46.66705395", "View Map")</f>
        <v>View Map</v>
      </c>
    </row>
    <row r="6173" spans="1:7" x14ac:dyDescent="0.3">
      <c r="A6173" t="s">
        <v>46</v>
      </c>
      <c r="B6173" t="s">
        <v>10590</v>
      </c>
      <c r="C6173" t="s">
        <v>8</v>
      </c>
      <c r="D6173">
        <v>1.254</v>
      </c>
      <c r="E6173">
        <v>401</v>
      </c>
      <c r="F6173" t="str">
        <f>HYPERLINK("https://www.google.com/maps/search/?api=1&amp;query=24.69427489,46.58748475", "View Map")</f>
        <v>View Map</v>
      </c>
    </row>
    <row r="6174" spans="1:7" x14ac:dyDescent="0.3">
      <c r="A6174" t="s">
        <v>10591</v>
      </c>
      <c r="B6174" t="s">
        <v>10592</v>
      </c>
      <c r="C6174" t="s">
        <v>214</v>
      </c>
      <c r="D6174">
        <v>1.254</v>
      </c>
      <c r="E6174">
        <v>401</v>
      </c>
      <c r="F6174" t="str">
        <f>HYPERLINK("https://www.google.com/maps/search/?api=1&amp;query=26.50695,45.3694", "View Map")</f>
        <v>View Map</v>
      </c>
      <c r="G6174" s="2">
        <v>0.43824466249249128</v>
      </c>
    </row>
    <row r="6175" spans="1:7" x14ac:dyDescent="0.3">
      <c r="A6175" t="s">
        <v>10593</v>
      </c>
      <c r="B6175" t="s">
        <v>10594</v>
      </c>
      <c r="C6175" t="s">
        <v>255</v>
      </c>
      <c r="D6175">
        <v>1.254</v>
      </c>
      <c r="E6175">
        <v>401</v>
      </c>
      <c r="F6175" t="str">
        <f>HYPERLINK("https://www.google.com/maps/search/?api=1&amp;query=25.01599089,43.82372243", "View Map")</f>
        <v>View Map</v>
      </c>
    </row>
    <row r="6176" spans="1:7" x14ac:dyDescent="0.3">
      <c r="A6176" t="s">
        <v>10595</v>
      </c>
      <c r="B6176" t="s">
        <v>10596</v>
      </c>
      <c r="C6176" t="s">
        <v>270</v>
      </c>
      <c r="D6176">
        <v>1.254</v>
      </c>
      <c r="E6176">
        <v>401</v>
      </c>
      <c r="F6176" t="str">
        <f>HYPERLINK("https://www.google.com/maps/search/?api=1&amp;query=23.99597167,47.15871177", "View Map")</f>
        <v>View Map</v>
      </c>
    </row>
    <row r="6177" spans="1:7" x14ac:dyDescent="0.3">
      <c r="A6177" t="s">
        <v>10597</v>
      </c>
      <c r="B6177" t="s">
        <v>10598</v>
      </c>
      <c r="C6177" t="s">
        <v>16</v>
      </c>
      <c r="D6177">
        <v>1.2529999999999999</v>
      </c>
      <c r="E6177">
        <v>401</v>
      </c>
      <c r="F6177" t="str">
        <f>HYPERLINK("https://www.google.com/maps/search/?api=1&amp;query=23.88262388,42.88173985", "View Map")</f>
        <v>View Map</v>
      </c>
    </row>
    <row r="6178" spans="1:7" x14ac:dyDescent="0.3">
      <c r="A6178" t="s">
        <v>6998</v>
      </c>
      <c r="B6178" t="s">
        <v>10599</v>
      </c>
      <c r="C6178" t="s">
        <v>8</v>
      </c>
      <c r="D6178">
        <v>1.2529999999999999</v>
      </c>
      <c r="E6178">
        <v>401</v>
      </c>
      <c r="F6178" t="str">
        <f>HYPERLINK("https://www.google.com/maps/search/?api=1&amp;query=24.76156148,46.71426866", "View Map")</f>
        <v>View Map</v>
      </c>
    </row>
    <row r="6179" spans="1:7" x14ac:dyDescent="0.3">
      <c r="A6179" t="s">
        <v>10600</v>
      </c>
      <c r="B6179" t="s">
        <v>10601</v>
      </c>
      <c r="C6179" t="s">
        <v>255</v>
      </c>
      <c r="D6179">
        <v>1.2529999999999999</v>
      </c>
      <c r="E6179">
        <v>401</v>
      </c>
      <c r="F6179" t="str">
        <f>HYPERLINK("https://www.google.com/maps/search/?api=1&amp;query=24.76705527,44.72902353", "View Map")</f>
        <v>View Map</v>
      </c>
      <c r="G6179" s="2">
        <v>0.38643690769650241</v>
      </c>
    </row>
    <row r="6180" spans="1:7" x14ac:dyDescent="0.3">
      <c r="A6180" t="s">
        <v>10602</v>
      </c>
      <c r="B6180" t="s">
        <v>10603</v>
      </c>
      <c r="C6180" t="s">
        <v>255</v>
      </c>
      <c r="D6180">
        <v>1.2529999999999999</v>
      </c>
      <c r="E6180">
        <v>401</v>
      </c>
      <c r="F6180" t="str">
        <f>HYPERLINK("https://www.google.com/maps/search/?api=1&amp;query=24.27457357,44.19090772", "View Map")</f>
        <v>View Map</v>
      </c>
      <c r="G6180" s="2">
        <v>0.62747166948678723</v>
      </c>
    </row>
    <row r="6181" spans="1:7" x14ac:dyDescent="0.3">
      <c r="A6181" t="s">
        <v>73</v>
      </c>
      <c r="B6181" t="s">
        <v>10604</v>
      </c>
      <c r="C6181" t="s">
        <v>8</v>
      </c>
      <c r="D6181">
        <v>1.252</v>
      </c>
      <c r="E6181">
        <v>401</v>
      </c>
      <c r="F6181" t="str">
        <f>HYPERLINK("https://www.google.com/maps/search/?api=1&amp;query=24.86887756,46.64484574", "View Map")</f>
        <v>View Map</v>
      </c>
    </row>
    <row r="6182" spans="1:7" x14ac:dyDescent="0.3">
      <c r="A6182" t="s">
        <v>10605</v>
      </c>
      <c r="B6182" t="s">
        <v>10606</v>
      </c>
      <c r="C6182" t="s">
        <v>255</v>
      </c>
      <c r="D6182">
        <v>1.252</v>
      </c>
      <c r="E6182">
        <v>401</v>
      </c>
      <c r="F6182" t="str">
        <f>HYPERLINK("https://www.google.com/maps/search/?api=1&amp;query=25.08617374,43.77784882", "View Map")</f>
        <v>View Map</v>
      </c>
      <c r="G6182" s="2">
        <v>0.40869980403569922</v>
      </c>
    </row>
    <row r="6183" spans="1:7" x14ac:dyDescent="0.3">
      <c r="A6183" t="s">
        <v>10607</v>
      </c>
      <c r="B6183" t="s">
        <v>10608</v>
      </c>
      <c r="C6183" t="s">
        <v>137</v>
      </c>
      <c r="D6183">
        <v>1.252</v>
      </c>
      <c r="E6183">
        <v>400</v>
      </c>
      <c r="F6183" t="str">
        <f>HYPERLINK("https://www.google.com/maps/search/?api=1&amp;query=23.21855787,46.39507388", "View Map")</f>
        <v>View Map</v>
      </c>
      <c r="G6183" s="2">
        <v>0.73938815068593366</v>
      </c>
    </row>
    <row r="6184" spans="1:7" x14ac:dyDescent="0.3">
      <c r="A6184" t="s">
        <v>10609</v>
      </c>
      <c r="B6184" t="s">
        <v>10610</v>
      </c>
      <c r="C6184" t="s">
        <v>77</v>
      </c>
      <c r="D6184">
        <v>1.252</v>
      </c>
      <c r="E6184">
        <v>401</v>
      </c>
      <c r="F6184" t="str">
        <f>HYPERLINK("https://www.google.com/maps/search/?api=1&amp;query=22.29743899,46.72604917", "View Map")</f>
        <v>View Map</v>
      </c>
    </row>
    <row r="6185" spans="1:7" x14ac:dyDescent="0.3">
      <c r="A6185" t="s">
        <v>10611</v>
      </c>
      <c r="B6185" t="s">
        <v>10612</v>
      </c>
      <c r="C6185" t="s">
        <v>8</v>
      </c>
      <c r="D6185">
        <v>1.2509999999999999</v>
      </c>
      <c r="E6185">
        <v>400</v>
      </c>
      <c r="F6185" t="str">
        <f>HYPERLINK("https://www.google.com/maps/search/?api=1&amp;query=24.6689645,46.72057735", "View Map")</f>
        <v>View Map</v>
      </c>
    </row>
    <row r="6186" spans="1:7" x14ac:dyDescent="0.3">
      <c r="A6186" t="s">
        <v>10613</v>
      </c>
      <c r="B6186" t="s">
        <v>10614</v>
      </c>
      <c r="C6186" t="s">
        <v>646</v>
      </c>
      <c r="D6186">
        <v>1.2509999999999999</v>
      </c>
      <c r="E6186">
        <v>400</v>
      </c>
      <c r="F6186" t="str">
        <f>HYPERLINK("https://www.google.com/maps/search/?api=1&amp;query=20.40826705,45.43541265", "View Map")</f>
        <v>View Map</v>
      </c>
      <c r="G6186" s="2">
        <v>0.56895711355350764</v>
      </c>
    </row>
    <row r="6187" spans="1:7" x14ac:dyDescent="0.3">
      <c r="A6187" t="s">
        <v>10615</v>
      </c>
      <c r="B6187" t="s">
        <v>10616</v>
      </c>
      <c r="C6187" t="s">
        <v>30</v>
      </c>
      <c r="D6187">
        <v>1.25</v>
      </c>
      <c r="E6187">
        <v>400</v>
      </c>
      <c r="F6187" t="str">
        <f>HYPERLINK("https://www.google.com/maps/search/?api=1&amp;query=24.1467733,47.30826479", "View Map")</f>
        <v>View Map</v>
      </c>
    </row>
    <row r="6188" spans="1:7" x14ac:dyDescent="0.3">
      <c r="A6188" t="s">
        <v>10617</v>
      </c>
      <c r="B6188" t="s">
        <v>10618</v>
      </c>
      <c r="C6188" t="s">
        <v>8</v>
      </c>
      <c r="D6188">
        <v>1.25</v>
      </c>
      <c r="E6188">
        <v>400</v>
      </c>
      <c r="F6188" t="str">
        <f>HYPERLINK("https://www.google.com/maps/search/?api=1&amp;query=24.7050915,46.83255916", "View Map")</f>
        <v>View Map</v>
      </c>
    </row>
    <row r="6189" spans="1:7" x14ac:dyDescent="0.3">
      <c r="A6189" t="s">
        <v>10619</v>
      </c>
      <c r="B6189" t="s">
        <v>10620</v>
      </c>
      <c r="C6189" t="s">
        <v>255</v>
      </c>
      <c r="D6189">
        <v>1.25</v>
      </c>
      <c r="E6189">
        <v>400</v>
      </c>
      <c r="F6189" t="str">
        <f>HYPERLINK("https://www.google.com/maps/search/?api=1&amp;query=25.06583061,44.70447139", "View Map")</f>
        <v>View Map</v>
      </c>
    </row>
    <row r="6190" spans="1:7" x14ac:dyDescent="0.3">
      <c r="A6190" t="s">
        <v>2485</v>
      </c>
      <c r="B6190" t="s">
        <v>10621</v>
      </c>
      <c r="C6190" t="s">
        <v>255</v>
      </c>
      <c r="D6190">
        <v>1.25</v>
      </c>
      <c r="E6190">
        <v>400</v>
      </c>
      <c r="F6190" t="str">
        <f>HYPERLINK("https://www.google.com/maps/search/?api=1&amp;query=24.54969595,43.62206058", "View Map")</f>
        <v>View Map</v>
      </c>
      <c r="G6190" s="2">
        <v>0.4236760532641195</v>
      </c>
    </row>
    <row r="6191" spans="1:7" x14ac:dyDescent="0.3">
      <c r="A6191" t="s">
        <v>717</v>
      </c>
      <c r="B6191" t="s">
        <v>10622</v>
      </c>
      <c r="C6191" t="s">
        <v>255</v>
      </c>
      <c r="D6191">
        <v>1.25</v>
      </c>
      <c r="E6191">
        <v>400</v>
      </c>
      <c r="F6191" t="str">
        <f>HYPERLINK("https://www.google.com/maps/search/?api=1&amp;query=24.56397091,44.45486024", "View Map")</f>
        <v>View Map</v>
      </c>
      <c r="G6191" s="2">
        <v>0.4959491346834366</v>
      </c>
    </row>
    <row r="6192" spans="1:7" x14ac:dyDescent="0.3">
      <c r="A6192" t="s">
        <v>10623</v>
      </c>
      <c r="B6192" t="s">
        <v>10624</v>
      </c>
      <c r="C6192" t="s">
        <v>255</v>
      </c>
      <c r="D6192">
        <v>1.25</v>
      </c>
      <c r="E6192">
        <v>400</v>
      </c>
      <c r="F6192" t="str">
        <f>HYPERLINK("https://www.google.com/maps/search/?api=1&amp;query=24.54001176,44.42102371", "View Map")</f>
        <v>View Map</v>
      </c>
    </row>
    <row r="6193" spans="1:7" x14ac:dyDescent="0.3">
      <c r="A6193" t="s">
        <v>2168</v>
      </c>
      <c r="B6193" t="s">
        <v>10625</v>
      </c>
      <c r="C6193" t="s">
        <v>393</v>
      </c>
      <c r="D6193">
        <v>1.2490000000000001</v>
      </c>
      <c r="E6193">
        <v>400</v>
      </c>
      <c r="F6193" t="str">
        <f>HYPERLINK("https://www.google.com/maps/search/?api=1&amp;query=23.2494467,45.56749194", "View Map")</f>
        <v>View Map</v>
      </c>
      <c r="G6193" s="2">
        <v>0.44089951959464141</v>
      </c>
    </row>
    <row r="6194" spans="1:7" x14ac:dyDescent="0.3">
      <c r="A6194" t="s">
        <v>10626</v>
      </c>
      <c r="B6194" t="s">
        <v>10627</v>
      </c>
      <c r="C6194" t="s">
        <v>8</v>
      </c>
      <c r="D6194">
        <v>1.2490000000000001</v>
      </c>
      <c r="E6194">
        <v>400</v>
      </c>
      <c r="F6194" t="str">
        <f>HYPERLINK("https://www.google.com/maps/search/?api=1&amp;query=24.55712394,46.77317016", "View Map")</f>
        <v>View Map</v>
      </c>
    </row>
    <row r="6195" spans="1:7" x14ac:dyDescent="0.3">
      <c r="A6195" t="s">
        <v>10628</v>
      </c>
      <c r="B6195" t="s">
        <v>10629</v>
      </c>
      <c r="C6195" t="s">
        <v>241</v>
      </c>
      <c r="D6195">
        <v>1.248</v>
      </c>
      <c r="E6195">
        <v>399</v>
      </c>
      <c r="F6195" t="str">
        <f>HYPERLINK("https://www.google.com/maps/search/?api=1&amp;query=20.46681195,44.78907049", "View Map")</f>
        <v>View Map</v>
      </c>
    </row>
    <row r="6196" spans="1:7" x14ac:dyDescent="0.3">
      <c r="A6196" t="s">
        <v>10630</v>
      </c>
      <c r="B6196" t="s">
        <v>10631</v>
      </c>
      <c r="C6196" t="s">
        <v>77</v>
      </c>
      <c r="D6196">
        <v>1.2470000000000001</v>
      </c>
      <c r="E6196">
        <v>399</v>
      </c>
      <c r="F6196" t="str">
        <f>HYPERLINK("https://www.google.com/maps/search/?api=1&amp;query=22.26030828,46.78470532", "View Map")</f>
        <v>View Map</v>
      </c>
      <c r="G6196" s="2">
        <v>0.4391208596491501</v>
      </c>
    </row>
    <row r="6197" spans="1:7" x14ac:dyDescent="0.3">
      <c r="A6197" t="s">
        <v>10632</v>
      </c>
      <c r="B6197" t="s">
        <v>10633</v>
      </c>
      <c r="C6197" t="s">
        <v>137</v>
      </c>
      <c r="D6197">
        <v>1.2470000000000001</v>
      </c>
      <c r="E6197">
        <v>399</v>
      </c>
      <c r="F6197" t="str">
        <f>HYPERLINK("https://www.google.com/maps/search/?api=1&amp;query=23.49691436,46.80542875", "View Map")</f>
        <v>View Map</v>
      </c>
      <c r="G6197" s="2">
        <v>0.50027284549001061</v>
      </c>
    </row>
    <row r="6198" spans="1:7" x14ac:dyDescent="0.3">
      <c r="A6198" t="s">
        <v>10634</v>
      </c>
      <c r="B6198" t="s">
        <v>10635</v>
      </c>
      <c r="C6198" t="s">
        <v>270</v>
      </c>
      <c r="D6198">
        <v>1.2470000000000001</v>
      </c>
      <c r="E6198">
        <v>399</v>
      </c>
      <c r="F6198" t="str">
        <f>HYPERLINK("https://www.google.com/maps/search/?api=1&amp;query=24.00774477,47.17275254", "View Map")</f>
        <v>View Map</v>
      </c>
      <c r="G6198" s="2">
        <v>0.58227457021138795</v>
      </c>
    </row>
    <row r="6199" spans="1:7" x14ac:dyDescent="0.3">
      <c r="A6199" t="s">
        <v>10636</v>
      </c>
      <c r="B6199" t="s">
        <v>10637</v>
      </c>
      <c r="C6199" t="s">
        <v>8</v>
      </c>
      <c r="D6199">
        <v>1.2470000000000001</v>
      </c>
      <c r="E6199">
        <v>399</v>
      </c>
      <c r="F6199" t="str">
        <f>HYPERLINK("https://www.google.com/maps/search/?api=1&amp;query=24.59263564,46.66578172", "View Map")</f>
        <v>View Map</v>
      </c>
    </row>
    <row r="6200" spans="1:7" x14ac:dyDescent="0.3">
      <c r="A6200" t="s">
        <v>10638</v>
      </c>
      <c r="B6200" t="s">
        <v>10639</v>
      </c>
      <c r="C6200" t="s">
        <v>8</v>
      </c>
      <c r="D6200">
        <v>1.2470000000000001</v>
      </c>
      <c r="E6200">
        <v>399</v>
      </c>
      <c r="F6200" t="str">
        <f>HYPERLINK("https://www.google.com/maps/search/?api=1&amp;query=24.6127797,46.71968801", "View Map")</f>
        <v>View Map</v>
      </c>
    </row>
    <row r="6201" spans="1:7" x14ac:dyDescent="0.3">
      <c r="A6201" t="s">
        <v>10640</v>
      </c>
      <c r="B6201" t="s">
        <v>10641</v>
      </c>
      <c r="C6201" t="s">
        <v>270</v>
      </c>
      <c r="D6201">
        <v>1.2470000000000001</v>
      </c>
      <c r="E6201">
        <v>399</v>
      </c>
      <c r="F6201" t="str">
        <f>HYPERLINK("https://www.google.com/maps/search/?api=1&amp;query=24.009,47.17229", "View Map")</f>
        <v>View Map</v>
      </c>
    </row>
    <row r="6202" spans="1:7" x14ac:dyDescent="0.3">
      <c r="A6202" t="s">
        <v>10642</v>
      </c>
      <c r="B6202" t="s">
        <v>10643</v>
      </c>
      <c r="C6202" t="s">
        <v>8</v>
      </c>
      <c r="D6202">
        <v>1.2470000000000001</v>
      </c>
      <c r="E6202">
        <v>399</v>
      </c>
      <c r="F6202" t="str">
        <f>HYPERLINK("https://www.google.com/maps/search/?api=1&amp;query=24.63073141,46.75456359", "View Map")</f>
        <v>View Map</v>
      </c>
    </row>
    <row r="6203" spans="1:7" x14ac:dyDescent="0.3">
      <c r="A6203" t="s">
        <v>146</v>
      </c>
      <c r="B6203" t="s">
        <v>10644</v>
      </c>
      <c r="C6203" t="s">
        <v>8</v>
      </c>
      <c r="D6203">
        <v>1.246</v>
      </c>
      <c r="E6203">
        <v>399</v>
      </c>
      <c r="F6203" t="str">
        <f>HYPERLINK("https://www.google.com/maps/search/?api=1&amp;query=24.55157367,46.55716947", "View Map")</f>
        <v>View Map</v>
      </c>
    </row>
    <row r="6204" spans="1:7" x14ac:dyDescent="0.3">
      <c r="A6204" t="s">
        <v>150</v>
      </c>
      <c r="B6204" t="s">
        <v>10645</v>
      </c>
      <c r="C6204" t="s">
        <v>8</v>
      </c>
      <c r="D6204">
        <v>1.246</v>
      </c>
      <c r="E6204">
        <v>399</v>
      </c>
      <c r="F6204" t="str">
        <f>HYPERLINK("https://www.google.com/maps/search/?api=1&amp;query=24.84352026,46.76454994", "View Map")</f>
        <v>View Map</v>
      </c>
    </row>
    <row r="6205" spans="1:7" x14ac:dyDescent="0.3">
      <c r="A6205" t="s">
        <v>46</v>
      </c>
      <c r="B6205" t="s">
        <v>10646</v>
      </c>
      <c r="C6205" t="s">
        <v>8</v>
      </c>
      <c r="D6205">
        <v>1.246</v>
      </c>
      <c r="E6205">
        <v>399</v>
      </c>
      <c r="F6205" t="str">
        <f>HYPERLINK("https://www.google.com/maps/search/?api=1&amp;query=24.6424344,46.8387211", "View Map")</f>
        <v>View Map</v>
      </c>
    </row>
    <row r="6206" spans="1:7" x14ac:dyDescent="0.3">
      <c r="A6206" t="s">
        <v>10647</v>
      </c>
      <c r="B6206" t="s">
        <v>10648</v>
      </c>
      <c r="C6206" t="s">
        <v>30</v>
      </c>
      <c r="D6206">
        <v>1.2450000000000001</v>
      </c>
      <c r="E6206">
        <v>398</v>
      </c>
      <c r="F6206" t="str">
        <f>HYPERLINK("https://www.google.com/maps/search/?api=1&amp;query=24.1457091,47.30523873", "View Map")</f>
        <v>View Map</v>
      </c>
    </row>
    <row r="6207" spans="1:7" x14ac:dyDescent="0.3">
      <c r="A6207" t="s">
        <v>10649</v>
      </c>
      <c r="B6207" t="s">
        <v>10650</v>
      </c>
      <c r="C6207" t="s">
        <v>8</v>
      </c>
      <c r="D6207">
        <v>1.2450000000000001</v>
      </c>
      <c r="E6207">
        <v>399</v>
      </c>
      <c r="F6207" t="str">
        <f>HYPERLINK("https://www.google.com/maps/search/?api=1&amp;query=24.61330567,46.72329158", "View Map")</f>
        <v>View Map</v>
      </c>
    </row>
    <row r="6208" spans="1:7" x14ac:dyDescent="0.3">
      <c r="A6208" t="s">
        <v>46</v>
      </c>
      <c r="B6208" t="s">
        <v>10651</v>
      </c>
      <c r="C6208" t="s">
        <v>55</v>
      </c>
      <c r="D6208">
        <v>1.2450000000000001</v>
      </c>
      <c r="E6208">
        <v>398</v>
      </c>
      <c r="F6208" t="str">
        <f>HYPERLINK("https://www.google.com/maps/search/?api=1&amp;query=24.89832022,46.4406564", "View Map")</f>
        <v>View Map</v>
      </c>
    </row>
    <row r="6209" spans="1:7" x14ac:dyDescent="0.3">
      <c r="A6209" t="s">
        <v>10652</v>
      </c>
      <c r="B6209" t="s">
        <v>10653</v>
      </c>
      <c r="C6209" t="s">
        <v>8</v>
      </c>
      <c r="D6209">
        <v>1.2450000000000001</v>
      </c>
      <c r="E6209">
        <v>398</v>
      </c>
      <c r="F6209" t="str">
        <f>HYPERLINK("https://www.google.com/maps/search/?api=1&amp;query=24.5788622,46.5376003", "View Map")</f>
        <v>View Map</v>
      </c>
    </row>
    <row r="6210" spans="1:7" x14ac:dyDescent="0.3">
      <c r="A6210" t="s">
        <v>10654</v>
      </c>
      <c r="B6210" t="s">
        <v>10655</v>
      </c>
      <c r="C6210" t="s">
        <v>255</v>
      </c>
      <c r="D6210">
        <v>1.2450000000000001</v>
      </c>
      <c r="E6210">
        <v>398</v>
      </c>
      <c r="F6210" t="str">
        <f>HYPERLINK("https://www.google.com/maps/search/?api=1&amp;query=24.27338534,44.18764969", "View Map")</f>
        <v>View Map</v>
      </c>
    </row>
    <row r="6211" spans="1:7" x14ac:dyDescent="0.3">
      <c r="A6211" t="s">
        <v>10656</v>
      </c>
      <c r="B6211" t="s">
        <v>10657</v>
      </c>
      <c r="C6211" t="s">
        <v>8</v>
      </c>
      <c r="D6211">
        <v>1.244</v>
      </c>
      <c r="E6211">
        <v>398</v>
      </c>
      <c r="F6211" t="str">
        <f>HYPERLINK("https://www.google.com/maps/search/?api=1&amp;query=24.58021112,46.5639842", "View Map")</f>
        <v>View Map</v>
      </c>
    </row>
    <row r="6212" spans="1:7" x14ac:dyDescent="0.3">
      <c r="A6212" t="s">
        <v>1273</v>
      </c>
      <c r="B6212" t="s">
        <v>10658</v>
      </c>
      <c r="C6212" t="s">
        <v>241</v>
      </c>
      <c r="D6212">
        <v>1.244</v>
      </c>
      <c r="E6212">
        <v>398</v>
      </c>
      <c r="F6212" t="str">
        <f>HYPERLINK("https://www.google.com/maps/search/?api=1&amp;query=21.5922674,44.08363061", "View Map")</f>
        <v>View Map</v>
      </c>
    </row>
    <row r="6213" spans="1:7" x14ac:dyDescent="0.3">
      <c r="A6213" t="s">
        <v>10659</v>
      </c>
      <c r="B6213" t="s">
        <v>10660</v>
      </c>
      <c r="C6213" t="s">
        <v>255</v>
      </c>
      <c r="D6213">
        <v>1.244</v>
      </c>
      <c r="E6213">
        <v>398</v>
      </c>
      <c r="F6213" t="str">
        <f>HYPERLINK("https://www.google.com/maps/search/?api=1&amp;query=24.5388225,44.28209285", "View Map")</f>
        <v>View Map</v>
      </c>
      <c r="G6213" s="2">
        <v>0.95125819441333581</v>
      </c>
    </row>
    <row r="6214" spans="1:7" x14ac:dyDescent="0.3">
      <c r="A6214" t="s">
        <v>10661</v>
      </c>
      <c r="B6214" t="s">
        <v>10662</v>
      </c>
      <c r="C6214" t="s">
        <v>8</v>
      </c>
      <c r="D6214">
        <v>1.2430000000000001</v>
      </c>
      <c r="E6214">
        <v>398</v>
      </c>
      <c r="F6214" t="str">
        <f>HYPERLINK("https://www.google.com/maps/search/?api=1&amp;query=24.81312836,46.81106884", "View Map")</f>
        <v>View Map</v>
      </c>
    </row>
    <row r="6215" spans="1:7" x14ac:dyDescent="0.3">
      <c r="A6215" t="s">
        <v>10663</v>
      </c>
      <c r="B6215" t="s">
        <v>10664</v>
      </c>
      <c r="C6215" t="s">
        <v>8</v>
      </c>
      <c r="D6215">
        <v>1.2430000000000001</v>
      </c>
      <c r="E6215">
        <v>398</v>
      </c>
      <c r="F6215" t="str">
        <f>HYPERLINK("https://www.google.com/maps/search/?api=1&amp;query=24.5958806,46.71917739", "View Map")</f>
        <v>View Map</v>
      </c>
    </row>
    <row r="6216" spans="1:7" x14ac:dyDescent="0.3">
      <c r="A6216" t="s">
        <v>10665</v>
      </c>
      <c r="B6216" t="s">
        <v>10666</v>
      </c>
      <c r="C6216" t="s">
        <v>255</v>
      </c>
      <c r="D6216">
        <v>1.2430000000000001</v>
      </c>
      <c r="E6216">
        <v>398</v>
      </c>
      <c r="F6216" t="str">
        <f>HYPERLINK("https://www.google.com/maps/search/?api=1&amp;query=24.46956001,43.86736823", "View Map")</f>
        <v>View Map</v>
      </c>
      <c r="G6216" s="2">
        <v>0.3949076001800037</v>
      </c>
    </row>
    <row r="6217" spans="1:7" x14ac:dyDescent="0.3">
      <c r="A6217" t="s">
        <v>10667</v>
      </c>
      <c r="B6217" t="s">
        <v>10668</v>
      </c>
      <c r="C6217" t="s">
        <v>8</v>
      </c>
      <c r="D6217">
        <v>1.2430000000000001</v>
      </c>
      <c r="E6217">
        <v>398</v>
      </c>
      <c r="F6217" t="str">
        <f>HYPERLINK("https://www.google.com/maps/search/?api=1&amp;query=24.58172479,46.57986006", "View Map")</f>
        <v>View Map</v>
      </c>
    </row>
    <row r="6218" spans="1:7" x14ac:dyDescent="0.3">
      <c r="A6218" t="s">
        <v>10669</v>
      </c>
      <c r="B6218" t="s">
        <v>10670</v>
      </c>
      <c r="C6218" t="s">
        <v>393</v>
      </c>
      <c r="D6218">
        <v>1.2430000000000001</v>
      </c>
      <c r="E6218">
        <v>398</v>
      </c>
      <c r="F6218" t="str">
        <f>HYPERLINK("https://www.google.com/maps/search/?api=1&amp;query=23.42290009,45.24655084", "View Map")</f>
        <v>View Map</v>
      </c>
      <c r="G6218" s="2">
        <v>0.71613127503114538</v>
      </c>
    </row>
    <row r="6219" spans="1:7" x14ac:dyDescent="0.3">
      <c r="A6219" t="s">
        <v>10671</v>
      </c>
      <c r="B6219" t="s">
        <v>10672</v>
      </c>
      <c r="C6219" t="s">
        <v>8</v>
      </c>
      <c r="D6219">
        <v>1.242</v>
      </c>
      <c r="E6219">
        <v>398</v>
      </c>
      <c r="F6219" t="str">
        <f>HYPERLINK("https://www.google.com/maps/search/?api=1&amp;query=24.5378,46.6692", "View Map")</f>
        <v>View Map</v>
      </c>
    </row>
    <row r="6220" spans="1:7" x14ac:dyDescent="0.3">
      <c r="A6220" t="s">
        <v>10673</v>
      </c>
      <c r="B6220" t="s">
        <v>10674</v>
      </c>
      <c r="C6220" t="s">
        <v>21</v>
      </c>
      <c r="D6220">
        <v>1.242</v>
      </c>
      <c r="E6220">
        <v>398</v>
      </c>
      <c r="F6220" t="str">
        <f>HYPERLINK("https://www.google.com/maps/search/?api=1&amp;query=26.28408249,44.83003683", "View Map")</f>
        <v>View Map</v>
      </c>
    </row>
    <row r="6221" spans="1:7" x14ac:dyDescent="0.3">
      <c r="A6221" t="s">
        <v>10675</v>
      </c>
      <c r="B6221" t="s">
        <v>10676</v>
      </c>
      <c r="C6221" t="s">
        <v>393</v>
      </c>
      <c r="D6221">
        <v>1.242</v>
      </c>
      <c r="E6221">
        <v>397</v>
      </c>
      <c r="F6221" t="str">
        <f>HYPERLINK("https://www.google.com/maps/search/?api=1&amp;query=23.69539384,45.34277337", "View Map")</f>
        <v>View Map</v>
      </c>
      <c r="G6221" s="2">
        <v>0.62533296457173848</v>
      </c>
    </row>
    <row r="6222" spans="1:7" x14ac:dyDescent="0.3">
      <c r="A6222" t="s">
        <v>10677</v>
      </c>
      <c r="B6222" t="s">
        <v>10678</v>
      </c>
      <c r="C6222" t="s">
        <v>77</v>
      </c>
      <c r="D6222">
        <v>1.2410000000000001</v>
      </c>
      <c r="E6222">
        <v>397</v>
      </c>
      <c r="F6222" t="str">
        <f>HYPERLINK("https://www.google.com/maps/search/?api=1&amp;query=22.30692294,46.70372905", "View Map")</f>
        <v>View Map</v>
      </c>
    </row>
    <row r="6223" spans="1:7" x14ac:dyDescent="0.3">
      <c r="A6223" t="s">
        <v>10679</v>
      </c>
      <c r="B6223" t="s">
        <v>10680</v>
      </c>
      <c r="C6223" t="s">
        <v>270</v>
      </c>
      <c r="D6223">
        <v>1.2410000000000001</v>
      </c>
      <c r="E6223">
        <v>397</v>
      </c>
      <c r="F6223" t="str">
        <f>HYPERLINK("https://www.google.com/maps/search/?api=1&amp;query=24.00754046,47.17041419", "View Map")</f>
        <v>View Map</v>
      </c>
      <c r="G6223" s="2">
        <v>0.46838076652457622</v>
      </c>
    </row>
    <row r="6224" spans="1:7" x14ac:dyDescent="0.3">
      <c r="A6224" t="s">
        <v>10681</v>
      </c>
      <c r="B6224" t="s">
        <v>10682</v>
      </c>
      <c r="C6224" t="s">
        <v>291</v>
      </c>
      <c r="D6224">
        <v>1.2410000000000001</v>
      </c>
      <c r="E6224">
        <v>397</v>
      </c>
      <c r="F6224" t="str">
        <f>HYPERLINK("https://www.google.com/maps/search/?api=1&amp;query=24.26456449,45.07546099", "View Map")</f>
        <v>View Map</v>
      </c>
    </row>
    <row r="6225" spans="1:7" x14ac:dyDescent="0.3">
      <c r="A6225" t="s">
        <v>10683</v>
      </c>
      <c r="B6225" t="s">
        <v>10684</v>
      </c>
      <c r="C6225" t="s">
        <v>8</v>
      </c>
      <c r="D6225">
        <v>1.2410000000000001</v>
      </c>
      <c r="E6225">
        <v>397</v>
      </c>
      <c r="F6225" t="str">
        <f>HYPERLINK("https://www.google.com/maps/search/?api=1&amp;query=24.54669004,46.66034005", "View Map")</f>
        <v>View Map</v>
      </c>
    </row>
    <row r="6226" spans="1:7" x14ac:dyDescent="0.3">
      <c r="A6226" t="s">
        <v>73</v>
      </c>
      <c r="B6226" t="s">
        <v>10685</v>
      </c>
      <c r="C6226" t="s">
        <v>8</v>
      </c>
      <c r="D6226">
        <v>1.2410000000000001</v>
      </c>
      <c r="E6226">
        <v>397</v>
      </c>
      <c r="F6226" t="str">
        <f>HYPERLINK("https://www.google.com/maps/search/?api=1&amp;query=24.76525368,46.68195434", "View Map")</f>
        <v>View Map</v>
      </c>
      <c r="G6226" s="2">
        <v>0.82896806741837248</v>
      </c>
    </row>
    <row r="6227" spans="1:7" x14ac:dyDescent="0.3">
      <c r="A6227" t="s">
        <v>10686</v>
      </c>
      <c r="B6227" t="s">
        <v>10687</v>
      </c>
      <c r="C6227" t="s">
        <v>8</v>
      </c>
      <c r="D6227">
        <v>1.24</v>
      </c>
      <c r="E6227">
        <v>397</v>
      </c>
      <c r="F6227" t="str">
        <f>HYPERLINK("https://www.google.com/maps/search/?api=1&amp;query=24.70732,46.60866", "View Map")</f>
        <v>View Map</v>
      </c>
    </row>
    <row r="6228" spans="1:7" x14ac:dyDescent="0.3">
      <c r="A6228" t="s">
        <v>46</v>
      </c>
      <c r="B6228" t="s">
        <v>10688</v>
      </c>
      <c r="C6228" t="s">
        <v>8</v>
      </c>
      <c r="D6228">
        <v>1.24</v>
      </c>
      <c r="E6228">
        <v>397</v>
      </c>
      <c r="F6228" t="str">
        <f>HYPERLINK("https://www.google.com/maps/search/?api=1&amp;query=24.86076763,46.63123375", "View Map")</f>
        <v>View Map</v>
      </c>
    </row>
    <row r="6229" spans="1:7" x14ac:dyDescent="0.3">
      <c r="A6229" t="s">
        <v>73</v>
      </c>
      <c r="B6229" t="s">
        <v>10689</v>
      </c>
      <c r="C6229" t="s">
        <v>8</v>
      </c>
      <c r="D6229">
        <v>1.24</v>
      </c>
      <c r="E6229">
        <v>397</v>
      </c>
      <c r="F6229" t="str">
        <f>HYPERLINK("https://www.google.com/maps/search/?api=1&amp;query=24.59165539,46.76811321", "View Map")</f>
        <v>View Map</v>
      </c>
      <c r="G6229" s="2">
        <v>0.77789201470148894</v>
      </c>
    </row>
    <row r="6230" spans="1:7" x14ac:dyDescent="0.3">
      <c r="A6230" t="s">
        <v>10690</v>
      </c>
      <c r="B6230" t="s">
        <v>10691</v>
      </c>
      <c r="C6230" t="s">
        <v>296</v>
      </c>
      <c r="D6230">
        <v>1.24</v>
      </c>
      <c r="E6230">
        <v>397</v>
      </c>
      <c r="F6230" t="str">
        <f>HYPERLINK("https://www.google.com/maps/search/?api=1&amp;query=24.46126629,46.27874205", "View Map")</f>
        <v>View Map</v>
      </c>
    </row>
    <row r="6231" spans="1:7" x14ac:dyDescent="0.3">
      <c r="A6231" t="s">
        <v>10692</v>
      </c>
      <c r="B6231" t="s">
        <v>10693</v>
      </c>
      <c r="C6231" t="s">
        <v>8</v>
      </c>
      <c r="D6231">
        <v>1.2390000000000001</v>
      </c>
      <c r="E6231">
        <v>397</v>
      </c>
      <c r="F6231" t="str">
        <f>HYPERLINK("https://www.google.com/maps/search/?api=1&amp;query=24.59058316,46.76109909", "View Map")</f>
        <v>View Map</v>
      </c>
    </row>
    <row r="6232" spans="1:7" x14ac:dyDescent="0.3">
      <c r="A6232" t="s">
        <v>10694</v>
      </c>
      <c r="B6232" t="s">
        <v>10695</v>
      </c>
      <c r="C6232" t="s">
        <v>16</v>
      </c>
      <c r="D6232">
        <v>1.2390000000000001</v>
      </c>
      <c r="E6232">
        <v>397</v>
      </c>
      <c r="F6232" t="str">
        <f>HYPERLINK("https://www.google.com/maps/search/?api=1&amp;query=23.99596945,43.0802385", "View Map")</f>
        <v>View Map</v>
      </c>
      <c r="G6232" s="2">
        <v>0.79316968720297476</v>
      </c>
    </row>
    <row r="6233" spans="1:7" x14ac:dyDescent="0.3">
      <c r="A6233" t="s">
        <v>10696</v>
      </c>
      <c r="B6233" t="s">
        <v>10697</v>
      </c>
      <c r="C6233" t="s">
        <v>8</v>
      </c>
      <c r="D6233">
        <v>1.2390000000000001</v>
      </c>
      <c r="E6233">
        <v>397</v>
      </c>
      <c r="F6233" t="str">
        <f>HYPERLINK("https://www.google.com/maps/search/?api=1&amp;query=24.79689306,46.69508732", "View Map")</f>
        <v>View Map</v>
      </c>
      <c r="G6233" s="2">
        <v>0.37611465548116091</v>
      </c>
    </row>
    <row r="6234" spans="1:7" x14ac:dyDescent="0.3">
      <c r="A6234" t="s">
        <v>10698</v>
      </c>
      <c r="B6234" t="s">
        <v>10699</v>
      </c>
      <c r="C6234" t="s">
        <v>8</v>
      </c>
      <c r="D6234">
        <v>1.238</v>
      </c>
      <c r="E6234">
        <v>396</v>
      </c>
      <c r="F6234" t="str">
        <f>HYPERLINK("https://www.google.com/maps/search/?api=1&amp;query=24.76217442,46.71804277", "View Map")</f>
        <v>View Map</v>
      </c>
    </row>
    <row r="6235" spans="1:7" x14ac:dyDescent="0.3">
      <c r="A6235" t="s">
        <v>10700</v>
      </c>
      <c r="B6235" t="s">
        <v>10701</v>
      </c>
      <c r="C6235" t="s">
        <v>30</v>
      </c>
      <c r="D6235">
        <v>1.238</v>
      </c>
      <c r="E6235">
        <v>396</v>
      </c>
      <c r="F6235" t="str">
        <f>HYPERLINK("https://www.google.com/maps/search/?api=1&amp;query=24.10705342,47.29107782", "View Map")</f>
        <v>View Map</v>
      </c>
    </row>
    <row r="6236" spans="1:7" x14ac:dyDescent="0.3">
      <c r="A6236" t="s">
        <v>8142</v>
      </c>
      <c r="B6236" t="s">
        <v>10702</v>
      </c>
      <c r="C6236" t="s">
        <v>8</v>
      </c>
      <c r="D6236">
        <v>1.238</v>
      </c>
      <c r="E6236">
        <v>396</v>
      </c>
      <c r="F6236" t="str">
        <f>HYPERLINK("https://www.google.com/maps/search/?api=1&amp;query=24.78894063,46.65282893", "View Map")</f>
        <v>View Map</v>
      </c>
    </row>
    <row r="6237" spans="1:7" x14ac:dyDescent="0.3">
      <c r="A6237" t="s">
        <v>28</v>
      </c>
      <c r="B6237" t="s">
        <v>10703</v>
      </c>
      <c r="C6237" t="s">
        <v>30</v>
      </c>
      <c r="D6237">
        <v>1.238</v>
      </c>
      <c r="E6237">
        <v>396</v>
      </c>
      <c r="F6237" t="str">
        <f>HYPERLINK("https://www.google.com/maps/search/?api=1&amp;query=24.1756841,47.30019411", "View Map")</f>
        <v>View Map</v>
      </c>
    </row>
    <row r="6238" spans="1:7" x14ac:dyDescent="0.3">
      <c r="A6238" t="s">
        <v>46</v>
      </c>
      <c r="B6238" t="s">
        <v>10704</v>
      </c>
      <c r="C6238" t="s">
        <v>8</v>
      </c>
      <c r="D6238">
        <v>1.238</v>
      </c>
      <c r="E6238">
        <v>396</v>
      </c>
      <c r="F6238" t="str">
        <f>HYPERLINK("https://www.google.com/maps/search/?api=1&amp;query=24.59235485,46.7855268", "View Map")</f>
        <v>View Map</v>
      </c>
      <c r="G6238" s="2">
        <v>0.71972179564016514</v>
      </c>
    </row>
    <row r="6239" spans="1:7" x14ac:dyDescent="0.3">
      <c r="A6239" t="s">
        <v>10705</v>
      </c>
      <c r="B6239" t="s">
        <v>10706</v>
      </c>
      <c r="C6239" t="s">
        <v>8</v>
      </c>
      <c r="D6239">
        <v>1.2370000000000001</v>
      </c>
      <c r="E6239">
        <v>396</v>
      </c>
      <c r="F6239" t="str">
        <f>HYPERLINK("https://www.google.com/maps/search/?api=1&amp;query=24.586637,46.60297669", "View Map")</f>
        <v>View Map</v>
      </c>
    </row>
    <row r="6240" spans="1:7" x14ac:dyDescent="0.3">
      <c r="A6240" t="s">
        <v>10707</v>
      </c>
      <c r="B6240" t="s">
        <v>10708</v>
      </c>
      <c r="C6240" t="s">
        <v>8</v>
      </c>
      <c r="D6240">
        <v>1.2370000000000001</v>
      </c>
      <c r="E6240">
        <v>396</v>
      </c>
      <c r="F6240" t="str">
        <f>HYPERLINK("https://www.google.com/maps/search/?api=1&amp;query=24.53604199,46.6909334", "View Map")</f>
        <v>View Map</v>
      </c>
    </row>
    <row r="6241" spans="1:7" x14ac:dyDescent="0.3">
      <c r="A6241" t="s">
        <v>1101</v>
      </c>
      <c r="B6241" t="s">
        <v>10709</v>
      </c>
      <c r="C6241" t="s">
        <v>8</v>
      </c>
      <c r="D6241">
        <v>1.2370000000000001</v>
      </c>
      <c r="E6241">
        <v>396</v>
      </c>
      <c r="F6241" t="str">
        <f>HYPERLINK("https://www.google.com/maps/search/?api=1&amp;query=24.80594966,46.60508266", "View Map")</f>
        <v>View Map</v>
      </c>
    </row>
    <row r="6242" spans="1:7" x14ac:dyDescent="0.3">
      <c r="A6242" t="s">
        <v>22</v>
      </c>
      <c r="B6242" t="s">
        <v>10710</v>
      </c>
      <c r="C6242" t="s">
        <v>8</v>
      </c>
      <c r="D6242">
        <v>1.2370000000000001</v>
      </c>
      <c r="E6242">
        <v>396</v>
      </c>
      <c r="F6242" t="str">
        <f>HYPERLINK("https://www.google.com/maps/search/?api=1&amp;query=24.67731411,46.58313015", "View Map")</f>
        <v>View Map</v>
      </c>
    </row>
    <row r="6243" spans="1:7" x14ac:dyDescent="0.3">
      <c r="A6243" t="s">
        <v>4412</v>
      </c>
      <c r="B6243" t="s">
        <v>10711</v>
      </c>
      <c r="C6243" t="s">
        <v>255</v>
      </c>
      <c r="D6243">
        <v>1.236</v>
      </c>
      <c r="E6243">
        <v>396</v>
      </c>
      <c r="F6243" t="str">
        <f>HYPERLINK("https://www.google.com/maps/search/?api=1&amp;query=24.66443002,43.6415956", "View Map")</f>
        <v>View Map</v>
      </c>
      <c r="G6243" s="2">
        <v>0.67548640841366459</v>
      </c>
    </row>
    <row r="6244" spans="1:7" x14ac:dyDescent="0.3">
      <c r="A6244" t="s">
        <v>46</v>
      </c>
      <c r="B6244" t="s">
        <v>10712</v>
      </c>
      <c r="C6244" t="s">
        <v>8</v>
      </c>
      <c r="D6244">
        <v>1.2350000000000001</v>
      </c>
      <c r="E6244">
        <v>395</v>
      </c>
      <c r="F6244" t="str">
        <f>HYPERLINK("https://www.google.com/maps/search/?api=1&amp;query=24.81787382,46.65766194", "View Map")</f>
        <v>View Map</v>
      </c>
    </row>
    <row r="6245" spans="1:7" x14ac:dyDescent="0.3">
      <c r="A6245" t="s">
        <v>10713</v>
      </c>
      <c r="B6245" t="s">
        <v>10714</v>
      </c>
      <c r="C6245" t="s">
        <v>214</v>
      </c>
      <c r="D6245">
        <v>1.234</v>
      </c>
      <c r="E6245">
        <v>395</v>
      </c>
      <c r="F6245" t="str">
        <f>HYPERLINK("https://www.google.com/maps/search/?api=1&amp;query=25.59450086,45.6134579", "View Map")</f>
        <v>View Map</v>
      </c>
      <c r="G6245" s="2">
        <v>0.58987621167873516</v>
      </c>
    </row>
    <row r="6246" spans="1:7" x14ac:dyDescent="0.3">
      <c r="A6246" t="s">
        <v>10715</v>
      </c>
      <c r="B6246" t="s">
        <v>10716</v>
      </c>
      <c r="C6246" t="s">
        <v>699</v>
      </c>
      <c r="D6246">
        <v>1.234</v>
      </c>
      <c r="E6246">
        <v>395</v>
      </c>
      <c r="F6246" t="str">
        <f>HYPERLINK("https://www.google.com/maps/search/?api=1&amp;query=25.07173314,45.46418569", "View Map")</f>
        <v>View Map</v>
      </c>
    </row>
    <row r="6247" spans="1:7" x14ac:dyDescent="0.3">
      <c r="A6247" t="s">
        <v>73</v>
      </c>
      <c r="B6247" t="s">
        <v>10717</v>
      </c>
      <c r="C6247" t="s">
        <v>8</v>
      </c>
      <c r="D6247">
        <v>1.234</v>
      </c>
      <c r="E6247">
        <v>395</v>
      </c>
      <c r="F6247" t="str">
        <f>HYPERLINK("https://www.google.com/maps/search/?api=1&amp;query=24.5600512,46.5465041", "View Map")</f>
        <v>View Map</v>
      </c>
    </row>
    <row r="6248" spans="1:7" x14ac:dyDescent="0.3">
      <c r="A6248" t="s">
        <v>10718</v>
      </c>
      <c r="B6248" t="s">
        <v>10719</v>
      </c>
      <c r="C6248" t="s">
        <v>8</v>
      </c>
      <c r="D6248">
        <v>1.234</v>
      </c>
      <c r="E6248">
        <v>395</v>
      </c>
      <c r="F6248" t="str">
        <f>HYPERLINK("https://www.google.com/maps/search/?api=1&amp;query=24.70765096,46.68043617", "View Map")</f>
        <v>View Map</v>
      </c>
    </row>
    <row r="6249" spans="1:7" x14ac:dyDescent="0.3">
      <c r="A6249" t="s">
        <v>10720</v>
      </c>
      <c r="B6249" t="s">
        <v>10721</v>
      </c>
      <c r="C6249" t="s">
        <v>8</v>
      </c>
      <c r="D6249">
        <v>1.234</v>
      </c>
      <c r="E6249">
        <v>395</v>
      </c>
      <c r="F6249" t="str">
        <f>HYPERLINK("https://www.google.com/maps/search/?api=1&amp;query=24.62132053,46.71739297", "View Map")</f>
        <v>View Map</v>
      </c>
    </row>
    <row r="6250" spans="1:7" x14ac:dyDescent="0.3">
      <c r="A6250" t="s">
        <v>10722</v>
      </c>
      <c r="B6250" t="s">
        <v>10723</v>
      </c>
      <c r="C6250" t="s">
        <v>8</v>
      </c>
      <c r="D6250">
        <v>1.2330000000000001</v>
      </c>
      <c r="E6250">
        <v>395</v>
      </c>
      <c r="F6250" t="str">
        <f>HYPERLINK("https://www.google.com/maps/search/?api=1&amp;query=24.65384512,46.61067325", "View Map")</f>
        <v>View Map</v>
      </c>
      <c r="G6250" s="2">
        <v>0.50893533804691604</v>
      </c>
    </row>
    <row r="6251" spans="1:7" x14ac:dyDescent="0.3">
      <c r="A6251" t="s">
        <v>10724</v>
      </c>
      <c r="B6251" t="s">
        <v>10725</v>
      </c>
      <c r="C6251" t="s">
        <v>8</v>
      </c>
      <c r="D6251">
        <v>1.2330000000000001</v>
      </c>
      <c r="E6251">
        <v>395</v>
      </c>
      <c r="F6251" t="str">
        <f>HYPERLINK("https://www.google.com/maps/search/?api=1&amp;query=24.57560634,46.68328169", "View Map")</f>
        <v>View Map</v>
      </c>
    </row>
    <row r="6252" spans="1:7" x14ac:dyDescent="0.3">
      <c r="A6252" t="s">
        <v>10726</v>
      </c>
      <c r="B6252" t="s">
        <v>10727</v>
      </c>
      <c r="C6252" t="s">
        <v>393</v>
      </c>
      <c r="D6252">
        <v>1.2330000000000001</v>
      </c>
      <c r="E6252">
        <v>395</v>
      </c>
      <c r="F6252" t="str">
        <f>HYPERLINK("https://www.google.com/maps/search/?api=1&amp;query=23.55207734,45.53391292", "View Map")</f>
        <v>View Map</v>
      </c>
      <c r="G6252" s="2">
        <v>0.9240639608295601</v>
      </c>
    </row>
    <row r="6253" spans="1:7" x14ac:dyDescent="0.3">
      <c r="A6253" t="s">
        <v>661</v>
      </c>
      <c r="B6253" t="s">
        <v>10728</v>
      </c>
      <c r="C6253" t="s">
        <v>214</v>
      </c>
      <c r="D6253">
        <v>1.2330000000000001</v>
      </c>
      <c r="E6253">
        <v>395</v>
      </c>
      <c r="F6253" t="str">
        <f>HYPERLINK("https://www.google.com/maps/search/?api=1&amp;query=25.70290708,45.45487016", "View Map")</f>
        <v>View Map</v>
      </c>
      <c r="G6253" s="2">
        <v>0.3842413631127034</v>
      </c>
    </row>
    <row r="6254" spans="1:7" x14ac:dyDescent="0.3">
      <c r="A6254" t="s">
        <v>146</v>
      </c>
      <c r="B6254" t="s">
        <v>10729</v>
      </c>
      <c r="C6254" t="s">
        <v>8</v>
      </c>
      <c r="D6254">
        <v>1.232</v>
      </c>
      <c r="E6254">
        <v>394</v>
      </c>
      <c r="F6254" t="str">
        <f>HYPERLINK("https://www.google.com/maps/search/?api=1&amp;query=24.54548054,46.51972044", "View Map")</f>
        <v>View Map</v>
      </c>
    </row>
    <row r="6255" spans="1:7" x14ac:dyDescent="0.3">
      <c r="A6255" t="s">
        <v>881</v>
      </c>
      <c r="B6255" t="s">
        <v>10730</v>
      </c>
      <c r="C6255" t="s">
        <v>883</v>
      </c>
      <c r="D6255">
        <v>1.232</v>
      </c>
      <c r="E6255">
        <v>394</v>
      </c>
      <c r="F6255" t="str">
        <f>HYPERLINK("https://www.google.com/maps/search/?api=1&amp;query=25.53464809,47.17668441", "View Map")</f>
        <v>View Map</v>
      </c>
      <c r="G6255" s="2">
        <v>0.26672997941935622</v>
      </c>
    </row>
    <row r="6256" spans="1:7" x14ac:dyDescent="0.3">
      <c r="A6256" t="s">
        <v>661</v>
      </c>
      <c r="B6256" t="s">
        <v>10731</v>
      </c>
      <c r="C6256" t="s">
        <v>214</v>
      </c>
      <c r="D6256">
        <v>1.2310000000000001</v>
      </c>
      <c r="E6256">
        <v>394</v>
      </c>
      <c r="F6256" t="str">
        <f>HYPERLINK("https://www.google.com/maps/search/?api=1&amp;query=25.70290708,45.45487016", "View Map")</f>
        <v>View Map</v>
      </c>
      <c r="G6256" s="2">
        <v>0.42583199063309329</v>
      </c>
    </row>
    <row r="6257" spans="1:7" x14ac:dyDescent="0.3">
      <c r="A6257" t="s">
        <v>10732</v>
      </c>
      <c r="B6257" t="s">
        <v>10733</v>
      </c>
      <c r="C6257" t="s">
        <v>16</v>
      </c>
      <c r="D6257">
        <v>1.2310000000000001</v>
      </c>
      <c r="E6257">
        <v>394</v>
      </c>
      <c r="F6257" t="str">
        <f>HYPERLINK("https://www.google.com/maps/search/?api=1&amp;query=23.89591599,42.91074307", "View Map")</f>
        <v>View Map</v>
      </c>
    </row>
    <row r="6258" spans="1:7" x14ac:dyDescent="0.3">
      <c r="A6258" t="s">
        <v>10734</v>
      </c>
      <c r="B6258" t="s">
        <v>10735</v>
      </c>
      <c r="C6258" t="s">
        <v>214</v>
      </c>
      <c r="D6258">
        <v>1.2310000000000001</v>
      </c>
      <c r="E6258">
        <v>394</v>
      </c>
      <c r="F6258" t="str">
        <f>HYPERLINK("https://www.google.com/maps/search/?api=1&amp;query=25.90609461,45.39241928", "View Map")</f>
        <v>View Map</v>
      </c>
      <c r="G6258" s="2">
        <v>0.42432367206393018</v>
      </c>
    </row>
    <row r="6259" spans="1:7" x14ac:dyDescent="0.3">
      <c r="A6259" t="s">
        <v>10736</v>
      </c>
      <c r="B6259" t="s">
        <v>10737</v>
      </c>
      <c r="C6259" t="s">
        <v>286</v>
      </c>
      <c r="D6259">
        <v>1.2310000000000001</v>
      </c>
      <c r="E6259">
        <v>394</v>
      </c>
      <c r="F6259" t="str">
        <f>HYPERLINK("https://www.google.com/maps/search/?api=1&amp;query=25.24022645,45.2551567", "View Map")</f>
        <v>View Map</v>
      </c>
      <c r="G6259" s="2">
        <v>0.43577437536218971</v>
      </c>
    </row>
    <row r="6260" spans="1:7" x14ac:dyDescent="0.3">
      <c r="A6260" t="s">
        <v>10738</v>
      </c>
      <c r="B6260" t="s">
        <v>10739</v>
      </c>
      <c r="C6260" t="s">
        <v>214</v>
      </c>
      <c r="D6260">
        <v>1.2310000000000001</v>
      </c>
      <c r="E6260">
        <v>394</v>
      </c>
      <c r="F6260" t="str">
        <f>HYPERLINK("https://www.google.com/maps/search/?api=1&amp;query=26.41641002,45.35911031", "View Map")</f>
        <v>View Map</v>
      </c>
      <c r="G6260" s="2">
        <v>0.68634194864850973</v>
      </c>
    </row>
    <row r="6261" spans="1:7" x14ac:dyDescent="0.3">
      <c r="A6261" t="s">
        <v>10740</v>
      </c>
      <c r="B6261" t="s">
        <v>10741</v>
      </c>
      <c r="C6261" t="s">
        <v>255</v>
      </c>
      <c r="D6261">
        <v>1.23</v>
      </c>
      <c r="E6261">
        <v>394</v>
      </c>
      <c r="F6261" t="str">
        <f>HYPERLINK("https://www.google.com/maps/search/?api=1&amp;query=25.17746811,44.60132013", "View Map")</f>
        <v>View Map</v>
      </c>
      <c r="G6261" s="2">
        <v>0.62217791939058864</v>
      </c>
    </row>
    <row r="6262" spans="1:7" x14ac:dyDescent="0.3">
      <c r="A6262" t="s">
        <v>10742</v>
      </c>
      <c r="B6262" t="s">
        <v>10743</v>
      </c>
      <c r="C6262" t="s">
        <v>55</v>
      </c>
      <c r="D6262">
        <v>1.23</v>
      </c>
      <c r="E6262">
        <v>394</v>
      </c>
      <c r="F6262" t="str">
        <f>HYPERLINK("https://www.google.com/maps/search/?api=1&amp;query=24.73528109,46.51283494", "View Map")</f>
        <v>View Map</v>
      </c>
    </row>
    <row r="6263" spans="1:7" x14ac:dyDescent="0.3">
      <c r="A6263" t="s">
        <v>146</v>
      </c>
      <c r="B6263" t="s">
        <v>10744</v>
      </c>
      <c r="C6263" t="s">
        <v>8</v>
      </c>
      <c r="D6263">
        <v>1.23</v>
      </c>
      <c r="E6263">
        <v>394</v>
      </c>
      <c r="F6263" t="str">
        <f>HYPERLINK("https://www.google.com/maps/search/?api=1&amp;query=24.5795311,46.61115021", "View Map")</f>
        <v>View Map</v>
      </c>
    </row>
    <row r="6264" spans="1:7" x14ac:dyDescent="0.3">
      <c r="A6264" t="s">
        <v>46</v>
      </c>
      <c r="B6264" t="s">
        <v>10745</v>
      </c>
      <c r="C6264" t="s">
        <v>55</v>
      </c>
      <c r="D6264">
        <v>1.23</v>
      </c>
      <c r="E6264">
        <v>394</v>
      </c>
      <c r="F6264" t="str">
        <f>HYPERLINK("https://www.google.com/maps/search/?api=1&amp;query=24.90629364,46.42993658", "View Map")</f>
        <v>View Map</v>
      </c>
    </row>
    <row r="6265" spans="1:7" x14ac:dyDescent="0.3">
      <c r="A6265" t="s">
        <v>10746</v>
      </c>
      <c r="B6265" t="s">
        <v>10747</v>
      </c>
      <c r="C6265" t="s">
        <v>8</v>
      </c>
      <c r="D6265">
        <v>1.23</v>
      </c>
      <c r="E6265">
        <v>394</v>
      </c>
      <c r="F6265" t="str">
        <f>HYPERLINK("https://www.google.com/maps/search/?api=1&amp;query=24.68455139,46.65070194", "View Map")</f>
        <v>View Map</v>
      </c>
    </row>
    <row r="6266" spans="1:7" x14ac:dyDescent="0.3">
      <c r="A6266" t="s">
        <v>10748</v>
      </c>
      <c r="B6266" t="s">
        <v>10749</v>
      </c>
      <c r="C6266" t="s">
        <v>8</v>
      </c>
      <c r="D6266">
        <v>1.2290000000000001</v>
      </c>
      <c r="E6266">
        <v>393</v>
      </c>
      <c r="F6266" t="str">
        <f>HYPERLINK("https://www.google.com/maps/search/?api=1&amp;query=24.60157862,46.77535972", "View Map")</f>
        <v>View Map</v>
      </c>
    </row>
    <row r="6267" spans="1:7" x14ac:dyDescent="0.3">
      <c r="A6267" t="s">
        <v>3941</v>
      </c>
      <c r="B6267" t="s">
        <v>10750</v>
      </c>
      <c r="C6267" t="s">
        <v>8</v>
      </c>
      <c r="D6267">
        <v>1.2290000000000001</v>
      </c>
      <c r="E6267">
        <v>393</v>
      </c>
      <c r="F6267" t="str">
        <f>HYPERLINK("https://www.google.com/maps/search/?api=1&amp;query=24.6264852,46.75069196", "View Map")</f>
        <v>View Map</v>
      </c>
    </row>
    <row r="6268" spans="1:7" x14ac:dyDescent="0.3">
      <c r="A6268" t="s">
        <v>10751</v>
      </c>
      <c r="B6268" t="s">
        <v>10752</v>
      </c>
      <c r="C6268" t="s">
        <v>241</v>
      </c>
      <c r="D6268">
        <v>1.2290000000000001</v>
      </c>
      <c r="E6268">
        <v>393</v>
      </c>
      <c r="F6268" t="str">
        <f>HYPERLINK("https://www.google.com/maps/search/?api=1&amp;query=20.4339185,44.9061702", "View Map")</f>
        <v>View Map</v>
      </c>
      <c r="G6268" s="2">
        <v>0.45815952603460691</v>
      </c>
    </row>
    <row r="6269" spans="1:7" x14ac:dyDescent="0.3">
      <c r="A6269" t="s">
        <v>10753</v>
      </c>
      <c r="B6269" t="s">
        <v>10754</v>
      </c>
      <c r="C6269" t="s">
        <v>8</v>
      </c>
      <c r="D6269">
        <v>1.2290000000000001</v>
      </c>
      <c r="E6269">
        <v>393</v>
      </c>
      <c r="F6269" t="str">
        <f>HYPERLINK("https://www.google.com/maps/search/?api=1&amp;query=24.79737994,46.85992269", "View Map")</f>
        <v>View Map</v>
      </c>
    </row>
    <row r="6270" spans="1:7" x14ac:dyDescent="0.3">
      <c r="A6270" t="s">
        <v>1273</v>
      </c>
      <c r="B6270" t="s">
        <v>10755</v>
      </c>
      <c r="C6270" t="s">
        <v>241</v>
      </c>
      <c r="D6270">
        <v>1.2290000000000001</v>
      </c>
      <c r="E6270">
        <v>393</v>
      </c>
      <c r="F6270" t="str">
        <f>HYPERLINK("https://www.google.com/maps/search/?api=1&amp;query=20.45370631,44.7593871", "View Map")</f>
        <v>View Map</v>
      </c>
    </row>
    <row r="6271" spans="1:7" x14ac:dyDescent="0.3">
      <c r="A6271" t="s">
        <v>10756</v>
      </c>
      <c r="B6271" t="s">
        <v>10757</v>
      </c>
      <c r="C6271" t="s">
        <v>270</v>
      </c>
      <c r="D6271">
        <v>1.2290000000000001</v>
      </c>
      <c r="E6271">
        <v>393</v>
      </c>
      <c r="F6271" t="str">
        <f>HYPERLINK("https://www.google.com/maps/search/?api=1&amp;query=24.02051376,47.17092184", "View Map")</f>
        <v>View Map</v>
      </c>
      <c r="G6271" s="2">
        <v>0.52891870215092962</v>
      </c>
    </row>
    <row r="6272" spans="1:7" x14ac:dyDescent="0.3">
      <c r="A6272" t="s">
        <v>2848</v>
      </c>
      <c r="B6272" t="s">
        <v>10758</v>
      </c>
      <c r="C6272" t="s">
        <v>214</v>
      </c>
      <c r="D6272">
        <v>1.228</v>
      </c>
      <c r="E6272">
        <v>393</v>
      </c>
      <c r="F6272" t="str">
        <f>HYPERLINK("https://www.google.com/maps/search/?api=1&amp;query=26.5090677,45.34735978", "View Map")</f>
        <v>View Map</v>
      </c>
      <c r="G6272" s="2">
        <v>0.61799214694027937</v>
      </c>
    </row>
    <row r="6273" spans="1:7" x14ac:dyDescent="0.3">
      <c r="A6273" t="s">
        <v>10759</v>
      </c>
      <c r="B6273" t="s">
        <v>10760</v>
      </c>
      <c r="C6273" t="s">
        <v>738</v>
      </c>
      <c r="D6273">
        <v>1.228</v>
      </c>
      <c r="E6273">
        <v>393</v>
      </c>
      <c r="F6273" t="str">
        <f>HYPERLINK("https://www.google.com/maps/search/?api=1&amp;query=25.14537175,46.26177523", "View Map")</f>
        <v>View Map</v>
      </c>
      <c r="G6273" s="2">
        <v>0.51213841990242359</v>
      </c>
    </row>
    <row r="6274" spans="1:7" x14ac:dyDescent="0.3">
      <c r="A6274" t="s">
        <v>46</v>
      </c>
      <c r="B6274" t="s">
        <v>10761</v>
      </c>
      <c r="C6274" t="s">
        <v>8</v>
      </c>
      <c r="D6274">
        <v>1.228</v>
      </c>
      <c r="E6274">
        <v>393</v>
      </c>
      <c r="F6274" t="str">
        <f>HYPERLINK("https://www.google.com/maps/search/?api=1&amp;query=24.74720507,46.62626778", "View Map")</f>
        <v>View Map</v>
      </c>
    </row>
    <row r="6275" spans="1:7" x14ac:dyDescent="0.3">
      <c r="A6275" t="s">
        <v>10762</v>
      </c>
      <c r="B6275" t="s">
        <v>10763</v>
      </c>
      <c r="C6275" t="s">
        <v>214</v>
      </c>
      <c r="D6275">
        <v>1.228</v>
      </c>
      <c r="E6275">
        <v>393</v>
      </c>
      <c r="F6275" t="str">
        <f>HYPERLINK("https://www.google.com/maps/search/?api=1&amp;query=25.54696373,45.67889585", "View Map")</f>
        <v>View Map</v>
      </c>
      <c r="G6275" s="2">
        <v>0.52071978255065332</v>
      </c>
    </row>
    <row r="6276" spans="1:7" x14ac:dyDescent="0.3">
      <c r="A6276" t="s">
        <v>693</v>
      </c>
      <c r="B6276" t="s">
        <v>10764</v>
      </c>
      <c r="C6276" t="s">
        <v>8</v>
      </c>
      <c r="D6276">
        <v>1.2270000000000001</v>
      </c>
      <c r="E6276">
        <v>393</v>
      </c>
      <c r="F6276" t="str">
        <f>HYPERLINK("https://www.google.com/maps/search/?api=1&amp;query=24.7706589,46.6181812", "View Map")</f>
        <v>View Map</v>
      </c>
    </row>
    <row r="6277" spans="1:7" x14ac:dyDescent="0.3">
      <c r="A6277" t="s">
        <v>10765</v>
      </c>
      <c r="B6277" t="s">
        <v>10766</v>
      </c>
      <c r="C6277" t="s">
        <v>883</v>
      </c>
      <c r="D6277">
        <v>1.2270000000000001</v>
      </c>
      <c r="E6277">
        <v>393</v>
      </c>
      <c r="F6277" t="str">
        <f>HYPERLINK("https://www.google.com/maps/search/?api=1&amp;query=25.53462099,47.17220644", "View Map")</f>
        <v>View Map</v>
      </c>
    </row>
    <row r="6278" spans="1:7" x14ac:dyDescent="0.3">
      <c r="A6278" t="s">
        <v>10767</v>
      </c>
      <c r="B6278" t="s">
        <v>10768</v>
      </c>
      <c r="C6278" t="s">
        <v>137</v>
      </c>
      <c r="D6278">
        <v>1.2270000000000001</v>
      </c>
      <c r="E6278">
        <v>393</v>
      </c>
      <c r="F6278" t="str">
        <f>HYPERLINK("https://www.google.com/maps/search/?api=1&amp;query=23.50716738,46.87351365", "View Map")</f>
        <v>View Map</v>
      </c>
    </row>
    <row r="6279" spans="1:7" x14ac:dyDescent="0.3">
      <c r="A6279" t="s">
        <v>10769</v>
      </c>
      <c r="B6279" t="s">
        <v>10770</v>
      </c>
      <c r="C6279" t="s">
        <v>8</v>
      </c>
      <c r="D6279">
        <v>1.2270000000000001</v>
      </c>
      <c r="E6279">
        <v>393</v>
      </c>
      <c r="F6279" t="str">
        <f>HYPERLINK("https://www.google.com/maps/search/?api=1&amp;query=24.75348357,46.75402851", "View Map")</f>
        <v>View Map</v>
      </c>
    </row>
    <row r="6280" spans="1:7" x14ac:dyDescent="0.3">
      <c r="A6280" t="s">
        <v>10771</v>
      </c>
      <c r="B6280" t="s">
        <v>10772</v>
      </c>
      <c r="C6280" t="s">
        <v>393</v>
      </c>
      <c r="D6280">
        <v>1.2250000000000001</v>
      </c>
      <c r="E6280">
        <v>392</v>
      </c>
      <c r="F6280" t="str">
        <f>HYPERLINK("https://www.google.com/maps/search/?api=1&amp;query=23.49517153,45.522449", "View Map")</f>
        <v>View Map</v>
      </c>
      <c r="G6280" s="2">
        <v>0.36321263174155971</v>
      </c>
    </row>
    <row r="6281" spans="1:7" x14ac:dyDescent="0.3">
      <c r="A6281" t="s">
        <v>10773</v>
      </c>
      <c r="B6281" t="s">
        <v>10774</v>
      </c>
      <c r="C6281" t="s">
        <v>8</v>
      </c>
      <c r="D6281">
        <v>1.224</v>
      </c>
      <c r="E6281">
        <v>392</v>
      </c>
      <c r="F6281" t="str">
        <f>HYPERLINK("https://www.google.com/maps/search/?api=1&amp;query=24.56519907,46.63798567", "View Map")</f>
        <v>View Map</v>
      </c>
    </row>
    <row r="6282" spans="1:7" x14ac:dyDescent="0.3">
      <c r="A6282" t="s">
        <v>10775</v>
      </c>
      <c r="B6282" t="s">
        <v>10776</v>
      </c>
      <c r="C6282" t="s">
        <v>8</v>
      </c>
      <c r="D6282">
        <v>1.224</v>
      </c>
      <c r="E6282">
        <v>392</v>
      </c>
      <c r="F6282" t="str">
        <f>HYPERLINK("https://www.google.com/maps/search/?api=1&amp;query=24.80145347,46.8975836", "View Map")</f>
        <v>View Map</v>
      </c>
    </row>
    <row r="6283" spans="1:7" x14ac:dyDescent="0.3">
      <c r="A6283" t="s">
        <v>10777</v>
      </c>
      <c r="B6283" t="s">
        <v>10778</v>
      </c>
      <c r="C6283" t="s">
        <v>214</v>
      </c>
      <c r="D6283">
        <v>1.224</v>
      </c>
      <c r="E6283">
        <v>392</v>
      </c>
      <c r="F6283" t="str">
        <f>HYPERLINK("https://www.google.com/maps/search/?api=1&amp;query=25.93167291,45.37552038", "View Map")</f>
        <v>View Map</v>
      </c>
      <c r="G6283" s="2">
        <v>0.35708942589887049</v>
      </c>
    </row>
    <row r="6284" spans="1:7" x14ac:dyDescent="0.3">
      <c r="A6284" t="s">
        <v>10779</v>
      </c>
      <c r="B6284" t="s">
        <v>10780</v>
      </c>
      <c r="C6284" t="s">
        <v>8</v>
      </c>
      <c r="D6284">
        <v>1.2230000000000001</v>
      </c>
      <c r="E6284">
        <v>391</v>
      </c>
      <c r="F6284" t="str">
        <f>HYPERLINK("https://www.google.com/maps/search/?api=1&amp;query=24.57384886,46.71337917", "View Map")</f>
        <v>View Map</v>
      </c>
    </row>
    <row r="6285" spans="1:7" x14ac:dyDescent="0.3">
      <c r="A6285" t="s">
        <v>678</v>
      </c>
      <c r="B6285" t="s">
        <v>10781</v>
      </c>
      <c r="C6285" t="s">
        <v>21</v>
      </c>
      <c r="D6285">
        <v>1.222</v>
      </c>
      <c r="E6285">
        <v>391</v>
      </c>
      <c r="F6285" t="str">
        <f>HYPERLINK("https://www.google.com/maps/search/?api=1&amp;query=26.34200694,44.78504137", "View Map")</f>
        <v>View Map</v>
      </c>
      <c r="G6285" s="2">
        <v>0.28890544906746279</v>
      </c>
    </row>
    <row r="6286" spans="1:7" x14ac:dyDescent="0.3">
      <c r="A6286" t="s">
        <v>10782</v>
      </c>
      <c r="B6286" t="s">
        <v>10783</v>
      </c>
      <c r="C6286" t="s">
        <v>8</v>
      </c>
      <c r="D6286">
        <v>1.222</v>
      </c>
      <c r="E6286">
        <v>391</v>
      </c>
      <c r="F6286" t="str">
        <f>HYPERLINK("https://www.google.com/maps/search/?api=1&amp;query=24.57711662,46.5853868", "View Map")</f>
        <v>View Map</v>
      </c>
    </row>
    <row r="6287" spans="1:7" x14ac:dyDescent="0.3">
      <c r="A6287" t="s">
        <v>10784</v>
      </c>
      <c r="B6287" t="s">
        <v>10785</v>
      </c>
      <c r="C6287" t="s">
        <v>8</v>
      </c>
      <c r="D6287">
        <v>1.222</v>
      </c>
      <c r="E6287">
        <v>391</v>
      </c>
      <c r="F6287" t="str">
        <f>HYPERLINK("https://www.google.com/maps/search/?api=1&amp;query=24.61124568,46.64608173", "View Map")</f>
        <v>View Map</v>
      </c>
    </row>
    <row r="6288" spans="1:7" x14ac:dyDescent="0.3">
      <c r="A6288" t="s">
        <v>10786</v>
      </c>
      <c r="B6288" t="s">
        <v>10787</v>
      </c>
      <c r="C6288" t="s">
        <v>137</v>
      </c>
      <c r="D6288">
        <v>1.2210000000000001</v>
      </c>
      <c r="E6288">
        <v>391</v>
      </c>
      <c r="F6288" t="str">
        <f>HYPERLINK("https://www.google.com/maps/search/?api=1&amp;query=23.44479143,46.80040272", "View Map")</f>
        <v>View Map</v>
      </c>
      <c r="G6288" s="2">
        <v>0.54230136842206311</v>
      </c>
    </row>
    <row r="6289" spans="1:7" x14ac:dyDescent="0.3">
      <c r="A6289" t="s">
        <v>10788</v>
      </c>
      <c r="B6289" t="s">
        <v>10789</v>
      </c>
      <c r="C6289" t="s">
        <v>296</v>
      </c>
      <c r="D6289">
        <v>1.2210000000000001</v>
      </c>
      <c r="E6289">
        <v>391</v>
      </c>
      <c r="F6289" t="str">
        <f>HYPERLINK("https://www.google.com/maps/search/?api=1&amp;query=24.46442251,46.26471935", "View Map")</f>
        <v>View Map</v>
      </c>
    </row>
    <row r="6290" spans="1:7" x14ac:dyDescent="0.3">
      <c r="A6290" t="s">
        <v>10790</v>
      </c>
      <c r="B6290" t="s">
        <v>10791</v>
      </c>
      <c r="C6290" t="s">
        <v>214</v>
      </c>
      <c r="D6290">
        <v>1.2210000000000001</v>
      </c>
      <c r="E6290">
        <v>391</v>
      </c>
      <c r="F6290" t="str">
        <f>HYPERLINK("https://www.google.com/maps/search/?api=1&amp;query=25.70857297,45.8672867", "View Map")</f>
        <v>View Map</v>
      </c>
    </row>
    <row r="6291" spans="1:7" x14ac:dyDescent="0.3">
      <c r="A6291" t="s">
        <v>10792</v>
      </c>
      <c r="B6291" t="s">
        <v>10793</v>
      </c>
      <c r="C6291" t="s">
        <v>442</v>
      </c>
      <c r="D6291">
        <v>1.2210000000000001</v>
      </c>
      <c r="E6291">
        <v>391</v>
      </c>
      <c r="F6291" t="str">
        <f>HYPERLINK("https://www.google.com/maps/search/?api=1&amp;query=23.61621101,46.63609187", "View Map")</f>
        <v>View Map</v>
      </c>
      <c r="G6291" s="2">
        <v>0.34009944363673361</v>
      </c>
    </row>
    <row r="6292" spans="1:7" x14ac:dyDescent="0.3">
      <c r="A6292" t="s">
        <v>10794</v>
      </c>
      <c r="B6292" t="s">
        <v>10795</v>
      </c>
      <c r="C6292" t="s">
        <v>8</v>
      </c>
      <c r="D6292">
        <v>1.2210000000000001</v>
      </c>
      <c r="E6292">
        <v>391</v>
      </c>
      <c r="F6292" t="str">
        <f>HYPERLINK("https://www.google.com/maps/search/?api=1&amp;query=24.7487016,46.81994379", "View Map")</f>
        <v>View Map</v>
      </c>
    </row>
    <row r="6293" spans="1:7" x14ac:dyDescent="0.3">
      <c r="A6293" t="s">
        <v>362</v>
      </c>
      <c r="B6293" t="s">
        <v>10796</v>
      </c>
      <c r="C6293" t="s">
        <v>364</v>
      </c>
      <c r="D6293">
        <v>1.22</v>
      </c>
      <c r="E6293">
        <v>390</v>
      </c>
      <c r="F6293" t="str">
        <f>HYPERLINK("https://www.google.com/maps/search/?api=1&amp;query=25.2115644,45.86370243", "View Map")</f>
        <v>View Map</v>
      </c>
      <c r="G6293" s="2">
        <v>0.40575888152900019</v>
      </c>
    </row>
    <row r="6294" spans="1:7" x14ac:dyDescent="0.3">
      <c r="A6294" t="s">
        <v>10797</v>
      </c>
      <c r="B6294" t="s">
        <v>10798</v>
      </c>
      <c r="C6294" t="s">
        <v>214</v>
      </c>
      <c r="D6294">
        <v>1.22</v>
      </c>
      <c r="E6294">
        <v>390</v>
      </c>
      <c r="F6294" t="str">
        <f>HYPERLINK("https://www.google.com/maps/search/?api=1&amp;query=25.9178453,45.3854964", "View Map")</f>
        <v>View Map</v>
      </c>
    </row>
    <row r="6295" spans="1:7" x14ac:dyDescent="0.3">
      <c r="A6295" t="s">
        <v>627</v>
      </c>
      <c r="B6295" t="s">
        <v>10799</v>
      </c>
      <c r="C6295" t="s">
        <v>8</v>
      </c>
      <c r="D6295">
        <v>1.2190000000000001</v>
      </c>
      <c r="E6295">
        <v>390</v>
      </c>
      <c r="F6295" t="str">
        <f>HYPERLINK("https://www.google.com/maps/search/?api=1&amp;query=24.80660484,46.6263806", "View Map")</f>
        <v>View Map</v>
      </c>
    </row>
    <row r="6296" spans="1:7" x14ac:dyDescent="0.3">
      <c r="A6296" t="s">
        <v>146</v>
      </c>
      <c r="B6296" t="s">
        <v>10800</v>
      </c>
      <c r="C6296" t="s">
        <v>8</v>
      </c>
      <c r="D6296">
        <v>1.218</v>
      </c>
      <c r="E6296">
        <v>390</v>
      </c>
      <c r="F6296" t="str">
        <f>HYPERLINK("https://www.google.com/maps/search/?api=1&amp;query=24.5681751,46.62883906", "View Map")</f>
        <v>View Map</v>
      </c>
    </row>
    <row r="6297" spans="1:7" x14ac:dyDescent="0.3">
      <c r="A6297" t="s">
        <v>1788</v>
      </c>
      <c r="B6297" t="s">
        <v>10801</v>
      </c>
      <c r="C6297" t="s">
        <v>738</v>
      </c>
      <c r="D6297">
        <v>1.218</v>
      </c>
      <c r="E6297">
        <v>390</v>
      </c>
      <c r="F6297" t="str">
        <f>HYPERLINK("https://www.google.com/maps/search/?api=1&amp;query=24.91160346,45.86362158", "View Map")</f>
        <v>View Map</v>
      </c>
      <c r="G6297" s="2">
        <v>0.67988312107933691</v>
      </c>
    </row>
    <row r="6298" spans="1:7" x14ac:dyDescent="0.3">
      <c r="A6298" t="s">
        <v>464</v>
      </c>
      <c r="B6298" t="s">
        <v>10802</v>
      </c>
      <c r="C6298" t="s">
        <v>8</v>
      </c>
      <c r="D6298">
        <v>1.218</v>
      </c>
      <c r="E6298">
        <v>390</v>
      </c>
      <c r="F6298" t="str">
        <f>HYPERLINK("https://www.google.com/maps/search/?api=1&amp;query=24.3947425,46.66050342", "View Map")</f>
        <v>View Map</v>
      </c>
    </row>
    <row r="6299" spans="1:7" x14ac:dyDescent="0.3">
      <c r="A6299" t="s">
        <v>289</v>
      </c>
      <c r="B6299" t="s">
        <v>10803</v>
      </c>
      <c r="C6299" t="s">
        <v>699</v>
      </c>
      <c r="D6299">
        <v>1.218</v>
      </c>
      <c r="E6299">
        <v>390</v>
      </c>
      <c r="F6299" t="str">
        <f>HYPERLINK("https://www.google.com/maps/search/?api=1&amp;query=24.67030473,45.20677344", "View Map")</f>
        <v>View Map</v>
      </c>
      <c r="G6299" s="2">
        <v>0.57569166615844358</v>
      </c>
    </row>
    <row r="6300" spans="1:7" x14ac:dyDescent="0.3">
      <c r="A6300" t="s">
        <v>10804</v>
      </c>
      <c r="B6300" t="s">
        <v>10805</v>
      </c>
      <c r="C6300" t="s">
        <v>8</v>
      </c>
      <c r="D6300">
        <v>1.2170000000000001</v>
      </c>
      <c r="E6300">
        <v>389</v>
      </c>
      <c r="F6300" t="str">
        <f>HYPERLINK("https://www.google.com/maps/search/?api=1&amp;query=24.75943952,46.6886478", "View Map")</f>
        <v>View Map</v>
      </c>
    </row>
    <row r="6301" spans="1:7" x14ac:dyDescent="0.3">
      <c r="A6301" t="s">
        <v>10806</v>
      </c>
      <c r="B6301" t="s">
        <v>10807</v>
      </c>
      <c r="C6301" t="s">
        <v>255</v>
      </c>
      <c r="D6301">
        <v>1.2170000000000001</v>
      </c>
      <c r="E6301">
        <v>389</v>
      </c>
      <c r="F6301" t="str">
        <f>HYPERLINK("https://www.google.com/maps/search/?api=1&amp;query=24.49797362,43.55316932", "View Map")</f>
        <v>View Map</v>
      </c>
      <c r="G6301" s="2">
        <v>0.45488922968774842</v>
      </c>
    </row>
    <row r="6302" spans="1:7" x14ac:dyDescent="0.3">
      <c r="A6302" t="s">
        <v>46</v>
      </c>
      <c r="B6302" t="s">
        <v>10808</v>
      </c>
      <c r="C6302" t="s">
        <v>8</v>
      </c>
      <c r="D6302">
        <v>1.2170000000000001</v>
      </c>
      <c r="E6302">
        <v>390</v>
      </c>
      <c r="F6302" t="str">
        <f>HYPERLINK("https://www.google.com/maps/search/?api=1&amp;query=24.72797,46.85068", "View Map")</f>
        <v>View Map</v>
      </c>
      <c r="G6302" s="2">
        <v>0.68870623166120393</v>
      </c>
    </row>
    <row r="6303" spans="1:7" x14ac:dyDescent="0.3">
      <c r="A6303" t="s">
        <v>10809</v>
      </c>
      <c r="B6303" t="s">
        <v>10810</v>
      </c>
      <c r="C6303" t="s">
        <v>8</v>
      </c>
      <c r="D6303">
        <v>1.2170000000000001</v>
      </c>
      <c r="E6303">
        <v>389</v>
      </c>
      <c r="F6303" t="str">
        <f>HYPERLINK("https://www.google.com/maps/search/?api=1&amp;query=24.56677977,46.54157373", "View Map")</f>
        <v>View Map</v>
      </c>
    </row>
    <row r="6304" spans="1:7" x14ac:dyDescent="0.3">
      <c r="A6304" t="s">
        <v>10811</v>
      </c>
      <c r="B6304" t="s">
        <v>10812</v>
      </c>
      <c r="C6304" t="s">
        <v>8</v>
      </c>
      <c r="D6304">
        <v>1.216</v>
      </c>
      <c r="E6304">
        <v>389</v>
      </c>
      <c r="F6304" t="str">
        <f>HYPERLINK("https://www.google.com/maps/search/?api=1&amp;query=24.58198291,46.59144438", "View Map")</f>
        <v>View Map</v>
      </c>
    </row>
    <row r="6305" spans="1:7" x14ac:dyDescent="0.3">
      <c r="A6305" t="s">
        <v>46</v>
      </c>
      <c r="B6305" t="s">
        <v>10813</v>
      </c>
      <c r="C6305" t="s">
        <v>8</v>
      </c>
      <c r="D6305">
        <v>1.216</v>
      </c>
      <c r="E6305">
        <v>389</v>
      </c>
      <c r="F6305" t="str">
        <f>HYPERLINK("https://www.google.com/maps/search/?api=1&amp;query=24.83766159,46.80180738", "View Map")</f>
        <v>View Map</v>
      </c>
    </row>
    <row r="6306" spans="1:7" x14ac:dyDescent="0.3">
      <c r="A6306" t="s">
        <v>10814</v>
      </c>
      <c r="B6306" t="s">
        <v>10815</v>
      </c>
      <c r="C6306" t="s">
        <v>8</v>
      </c>
      <c r="D6306">
        <v>1.216</v>
      </c>
      <c r="E6306">
        <v>389</v>
      </c>
      <c r="F6306" t="str">
        <f>HYPERLINK("https://www.google.com/maps/search/?api=1&amp;query=24.6089,46.7189", "View Map")</f>
        <v>View Map</v>
      </c>
    </row>
    <row r="6307" spans="1:7" x14ac:dyDescent="0.3">
      <c r="A6307" t="s">
        <v>10816</v>
      </c>
      <c r="B6307" t="s">
        <v>10817</v>
      </c>
      <c r="C6307" t="s">
        <v>883</v>
      </c>
      <c r="D6307">
        <v>1.216</v>
      </c>
      <c r="E6307">
        <v>389</v>
      </c>
      <c r="F6307" t="str">
        <f>HYPERLINK("https://www.google.com/maps/search/?api=1&amp;query=25.55586023,47.17488934", "View Map")</f>
        <v>View Map</v>
      </c>
    </row>
    <row r="6308" spans="1:7" x14ac:dyDescent="0.3">
      <c r="A6308" t="s">
        <v>150</v>
      </c>
      <c r="B6308" t="s">
        <v>10818</v>
      </c>
      <c r="C6308" t="s">
        <v>8</v>
      </c>
      <c r="D6308">
        <v>1.2150000000000001</v>
      </c>
      <c r="E6308">
        <v>389</v>
      </c>
      <c r="F6308" t="str">
        <f>HYPERLINK("https://www.google.com/maps/search/?api=1&amp;query=24.83337502,46.75770409", "View Map")</f>
        <v>View Map</v>
      </c>
    </row>
    <row r="6309" spans="1:7" x14ac:dyDescent="0.3">
      <c r="A6309" t="s">
        <v>46</v>
      </c>
      <c r="B6309" t="s">
        <v>10819</v>
      </c>
      <c r="C6309" t="s">
        <v>8</v>
      </c>
      <c r="D6309">
        <v>1.2150000000000001</v>
      </c>
      <c r="E6309">
        <v>389</v>
      </c>
      <c r="F6309" t="str">
        <f>HYPERLINK("https://www.google.com/maps/search/?api=1&amp;query=24.64724593,46.49726664", "View Map")</f>
        <v>View Map</v>
      </c>
    </row>
    <row r="6310" spans="1:7" x14ac:dyDescent="0.3">
      <c r="A6310" t="s">
        <v>1273</v>
      </c>
      <c r="B6310" t="s">
        <v>10820</v>
      </c>
      <c r="C6310" t="s">
        <v>241</v>
      </c>
      <c r="D6310">
        <v>1.2150000000000001</v>
      </c>
      <c r="E6310">
        <v>389</v>
      </c>
      <c r="F6310" t="str">
        <f>HYPERLINK("https://www.google.com/maps/search/?api=1&amp;query=20.4503241,44.8405842", "View Map")</f>
        <v>View Map</v>
      </c>
      <c r="G6310" s="2">
        <v>0.53888505676605125</v>
      </c>
    </row>
    <row r="6311" spans="1:7" x14ac:dyDescent="0.3">
      <c r="A6311" t="s">
        <v>10821</v>
      </c>
      <c r="B6311" t="s">
        <v>10822</v>
      </c>
      <c r="C6311" t="s">
        <v>8</v>
      </c>
      <c r="D6311">
        <v>1.2150000000000001</v>
      </c>
      <c r="E6311">
        <v>389</v>
      </c>
      <c r="F6311" t="str">
        <f>HYPERLINK("https://www.google.com/maps/search/?api=1&amp;query=24.58758014,46.65620863", "View Map")</f>
        <v>View Map</v>
      </c>
    </row>
    <row r="6312" spans="1:7" x14ac:dyDescent="0.3">
      <c r="A6312" t="s">
        <v>2848</v>
      </c>
      <c r="B6312" t="s">
        <v>10823</v>
      </c>
      <c r="C6312" t="s">
        <v>214</v>
      </c>
      <c r="D6312">
        <v>1.214</v>
      </c>
      <c r="E6312">
        <v>388</v>
      </c>
      <c r="F6312" t="str">
        <f>HYPERLINK("https://www.google.com/maps/search/?api=1&amp;query=26.5090677,45.34735978", "View Map")</f>
        <v>View Map</v>
      </c>
    </row>
    <row r="6313" spans="1:7" x14ac:dyDescent="0.3">
      <c r="A6313" t="s">
        <v>46</v>
      </c>
      <c r="B6313" t="s">
        <v>10824</v>
      </c>
      <c r="C6313" t="s">
        <v>8</v>
      </c>
      <c r="D6313">
        <v>1.214</v>
      </c>
      <c r="E6313">
        <v>389</v>
      </c>
      <c r="F6313" t="str">
        <f>HYPERLINK("https://www.google.com/maps/search/?api=1&amp;query=24.64494741,46.58783997", "View Map")</f>
        <v>View Map</v>
      </c>
    </row>
    <row r="6314" spans="1:7" x14ac:dyDescent="0.3">
      <c r="A6314" t="s">
        <v>10825</v>
      </c>
      <c r="B6314" t="s">
        <v>10826</v>
      </c>
      <c r="C6314" t="s">
        <v>8</v>
      </c>
      <c r="D6314">
        <v>1.2130000000000001</v>
      </c>
      <c r="E6314">
        <v>388</v>
      </c>
      <c r="F6314" t="str">
        <f>HYPERLINK("https://www.google.com/maps/search/?api=1&amp;query=24.58138642,46.65724168", "View Map")</f>
        <v>View Map</v>
      </c>
    </row>
    <row r="6315" spans="1:7" x14ac:dyDescent="0.3">
      <c r="A6315" t="s">
        <v>10827</v>
      </c>
      <c r="B6315" t="s">
        <v>10828</v>
      </c>
      <c r="C6315" t="s">
        <v>8</v>
      </c>
      <c r="D6315">
        <v>1.2130000000000001</v>
      </c>
      <c r="E6315">
        <v>388</v>
      </c>
      <c r="F6315" t="str">
        <f>HYPERLINK("https://www.google.com/maps/search/?api=1&amp;query=24.63576123,46.70314073", "View Map")</f>
        <v>View Map</v>
      </c>
    </row>
    <row r="6316" spans="1:7" x14ac:dyDescent="0.3">
      <c r="A6316" t="s">
        <v>10829</v>
      </c>
      <c r="B6316" t="s">
        <v>10830</v>
      </c>
      <c r="C6316" t="s">
        <v>255</v>
      </c>
      <c r="D6316">
        <v>1.212</v>
      </c>
      <c r="E6316">
        <v>388</v>
      </c>
      <c r="F6316" t="str">
        <f>HYPERLINK("https://www.google.com/maps/search/?api=1&amp;query=24.50670186,44.38111492", "View Map")</f>
        <v>View Map</v>
      </c>
    </row>
    <row r="6317" spans="1:7" x14ac:dyDescent="0.3">
      <c r="A6317" t="s">
        <v>10831</v>
      </c>
      <c r="B6317" t="s">
        <v>10832</v>
      </c>
      <c r="C6317" t="s">
        <v>21</v>
      </c>
      <c r="D6317">
        <v>1.212</v>
      </c>
      <c r="E6317">
        <v>388</v>
      </c>
      <c r="F6317" t="str">
        <f>HYPERLINK("https://www.google.com/maps/search/?api=1&amp;query=26.32371509,44.78584087", "View Map")</f>
        <v>View Map</v>
      </c>
      <c r="G6317" s="2">
        <v>0.48741358888928621</v>
      </c>
    </row>
    <row r="6318" spans="1:7" x14ac:dyDescent="0.3">
      <c r="A6318" t="s">
        <v>10833</v>
      </c>
      <c r="B6318" t="s">
        <v>10834</v>
      </c>
      <c r="C6318" t="s">
        <v>16</v>
      </c>
      <c r="D6318">
        <v>1.212</v>
      </c>
      <c r="E6318">
        <v>388</v>
      </c>
      <c r="F6318" t="str">
        <f>HYPERLINK("https://www.google.com/maps/search/?api=1&amp;query=23.87908037,42.9073452", "View Map")</f>
        <v>View Map</v>
      </c>
      <c r="G6318" s="2">
        <v>8.1224071475305692E-2</v>
      </c>
    </row>
    <row r="6319" spans="1:7" x14ac:dyDescent="0.3">
      <c r="A6319" t="s">
        <v>10835</v>
      </c>
      <c r="B6319" t="s">
        <v>10836</v>
      </c>
      <c r="C6319" t="s">
        <v>8</v>
      </c>
      <c r="D6319">
        <v>1.212</v>
      </c>
      <c r="E6319">
        <v>388</v>
      </c>
      <c r="F6319" t="str">
        <f>HYPERLINK("https://www.google.com/maps/search/?api=1&amp;query=24.67872292,46.71107477", "View Map")</f>
        <v>View Map</v>
      </c>
    </row>
    <row r="6320" spans="1:7" x14ac:dyDescent="0.3">
      <c r="A6320" t="s">
        <v>10837</v>
      </c>
      <c r="B6320" t="s">
        <v>10838</v>
      </c>
      <c r="C6320" t="s">
        <v>8</v>
      </c>
      <c r="D6320">
        <v>1.212</v>
      </c>
      <c r="E6320">
        <v>388</v>
      </c>
      <c r="F6320" t="str">
        <f>HYPERLINK("https://www.google.com/maps/search/?api=1&amp;query=24.72358235,46.85947517", "View Map")</f>
        <v>View Map</v>
      </c>
    </row>
    <row r="6321" spans="1:7" x14ac:dyDescent="0.3">
      <c r="A6321" t="s">
        <v>10839</v>
      </c>
      <c r="B6321" t="s">
        <v>10840</v>
      </c>
      <c r="C6321" t="s">
        <v>291</v>
      </c>
      <c r="D6321">
        <v>1.2110000000000001</v>
      </c>
      <c r="E6321">
        <v>388</v>
      </c>
      <c r="F6321" t="str">
        <f>HYPERLINK("https://www.google.com/maps/search/?api=1&amp;query=24.28118212,45.83269258", "View Map")</f>
        <v>View Map</v>
      </c>
      <c r="G6321" s="2">
        <v>0.2414276473242668</v>
      </c>
    </row>
    <row r="6322" spans="1:7" x14ac:dyDescent="0.3">
      <c r="A6322" t="s">
        <v>46</v>
      </c>
      <c r="B6322" t="s">
        <v>10841</v>
      </c>
      <c r="C6322" t="s">
        <v>55</v>
      </c>
      <c r="D6322">
        <v>1.21</v>
      </c>
      <c r="E6322">
        <v>387</v>
      </c>
      <c r="F6322" t="str">
        <f>HYPERLINK("https://www.google.com/maps/search/?api=1&amp;query=24.75212334,46.56650155", "View Map")</f>
        <v>View Map</v>
      </c>
      <c r="G6322" s="2">
        <v>0.65927475076256803</v>
      </c>
    </row>
    <row r="6323" spans="1:7" x14ac:dyDescent="0.3">
      <c r="A6323" t="s">
        <v>10842</v>
      </c>
      <c r="B6323" t="s">
        <v>10843</v>
      </c>
      <c r="C6323" t="s">
        <v>21</v>
      </c>
      <c r="D6323">
        <v>1.2090000000000001</v>
      </c>
      <c r="E6323">
        <v>387</v>
      </c>
      <c r="F6323" t="str">
        <f>HYPERLINK("https://www.google.com/maps/search/?api=1&amp;query=26.27968848,44.81491035", "View Map")</f>
        <v>View Map</v>
      </c>
      <c r="G6323" s="2">
        <v>0.59899531588465627</v>
      </c>
    </row>
    <row r="6324" spans="1:7" x14ac:dyDescent="0.3">
      <c r="A6324" t="s">
        <v>10844</v>
      </c>
      <c r="B6324" t="s">
        <v>10845</v>
      </c>
      <c r="C6324" t="s">
        <v>77</v>
      </c>
      <c r="D6324">
        <v>1.2090000000000001</v>
      </c>
      <c r="E6324">
        <v>387</v>
      </c>
      <c r="F6324" t="str">
        <f>HYPERLINK("https://www.google.com/maps/search/?api=1&amp;query=22.70296844,45.59759449", "View Map")</f>
        <v>View Map</v>
      </c>
      <c r="G6324" s="2">
        <v>0.45154684018033597</v>
      </c>
    </row>
    <row r="6325" spans="1:7" x14ac:dyDescent="0.3">
      <c r="A6325" t="s">
        <v>10846</v>
      </c>
      <c r="B6325" t="s">
        <v>10847</v>
      </c>
      <c r="C6325" t="s">
        <v>8</v>
      </c>
      <c r="D6325">
        <v>1.2090000000000001</v>
      </c>
      <c r="E6325">
        <v>387</v>
      </c>
      <c r="F6325" t="str">
        <f>HYPERLINK("https://www.google.com/maps/search/?api=1&amp;query=24.6397,46.7139", "View Map")</f>
        <v>View Map</v>
      </c>
    </row>
    <row r="6326" spans="1:7" x14ac:dyDescent="0.3">
      <c r="A6326" t="s">
        <v>10848</v>
      </c>
      <c r="B6326" t="s">
        <v>10849</v>
      </c>
      <c r="C6326" t="s">
        <v>286</v>
      </c>
      <c r="D6326">
        <v>1.2090000000000001</v>
      </c>
      <c r="E6326">
        <v>387</v>
      </c>
      <c r="F6326" t="str">
        <f>HYPERLINK("https://www.google.com/maps/search/?api=1&amp;query=25.23809755,45.25055733", "View Map")</f>
        <v>View Map</v>
      </c>
    </row>
    <row r="6327" spans="1:7" x14ac:dyDescent="0.3">
      <c r="A6327" t="s">
        <v>10850</v>
      </c>
      <c r="B6327" t="s">
        <v>10851</v>
      </c>
      <c r="C6327" t="s">
        <v>393</v>
      </c>
      <c r="D6327">
        <v>1.2090000000000001</v>
      </c>
      <c r="E6327">
        <v>387</v>
      </c>
      <c r="F6327" t="str">
        <f>HYPERLINK("https://www.google.com/maps/search/?api=1&amp;query=23.24670514,45.18755594", "View Map")</f>
        <v>View Map</v>
      </c>
      <c r="G6327" s="2">
        <v>0.62361517172197378</v>
      </c>
    </row>
    <row r="6328" spans="1:7" x14ac:dyDescent="0.3">
      <c r="A6328" t="s">
        <v>10852</v>
      </c>
      <c r="B6328" t="s">
        <v>10853</v>
      </c>
      <c r="C6328" t="s">
        <v>21</v>
      </c>
      <c r="D6328">
        <v>1.2090000000000001</v>
      </c>
      <c r="E6328">
        <v>387</v>
      </c>
      <c r="F6328" t="str">
        <f>HYPERLINK("https://www.google.com/maps/search/?api=1&amp;query=26.30694233,44.79703388", "View Map")</f>
        <v>View Map</v>
      </c>
      <c r="G6328" s="2">
        <v>0.34505281187553533</v>
      </c>
    </row>
    <row r="6329" spans="1:7" x14ac:dyDescent="0.3">
      <c r="A6329" t="s">
        <v>46</v>
      </c>
      <c r="B6329" t="s">
        <v>10854</v>
      </c>
      <c r="C6329" t="s">
        <v>8</v>
      </c>
      <c r="D6329">
        <v>1.208</v>
      </c>
      <c r="E6329">
        <v>387</v>
      </c>
      <c r="F6329" t="str">
        <f>HYPERLINK("https://www.google.com/maps/search/?api=1&amp;query=24.86361684,46.66602534", "View Map")</f>
        <v>View Map</v>
      </c>
      <c r="G6329" s="2">
        <v>0.32414206208751839</v>
      </c>
    </row>
    <row r="6330" spans="1:7" x14ac:dyDescent="0.3">
      <c r="A6330" t="s">
        <v>10855</v>
      </c>
      <c r="B6330" t="s">
        <v>10856</v>
      </c>
      <c r="C6330" t="s">
        <v>77</v>
      </c>
      <c r="D6330">
        <v>1.208</v>
      </c>
      <c r="E6330">
        <v>386</v>
      </c>
      <c r="F6330" t="str">
        <f>HYPERLINK("https://www.google.com/maps/search/?api=1&amp;query=22.40870157,46.61305009", "View Map")</f>
        <v>View Map</v>
      </c>
      <c r="G6330" s="2">
        <v>0.75452858229910225</v>
      </c>
    </row>
    <row r="6331" spans="1:7" x14ac:dyDescent="0.3">
      <c r="A6331" t="s">
        <v>10857</v>
      </c>
      <c r="B6331" t="s">
        <v>10858</v>
      </c>
      <c r="C6331" t="s">
        <v>8</v>
      </c>
      <c r="D6331">
        <v>1.2070000000000001</v>
      </c>
      <c r="E6331">
        <v>386</v>
      </c>
      <c r="F6331" t="str">
        <f>HYPERLINK("https://www.google.com/maps/search/?api=1&amp;query=24.55422808,46.69945164", "View Map")</f>
        <v>View Map</v>
      </c>
    </row>
    <row r="6332" spans="1:7" x14ac:dyDescent="0.3">
      <c r="A6332" t="s">
        <v>46</v>
      </c>
      <c r="B6332" t="s">
        <v>10859</v>
      </c>
      <c r="C6332" t="s">
        <v>8</v>
      </c>
      <c r="D6332">
        <v>1.2070000000000001</v>
      </c>
      <c r="E6332">
        <v>386</v>
      </c>
      <c r="F6332" t="str">
        <f>HYPERLINK("https://www.google.com/maps/search/?api=1&amp;query=24.60827865,46.5058625", "View Map")</f>
        <v>View Map</v>
      </c>
    </row>
    <row r="6333" spans="1:7" x14ac:dyDescent="0.3">
      <c r="A6333" t="s">
        <v>10860</v>
      </c>
      <c r="B6333" t="s">
        <v>10861</v>
      </c>
      <c r="C6333" t="s">
        <v>393</v>
      </c>
      <c r="D6333">
        <v>1.2070000000000001</v>
      </c>
      <c r="E6333">
        <v>386</v>
      </c>
      <c r="F6333" t="str">
        <f>HYPERLINK("https://www.google.com/maps/search/?api=1&amp;query=23.5609193,45.46670423", "View Map")</f>
        <v>View Map</v>
      </c>
      <c r="G6333" s="2">
        <v>0.66660785126065547</v>
      </c>
    </row>
    <row r="6334" spans="1:7" x14ac:dyDescent="0.3">
      <c r="A6334" t="s">
        <v>46</v>
      </c>
      <c r="B6334" t="s">
        <v>10862</v>
      </c>
      <c r="C6334" t="s">
        <v>8</v>
      </c>
      <c r="D6334">
        <v>1.2070000000000001</v>
      </c>
      <c r="E6334">
        <v>386</v>
      </c>
      <c r="F6334" t="str">
        <f>HYPERLINK("https://www.google.com/maps/search/?api=1&amp;query=24.88107218,46.61798141", "View Map")</f>
        <v>View Map</v>
      </c>
    </row>
    <row r="6335" spans="1:7" x14ac:dyDescent="0.3">
      <c r="A6335" t="s">
        <v>10863</v>
      </c>
      <c r="B6335" t="s">
        <v>10864</v>
      </c>
      <c r="C6335" t="s">
        <v>214</v>
      </c>
      <c r="D6335">
        <v>1.2070000000000001</v>
      </c>
      <c r="E6335">
        <v>386</v>
      </c>
      <c r="F6335" t="str">
        <f>HYPERLINK("https://www.google.com/maps/search/?api=1&amp;query=25.90242905,45.36431455", "View Map")</f>
        <v>View Map</v>
      </c>
      <c r="G6335" s="2">
        <v>0.42073618145678021</v>
      </c>
    </row>
    <row r="6336" spans="1:7" x14ac:dyDescent="0.3">
      <c r="A6336" t="s">
        <v>146</v>
      </c>
      <c r="B6336" t="s">
        <v>10865</v>
      </c>
      <c r="C6336" t="s">
        <v>8</v>
      </c>
      <c r="D6336">
        <v>1.2070000000000001</v>
      </c>
      <c r="E6336">
        <v>386</v>
      </c>
      <c r="F6336" t="str">
        <f>HYPERLINK("https://www.google.com/maps/search/?api=1&amp;query=24.55414887,46.62646314", "View Map")</f>
        <v>View Map</v>
      </c>
    </row>
    <row r="6337" spans="1:7" x14ac:dyDescent="0.3">
      <c r="A6337" t="s">
        <v>10866</v>
      </c>
      <c r="B6337" t="s">
        <v>10867</v>
      </c>
      <c r="C6337" t="s">
        <v>8</v>
      </c>
      <c r="D6337">
        <v>1.2070000000000001</v>
      </c>
      <c r="E6337">
        <v>386</v>
      </c>
      <c r="F6337" t="str">
        <f>HYPERLINK("https://www.google.com/maps/search/?api=1&amp;query=24.61658094,46.70892594", "View Map")</f>
        <v>View Map</v>
      </c>
    </row>
    <row r="6338" spans="1:7" x14ac:dyDescent="0.3">
      <c r="A6338" t="s">
        <v>46</v>
      </c>
      <c r="B6338" t="s">
        <v>10868</v>
      </c>
      <c r="C6338" t="s">
        <v>8</v>
      </c>
      <c r="D6338">
        <v>1.2070000000000001</v>
      </c>
      <c r="E6338">
        <v>386</v>
      </c>
      <c r="F6338" t="str">
        <f>HYPERLINK("https://www.google.com/maps/search/?api=1&amp;query=24.78529326,46.71730123", "View Map")</f>
        <v>View Map</v>
      </c>
    </row>
    <row r="6339" spans="1:7" x14ac:dyDescent="0.3">
      <c r="A6339" t="s">
        <v>661</v>
      </c>
      <c r="B6339" t="s">
        <v>10869</v>
      </c>
      <c r="C6339" t="s">
        <v>214</v>
      </c>
      <c r="D6339">
        <v>1.2070000000000001</v>
      </c>
      <c r="E6339">
        <v>386</v>
      </c>
      <c r="F6339" t="str">
        <f>HYPERLINK("https://www.google.com/maps/search/?api=1&amp;query=25.57107599,45.69614921", "View Map")</f>
        <v>View Map</v>
      </c>
    </row>
    <row r="6340" spans="1:7" x14ac:dyDescent="0.3">
      <c r="A6340" t="s">
        <v>6878</v>
      </c>
      <c r="B6340" t="s">
        <v>10870</v>
      </c>
      <c r="C6340" t="s">
        <v>8</v>
      </c>
      <c r="D6340">
        <v>1.206</v>
      </c>
      <c r="E6340">
        <v>386</v>
      </c>
      <c r="F6340" t="str">
        <f>HYPERLINK("https://www.google.com/maps/search/?api=1&amp;query=24.59712241,46.68548373", "View Map")</f>
        <v>View Map</v>
      </c>
    </row>
    <row r="6341" spans="1:7" x14ac:dyDescent="0.3">
      <c r="A6341" t="s">
        <v>10871</v>
      </c>
      <c r="B6341" t="s">
        <v>10872</v>
      </c>
      <c r="C6341" t="s">
        <v>8</v>
      </c>
      <c r="D6341">
        <v>1.206</v>
      </c>
      <c r="E6341">
        <v>386</v>
      </c>
      <c r="F6341" t="str">
        <f>HYPERLINK("https://www.google.com/maps/search/?api=1&amp;query=24.77862528,46.83270117", "View Map")</f>
        <v>View Map</v>
      </c>
    </row>
    <row r="6342" spans="1:7" x14ac:dyDescent="0.3">
      <c r="A6342" t="s">
        <v>10873</v>
      </c>
      <c r="B6342" t="s">
        <v>10874</v>
      </c>
      <c r="C6342" t="s">
        <v>8</v>
      </c>
      <c r="D6342">
        <v>1.2050000000000001</v>
      </c>
      <c r="E6342">
        <v>386</v>
      </c>
      <c r="F6342" t="str">
        <f>HYPERLINK("https://www.google.com/maps/search/?api=1&amp;query=24.71392961,46.66438471", "View Map")</f>
        <v>View Map</v>
      </c>
      <c r="G6342" s="2">
        <v>0.60111336780215263</v>
      </c>
    </row>
    <row r="6343" spans="1:7" x14ac:dyDescent="0.3">
      <c r="A6343" t="s">
        <v>10875</v>
      </c>
      <c r="B6343" t="s">
        <v>10876</v>
      </c>
      <c r="C6343" t="s">
        <v>8</v>
      </c>
      <c r="D6343">
        <v>1.2050000000000001</v>
      </c>
      <c r="E6343">
        <v>386</v>
      </c>
      <c r="F6343" t="str">
        <f>HYPERLINK("https://www.google.com/maps/search/?api=1&amp;query=24.67328746,46.58223855", "View Map")</f>
        <v>View Map</v>
      </c>
    </row>
    <row r="6344" spans="1:7" x14ac:dyDescent="0.3">
      <c r="A6344" t="s">
        <v>46</v>
      </c>
      <c r="B6344" t="s">
        <v>10877</v>
      </c>
      <c r="C6344" t="s">
        <v>8</v>
      </c>
      <c r="D6344">
        <v>1.204</v>
      </c>
      <c r="E6344">
        <v>385</v>
      </c>
      <c r="F6344" t="str">
        <f>HYPERLINK("https://www.google.com/maps/search/?api=1&amp;query=24.63591152,46.60749751", "View Map")</f>
        <v>View Map</v>
      </c>
    </row>
    <row r="6345" spans="1:7" x14ac:dyDescent="0.3">
      <c r="A6345" t="s">
        <v>10878</v>
      </c>
      <c r="B6345" t="s">
        <v>10879</v>
      </c>
      <c r="C6345" t="s">
        <v>55</v>
      </c>
      <c r="D6345">
        <v>1.204</v>
      </c>
      <c r="E6345">
        <v>385</v>
      </c>
      <c r="F6345" t="str">
        <f>HYPERLINK("https://www.google.com/maps/search/?api=1&amp;query=24.74899343,46.56930956", "View Map")</f>
        <v>View Map</v>
      </c>
    </row>
    <row r="6346" spans="1:7" x14ac:dyDescent="0.3">
      <c r="A6346" t="s">
        <v>146</v>
      </c>
      <c r="B6346" t="s">
        <v>10880</v>
      </c>
      <c r="C6346" t="s">
        <v>8</v>
      </c>
      <c r="D6346">
        <v>1.204</v>
      </c>
      <c r="E6346">
        <v>385</v>
      </c>
      <c r="F6346" t="str">
        <f>HYPERLINK("https://www.google.com/maps/search/?api=1&amp;query=24.67050962,46.57164983", "View Map")</f>
        <v>View Map</v>
      </c>
    </row>
    <row r="6347" spans="1:7" x14ac:dyDescent="0.3">
      <c r="A6347" t="s">
        <v>10881</v>
      </c>
      <c r="B6347" t="s">
        <v>10882</v>
      </c>
      <c r="C6347" t="s">
        <v>8</v>
      </c>
      <c r="D6347">
        <v>1.2030000000000001</v>
      </c>
      <c r="E6347">
        <v>385</v>
      </c>
      <c r="F6347" t="str">
        <f>HYPERLINK("https://www.google.com/maps/search/?api=1&amp;query=24.56941762,46.75452135", "View Map")</f>
        <v>View Map</v>
      </c>
    </row>
    <row r="6348" spans="1:7" x14ac:dyDescent="0.3">
      <c r="A6348" t="s">
        <v>10883</v>
      </c>
      <c r="B6348" t="s">
        <v>10884</v>
      </c>
      <c r="C6348" t="s">
        <v>16</v>
      </c>
      <c r="D6348">
        <v>1.2030000000000001</v>
      </c>
      <c r="E6348">
        <v>385</v>
      </c>
      <c r="F6348" t="str">
        <f>HYPERLINK("https://www.google.com/maps/search/?api=1&amp;query=23.91677189,42.93534483", "View Map")</f>
        <v>View Map</v>
      </c>
      <c r="G6348" s="2">
        <v>0.27746497680123328</v>
      </c>
    </row>
    <row r="6349" spans="1:7" x14ac:dyDescent="0.3">
      <c r="A6349" t="s">
        <v>46</v>
      </c>
      <c r="B6349" t="s">
        <v>10885</v>
      </c>
      <c r="C6349" t="s">
        <v>8</v>
      </c>
      <c r="D6349">
        <v>1.202</v>
      </c>
      <c r="E6349">
        <v>385</v>
      </c>
      <c r="F6349" t="str">
        <f>HYPERLINK("https://www.google.com/maps/search/?api=1&amp;query=24.66901416,46.54254677", "View Map")</f>
        <v>View Map</v>
      </c>
    </row>
    <row r="6350" spans="1:7" x14ac:dyDescent="0.3">
      <c r="A6350" t="s">
        <v>7268</v>
      </c>
      <c r="B6350" t="s">
        <v>10886</v>
      </c>
      <c r="C6350" t="s">
        <v>364</v>
      </c>
      <c r="D6350">
        <v>1.202</v>
      </c>
      <c r="E6350">
        <v>385</v>
      </c>
      <c r="F6350" t="str">
        <f>HYPERLINK("https://www.google.com/maps/search/?api=1&amp;query=25.25005793,45.86888571", "View Map")</f>
        <v>View Map</v>
      </c>
      <c r="G6350" s="2">
        <v>0.49706085151694268</v>
      </c>
    </row>
    <row r="6351" spans="1:7" x14ac:dyDescent="0.3">
      <c r="A6351" t="s">
        <v>10887</v>
      </c>
      <c r="B6351" t="s">
        <v>10888</v>
      </c>
      <c r="C6351" t="s">
        <v>8</v>
      </c>
      <c r="D6351">
        <v>1.2010000000000001</v>
      </c>
      <c r="E6351">
        <v>384</v>
      </c>
      <c r="F6351" t="str">
        <f>HYPERLINK("https://www.google.com/maps/search/?api=1&amp;query=24.61684426,46.63518922", "View Map")</f>
        <v>View Map</v>
      </c>
    </row>
    <row r="6352" spans="1:7" x14ac:dyDescent="0.3">
      <c r="A6352" t="s">
        <v>10889</v>
      </c>
      <c r="B6352" t="s">
        <v>10890</v>
      </c>
      <c r="C6352" t="s">
        <v>8</v>
      </c>
      <c r="D6352">
        <v>1.2010000000000001</v>
      </c>
      <c r="E6352">
        <v>384</v>
      </c>
      <c r="F6352" t="str">
        <f>HYPERLINK("https://www.google.com/maps/search/?api=1&amp;query=24.64113356,46.59069291", "View Map")</f>
        <v>View Map</v>
      </c>
    </row>
    <row r="6353" spans="1:7" x14ac:dyDescent="0.3">
      <c r="A6353" t="s">
        <v>10891</v>
      </c>
      <c r="B6353" t="s">
        <v>10892</v>
      </c>
      <c r="C6353" t="s">
        <v>291</v>
      </c>
      <c r="D6353">
        <v>1.2010000000000001</v>
      </c>
      <c r="E6353">
        <v>384</v>
      </c>
      <c r="F6353" t="str">
        <f>HYPERLINK("https://www.google.com/maps/search/?api=1&amp;query=23.27092907,44.65791758", "View Map")</f>
        <v>View Map</v>
      </c>
      <c r="G6353" s="2">
        <v>0.49492960361064842</v>
      </c>
    </row>
    <row r="6354" spans="1:7" x14ac:dyDescent="0.3">
      <c r="A6354" t="s">
        <v>10893</v>
      </c>
      <c r="B6354" t="s">
        <v>10894</v>
      </c>
      <c r="C6354" t="s">
        <v>30</v>
      </c>
      <c r="D6354">
        <v>1.2010000000000001</v>
      </c>
      <c r="E6354">
        <v>384</v>
      </c>
      <c r="F6354" t="str">
        <f>HYPERLINK("https://www.google.com/maps/search/?api=1&amp;query=24.24858731,47.35971213", "View Map")</f>
        <v>View Map</v>
      </c>
    </row>
    <row r="6355" spans="1:7" x14ac:dyDescent="0.3">
      <c r="A6355" t="s">
        <v>10895</v>
      </c>
      <c r="B6355" t="s">
        <v>10896</v>
      </c>
      <c r="C6355" t="s">
        <v>364</v>
      </c>
      <c r="D6355">
        <v>1.2010000000000001</v>
      </c>
      <c r="E6355">
        <v>384</v>
      </c>
      <c r="F6355" t="str">
        <f>HYPERLINK("https://www.google.com/maps/search/?api=1&amp;query=25.27035049,45.86581514", "View Map")</f>
        <v>View Map</v>
      </c>
    </row>
    <row r="6356" spans="1:7" x14ac:dyDescent="0.3">
      <c r="A6356" t="s">
        <v>10897</v>
      </c>
      <c r="B6356" t="s">
        <v>10898</v>
      </c>
      <c r="C6356" t="s">
        <v>255</v>
      </c>
      <c r="D6356">
        <v>1.2010000000000001</v>
      </c>
      <c r="E6356">
        <v>384</v>
      </c>
      <c r="F6356" t="str">
        <f>HYPERLINK("https://www.google.com/maps/search/?api=1&amp;query=24.2861641,43.73103639", "View Map")</f>
        <v>View Map</v>
      </c>
      <c r="G6356" s="2">
        <v>0.51722671359816952</v>
      </c>
    </row>
    <row r="6357" spans="1:7" x14ac:dyDescent="0.3">
      <c r="A6357" t="s">
        <v>10899</v>
      </c>
      <c r="B6357" t="s">
        <v>10900</v>
      </c>
      <c r="C6357" t="s">
        <v>8</v>
      </c>
      <c r="D6357">
        <v>1.2010000000000001</v>
      </c>
      <c r="E6357">
        <v>384</v>
      </c>
      <c r="F6357" t="str">
        <f>HYPERLINK("https://www.google.com/maps/search/?api=1&amp;query=24.63137862,46.57013132", "View Map")</f>
        <v>View Map</v>
      </c>
    </row>
    <row r="6358" spans="1:7" x14ac:dyDescent="0.3">
      <c r="A6358" t="s">
        <v>5240</v>
      </c>
      <c r="B6358" t="s">
        <v>10901</v>
      </c>
      <c r="C6358" t="s">
        <v>8</v>
      </c>
      <c r="D6358">
        <v>1.2</v>
      </c>
      <c r="E6358">
        <v>384</v>
      </c>
      <c r="F6358" t="str">
        <f>HYPERLINK("https://www.google.com/maps/search/?api=1&amp;query=24.8174262,46.88257927", "View Map")</f>
        <v>View Map</v>
      </c>
    </row>
    <row r="6359" spans="1:7" x14ac:dyDescent="0.3">
      <c r="A6359" t="s">
        <v>1230</v>
      </c>
      <c r="B6359" t="s">
        <v>10902</v>
      </c>
      <c r="C6359" t="s">
        <v>466</v>
      </c>
      <c r="D6359">
        <v>1.2</v>
      </c>
      <c r="E6359">
        <v>384</v>
      </c>
      <c r="F6359" t="str">
        <f>HYPERLINK("https://www.google.com/maps/search/?api=1&amp;query=24.59191803,46.14981991", "View Map")</f>
        <v>View Map</v>
      </c>
      <c r="G6359" s="2">
        <v>0.14445734513564989</v>
      </c>
    </row>
    <row r="6360" spans="1:7" x14ac:dyDescent="0.3">
      <c r="A6360" t="s">
        <v>146</v>
      </c>
      <c r="B6360" t="s">
        <v>10903</v>
      </c>
      <c r="C6360" t="s">
        <v>8</v>
      </c>
      <c r="D6360">
        <v>1.2</v>
      </c>
      <c r="E6360">
        <v>384</v>
      </c>
      <c r="F6360" t="str">
        <f>HYPERLINK("https://www.google.com/maps/search/?api=1&amp;query=24.55363955,46.6674507", "View Map")</f>
        <v>View Map</v>
      </c>
    </row>
    <row r="6361" spans="1:7" x14ac:dyDescent="0.3">
      <c r="A6361" t="s">
        <v>10904</v>
      </c>
      <c r="B6361" t="s">
        <v>10905</v>
      </c>
      <c r="C6361" t="s">
        <v>30</v>
      </c>
      <c r="D6361">
        <v>1.2</v>
      </c>
      <c r="E6361">
        <v>384</v>
      </c>
      <c r="F6361" t="str">
        <f>HYPERLINK("https://www.google.com/maps/search/?api=1&amp;query=24.19180169,47.27529658", "View Map")</f>
        <v>View Map</v>
      </c>
    </row>
    <row r="6362" spans="1:7" x14ac:dyDescent="0.3">
      <c r="A6362" t="s">
        <v>10906</v>
      </c>
      <c r="B6362" t="s">
        <v>10907</v>
      </c>
      <c r="C6362" t="s">
        <v>16</v>
      </c>
      <c r="D6362">
        <v>1.2</v>
      </c>
      <c r="E6362">
        <v>384</v>
      </c>
      <c r="F6362" t="str">
        <f>HYPERLINK("https://www.google.com/maps/search/?api=1&amp;query=23.70357373,42.22471763", "View Map")</f>
        <v>View Map</v>
      </c>
      <c r="G6362" s="2">
        <v>0.54194102641839226</v>
      </c>
    </row>
    <row r="6363" spans="1:7" x14ac:dyDescent="0.3">
      <c r="A6363" t="s">
        <v>1273</v>
      </c>
      <c r="B6363" t="s">
        <v>10908</v>
      </c>
      <c r="C6363" t="s">
        <v>241</v>
      </c>
      <c r="D6363">
        <v>1.1990000000000001</v>
      </c>
      <c r="E6363">
        <v>384</v>
      </c>
      <c r="F6363" t="str">
        <f>HYPERLINK("https://www.google.com/maps/search/?api=1&amp;query=20.38343937,44.78796761", "View Map")</f>
        <v>View Map</v>
      </c>
    </row>
    <row r="6364" spans="1:7" x14ac:dyDescent="0.3">
      <c r="A6364" t="s">
        <v>10909</v>
      </c>
      <c r="B6364" t="s">
        <v>10910</v>
      </c>
      <c r="C6364" t="s">
        <v>8</v>
      </c>
      <c r="D6364">
        <v>1.198</v>
      </c>
      <c r="E6364">
        <v>384</v>
      </c>
      <c r="F6364" t="str">
        <f>HYPERLINK("https://www.google.com/maps/search/?api=1&amp;query=24.79424058,46.64743725", "View Map")</f>
        <v>View Map</v>
      </c>
    </row>
    <row r="6365" spans="1:7" x14ac:dyDescent="0.3">
      <c r="A6365" t="s">
        <v>10911</v>
      </c>
      <c r="B6365" t="s">
        <v>10912</v>
      </c>
      <c r="C6365" t="s">
        <v>255</v>
      </c>
      <c r="D6365">
        <v>1.198</v>
      </c>
      <c r="E6365">
        <v>383</v>
      </c>
      <c r="F6365" t="str">
        <f>HYPERLINK("https://www.google.com/maps/search/?api=1&amp;query=25.06151833,44.70792793", "View Map")</f>
        <v>View Map</v>
      </c>
      <c r="G6365" s="2">
        <v>0.36257757072547098</v>
      </c>
    </row>
    <row r="6366" spans="1:7" x14ac:dyDescent="0.3">
      <c r="A6366" t="s">
        <v>4050</v>
      </c>
      <c r="B6366" t="s">
        <v>10913</v>
      </c>
      <c r="C6366" t="s">
        <v>8</v>
      </c>
      <c r="D6366">
        <v>1.198</v>
      </c>
      <c r="E6366">
        <v>383</v>
      </c>
      <c r="F6366" t="str">
        <f>HYPERLINK("https://www.google.com/maps/search/?api=1&amp;query=24.57764767,46.83948955", "View Map")</f>
        <v>View Map</v>
      </c>
    </row>
    <row r="6367" spans="1:7" x14ac:dyDescent="0.3">
      <c r="A6367" t="s">
        <v>10914</v>
      </c>
      <c r="B6367" t="s">
        <v>10915</v>
      </c>
      <c r="C6367" t="s">
        <v>8</v>
      </c>
      <c r="D6367">
        <v>1.198</v>
      </c>
      <c r="E6367">
        <v>383</v>
      </c>
      <c r="F6367" t="str">
        <f>HYPERLINK("https://www.google.com/maps/search/?api=1&amp;query=24.55166606,46.66377496", "View Map")</f>
        <v>View Map</v>
      </c>
    </row>
    <row r="6368" spans="1:7" x14ac:dyDescent="0.3">
      <c r="A6368" t="s">
        <v>10916</v>
      </c>
      <c r="B6368" t="s">
        <v>10917</v>
      </c>
      <c r="C6368" t="s">
        <v>214</v>
      </c>
      <c r="D6368">
        <v>1.1970000000000001</v>
      </c>
      <c r="E6368">
        <v>383</v>
      </c>
      <c r="F6368" t="str">
        <f>HYPERLINK("https://www.google.com/maps/search/?api=1&amp;query=25.92113663,45.37142969", "View Map")</f>
        <v>View Map</v>
      </c>
      <c r="G6368" s="2">
        <v>0.40076690208142518</v>
      </c>
    </row>
    <row r="6369" spans="1:7" x14ac:dyDescent="0.3">
      <c r="A6369" t="s">
        <v>10918</v>
      </c>
      <c r="B6369" t="s">
        <v>10919</v>
      </c>
      <c r="C6369" t="s">
        <v>255</v>
      </c>
      <c r="D6369">
        <v>1.1970000000000001</v>
      </c>
      <c r="E6369">
        <v>383</v>
      </c>
      <c r="F6369" t="str">
        <f>HYPERLINK("https://www.google.com/maps/search/?api=1&amp;query=24.69454404,43.6958487", "View Map")</f>
        <v>View Map</v>
      </c>
      <c r="G6369" s="2">
        <v>0.54862224884900179</v>
      </c>
    </row>
    <row r="6370" spans="1:7" x14ac:dyDescent="0.3">
      <c r="A6370" t="s">
        <v>6521</v>
      </c>
      <c r="B6370" t="s">
        <v>10920</v>
      </c>
      <c r="C6370" t="s">
        <v>8</v>
      </c>
      <c r="D6370">
        <v>1.1970000000000001</v>
      </c>
      <c r="E6370">
        <v>383</v>
      </c>
      <c r="F6370" t="str">
        <f>HYPERLINK("https://www.google.com/maps/search/?api=1&amp;query=24.59884135,46.70457828", "View Map")</f>
        <v>View Map</v>
      </c>
    </row>
    <row r="6371" spans="1:7" x14ac:dyDescent="0.3">
      <c r="A6371" t="s">
        <v>10921</v>
      </c>
      <c r="B6371" t="s">
        <v>10922</v>
      </c>
      <c r="C6371" t="s">
        <v>393</v>
      </c>
      <c r="D6371">
        <v>1.1970000000000001</v>
      </c>
      <c r="E6371">
        <v>383</v>
      </c>
      <c r="F6371" t="str">
        <f>HYPERLINK("https://www.google.com/maps/search/?api=1&amp;query=22.80294086,45.15472506", "View Map")</f>
        <v>View Map</v>
      </c>
      <c r="G6371" s="2">
        <v>0.53200803328797586</v>
      </c>
    </row>
    <row r="6372" spans="1:7" x14ac:dyDescent="0.3">
      <c r="A6372" t="s">
        <v>10923</v>
      </c>
      <c r="B6372" t="s">
        <v>10924</v>
      </c>
      <c r="C6372" t="s">
        <v>255</v>
      </c>
      <c r="D6372">
        <v>1.1970000000000001</v>
      </c>
      <c r="E6372">
        <v>383</v>
      </c>
      <c r="F6372" t="str">
        <f>HYPERLINK("https://www.google.com/maps/search/?api=1&amp;query=24.20045799,43.84274351", "View Map")</f>
        <v>View Map</v>
      </c>
    </row>
    <row r="6373" spans="1:7" x14ac:dyDescent="0.3">
      <c r="A6373" t="s">
        <v>150</v>
      </c>
      <c r="B6373" t="s">
        <v>10925</v>
      </c>
      <c r="C6373" t="s">
        <v>8</v>
      </c>
      <c r="D6373">
        <v>1.196</v>
      </c>
      <c r="E6373">
        <v>383</v>
      </c>
      <c r="F6373" t="str">
        <f>HYPERLINK("https://www.google.com/maps/search/?api=1&amp;query=24.80315658,46.89069816", "View Map")</f>
        <v>View Map</v>
      </c>
    </row>
    <row r="6374" spans="1:7" x14ac:dyDescent="0.3">
      <c r="A6374" t="s">
        <v>10926</v>
      </c>
      <c r="B6374" t="s">
        <v>10927</v>
      </c>
      <c r="C6374" t="s">
        <v>8</v>
      </c>
      <c r="D6374">
        <v>1.196</v>
      </c>
      <c r="E6374">
        <v>383</v>
      </c>
      <c r="F6374" t="str">
        <f>HYPERLINK("https://www.google.com/maps/search/?api=1&amp;query=24.57958915,46.61910479", "View Map")</f>
        <v>View Map</v>
      </c>
    </row>
    <row r="6375" spans="1:7" x14ac:dyDescent="0.3">
      <c r="A6375" t="s">
        <v>10928</v>
      </c>
      <c r="B6375" t="s">
        <v>10929</v>
      </c>
      <c r="C6375" t="s">
        <v>270</v>
      </c>
      <c r="D6375">
        <v>1.196</v>
      </c>
      <c r="E6375">
        <v>383</v>
      </c>
      <c r="F6375" t="str">
        <f>HYPERLINK("https://www.google.com/maps/search/?api=1&amp;query=23.99555109,47.15098823", "View Map")</f>
        <v>View Map</v>
      </c>
    </row>
    <row r="6376" spans="1:7" x14ac:dyDescent="0.3">
      <c r="A6376" t="s">
        <v>10930</v>
      </c>
      <c r="B6376" t="s">
        <v>10931</v>
      </c>
      <c r="C6376" t="s">
        <v>8</v>
      </c>
      <c r="D6376">
        <v>1.1950000000000001</v>
      </c>
      <c r="E6376">
        <v>382</v>
      </c>
      <c r="F6376" t="str">
        <f>HYPERLINK("https://www.google.com/maps/search/?api=1&amp;query=24.68333919,46.75265711", "View Map")</f>
        <v>View Map</v>
      </c>
    </row>
    <row r="6377" spans="1:7" x14ac:dyDescent="0.3">
      <c r="A6377" t="s">
        <v>10932</v>
      </c>
      <c r="B6377" t="s">
        <v>10933</v>
      </c>
      <c r="C6377" t="s">
        <v>214</v>
      </c>
      <c r="D6377">
        <v>1.1950000000000001</v>
      </c>
      <c r="E6377">
        <v>382</v>
      </c>
      <c r="F6377" t="str">
        <f>HYPERLINK("https://www.google.com/maps/search/?api=1&amp;query=25.82045123,45.78523459", "View Map")</f>
        <v>View Map</v>
      </c>
      <c r="G6377" s="2">
        <v>0.7125067016886496</v>
      </c>
    </row>
    <row r="6378" spans="1:7" x14ac:dyDescent="0.3">
      <c r="A6378" t="s">
        <v>10934</v>
      </c>
      <c r="B6378" t="s">
        <v>10935</v>
      </c>
      <c r="C6378" t="s">
        <v>8</v>
      </c>
      <c r="D6378">
        <v>1.1950000000000001</v>
      </c>
      <c r="E6378">
        <v>382</v>
      </c>
      <c r="F6378" t="str">
        <f>HYPERLINK("https://www.google.com/maps/search/?api=1&amp;query=24.56874929,46.77004487", "View Map")</f>
        <v>View Map</v>
      </c>
    </row>
    <row r="6379" spans="1:7" x14ac:dyDescent="0.3">
      <c r="A6379" t="s">
        <v>10936</v>
      </c>
      <c r="B6379" t="s">
        <v>10937</v>
      </c>
      <c r="C6379" t="s">
        <v>16</v>
      </c>
      <c r="D6379">
        <v>1.194</v>
      </c>
      <c r="E6379">
        <v>382</v>
      </c>
      <c r="F6379" t="str">
        <f>HYPERLINK("https://www.google.com/maps/search/?api=1&amp;query=24.3521358,43.25142824", "View Map")</f>
        <v>View Map</v>
      </c>
      <c r="G6379" s="2">
        <v>0.57207078168873216</v>
      </c>
    </row>
    <row r="6380" spans="1:7" x14ac:dyDescent="0.3">
      <c r="A6380" t="s">
        <v>10938</v>
      </c>
      <c r="B6380" t="s">
        <v>10939</v>
      </c>
      <c r="C6380" t="s">
        <v>8</v>
      </c>
      <c r="D6380">
        <v>1.194</v>
      </c>
      <c r="E6380">
        <v>382</v>
      </c>
      <c r="F6380" t="str">
        <f>HYPERLINK("https://www.google.com/maps/search/?api=1&amp;query=24.60939611,46.6062606", "View Map")</f>
        <v>View Map</v>
      </c>
    </row>
    <row r="6381" spans="1:7" x14ac:dyDescent="0.3">
      <c r="A6381" t="s">
        <v>10940</v>
      </c>
      <c r="B6381" t="s">
        <v>10941</v>
      </c>
      <c r="C6381" t="s">
        <v>466</v>
      </c>
      <c r="D6381">
        <v>1.194</v>
      </c>
      <c r="E6381">
        <v>382</v>
      </c>
      <c r="F6381" t="str">
        <f>HYPERLINK("https://www.google.com/maps/search/?api=1&amp;query=24.59091676,46.13688909", "View Map")</f>
        <v>View Map</v>
      </c>
    </row>
    <row r="6382" spans="1:7" x14ac:dyDescent="0.3">
      <c r="A6382" t="s">
        <v>4636</v>
      </c>
      <c r="B6382" t="s">
        <v>10942</v>
      </c>
      <c r="C6382" t="s">
        <v>8</v>
      </c>
      <c r="D6382">
        <v>1.1930000000000001</v>
      </c>
      <c r="E6382">
        <v>382</v>
      </c>
      <c r="F6382" t="str">
        <f>HYPERLINK("https://www.google.com/maps/search/?api=1&amp;query=24.74345091,46.75898679", "View Map")</f>
        <v>View Map</v>
      </c>
    </row>
    <row r="6383" spans="1:7" x14ac:dyDescent="0.3">
      <c r="A6383" t="s">
        <v>10943</v>
      </c>
      <c r="B6383" t="s">
        <v>10944</v>
      </c>
      <c r="C6383" t="s">
        <v>8</v>
      </c>
      <c r="D6383">
        <v>1.1930000000000001</v>
      </c>
      <c r="E6383">
        <v>382</v>
      </c>
      <c r="F6383" t="str">
        <f>HYPERLINK("https://www.google.com/maps/search/?api=1&amp;query=24.67433018,46.81185633", "View Map")</f>
        <v>View Map</v>
      </c>
    </row>
    <row r="6384" spans="1:7" x14ac:dyDescent="0.3">
      <c r="A6384" t="s">
        <v>10945</v>
      </c>
      <c r="B6384" t="s">
        <v>10946</v>
      </c>
      <c r="C6384" t="s">
        <v>296</v>
      </c>
      <c r="D6384">
        <v>1.1930000000000001</v>
      </c>
      <c r="E6384">
        <v>382</v>
      </c>
      <c r="F6384" t="str">
        <f>HYPERLINK("https://www.google.com/maps/search/?api=1&amp;query=24.45616384,46.26639022", "View Map")</f>
        <v>View Map</v>
      </c>
    </row>
    <row r="6385" spans="1:7" x14ac:dyDescent="0.3">
      <c r="A6385" t="s">
        <v>10947</v>
      </c>
      <c r="B6385" t="s">
        <v>10948</v>
      </c>
      <c r="C6385" t="s">
        <v>30</v>
      </c>
      <c r="D6385">
        <v>1.1919999999999999</v>
      </c>
      <c r="E6385">
        <v>381</v>
      </c>
      <c r="F6385" t="str">
        <f>HYPERLINK("https://www.google.com/maps/search/?api=1&amp;query=24.08398279,47.223657", "View Map")</f>
        <v>View Map</v>
      </c>
      <c r="G6385" s="2">
        <v>0.29301547403251837</v>
      </c>
    </row>
    <row r="6386" spans="1:7" x14ac:dyDescent="0.3">
      <c r="A6386" t="s">
        <v>73</v>
      </c>
      <c r="B6386" t="s">
        <v>10949</v>
      </c>
      <c r="C6386" t="s">
        <v>8</v>
      </c>
      <c r="D6386">
        <v>1.1919999999999999</v>
      </c>
      <c r="E6386">
        <v>382</v>
      </c>
      <c r="F6386" t="str">
        <f>HYPERLINK("https://www.google.com/maps/search/?api=1&amp;query=24.69038778,46.83608904", "View Map")</f>
        <v>View Map</v>
      </c>
      <c r="G6386" s="2">
        <v>0.26076592117345621</v>
      </c>
    </row>
    <row r="6387" spans="1:7" x14ac:dyDescent="0.3">
      <c r="A6387" t="s">
        <v>10950</v>
      </c>
      <c r="B6387" t="s">
        <v>10951</v>
      </c>
      <c r="C6387" t="s">
        <v>699</v>
      </c>
      <c r="D6387">
        <v>1.1910000000000001</v>
      </c>
      <c r="E6387">
        <v>381</v>
      </c>
      <c r="F6387" t="str">
        <f>HYPERLINK("https://www.google.com/maps/search/?api=1&amp;query=24.5089364,45.38098373", "View Map")</f>
        <v>View Map</v>
      </c>
      <c r="G6387" s="2">
        <v>0.65463529949805876</v>
      </c>
    </row>
    <row r="6388" spans="1:7" x14ac:dyDescent="0.3">
      <c r="A6388" t="s">
        <v>146</v>
      </c>
      <c r="B6388" t="s">
        <v>10952</v>
      </c>
      <c r="C6388" t="s">
        <v>8</v>
      </c>
      <c r="D6388">
        <v>1.1910000000000001</v>
      </c>
      <c r="E6388">
        <v>381</v>
      </c>
      <c r="F6388" t="str">
        <f>HYPERLINK("https://www.google.com/maps/search/?api=1&amp;query=24.55565911,46.5900944", "View Map")</f>
        <v>View Map</v>
      </c>
    </row>
    <row r="6389" spans="1:7" x14ac:dyDescent="0.3">
      <c r="A6389" t="s">
        <v>10953</v>
      </c>
      <c r="B6389" t="s">
        <v>10954</v>
      </c>
      <c r="C6389" t="s">
        <v>30</v>
      </c>
      <c r="D6389">
        <v>1.1910000000000001</v>
      </c>
      <c r="E6389">
        <v>381</v>
      </c>
      <c r="F6389" t="str">
        <f>HYPERLINK("https://www.google.com/maps/search/?api=1&amp;query=24.18058772,47.33462184", "View Map")</f>
        <v>View Map</v>
      </c>
      <c r="G6389" s="2">
        <v>0.46525997871042352</v>
      </c>
    </row>
    <row r="6390" spans="1:7" x14ac:dyDescent="0.3">
      <c r="A6390" t="s">
        <v>10955</v>
      </c>
      <c r="B6390" t="s">
        <v>10956</v>
      </c>
      <c r="C6390" t="s">
        <v>255</v>
      </c>
      <c r="D6390">
        <v>1.19</v>
      </c>
      <c r="E6390">
        <v>381</v>
      </c>
      <c r="F6390" t="str">
        <f>HYPERLINK("https://www.google.com/maps/search/?api=1&amp;query=25.49011297,44.46880598", "View Map")</f>
        <v>View Map</v>
      </c>
      <c r="G6390" s="2">
        <v>0.32449614711015101</v>
      </c>
    </row>
    <row r="6391" spans="1:7" x14ac:dyDescent="0.3">
      <c r="A6391" t="s">
        <v>627</v>
      </c>
      <c r="B6391" t="s">
        <v>10957</v>
      </c>
      <c r="C6391" t="s">
        <v>8</v>
      </c>
      <c r="D6391">
        <v>1.19</v>
      </c>
      <c r="E6391">
        <v>381</v>
      </c>
      <c r="F6391" t="str">
        <f>HYPERLINK("https://www.google.com/maps/search/?api=1&amp;query=24.63453204,46.54721356", "View Map")</f>
        <v>View Map</v>
      </c>
    </row>
    <row r="6392" spans="1:7" x14ac:dyDescent="0.3">
      <c r="A6392" t="s">
        <v>10958</v>
      </c>
      <c r="B6392" t="s">
        <v>10959</v>
      </c>
      <c r="C6392" t="s">
        <v>30</v>
      </c>
      <c r="D6392">
        <v>1.1890000000000001</v>
      </c>
      <c r="E6392">
        <v>380</v>
      </c>
      <c r="F6392" t="str">
        <f>HYPERLINK("https://www.google.com/maps/search/?api=1&amp;query=24.17098937,47.30769457", "View Map")</f>
        <v>View Map</v>
      </c>
    </row>
    <row r="6393" spans="1:7" x14ac:dyDescent="0.3">
      <c r="A6393" t="s">
        <v>10960</v>
      </c>
      <c r="B6393" t="s">
        <v>10961</v>
      </c>
      <c r="C6393" t="s">
        <v>30</v>
      </c>
      <c r="D6393">
        <v>1.1890000000000001</v>
      </c>
      <c r="E6393">
        <v>381</v>
      </c>
      <c r="F6393" t="str">
        <f>HYPERLINK("https://www.google.com/maps/search/?api=1&amp;query=24.17659834,47.34717481", "View Map")</f>
        <v>View Map</v>
      </c>
    </row>
    <row r="6394" spans="1:7" x14ac:dyDescent="0.3">
      <c r="A6394" t="s">
        <v>1334</v>
      </c>
      <c r="B6394" t="s">
        <v>10962</v>
      </c>
      <c r="C6394" t="s">
        <v>8</v>
      </c>
      <c r="D6394">
        <v>1.1890000000000001</v>
      </c>
      <c r="E6394">
        <v>380</v>
      </c>
      <c r="F6394" t="str">
        <f>HYPERLINK("https://www.google.com/maps/search/?api=1&amp;query=24.81721596,46.6321024", "View Map")</f>
        <v>View Map</v>
      </c>
    </row>
    <row r="6395" spans="1:7" x14ac:dyDescent="0.3">
      <c r="A6395" t="s">
        <v>10963</v>
      </c>
      <c r="B6395" t="s">
        <v>10964</v>
      </c>
      <c r="C6395" t="s">
        <v>8</v>
      </c>
      <c r="D6395">
        <v>1.1879999999999999</v>
      </c>
      <c r="E6395">
        <v>380</v>
      </c>
      <c r="F6395" t="str">
        <f>HYPERLINK("https://www.google.com/maps/search/?api=1&amp;query=24.6172,46.7206", "View Map")</f>
        <v>View Map</v>
      </c>
    </row>
    <row r="6396" spans="1:7" x14ac:dyDescent="0.3">
      <c r="A6396" t="s">
        <v>46</v>
      </c>
      <c r="B6396" t="s">
        <v>10965</v>
      </c>
      <c r="C6396" t="s">
        <v>8</v>
      </c>
      <c r="D6396">
        <v>1.1879999999999999</v>
      </c>
      <c r="E6396">
        <v>380</v>
      </c>
      <c r="F6396" t="str">
        <f>HYPERLINK("https://www.google.com/maps/search/?api=1&amp;query=24.59916556,46.76453003", "View Map")</f>
        <v>View Map</v>
      </c>
    </row>
    <row r="6397" spans="1:7" x14ac:dyDescent="0.3">
      <c r="A6397" t="s">
        <v>3059</v>
      </c>
      <c r="B6397" t="s">
        <v>10966</v>
      </c>
      <c r="C6397" t="s">
        <v>291</v>
      </c>
      <c r="D6397">
        <v>1.1879999999999999</v>
      </c>
      <c r="E6397">
        <v>380</v>
      </c>
      <c r="F6397" t="str">
        <f>HYPERLINK("https://www.google.com/maps/search/?api=1&amp;query=24.35064893,45.30014278", "View Map")</f>
        <v>View Map</v>
      </c>
      <c r="G6397" s="2">
        <v>0.567266509203737</v>
      </c>
    </row>
    <row r="6398" spans="1:7" x14ac:dyDescent="0.3">
      <c r="A6398" t="s">
        <v>46</v>
      </c>
      <c r="B6398" t="s">
        <v>10967</v>
      </c>
      <c r="C6398" t="s">
        <v>8</v>
      </c>
      <c r="D6398">
        <v>1.1879999999999999</v>
      </c>
      <c r="E6398">
        <v>380</v>
      </c>
      <c r="F6398" t="str">
        <f>HYPERLINK("https://www.google.com/maps/search/?api=1&amp;query=24.65657724,46.68381828", "View Map")</f>
        <v>View Map</v>
      </c>
    </row>
    <row r="6399" spans="1:7" x14ac:dyDescent="0.3">
      <c r="A6399" t="s">
        <v>73</v>
      </c>
      <c r="B6399" t="s">
        <v>10968</v>
      </c>
      <c r="C6399" t="s">
        <v>8</v>
      </c>
      <c r="D6399">
        <v>1.1879999999999999</v>
      </c>
      <c r="E6399">
        <v>380</v>
      </c>
      <c r="F6399" t="str">
        <f>HYPERLINK("https://www.google.com/maps/search/?api=1&amp;query=24.76508484,46.6821018", "View Map")</f>
        <v>View Map</v>
      </c>
    </row>
    <row r="6400" spans="1:7" x14ac:dyDescent="0.3">
      <c r="A6400" t="s">
        <v>4256</v>
      </c>
      <c r="B6400" t="s">
        <v>10969</v>
      </c>
      <c r="C6400" t="s">
        <v>8</v>
      </c>
      <c r="D6400">
        <v>1.1879999999999999</v>
      </c>
      <c r="E6400">
        <v>380</v>
      </c>
      <c r="F6400" t="str">
        <f>HYPERLINK("https://www.google.com/maps/search/?api=1&amp;query=24.77996929,46.82535386", "View Map")</f>
        <v>View Map</v>
      </c>
    </row>
    <row r="6401" spans="1:7" x14ac:dyDescent="0.3">
      <c r="A6401" t="s">
        <v>10970</v>
      </c>
      <c r="B6401" t="s">
        <v>10971</v>
      </c>
      <c r="C6401" t="s">
        <v>8</v>
      </c>
      <c r="D6401">
        <v>1.1870000000000001</v>
      </c>
      <c r="E6401">
        <v>380</v>
      </c>
      <c r="F6401" t="str">
        <f>HYPERLINK("https://www.google.com/maps/search/?api=1&amp;query=24.61469433,46.63366182", "View Map")</f>
        <v>View Map</v>
      </c>
    </row>
    <row r="6402" spans="1:7" x14ac:dyDescent="0.3">
      <c r="A6402" t="s">
        <v>46</v>
      </c>
      <c r="B6402" t="s">
        <v>10972</v>
      </c>
      <c r="C6402" t="s">
        <v>8</v>
      </c>
      <c r="D6402">
        <v>1.1870000000000001</v>
      </c>
      <c r="E6402">
        <v>380</v>
      </c>
      <c r="F6402" t="str">
        <f>HYPERLINK("https://www.google.com/maps/search/?api=1&amp;query=24.85500732,46.84684564", "View Map")</f>
        <v>View Map</v>
      </c>
    </row>
    <row r="6403" spans="1:7" x14ac:dyDescent="0.3">
      <c r="A6403" t="s">
        <v>10973</v>
      </c>
      <c r="B6403" t="s">
        <v>10974</v>
      </c>
      <c r="C6403" t="s">
        <v>8</v>
      </c>
      <c r="D6403">
        <v>1.1859999999999999</v>
      </c>
      <c r="E6403">
        <v>379</v>
      </c>
      <c r="F6403" t="str">
        <f>HYPERLINK("https://www.google.com/maps/search/?api=1&amp;query=24.56176108,46.71209041", "View Map")</f>
        <v>View Map</v>
      </c>
    </row>
    <row r="6404" spans="1:7" x14ac:dyDescent="0.3">
      <c r="A6404" t="s">
        <v>261</v>
      </c>
      <c r="B6404" t="s">
        <v>10975</v>
      </c>
      <c r="C6404" t="s">
        <v>8</v>
      </c>
      <c r="D6404">
        <v>1.1859999999999999</v>
      </c>
      <c r="E6404">
        <v>380</v>
      </c>
      <c r="F6404" t="str">
        <f>HYPERLINK("https://www.google.com/maps/search/?api=1&amp;query=24.57156494,46.84634385", "View Map")</f>
        <v>View Map</v>
      </c>
    </row>
    <row r="6405" spans="1:7" x14ac:dyDescent="0.3">
      <c r="A6405" t="s">
        <v>10976</v>
      </c>
      <c r="B6405" t="s">
        <v>10977</v>
      </c>
      <c r="C6405" t="s">
        <v>77</v>
      </c>
      <c r="D6405">
        <v>1.1859999999999999</v>
      </c>
      <c r="E6405">
        <v>379</v>
      </c>
      <c r="F6405" t="str">
        <f>HYPERLINK("https://www.google.com/maps/search/?api=1&amp;query=21.37208505,46.08338573", "View Map")</f>
        <v>View Map</v>
      </c>
      <c r="G6405" s="2">
        <v>0.50895050101614958</v>
      </c>
    </row>
    <row r="6406" spans="1:7" x14ac:dyDescent="0.3">
      <c r="A6406" t="s">
        <v>10978</v>
      </c>
      <c r="B6406" t="s">
        <v>10979</v>
      </c>
      <c r="C6406" t="s">
        <v>8</v>
      </c>
      <c r="D6406">
        <v>1.1859999999999999</v>
      </c>
      <c r="E6406">
        <v>379</v>
      </c>
      <c r="F6406" t="str">
        <f>HYPERLINK("https://www.google.com/maps/search/?api=1&amp;query=24.59783575,46.72920517", "View Map")</f>
        <v>View Map</v>
      </c>
    </row>
    <row r="6407" spans="1:7" x14ac:dyDescent="0.3">
      <c r="A6407" t="s">
        <v>10980</v>
      </c>
      <c r="B6407" t="s">
        <v>10981</v>
      </c>
      <c r="C6407" t="s">
        <v>255</v>
      </c>
      <c r="D6407">
        <v>1.1859999999999999</v>
      </c>
      <c r="E6407">
        <v>379</v>
      </c>
      <c r="F6407" t="str">
        <f>HYPERLINK("https://www.google.com/maps/search/?api=1&amp;query=25.33200267,44.46680135", "View Map")</f>
        <v>View Map</v>
      </c>
      <c r="G6407" s="2">
        <v>0.35053169989163913</v>
      </c>
    </row>
    <row r="6408" spans="1:7" x14ac:dyDescent="0.3">
      <c r="A6408" t="s">
        <v>28</v>
      </c>
      <c r="B6408" t="s">
        <v>10982</v>
      </c>
      <c r="C6408" t="s">
        <v>270</v>
      </c>
      <c r="D6408">
        <v>1.1859999999999999</v>
      </c>
      <c r="E6408">
        <v>380</v>
      </c>
      <c r="F6408" t="str">
        <f>HYPERLINK("https://www.google.com/maps/search/?api=1&amp;query=24.06288511,47.17094556", "View Map")</f>
        <v>View Map</v>
      </c>
    </row>
    <row r="6409" spans="1:7" x14ac:dyDescent="0.3">
      <c r="A6409" t="s">
        <v>10983</v>
      </c>
      <c r="B6409" t="s">
        <v>10984</v>
      </c>
      <c r="C6409" t="s">
        <v>255</v>
      </c>
      <c r="D6409">
        <v>1.1850000000000001</v>
      </c>
      <c r="E6409">
        <v>379</v>
      </c>
      <c r="F6409" t="str">
        <f>HYPERLINK("https://www.google.com/maps/search/?api=1&amp;query=24.72128834,44.30772929", "View Map")</f>
        <v>View Map</v>
      </c>
      <c r="G6409" s="2">
        <v>0.57784139273262447</v>
      </c>
    </row>
    <row r="6410" spans="1:7" x14ac:dyDescent="0.3">
      <c r="A6410" t="s">
        <v>10985</v>
      </c>
      <c r="B6410" t="s">
        <v>10986</v>
      </c>
      <c r="C6410" t="s">
        <v>286</v>
      </c>
      <c r="D6410">
        <v>1.1850000000000001</v>
      </c>
      <c r="E6410">
        <v>379</v>
      </c>
      <c r="F6410" t="str">
        <f>HYPERLINK("https://www.google.com/maps/search/?api=1&amp;query=25.21674146,45.24002907", "View Map")</f>
        <v>View Map</v>
      </c>
    </row>
    <row r="6411" spans="1:7" x14ac:dyDescent="0.3">
      <c r="A6411" t="s">
        <v>46</v>
      </c>
      <c r="B6411" t="s">
        <v>10987</v>
      </c>
      <c r="C6411" t="s">
        <v>8</v>
      </c>
      <c r="D6411">
        <v>1.1839999999999999</v>
      </c>
      <c r="E6411">
        <v>379</v>
      </c>
      <c r="F6411" t="str">
        <f>HYPERLINK("https://www.google.com/maps/search/?api=1&amp;query=24.81624659,46.90232508", "View Map")</f>
        <v>View Map</v>
      </c>
    </row>
    <row r="6412" spans="1:7" x14ac:dyDescent="0.3">
      <c r="A6412" t="s">
        <v>10988</v>
      </c>
      <c r="B6412" t="s">
        <v>10989</v>
      </c>
      <c r="C6412" t="s">
        <v>255</v>
      </c>
      <c r="D6412">
        <v>1.1830000000000001</v>
      </c>
      <c r="E6412">
        <v>378</v>
      </c>
      <c r="F6412" t="str">
        <f>HYPERLINK("https://www.google.com/maps/search/?api=1&amp;query=24.6574503,43.66109669", "View Map")</f>
        <v>View Map</v>
      </c>
    </row>
    <row r="6413" spans="1:7" x14ac:dyDescent="0.3">
      <c r="A6413" t="s">
        <v>10990</v>
      </c>
      <c r="B6413" t="s">
        <v>10991</v>
      </c>
      <c r="C6413" t="s">
        <v>30</v>
      </c>
      <c r="D6413">
        <v>1.1830000000000001</v>
      </c>
      <c r="E6413">
        <v>379</v>
      </c>
      <c r="F6413" t="str">
        <f>HYPERLINK("https://www.google.com/maps/search/?api=1&amp;query=24.18787283,47.30629796", "View Map")</f>
        <v>View Map</v>
      </c>
      <c r="G6413" s="2">
        <v>0.80303916354023774</v>
      </c>
    </row>
    <row r="6414" spans="1:7" x14ac:dyDescent="0.3">
      <c r="A6414" t="s">
        <v>10992</v>
      </c>
      <c r="B6414" t="s">
        <v>10993</v>
      </c>
      <c r="C6414" t="s">
        <v>466</v>
      </c>
      <c r="D6414">
        <v>1.1830000000000001</v>
      </c>
      <c r="E6414">
        <v>379</v>
      </c>
      <c r="F6414" t="str">
        <f>HYPERLINK("https://www.google.com/maps/search/?api=1&amp;query=24.60171601,46.13021811", "View Map")</f>
        <v>View Map</v>
      </c>
    </row>
    <row r="6415" spans="1:7" x14ac:dyDescent="0.3">
      <c r="A6415" t="s">
        <v>10994</v>
      </c>
      <c r="B6415" t="s">
        <v>10995</v>
      </c>
      <c r="C6415" t="s">
        <v>738</v>
      </c>
      <c r="D6415">
        <v>1.1830000000000001</v>
      </c>
      <c r="E6415">
        <v>379</v>
      </c>
      <c r="F6415" t="str">
        <f>HYPERLINK("https://www.google.com/maps/search/?api=1&amp;query=25.10761092,46.08784355", "View Map")</f>
        <v>View Map</v>
      </c>
    </row>
    <row r="6416" spans="1:7" x14ac:dyDescent="0.3">
      <c r="A6416" t="s">
        <v>10996</v>
      </c>
      <c r="B6416" t="s">
        <v>10997</v>
      </c>
      <c r="C6416" t="s">
        <v>8</v>
      </c>
      <c r="D6416">
        <v>1.1830000000000001</v>
      </c>
      <c r="E6416">
        <v>379</v>
      </c>
      <c r="F6416" t="str">
        <f>HYPERLINK("https://www.google.com/maps/search/?api=1&amp;query=24.56857133,46.54446935", "View Map")</f>
        <v>View Map</v>
      </c>
    </row>
    <row r="6417" spans="1:7" x14ac:dyDescent="0.3">
      <c r="A6417" t="s">
        <v>10998</v>
      </c>
      <c r="B6417" t="s">
        <v>10999</v>
      </c>
      <c r="C6417" t="s">
        <v>21</v>
      </c>
      <c r="D6417">
        <v>1.1819999999999999</v>
      </c>
      <c r="E6417">
        <v>378</v>
      </c>
      <c r="F6417" t="str">
        <f>HYPERLINK("https://www.google.com/maps/search/?api=1&amp;query=26.31400442,44.78856276", "View Map")</f>
        <v>View Map</v>
      </c>
      <c r="G6417" s="2">
        <v>0.43699356145239371</v>
      </c>
    </row>
    <row r="6418" spans="1:7" x14ac:dyDescent="0.3">
      <c r="A6418" t="s">
        <v>11000</v>
      </c>
      <c r="B6418" t="s">
        <v>11001</v>
      </c>
      <c r="C6418" t="s">
        <v>8</v>
      </c>
      <c r="D6418">
        <v>1.1819999999999999</v>
      </c>
      <c r="E6418">
        <v>378</v>
      </c>
      <c r="F6418" t="str">
        <f>HYPERLINK("https://www.google.com/maps/search/?api=1&amp;query=24.67392879,46.77770846", "View Map")</f>
        <v>View Map</v>
      </c>
    </row>
    <row r="6419" spans="1:7" x14ac:dyDescent="0.3">
      <c r="A6419" t="s">
        <v>11002</v>
      </c>
      <c r="B6419" t="s">
        <v>11003</v>
      </c>
      <c r="C6419" t="s">
        <v>8</v>
      </c>
      <c r="D6419">
        <v>1.1819999999999999</v>
      </c>
      <c r="E6419">
        <v>378</v>
      </c>
      <c r="F6419" t="str">
        <f>HYPERLINK("https://www.google.com/maps/search/?api=1&amp;query=24.6289,46.5561", "View Map")</f>
        <v>View Map</v>
      </c>
    </row>
    <row r="6420" spans="1:7" x14ac:dyDescent="0.3">
      <c r="A6420" t="s">
        <v>11004</v>
      </c>
      <c r="B6420" t="s">
        <v>11005</v>
      </c>
      <c r="C6420" t="s">
        <v>214</v>
      </c>
      <c r="D6420">
        <v>1.1819999999999999</v>
      </c>
      <c r="E6420">
        <v>378</v>
      </c>
      <c r="F6420" t="str">
        <f>HYPERLINK("https://www.google.com/maps/search/?api=1&amp;query=25.59788567,45.6459508", "View Map")</f>
        <v>View Map</v>
      </c>
      <c r="G6420" s="2">
        <v>0.3645089665898289</v>
      </c>
    </row>
    <row r="6421" spans="1:7" x14ac:dyDescent="0.3">
      <c r="A6421" t="s">
        <v>11006</v>
      </c>
      <c r="B6421" t="s">
        <v>11007</v>
      </c>
      <c r="C6421" t="s">
        <v>8</v>
      </c>
      <c r="D6421">
        <v>1.1819999999999999</v>
      </c>
      <c r="E6421">
        <v>378</v>
      </c>
      <c r="F6421" t="str">
        <f>HYPERLINK("https://www.google.com/maps/search/?api=1&amp;query=24.72735672,46.84309459", "View Map")</f>
        <v>View Map</v>
      </c>
    </row>
    <row r="6422" spans="1:7" x14ac:dyDescent="0.3">
      <c r="A6422" t="s">
        <v>11008</v>
      </c>
      <c r="B6422" t="s">
        <v>11009</v>
      </c>
      <c r="C6422" t="s">
        <v>393</v>
      </c>
      <c r="D6422">
        <v>1.181</v>
      </c>
      <c r="E6422">
        <v>378</v>
      </c>
      <c r="F6422" t="str">
        <f>HYPERLINK("https://www.google.com/maps/search/?api=1&amp;query=23.5531045,45.46610883", "View Map")</f>
        <v>View Map</v>
      </c>
      <c r="G6422" s="2">
        <v>0.85360817740237993</v>
      </c>
    </row>
    <row r="6423" spans="1:7" x14ac:dyDescent="0.3">
      <c r="A6423" t="s">
        <v>11010</v>
      </c>
      <c r="B6423" t="s">
        <v>11011</v>
      </c>
      <c r="C6423" t="s">
        <v>8</v>
      </c>
      <c r="D6423">
        <v>1.181</v>
      </c>
      <c r="E6423">
        <v>378</v>
      </c>
      <c r="F6423" t="str">
        <f>HYPERLINK("https://www.google.com/maps/search/?api=1&amp;query=24.59687675,46.59892844", "View Map")</f>
        <v>View Map</v>
      </c>
    </row>
    <row r="6424" spans="1:7" x14ac:dyDescent="0.3">
      <c r="A6424" t="s">
        <v>1788</v>
      </c>
      <c r="B6424" t="s">
        <v>11012</v>
      </c>
      <c r="C6424" t="s">
        <v>393</v>
      </c>
      <c r="D6424">
        <v>1.181</v>
      </c>
      <c r="E6424">
        <v>378</v>
      </c>
      <c r="F6424" t="str">
        <f>HYPERLINK("https://www.google.com/maps/search/?api=1&amp;query=23.68014878,45.24605677", "View Map")</f>
        <v>View Map</v>
      </c>
      <c r="G6424" s="2">
        <v>0.83668277850482076</v>
      </c>
    </row>
    <row r="6425" spans="1:7" x14ac:dyDescent="0.3">
      <c r="A6425" t="s">
        <v>11013</v>
      </c>
      <c r="B6425" t="s">
        <v>11014</v>
      </c>
      <c r="C6425" t="s">
        <v>8</v>
      </c>
      <c r="D6425">
        <v>1.18</v>
      </c>
      <c r="E6425">
        <v>377</v>
      </c>
      <c r="F6425" t="str">
        <f>HYPERLINK("https://www.google.com/maps/search/?api=1&amp;query=24.49893441,46.62787922", "View Map")</f>
        <v>View Map</v>
      </c>
    </row>
    <row r="6426" spans="1:7" x14ac:dyDescent="0.3">
      <c r="A6426" t="s">
        <v>11015</v>
      </c>
      <c r="B6426" t="s">
        <v>11016</v>
      </c>
      <c r="C6426" t="s">
        <v>393</v>
      </c>
      <c r="D6426">
        <v>1.18</v>
      </c>
      <c r="E6426">
        <v>377</v>
      </c>
      <c r="F6426" t="str">
        <f>HYPERLINK("https://www.google.com/maps/search/?api=1&amp;query=23.60311794,45.44275742", "View Map")</f>
        <v>View Map</v>
      </c>
      <c r="G6426" s="2">
        <v>0.53774105223736635</v>
      </c>
    </row>
    <row r="6427" spans="1:7" x14ac:dyDescent="0.3">
      <c r="A6427" t="s">
        <v>11017</v>
      </c>
      <c r="B6427" t="s">
        <v>11018</v>
      </c>
      <c r="C6427" t="s">
        <v>291</v>
      </c>
      <c r="D6427">
        <v>1.18</v>
      </c>
      <c r="E6427">
        <v>378</v>
      </c>
      <c r="F6427" t="str">
        <f>HYPERLINK("https://www.google.com/maps/search/?api=1&amp;query=24.39788119,45.81107945", "View Map")</f>
        <v>View Map</v>
      </c>
    </row>
    <row r="6428" spans="1:7" x14ac:dyDescent="0.3">
      <c r="A6428" t="s">
        <v>11019</v>
      </c>
      <c r="B6428" t="s">
        <v>11020</v>
      </c>
      <c r="C6428" t="s">
        <v>30</v>
      </c>
      <c r="D6428">
        <v>1.179</v>
      </c>
      <c r="E6428">
        <v>377</v>
      </c>
      <c r="F6428" t="str">
        <f>HYPERLINK("https://www.google.com/maps/search/?api=1&amp;query=24.11697078,47.2884125", "View Map")</f>
        <v>View Map</v>
      </c>
      <c r="G6428" s="2">
        <v>0.80097955834895085</v>
      </c>
    </row>
    <row r="6429" spans="1:7" x14ac:dyDescent="0.3">
      <c r="A6429" t="s">
        <v>11021</v>
      </c>
      <c r="B6429" t="s">
        <v>11022</v>
      </c>
      <c r="C6429" t="s">
        <v>255</v>
      </c>
      <c r="D6429">
        <v>1.179</v>
      </c>
      <c r="E6429">
        <v>377</v>
      </c>
      <c r="F6429" t="str">
        <f>HYPERLINK("https://www.google.com/maps/search/?api=1&amp;query=23.9083372,44.6317067", "View Map")</f>
        <v>View Map</v>
      </c>
    </row>
    <row r="6430" spans="1:7" x14ac:dyDescent="0.3">
      <c r="A6430" t="s">
        <v>5415</v>
      </c>
      <c r="B6430" t="s">
        <v>11023</v>
      </c>
      <c r="C6430" t="s">
        <v>8</v>
      </c>
      <c r="D6430">
        <v>1.179</v>
      </c>
      <c r="E6430">
        <v>377</v>
      </c>
      <c r="F6430" t="str">
        <f>HYPERLINK("https://www.google.com/maps/search/?api=1&amp;query=24.72577575,46.83063556", "View Map")</f>
        <v>View Map</v>
      </c>
      <c r="G6430" s="2">
        <v>0.35313401015801549</v>
      </c>
    </row>
    <row r="6431" spans="1:7" x14ac:dyDescent="0.3">
      <c r="A6431" t="s">
        <v>11024</v>
      </c>
      <c r="B6431" t="s">
        <v>11025</v>
      </c>
      <c r="C6431" t="s">
        <v>8</v>
      </c>
      <c r="D6431">
        <v>1.1779999999999999</v>
      </c>
      <c r="E6431">
        <v>377</v>
      </c>
      <c r="F6431" t="str">
        <f>HYPERLINK("https://www.google.com/maps/search/?api=1&amp;query=24.8242485,46.80254958", "View Map")</f>
        <v>View Map</v>
      </c>
    </row>
    <row r="6432" spans="1:7" x14ac:dyDescent="0.3">
      <c r="A6432" t="s">
        <v>11026</v>
      </c>
      <c r="B6432" t="s">
        <v>11027</v>
      </c>
      <c r="C6432" t="s">
        <v>8</v>
      </c>
      <c r="D6432">
        <v>1.1779999999999999</v>
      </c>
      <c r="E6432">
        <v>377</v>
      </c>
      <c r="F6432" t="str">
        <f>HYPERLINK("https://www.google.com/maps/search/?api=1&amp;query=24.62275533,46.71238558", "View Map")</f>
        <v>View Map</v>
      </c>
    </row>
    <row r="6433" spans="1:7" x14ac:dyDescent="0.3">
      <c r="A6433" t="s">
        <v>11028</v>
      </c>
      <c r="B6433" t="s">
        <v>11029</v>
      </c>
      <c r="C6433" t="s">
        <v>8</v>
      </c>
      <c r="D6433">
        <v>1.1779999999999999</v>
      </c>
      <c r="E6433">
        <v>377</v>
      </c>
      <c r="F6433" t="str">
        <f>HYPERLINK("https://www.google.com/maps/search/?api=1&amp;query=24.56298245,46.75196926", "View Map")</f>
        <v>View Map</v>
      </c>
    </row>
    <row r="6434" spans="1:7" x14ac:dyDescent="0.3">
      <c r="A6434" t="s">
        <v>10762</v>
      </c>
      <c r="B6434" t="s">
        <v>11030</v>
      </c>
      <c r="C6434" t="s">
        <v>364</v>
      </c>
      <c r="D6434">
        <v>1.1779999999999999</v>
      </c>
      <c r="E6434">
        <v>377</v>
      </c>
      <c r="F6434" t="str">
        <f>HYPERLINK("https://www.google.com/maps/search/?api=1&amp;query=25.29662924,45.86455233", "View Map")</f>
        <v>View Map</v>
      </c>
    </row>
    <row r="6435" spans="1:7" x14ac:dyDescent="0.3">
      <c r="A6435" t="s">
        <v>11031</v>
      </c>
      <c r="B6435" t="s">
        <v>11032</v>
      </c>
      <c r="C6435" t="s">
        <v>8</v>
      </c>
      <c r="D6435">
        <v>1.1779999999999999</v>
      </c>
      <c r="E6435">
        <v>377</v>
      </c>
      <c r="F6435" t="str">
        <f>HYPERLINK("https://www.google.com/maps/search/?api=1&amp;query=24.67227442,46.7402632", "View Map")</f>
        <v>View Map</v>
      </c>
    </row>
    <row r="6436" spans="1:7" x14ac:dyDescent="0.3">
      <c r="A6436" t="s">
        <v>11033</v>
      </c>
      <c r="B6436" t="s">
        <v>11034</v>
      </c>
      <c r="C6436" t="s">
        <v>8</v>
      </c>
      <c r="D6436">
        <v>1.177</v>
      </c>
      <c r="E6436">
        <v>377</v>
      </c>
      <c r="F6436" t="str">
        <f>HYPERLINK("https://www.google.com/maps/search/?api=1&amp;query=24.81544704,46.75906188", "View Map")</f>
        <v>View Map</v>
      </c>
    </row>
    <row r="6437" spans="1:7" x14ac:dyDescent="0.3">
      <c r="A6437" t="s">
        <v>11035</v>
      </c>
      <c r="B6437" t="s">
        <v>11036</v>
      </c>
      <c r="C6437" t="s">
        <v>466</v>
      </c>
      <c r="D6437">
        <v>1.177</v>
      </c>
      <c r="E6437">
        <v>376</v>
      </c>
      <c r="F6437" t="str">
        <f>HYPERLINK("https://www.google.com/maps/search/?api=1&amp;query=24.58602379,46.13305328", "View Map")</f>
        <v>View Map</v>
      </c>
      <c r="G6437" s="2">
        <v>0.59559886858997624</v>
      </c>
    </row>
    <row r="6438" spans="1:7" x14ac:dyDescent="0.3">
      <c r="A6438" t="s">
        <v>11037</v>
      </c>
      <c r="B6438" t="s">
        <v>11038</v>
      </c>
      <c r="C6438" t="s">
        <v>8</v>
      </c>
      <c r="D6438">
        <v>1.177</v>
      </c>
      <c r="E6438">
        <v>377</v>
      </c>
      <c r="F6438" t="str">
        <f>HYPERLINK("https://www.google.com/maps/search/?api=1&amp;query=24.566189,46.65449972", "View Map")</f>
        <v>View Map</v>
      </c>
    </row>
    <row r="6439" spans="1:7" x14ac:dyDescent="0.3">
      <c r="A6439" t="s">
        <v>11039</v>
      </c>
      <c r="B6439" t="s">
        <v>11040</v>
      </c>
      <c r="C6439" t="s">
        <v>8</v>
      </c>
      <c r="D6439">
        <v>1.177</v>
      </c>
      <c r="E6439">
        <v>377</v>
      </c>
      <c r="F6439" t="str">
        <f>HYPERLINK("https://www.google.com/maps/search/?api=1&amp;query=24.73407755,46.72386406", "View Map")</f>
        <v>View Map</v>
      </c>
    </row>
    <row r="6440" spans="1:7" x14ac:dyDescent="0.3">
      <c r="A6440" t="s">
        <v>11041</v>
      </c>
      <c r="B6440" t="s">
        <v>11042</v>
      </c>
      <c r="C6440" t="s">
        <v>255</v>
      </c>
      <c r="D6440">
        <v>1.1759999999999999</v>
      </c>
      <c r="E6440">
        <v>376</v>
      </c>
      <c r="F6440" t="str">
        <f>HYPERLINK("https://www.google.com/maps/search/?api=1&amp;query=24.66443002,43.6415956", "View Map")</f>
        <v>View Map</v>
      </c>
      <c r="G6440" s="2">
        <v>0.35961402984344082</v>
      </c>
    </row>
    <row r="6441" spans="1:7" x14ac:dyDescent="0.3">
      <c r="A6441" t="s">
        <v>11043</v>
      </c>
      <c r="B6441" t="s">
        <v>11044</v>
      </c>
      <c r="C6441" t="s">
        <v>8</v>
      </c>
      <c r="D6441">
        <v>1.1759999999999999</v>
      </c>
      <c r="E6441">
        <v>376</v>
      </c>
      <c r="F6441" t="str">
        <f>HYPERLINK("https://www.google.com/maps/search/?api=1&amp;query=24.69860637,46.69628105", "View Map")</f>
        <v>View Map</v>
      </c>
    </row>
    <row r="6442" spans="1:7" x14ac:dyDescent="0.3">
      <c r="A6442" t="s">
        <v>11045</v>
      </c>
      <c r="B6442" t="s">
        <v>11046</v>
      </c>
      <c r="C6442" t="s">
        <v>8</v>
      </c>
      <c r="D6442">
        <v>1.1759999999999999</v>
      </c>
      <c r="E6442">
        <v>376</v>
      </c>
      <c r="F6442" t="str">
        <f>HYPERLINK("https://www.google.com/maps/search/?api=1&amp;query=24.58885181,46.70091456", "View Map")</f>
        <v>View Map</v>
      </c>
    </row>
    <row r="6443" spans="1:7" x14ac:dyDescent="0.3">
      <c r="A6443" t="s">
        <v>11047</v>
      </c>
      <c r="B6443" t="s">
        <v>11048</v>
      </c>
      <c r="C6443" t="s">
        <v>21</v>
      </c>
      <c r="D6443">
        <v>1.1759999999999999</v>
      </c>
      <c r="E6443">
        <v>376</v>
      </c>
      <c r="F6443" t="str">
        <f>HYPERLINK("https://www.google.com/maps/search/?api=1&amp;query=26.32594171,44.81773255", "View Map")</f>
        <v>View Map</v>
      </c>
    </row>
    <row r="6444" spans="1:7" x14ac:dyDescent="0.3">
      <c r="A6444" t="s">
        <v>11049</v>
      </c>
      <c r="B6444" t="s">
        <v>11050</v>
      </c>
      <c r="C6444" t="s">
        <v>8</v>
      </c>
      <c r="D6444">
        <v>1.1759999999999999</v>
      </c>
      <c r="E6444">
        <v>376</v>
      </c>
      <c r="F6444" t="str">
        <f>HYPERLINK("https://www.google.com/maps/search/?api=1&amp;query=24.53032821,46.7214585", "View Map")</f>
        <v>View Map</v>
      </c>
    </row>
    <row r="6445" spans="1:7" x14ac:dyDescent="0.3">
      <c r="A6445" t="s">
        <v>11051</v>
      </c>
      <c r="B6445" t="s">
        <v>11052</v>
      </c>
      <c r="C6445" t="s">
        <v>77</v>
      </c>
      <c r="D6445">
        <v>1.175</v>
      </c>
      <c r="E6445">
        <v>376</v>
      </c>
      <c r="F6445" t="str">
        <f>HYPERLINK("https://www.google.com/maps/search/?api=1&amp;query=22.43643689,46.18927884", "View Map")</f>
        <v>View Map</v>
      </c>
      <c r="G6445" s="2">
        <v>0.78420220434838805</v>
      </c>
    </row>
    <row r="6446" spans="1:7" x14ac:dyDescent="0.3">
      <c r="A6446" t="s">
        <v>11053</v>
      </c>
      <c r="B6446" t="s">
        <v>11054</v>
      </c>
      <c r="C6446" t="s">
        <v>255</v>
      </c>
      <c r="D6446">
        <v>1.175</v>
      </c>
      <c r="E6446">
        <v>376</v>
      </c>
      <c r="F6446" t="str">
        <f>HYPERLINK("https://www.google.com/maps/search/?api=1&amp;query=25.22479899,44.27508962", "View Map")</f>
        <v>View Map</v>
      </c>
      <c r="G6446" s="2">
        <v>0.37536766345300221</v>
      </c>
    </row>
    <row r="6447" spans="1:7" x14ac:dyDescent="0.3">
      <c r="A6447" t="s">
        <v>11055</v>
      </c>
      <c r="B6447" t="s">
        <v>11056</v>
      </c>
      <c r="C6447" t="s">
        <v>8</v>
      </c>
      <c r="D6447">
        <v>1.175</v>
      </c>
      <c r="E6447">
        <v>376</v>
      </c>
      <c r="F6447" t="str">
        <f>HYPERLINK("https://www.google.com/maps/search/?api=1&amp;query=24.63845505,46.71939834", "View Map")</f>
        <v>View Map</v>
      </c>
    </row>
    <row r="6448" spans="1:7" x14ac:dyDescent="0.3">
      <c r="A6448" t="s">
        <v>11057</v>
      </c>
      <c r="B6448" t="s">
        <v>11058</v>
      </c>
      <c r="C6448" t="s">
        <v>8</v>
      </c>
      <c r="D6448">
        <v>1.175</v>
      </c>
      <c r="E6448">
        <v>376</v>
      </c>
      <c r="F6448" t="str">
        <f>HYPERLINK("https://www.google.com/maps/search/?api=1&amp;query=24.7157437,46.83920233", "View Map")</f>
        <v>View Map</v>
      </c>
    </row>
    <row r="6449" spans="1:7" x14ac:dyDescent="0.3">
      <c r="A6449" t="s">
        <v>11059</v>
      </c>
      <c r="B6449" t="s">
        <v>11060</v>
      </c>
      <c r="C6449" t="s">
        <v>442</v>
      </c>
      <c r="D6449">
        <v>1.1739999999999999</v>
      </c>
      <c r="E6449">
        <v>376</v>
      </c>
      <c r="F6449" t="str">
        <f>HYPERLINK("https://www.google.com/maps/search/?api=1&amp;query=23.61882016,46.51905038", "View Map")</f>
        <v>View Map</v>
      </c>
    </row>
    <row r="6450" spans="1:7" x14ac:dyDescent="0.3">
      <c r="A6450" t="s">
        <v>11061</v>
      </c>
      <c r="B6450" t="s">
        <v>11062</v>
      </c>
      <c r="C6450" t="s">
        <v>214</v>
      </c>
      <c r="D6450">
        <v>1.1739999999999999</v>
      </c>
      <c r="E6450">
        <v>376</v>
      </c>
      <c r="F6450" t="str">
        <f>HYPERLINK("https://www.google.com/maps/search/?api=1&amp;query=25.70099657,45.59389909", "View Map")</f>
        <v>View Map</v>
      </c>
    </row>
    <row r="6451" spans="1:7" x14ac:dyDescent="0.3">
      <c r="A6451" t="s">
        <v>10240</v>
      </c>
      <c r="B6451" t="s">
        <v>11063</v>
      </c>
      <c r="C6451" t="s">
        <v>214</v>
      </c>
      <c r="D6451">
        <v>1.1739999999999999</v>
      </c>
      <c r="E6451">
        <v>376</v>
      </c>
      <c r="F6451" t="str">
        <f>HYPERLINK("https://www.google.com/maps/search/?api=1&amp;query=25.60120702,45.63085129", "View Map")</f>
        <v>View Map</v>
      </c>
      <c r="G6451" s="2">
        <v>0.40979149698117151</v>
      </c>
    </row>
    <row r="6452" spans="1:7" x14ac:dyDescent="0.3">
      <c r="A6452" t="s">
        <v>9570</v>
      </c>
      <c r="B6452" t="s">
        <v>11064</v>
      </c>
      <c r="C6452" t="s">
        <v>8</v>
      </c>
      <c r="D6452">
        <v>1.1739999999999999</v>
      </c>
      <c r="E6452">
        <v>376</v>
      </c>
      <c r="F6452" t="str">
        <f>HYPERLINK("https://www.google.com/maps/search/?api=1&amp;query=24.68741527,46.64305526", "View Map")</f>
        <v>View Map</v>
      </c>
    </row>
    <row r="6453" spans="1:7" x14ac:dyDescent="0.3">
      <c r="A6453" t="s">
        <v>46</v>
      </c>
      <c r="B6453" t="s">
        <v>11065</v>
      </c>
      <c r="C6453" t="s">
        <v>8</v>
      </c>
      <c r="D6453">
        <v>1.1739999999999999</v>
      </c>
      <c r="E6453">
        <v>376</v>
      </c>
      <c r="F6453" t="str">
        <f>HYPERLINK("https://www.google.com/maps/search/?api=1&amp;query=24.81370747,46.75701604", "View Map")</f>
        <v>View Map</v>
      </c>
    </row>
    <row r="6454" spans="1:7" x14ac:dyDescent="0.3">
      <c r="A6454" t="s">
        <v>46</v>
      </c>
      <c r="B6454" t="s">
        <v>11066</v>
      </c>
      <c r="C6454" t="s">
        <v>8</v>
      </c>
      <c r="D6454">
        <v>1.1739999999999999</v>
      </c>
      <c r="E6454">
        <v>376</v>
      </c>
      <c r="F6454" t="str">
        <f>HYPERLINK("https://www.google.com/maps/search/?api=1&amp;query=24.84885158,46.77443172", "View Map")</f>
        <v>View Map</v>
      </c>
    </row>
    <row r="6455" spans="1:7" x14ac:dyDescent="0.3">
      <c r="A6455" t="s">
        <v>11067</v>
      </c>
      <c r="B6455" t="s">
        <v>11068</v>
      </c>
      <c r="C6455" t="s">
        <v>214</v>
      </c>
      <c r="D6455">
        <v>1.173</v>
      </c>
      <c r="E6455">
        <v>375</v>
      </c>
      <c r="F6455" t="str">
        <f>HYPERLINK("https://www.google.com/maps/search/?api=1&amp;query=25.90463442,45.37002925", "View Map")</f>
        <v>View Map</v>
      </c>
    </row>
    <row r="6456" spans="1:7" x14ac:dyDescent="0.3">
      <c r="A6456" t="s">
        <v>3849</v>
      </c>
      <c r="B6456" t="s">
        <v>11069</v>
      </c>
      <c r="C6456" t="s">
        <v>8</v>
      </c>
      <c r="D6456">
        <v>1.173</v>
      </c>
      <c r="E6456">
        <v>375</v>
      </c>
      <c r="F6456" t="str">
        <f>HYPERLINK("https://www.google.com/maps/search/?api=1&amp;query=24.78557984,46.74086889", "View Map")</f>
        <v>View Map</v>
      </c>
      <c r="G6456" s="2">
        <v>0.78833519228007287</v>
      </c>
    </row>
    <row r="6457" spans="1:7" x14ac:dyDescent="0.3">
      <c r="A6457" t="s">
        <v>11070</v>
      </c>
      <c r="B6457" t="s">
        <v>11071</v>
      </c>
      <c r="C6457" t="s">
        <v>8</v>
      </c>
      <c r="D6457">
        <v>1.1719999999999999</v>
      </c>
      <c r="E6457">
        <v>375</v>
      </c>
      <c r="F6457" t="str">
        <f>HYPERLINK("https://www.google.com/maps/search/?api=1&amp;query=24.7322082,46.71941962", "View Map")</f>
        <v>View Map</v>
      </c>
      <c r="G6457" s="2">
        <v>0.44220962776741979</v>
      </c>
    </row>
    <row r="6458" spans="1:7" x14ac:dyDescent="0.3">
      <c r="A6458" t="s">
        <v>11072</v>
      </c>
      <c r="B6458" t="s">
        <v>11073</v>
      </c>
      <c r="C6458" t="s">
        <v>646</v>
      </c>
      <c r="D6458">
        <v>1.1719999999999999</v>
      </c>
      <c r="E6458">
        <v>375</v>
      </c>
      <c r="F6458" t="str">
        <f>HYPERLINK("https://www.google.com/maps/search/?api=1&amp;query=20.46733334,45.57539495", "View Map")</f>
        <v>View Map</v>
      </c>
      <c r="G6458" s="2">
        <v>0.54608035563694945</v>
      </c>
    </row>
    <row r="6459" spans="1:7" x14ac:dyDescent="0.3">
      <c r="A6459" t="s">
        <v>11074</v>
      </c>
      <c r="B6459" t="s">
        <v>11075</v>
      </c>
      <c r="C6459" t="s">
        <v>16</v>
      </c>
      <c r="D6459">
        <v>1.1719999999999999</v>
      </c>
      <c r="E6459">
        <v>375</v>
      </c>
      <c r="F6459" t="str">
        <f>HYPERLINK("https://www.google.com/maps/search/?api=1&amp;query=23.92613614,42.91262371", "View Map")</f>
        <v>View Map</v>
      </c>
      <c r="G6459" s="2">
        <v>0.39611590968907939</v>
      </c>
    </row>
    <row r="6460" spans="1:7" x14ac:dyDescent="0.3">
      <c r="A6460" t="s">
        <v>11076</v>
      </c>
      <c r="B6460" t="s">
        <v>11077</v>
      </c>
      <c r="C6460" t="s">
        <v>883</v>
      </c>
      <c r="D6460">
        <v>1.1719999999999999</v>
      </c>
      <c r="E6460">
        <v>375</v>
      </c>
      <c r="F6460" t="str">
        <f>HYPERLINK("https://www.google.com/maps/search/?api=1&amp;query=25.92163699,46.52327456", "View Map")</f>
        <v>View Map</v>
      </c>
    </row>
    <row r="6461" spans="1:7" x14ac:dyDescent="0.3">
      <c r="A6461" t="s">
        <v>11078</v>
      </c>
      <c r="B6461" t="s">
        <v>11079</v>
      </c>
      <c r="C6461" t="s">
        <v>296</v>
      </c>
      <c r="D6461">
        <v>1.1719999999999999</v>
      </c>
      <c r="E6461">
        <v>375</v>
      </c>
      <c r="F6461" t="str">
        <f>HYPERLINK("https://www.google.com/maps/search/?api=1&amp;query=24.45073409,46.30022976", "View Map")</f>
        <v>View Map</v>
      </c>
    </row>
    <row r="6462" spans="1:7" x14ac:dyDescent="0.3">
      <c r="A6462" t="s">
        <v>11080</v>
      </c>
      <c r="B6462" t="s">
        <v>11081</v>
      </c>
      <c r="C6462" t="s">
        <v>8</v>
      </c>
      <c r="D6462">
        <v>1.171</v>
      </c>
      <c r="E6462">
        <v>375</v>
      </c>
      <c r="F6462" t="str">
        <f>HYPERLINK("https://www.google.com/maps/search/?api=1&amp;query=24.60107853,46.62434525", "View Map")</f>
        <v>View Map</v>
      </c>
    </row>
    <row r="6463" spans="1:7" x14ac:dyDescent="0.3">
      <c r="A6463" t="s">
        <v>146</v>
      </c>
      <c r="B6463" t="s">
        <v>11082</v>
      </c>
      <c r="C6463" t="s">
        <v>8</v>
      </c>
      <c r="D6463">
        <v>1.171</v>
      </c>
      <c r="E6463">
        <v>375</v>
      </c>
      <c r="F6463" t="str">
        <f>HYPERLINK("https://www.google.com/maps/search/?api=1&amp;query=24.55188981,46.67147424", "View Map")</f>
        <v>View Map</v>
      </c>
    </row>
    <row r="6464" spans="1:7" x14ac:dyDescent="0.3">
      <c r="A6464" t="s">
        <v>11083</v>
      </c>
      <c r="B6464" t="s">
        <v>11084</v>
      </c>
      <c r="C6464" t="s">
        <v>8</v>
      </c>
      <c r="D6464">
        <v>1.17</v>
      </c>
      <c r="E6464">
        <v>374</v>
      </c>
      <c r="F6464" t="str">
        <f>HYPERLINK("https://www.google.com/maps/search/?api=1&amp;query=24.59592663,46.71440201", "View Map")</f>
        <v>View Map</v>
      </c>
    </row>
    <row r="6465" spans="1:7" x14ac:dyDescent="0.3">
      <c r="A6465" t="s">
        <v>11085</v>
      </c>
      <c r="B6465" t="s">
        <v>11086</v>
      </c>
      <c r="C6465" t="s">
        <v>8</v>
      </c>
      <c r="D6465">
        <v>1.17</v>
      </c>
      <c r="E6465">
        <v>374</v>
      </c>
      <c r="F6465" t="str">
        <f>HYPERLINK("https://www.google.com/maps/search/?api=1&amp;query=24.58138724,46.75595096", "View Map")</f>
        <v>View Map</v>
      </c>
    </row>
    <row r="6466" spans="1:7" x14ac:dyDescent="0.3">
      <c r="A6466" t="s">
        <v>11087</v>
      </c>
      <c r="B6466" t="s">
        <v>11088</v>
      </c>
      <c r="C6466" t="s">
        <v>291</v>
      </c>
      <c r="D6466">
        <v>1.17</v>
      </c>
      <c r="E6466">
        <v>374</v>
      </c>
      <c r="F6466" t="str">
        <f>HYPERLINK("https://www.google.com/maps/search/?api=1&amp;query=24.33679349,45.80007592", "View Map")</f>
        <v>View Map</v>
      </c>
    </row>
    <row r="6467" spans="1:7" x14ac:dyDescent="0.3">
      <c r="A6467" t="s">
        <v>11089</v>
      </c>
      <c r="B6467" t="s">
        <v>11090</v>
      </c>
      <c r="C6467" t="s">
        <v>77</v>
      </c>
      <c r="D6467">
        <v>1.169</v>
      </c>
      <c r="E6467">
        <v>374</v>
      </c>
      <c r="F6467" t="str">
        <f>HYPERLINK("https://www.google.com/maps/search/?api=1&amp;query=22.285803,46.72945102", "View Map")</f>
        <v>View Map</v>
      </c>
    </row>
    <row r="6468" spans="1:7" x14ac:dyDescent="0.3">
      <c r="A6468" t="s">
        <v>11091</v>
      </c>
      <c r="B6468" t="s">
        <v>11092</v>
      </c>
      <c r="C6468" t="s">
        <v>16</v>
      </c>
      <c r="D6468">
        <v>1.169</v>
      </c>
      <c r="E6468">
        <v>374</v>
      </c>
      <c r="F6468" t="str">
        <f>HYPERLINK("https://www.google.com/maps/search/?api=1&amp;query=23.90758073,42.92735607", "View Map")</f>
        <v>View Map</v>
      </c>
      <c r="G6468" s="2">
        <v>0.59038936610809811</v>
      </c>
    </row>
    <row r="6469" spans="1:7" x14ac:dyDescent="0.3">
      <c r="A6469" t="s">
        <v>46</v>
      </c>
      <c r="B6469" t="s">
        <v>11093</v>
      </c>
      <c r="C6469" t="s">
        <v>8</v>
      </c>
      <c r="D6469">
        <v>1.1679999999999999</v>
      </c>
      <c r="E6469">
        <v>374</v>
      </c>
      <c r="F6469" t="str">
        <f>HYPERLINK("https://www.google.com/maps/search/?api=1&amp;query=24.68541138,46.60127279", "View Map")</f>
        <v>View Map</v>
      </c>
    </row>
    <row r="6470" spans="1:7" x14ac:dyDescent="0.3">
      <c r="A6470" t="s">
        <v>11094</v>
      </c>
      <c r="B6470" t="s">
        <v>11095</v>
      </c>
      <c r="C6470" t="s">
        <v>291</v>
      </c>
      <c r="D6470">
        <v>1.167</v>
      </c>
      <c r="E6470">
        <v>373</v>
      </c>
      <c r="F6470" t="str">
        <f>HYPERLINK("https://www.google.com/maps/search/?api=1&amp;query=23.76516473,44.72807497", "View Map")</f>
        <v>View Map</v>
      </c>
      <c r="G6470" s="2">
        <v>0.56801533802069937</v>
      </c>
    </row>
    <row r="6471" spans="1:7" x14ac:dyDescent="0.3">
      <c r="A6471" t="s">
        <v>11096</v>
      </c>
      <c r="B6471" t="s">
        <v>11097</v>
      </c>
      <c r="C6471" t="s">
        <v>255</v>
      </c>
      <c r="D6471">
        <v>1.167</v>
      </c>
      <c r="E6471">
        <v>373</v>
      </c>
      <c r="F6471" t="str">
        <f>HYPERLINK("https://www.google.com/maps/search/?api=1&amp;query=24.50411814,44.38641719", "View Map")</f>
        <v>View Map</v>
      </c>
    </row>
    <row r="6472" spans="1:7" x14ac:dyDescent="0.3">
      <c r="A6472" t="s">
        <v>11098</v>
      </c>
      <c r="B6472" t="s">
        <v>11099</v>
      </c>
      <c r="C6472" t="s">
        <v>255</v>
      </c>
      <c r="D6472">
        <v>1.167</v>
      </c>
      <c r="E6472">
        <v>373</v>
      </c>
      <c r="F6472" t="str">
        <f>HYPERLINK("https://www.google.com/maps/search/?api=1&amp;query=25.48557793,44.4026885", "View Map")</f>
        <v>View Map</v>
      </c>
      <c r="G6472" s="2">
        <v>0.6113989705178261</v>
      </c>
    </row>
    <row r="6473" spans="1:7" x14ac:dyDescent="0.3">
      <c r="A6473" t="s">
        <v>7456</v>
      </c>
      <c r="B6473" t="s">
        <v>11100</v>
      </c>
      <c r="C6473" t="s">
        <v>8</v>
      </c>
      <c r="D6473">
        <v>1.1659999999999999</v>
      </c>
      <c r="E6473">
        <v>373</v>
      </c>
      <c r="F6473" t="str">
        <f>HYPERLINK("https://www.google.com/maps/search/?api=1&amp;query=24.70344,46.81104", "View Map")</f>
        <v>View Map</v>
      </c>
    </row>
    <row r="6474" spans="1:7" x14ac:dyDescent="0.3">
      <c r="A6474" t="s">
        <v>6323</v>
      </c>
      <c r="B6474" t="s">
        <v>11101</v>
      </c>
      <c r="C6474" t="s">
        <v>214</v>
      </c>
      <c r="D6474">
        <v>1.1659999999999999</v>
      </c>
      <c r="E6474">
        <v>373</v>
      </c>
      <c r="F6474" t="str">
        <f>HYPERLINK("https://www.google.com/maps/search/?api=1&amp;query=25.9146495,45.40587904", "View Map")</f>
        <v>View Map</v>
      </c>
    </row>
    <row r="6475" spans="1:7" x14ac:dyDescent="0.3">
      <c r="A6475" t="s">
        <v>1391</v>
      </c>
      <c r="B6475" t="s">
        <v>11102</v>
      </c>
      <c r="C6475" t="s">
        <v>8</v>
      </c>
      <c r="D6475">
        <v>1.1659999999999999</v>
      </c>
      <c r="E6475">
        <v>373</v>
      </c>
      <c r="F6475" t="str">
        <f>HYPERLINK("https://www.google.com/maps/search/?api=1&amp;query=24.74300702,46.8390575", "View Map")</f>
        <v>View Map</v>
      </c>
    </row>
    <row r="6476" spans="1:7" x14ac:dyDescent="0.3">
      <c r="A6476" t="s">
        <v>11103</v>
      </c>
      <c r="B6476" t="s">
        <v>11104</v>
      </c>
      <c r="C6476" t="s">
        <v>8</v>
      </c>
      <c r="D6476">
        <v>1.1659999999999999</v>
      </c>
      <c r="E6476">
        <v>373</v>
      </c>
      <c r="F6476" t="str">
        <f>HYPERLINK("https://www.google.com/maps/search/?api=1&amp;query=24.59388837,46.59087851", "View Map")</f>
        <v>View Map</v>
      </c>
    </row>
    <row r="6477" spans="1:7" x14ac:dyDescent="0.3">
      <c r="A6477" t="s">
        <v>11105</v>
      </c>
      <c r="B6477" t="s">
        <v>11106</v>
      </c>
      <c r="C6477" t="s">
        <v>393</v>
      </c>
      <c r="D6477">
        <v>1.165</v>
      </c>
      <c r="E6477">
        <v>373</v>
      </c>
      <c r="F6477" t="str">
        <f>HYPERLINK("https://www.google.com/maps/search/?api=1&amp;query=22.80026605,45.18175536", "View Map")</f>
        <v>View Map</v>
      </c>
      <c r="G6477" s="2">
        <v>0.67486098669583627</v>
      </c>
    </row>
    <row r="6478" spans="1:7" x14ac:dyDescent="0.3">
      <c r="A6478" t="s">
        <v>46</v>
      </c>
      <c r="B6478" t="s">
        <v>11107</v>
      </c>
      <c r="C6478" t="s">
        <v>8</v>
      </c>
      <c r="D6478">
        <v>1.1639999999999999</v>
      </c>
      <c r="E6478">
        <v>372</v>
      </c>
      <c r="F6478" t="str">
        <f>HYPERLINK("https://www.google.com/maps/search/?api=1&amp;query=24.7851743,46.90611436", "View Map")</f>
        <v>View Map</v>
      </c>
    </row>
    <row r="6479" spans="1:7" x14ac:dyDescent="0.3">
      <c r="A6479" t="s">
        <v>11108</v>
      </c>
      <c r="B6479" t="s">
        <v>11109</v>
      </c>
      <c r="C6479" t="s">
        <v>270</v>
      </c>
      <c r="D6479">
        <v>1.163</v>
      </c>
      <c r="E6479">
        <v>372</v>
      </c>
      <c r="F6479" t="str">
        <f>HYPERLINK("https://www.google.com/maps/search/?api=1&amp;query=24.00574219,47.10597871", "View Map")</f>
        <v>View Map</v>
      </c>
      <c r="G6479" s="2">
        <v>0.41362394452095441</v>
      </c>
    </row>
    <row r="6480" spans="1:7" x14ac:dyDescent="0.3">
      <c r="A6480" t="s">
        <v>11110</v>
      </c>
      <c r="B6480" t="s">
        <v>11111</v>
      </c>
      <c r="C6480" t="s">
        <v>291</v>
      </c>
      <c r="D6480">
        <v>1.163</v>
      </c>
      <c r="E6480">
        <v>372</v>
      </c>
      <c r="F6480" t="str">
        <f>HYPERLINK("https://www.google.com/maps/search/?api=1&amp;query=23.45549766,44.28848035", "View Map")</f>
        <v>View Map</v>
      </c>
      <c r="G6480" s="2">
        <v>0.5924319490346065</v>
      </c>
    </row>
    <row r="6481" spans="1:7" x14ac:dyDescent="0.3">
      <c r="A6481" t="s">
        <v>11112</v>
      </c>
      <c r="B6481" t="s">
        <v>11113</v>
      </c>
      <c r="C6481" t="s">
        <v>214</v>
      </c>
      <c r="D6481">
        <v>1.163</v>
      </c>
      <c r="E6481">
        <v>372</v>
      </c>
      <c r="F6481" t="str">
        <f>HYPERLINK("https://www.google.com/maps/search/?api=1&amp;query=25.91622119,45.36118001", "View Map")</f>
        <v>View Map</v>
      </c>
    </row>
    <row r="6482" spans="1:7" x14ac:dyDescent="0.3">
      <c r="A6482" t="s">
        <v>11114</v>
      </c>
      <c r="B6482" t="s">
        <v>11115</v>
      </c>
      <c r="C6482" t="s">
        <v>8</v>
      </c>
      <c r="D6482">
        <v>1.163</v>
      </c>
      <c r="E6482">
        <v>372</v>
      </c>
      <c r="F6482" t="str">
        <f>HYPERLINK("https://www.google.com/maps/search/?api=1&amp;query=24.60327368,46.62571168", "View Map")</f>
        <v>View Map</v>
      </c>
    </row>
    <row r="6483" spans="1:7" x14ac:dyDescent="0.3">
      <c r="A6483" t="s">
        <v>11116</v>
      </c>
      <c r="B6483" t="s">
        <v>11117</v>
      </c>
      <c r="C6483" t="s">
        <v>8</v>
      </c>
      <c r="D6483">
        <v>1.1619999999999999</v>
      </c>
      <c r="E6483">
        <v>372</v>
      </c>
      <c r="F6483" t="str">
        <f>HYPERLINK("https://www.google.com/maps/search/?api=1&amp;query=24.73977422,46.68617058", "View Map")</f>
        <v>View Map</v>
      </c>
    </row>
    <row r="6484" spans="1:7" x14ac:dyDescent="0.3">
      <c r="A6484" t="s">
        <v>11118</v>
      </c>
      <c r="B6484" t="s">
        <v>11119</v>
      </c>
      <c r="C6484" t="s">
        <v>296</v>
      </c>
      <c r="D6484">
        <v>1.161</v>
      </c>
      <c r="E6484">
        <v>372</v>
      </c>
      <c r="F6484" t="str">
        <f>HYPERLINK("https://www.google.com/maps/search/?api=1&amp;query=24.16755707,46.18794035", "View Map")</f>
        <v>View Map</v>
      </c>
      <c r="G6484" s="2">
        <v>0.67752179500540022</v>
      </c>
    </row>
    <row r="6485" spans="1:7" x14ac:dyDescent="0.3">
      <c r="A6485" t="s">
        <v>11120</v>
      </c>
      <c r="B6485" t="s">
        <v>11121</v>
      </c>
      <c r="C6485" t="s">
        <v>8</v>
      </c>
      <c r="D6485">
        <v>1.161</v>
      </c>
      <c r="E6485">
        <v>371</v>
      </c>
      <c r="F6485" t="str">
        <f>HYPERLINK("https://www.google.com/maps/search/?api=1&amp;query=24.78085016,46.82210985", "View Map")</f>
        <v>View Map</v>
      </c>
    </row>
    <row r="6486" spans="1:7" x14ac:dyDescent="0.3">
      <c r="A6486" t="s">
        <v>11122</v>
      </c>
      <c r="B6486" t="s">
        <v>11123</v>
      </c>
      <c r="C6486" t="s">
        <v>8</v>
      </c>
      <c r="D6486">
        <v>1.1599999999999999</v>
      </c>
      <c r="E6486">
        <v>371</v>
      </c>
      <c r="F6486" t="str">
        <f>HYPERLINK("https://www.google.com/maps/search/?api=1&amp;query=24.761386,46.8013258", "View Map")</f>
        <v>View Map</v>
      </c>
    </row>
    <row r="6487" spans="1:7" x14ac:dyDescent="0.3">
      <c r="A6487" t="s">
        <v>11124</v>
      </c>
      <c r="B6487" t="s">
        <v>11125</v>
      </c>
      <c r="C6487" t="s">
        <v>8</v>
      </c>
      <c r="D6487">
        <v>1.1579999999999999</v>
      </c>
      <c r="E6487">
        <v>371</v>
      </c>
      <c r="F6487" t="str">
        <f>HYPERLINK("https://www.google.com/maps/search/?api=1&amp;query=24.76089488,46.72766525", "View Map")</f>
        <v>View Map</v>
      </c>
    </row>
    <row r="6488" spans="1:7" x14ac:dyDescent="0.3">
      <c r="A6488" t="s">
        <v>146</v>
      </c>
      <c r="B6488" t="s">
        <v>11126</v>
      </c>
      <c r="C6488" t="s">
        <v>8</v>
      </c>
      <c r="D6488">
        <v>1.1579999999999999</v>
      </c>
      <c r="E6488">
        <v>371</v>
      </c>
      <c r="F6488" t="str">
        <f>HYPERLINK("https://www.google.com/maps/search/?api=1&amp;query=24.55924152,46.52838656", "View Map")</f>
        <v>View Map</v>
      </c>
    </row>
    <row r="6489" spans="1:7" x14ac:dyDescent="0.3">
      <c r="A6489" t="s">
        <v>11127</v>
      </c>
      <c r="B6489" t="s">
        <v>11128</v>
      </c>
      <c r="C6489" t="s">
        <v>214</v>
      </c>
      <c r="D6489">
        <v>1.1579999999999999</v>
      </c>
      <c r="E6489">
        <v>370</v>
      </c>
      <c r="F6489" t="str">
        <f>HYPERLINK("https://www.google.com/maps/search/?api=1&amp;query=26.52713,45.34123", "View Map")</f>
        <v>View Map</v>
      </c>
      <c r="G6489" s="2">
        <v>0.77114642848827009</v>
      </c>
    </row>
    <row r="6490" spans="1:7" x14ac:dyDescent="0.3">
      <c r="A6490" t="s">
        <v>11129</v>
      </c>
      <c r="B6490" t="s">
        <v>11130</v>
      </c>
      <c r="C6490" t="s">
        <v>77</v>
      </c>
      <c r="D6490">
        <v>1.1579999999999999</v>
      </c>
      <c r="E6490">
        <v>371</v>
      </c>
      <c r="F6490" t="str">
        <f>HYPERLINK("https://www.google.com/maps/search/?api=1&amp;query=22.21004735,46.68377823", "View Map")</f>
        <v>View Map</v>
      </c>
      <c r="G6490" s="2">
        <v>0.39646894711016079</v>
      </c>
    </row>
    <row r="6491" spans="1:7" x14ac:dyDescent="0.3">
      <c r="A6491" t="s">
        <v>11131</v>
      </c>
      <c r="B6491" t="s">
        <v>11132</v>
      </c>
      <c r="C6491" t="s">
        <v>16</v>
      </c>
      <c r="D6491">
        <v>1.157</v>
      </c>
      <c r="E6491">
        <v>370</v>
      </c>
      <c r="F6491" t="str">
        <f>HYPERLINK("https://www.google.com/maps/search/?api=1&amp;query=24.24754709,42.37477814", "View Map")</f>
        <v>View Map</v>
      </c>
      <c r="G6491" s="2">
        <v>0.35647305089648501</v>
      </c>
    </row>
    <row r="6492" spans="1:7" x14ac:dyDescent="0.3">
      <c r="A6492" t="s">
        <v>459</v>
      </c>
      <c r="B6492" t="s">
        <v>11133</v>
      </c>
      <c r="C6492" t="s">
        <v>286</v>
      </c>
      <c r="D6492">
        <v>1.157</v>
      </c>
      <c r="E6492">
        <v>370</v>
      </c>
      <c r="F6492" t="str">
        <f>HYPERLINK("https://www.google.com/maps/search/?api=1&amp;query=25.24233958,45.24204342", "View Map")</f>
        <v>View Map</v>
      </c>
      <c r="G6492" s="2">
        <v>0.41174898309098412</v>
      </c>
    </row>
    <row r="6493" spans="1:7" x14ac:dyDescent="0.3">
      <c r="A6493" t="s">
        <v>9281</v>
      </c>
      <c r="B6493" t="s">
        <v>11134</v>
      </c>
      <c r="C6493" t="s">
        <v>393</v>
      </c>
      <c r="D6493">
        <v>1.157</v>
      </c>
      <c r="E6493">
        <v>370</v>
      </c>
      <c r="F6493" t="str">
        <f>HYPERLINK("https://www.google.com/maps/search/?api=1&amp;query=23.48039008,45.76287552", "View Map")</f>
        <v>View Map</v>
      </c>
      <c r="G6493" s="2">
        <v>0.70263745952187551</v>
      </c>
    </row>
    <row r="6494" spans="1:7" x14ac:dyDescent="0.3">
      <c r="A6494" t="s">
        <v>11135</v>
      </c>
      <c r="B6494" t="s">
        <v>11136</v>
      </c>
      <c r="C6494" t="s">
        <v>291</v>
      </c>
      <c r="D6494">
        <v>1.157</v>
      </c>
      <c r="E6494">
        <v>370</v>
      </c>
      <c r="F6494" t="str">
        <f>HYPERLINK("https://www.google.com/maps/search/?api=1&amp;query=23.76436885,44.76015933", "View Map")</f>
        <v>View Map</v>
      </c>
    </row>
    <row r="6495" spans="1:7" x14ac:dyDescent="0.3">
      <c r="A6495" t="s">
        <v>11137</v>
      </c>
      <c r="B6495" t="s">
        <v>11138</v>
      </c>
      <c r="C6495" t="s">
        <v>8</v>
      </c>
      <c r="D6495">
        <v>1.1539999999999999</v>
      </c>
      <c r="E6495">
        <v>369</v>
      </c>
      <c r="F6495" t="str">
        <f>HYPERLINK("https://www.google.com/maps/search/?api=1&amp;query=24.61597068,46.7530875", "View Map")</f>
        <v>View Map</v>
      </c>
    </row>
    <row r="6496" spans="1:7" x14ac:dyDescent="0.3">
      <c r="A6496" t="s">
        <v>11139</v>
      </c>
      <c r="B6496" t="s">
        <v>11140</v>
      </c>
      <c r="C6496" t="s">
        <v>8</v>
      </c>
      <c r="D6496">
        <v>1.1539999999999999</v>
      </c>
      <c r="E6496">
        <v>369</v>
      </c>
      <c r="F6496" t="str">
        <f>HYPERLINK("https://www.google.com/maps/search/?api=1&amp;query=24.59258883,46.53948231", "View Map")</f>
        <v>View Map</v>
      </c>
    </row>
    <row r="6497" spans="1:7" x14ac:dyDescent="0.3">
      <c r="A6497" t="s">
        <v>11141</v>
      </c>
      <c r="B6497" t="s">
        <v>11142</v>
      </c>
      <c r="C6497" t="s">
        <v>8</v>
      </c>
      <c r="D6497">
        <v>1.1539999999999999</v>
      </c>
      <c r="E6497">
        <v>369</v>
      </c>
      <c r="F6497" t="str">
        <f>HYPERLINK("https://www.google.com/maps/search/?api=1&amp;query=24.77817303,46.78706941", "View Map")</f>
        <v>View Map</v>
      </c>
    </row>
    <row r="6498" spans="1:7" x14ac:dyDescent="0.3">
      <c r="A6498" t="s">
        <v>11143</v>
      </c>
      <c r="B6498" t="s">
        <v>11144</v>
      </c>
      <c r="C6498" t="s">
        <v>646</v>
      </c>
      <c r="D6498">
        <v>1.153</v>
      </c>
      <c r="E6498">
        <v>369</v>
      </c>
      <c r="F6498" t="str">
        <f>HYPERLINK("https://www.google.com/maps/search/?api=1&amp;query=20.45125413,45.58634638", "View Map")</f>
        <v>View Map</v>
      </c>
    </row>
    <row r="6499" spans="1:7" x14ac:dyDescent="0.3">
      <c r="A6499" t="s">
        <v>2485</v>
      </c>
      <c r="B6499" t="s">
        <v>11145</v>
      </c>
      <c r="C6499" t="s">
        <v>255</v>
      </c>
      <c r="D6499">
        <v>1.153</v>
      </c>
      <c r="E6499">
        <v>369</v>
      </c>
      <c r="F6499" t="str">
        <f>HYPERLINK("https://www.google.com/maps/search/?api=1&amp;query=24.63477975,43.63843791", "View Map")</f>
        <v>View Map</v>
      </c>
      <c r="G6499" s="2">
        <v>0.74436794323009337</v>
      </c>
    </row>
    <row r="6500" spans="1:7" x14ac:dyDescent="0.3">
      <c r="A6500" t="s">
        <v>11146</v>
      </c>
      <c r="B6500" t="s">
        <v>11147</v>
      </c>
      <c r="C6500" t="s">
        <v>255</v>
      </c>
      <c r="D6500">
        <v>1.151</v>
      </c>
      <c r="E6500">
        <v>368</v>
      </c>
      <c r="F6500" t="str">
        <f>HYPERLINK("https://www.google.com/maps/search/?api=1&amp;query=24.50767407,44.38969435", "View Map")</f>
        <v>View Map</v>
      </c>
    </row>
    <row r="6501" spans="1:7" x14ac:dyDescent="0.3">
      <c r="A6501" t="s">
        <v>11148</v>
      </c>
      <c r="B6501" t="s">
        <v>11149</v>
      </c>
      <c r="C6501" t="s">
        <v>255</v>
      </c>
      <c r="D6501">
        <v>1.151</v>
      </c>
      <c r="E6501">
        <v>368</v>
      </c>
      <c r="F6501" t="str">
        <f>HYPERLINK("https://www.google.com/maps/search/?api=1&amp;query=24.2936097,43.47596431", "View Map")</f>
        <v>View Map</v>
      </c>
      <c r="G6501" s="2">
        <v>0.81697473955888167</v>
      </c>
    </row>
    <row r="6502" spans="1:7" x14ac:dyDescent="0.3">
      <c r="A6502" t="s">
        <v>717</v>
      </c>
      <c r="B6502" t="s">
        <v>11150</v>
      </c>
      <c r="C6502" t="s">
        <v>255</v>
      </c>
      <c r="D6502">
        <v>1.151</v>
      </c>
      <c r="E6502">
        <v>368</v>
      </c>
      <c r="F6502" t="str">
        <f>HYPERLINK("https://www.google.com/maps/search/?api=1&amp;query=25.13643382,43.47864151", "View Map")</f>
        <v>View Map</v>
      </c>
      <c r="G6502" s="2">
        <v>0.62531073746772359</v>
      </c>
    </row>
    <row r="6503" spans="1:7" x14ac:dyDescent="0.3">
      <c r="A6503" t="s">
        <v>11151</v>
      </c>
      <c r="B6503" t="s">
        <v>11152</v>
      </c>
      <c r="C6503" t="s">
        <v>8</v>
      </c>
      <c r="D6503">
        <v>1.1499999999999999</v>
      </c>
      <c r="E6503">
        <v>368</v>
      </c>
      <c r="F6503" t="str">
        <f>HYPERLINK("https://www.google.com/maps/search/?api=1&amp;query=24.59376315,46.63743831", "View Map")</f>
        <v>View Map</v>
      </c>
    </row>
    <row r="6504" spans="1:7" x14ac:dyDescent="0.3">
      <c r="A6504" t="s">
        <v>11153</v>
      </c>
      <c r="B6504" t="s">
        <v>11154</v>
      </c>
      <c r="C6504" t="s">
        <v>30</v>
      </c>
      <c r="D6504">
        <v>1.149</v>
      </c>
      <c r="E6504">
        <v>368</v>
      </c>
      <c r="F6504" t="str">
        <f>HYPERLINK("https://www.google.com/maps/search/?api=1&amp;query=24.21638332,47.32697028", "View Map")</f>
        <v>View Map</v>
      </c>
      <c r="G6504" s="2">
        <v>0.38060288002448789</v>
      </c>
    </row>
    <row r="6505" spans="1:7" x14ac:dyDescent="0.3">
      <c r="A6505" t="s">
        <v>2429</v>
      </c>
      <c r="B6505" t="s">
        <v>11155</v>
      </c>
      <c r="C6505" t="s">
        <v>8</v>
      </c>
      <c r="D6505">
        <v>1.1479999999999999</v>
      </c>
      <c r="E6505">
        <v>367</v>
      </c>
      <c r="F6505" t="str">
        <f>HYPERLINK("https://www.google.com/maps/search/?api=1&amp;query=24.67896902,46.78124561", "View Map")</f>
        <v>View Map</v>
      </c>
    </row>
    <row r="6506" spans="1:7" x14ac:dyDescent="0.3">
      <c r="A6506" t="s">
        <v>2867</v>
      </c>
      <c r="B6506" t="s">
        <v>11156</v>
      </c>
      <c r="C6506" t="s">
        <v>241</v>
      </c>
      <c r="D6506">
        <v>1.147</v>
      </c>
      <c r="E6506">
        <v>367</v>
      </c>
      <c r="F6506" t="str">
        <f>HYPERLINK("https://www.google.com/maps/search/?api=1&amp;query=20.42945696,44.81975227", "View Map")</f>
        <v>View Map</v>
      </c>
      <c r="G6506" s="2">
        <v>0.45774183310131861</v>
      </c>
    </row>
    <row r="6507" spans="1:7" x14ac:dyDescent="0.3">
      <c r="A6507" t="s">
        <v>717</v>
      </c>
      <c r="B6507" t="s">
        <v>11157</v>
      </c>
      <c r="C6507" t="s">
        <v>255</v>
      </c>
      <c r="D6507">
        <v>1.147</v>
      </c>
      <c r="E6507">
        <v>367</v>
      </c>
      <c r="F6507" t="str">
        <f>HYPERLINK("https://www.google.com/maps/search/?api=1&amp;query=24.54352892,44.40846835", "View Map")</f>
        <v>View Map</v>
      </c>
      <c r="G6507" s="2">
        <v>0.64690076668877994</v>
      </c>
    </row>
    <row r="6508" spans="1:7" x14ac:dyDescent="0.3">
      <c r="A6508" t="s">
        <v>11158</v>
      </c>
      <c r="B6508" t="s">
        <v>11159</v>
      </c>
      <c r="C6508" t="s">
        <v>241</v>
      </c>
      <c r="D6508">
        <v>1.145</v>
      </c>
      <c r="E6508">
        <v>366</v>
      </c>
      <c r="F6508" t="str">
        <f>HYPERLINK("https://www.google.com/maps/search/?api=1&amp;query=20.44265859,44.85059647", "View Map")</f>
        <v>View Map</v>
      </c>
    </row>
    <row r="6509" spans="1:7" x14ac:dyDescent="0.3">
      <c r="A6509" t="s">
        <v>6878</v>
      </c>
      <c r="B6509" t="s">
        <v>11160</v>
      </c>
      <c r="C6509" t="s">
        <v>8</v>
      </c>
      <c r="D6509">
        <v>1.1439999999999999</v>
      </c>
      <c r="E6509">
        <v>366</v>
      </c>
      <c r="F6509" t="str">
        <f>HYPERLINK("https://www.google.com/maps/search/?api=1&amp;query=24.58374637,46.65900789", "View Map")</f>
        <v>View Map</v>
      </c>
      <c r="G6509" s="2">
        <v>0.62676047356898434</v>
      </c>
    </row>
    <row r="6510" spans="1:7" x14ac:dyDescent="0.3">
      <c r="A6510" t="s">
        <v>11161</v>
      </c>
      <c r="B6510" t="s">
        <v>11162</v>
      </c>
      <c r="C6510" t="s">
        <v>214</v>
      </c>
      <c r="D6510">
        <v>1.143</v>
      </c>
      <c r="E6510">
        <v>366</v>
      </c>
      <c r="F6510" t="str">
        <f>HYPERLINK("https://www.google.com/maps/search/?api=1&amp;query=25.91176436,45.37060117", "View Map")</f>
        <v>View Map</v>
      </c>
    </row>
    <row r="6511" spans="1:7" x14ac:dyDescent="0.3">
      <c r="A6511" t="s">
        <v>11163</v>
      </c>
      <c r="B6511" t="s">
        <v>11164</v>
      </c>
      <c r="C6511" t="s">
        <v>137</v>
      </c>
      <c r="D6511">
        <v>1.1419999999999999</v>
      </c>
      <c r="E6511">
        <v>365</v>
      </c>
      <c r="F6511" t="str">
        <f>HYPERLINK("https://www.google.com/maps/search/?api=1&amp;query=23.4563538,46.80694246", "View Map")</f>
        <v>View Map</v>
      </c>
      <c r="G6511" s="2">
        <v>0.69965796016398007</v>
      </c>
    </row>
    <row r="6512" spans="1:7" x14ac:dyDescent="0.3">
      <c r="A6512" t="s">
        <v>11165</v>
      </c>
      <c r="B6512" t="s">
        <v>11166</v>
      </c>
      <c r="C6512" t="s">
        <v>8</v>
      </c>
      <c r="D6512">
        <v>1.1419999999999999</v>
      </c>
      <c r="E6512">
        <v>366</v>
      </c>
      <c r="F6512" t="str">
        <f>HYPERLINK("https://www.google.com/maps/search/?api=1&amp;query=24.81959664,46.64769764", "View Map")</f>
        <v>View Map</v>
      </c>
    </row>
    <row r="6513" spans="1:7" x14ac:dyDescent="0.3">
      <c r="A6513" t="s">
        <v>11167</v>
      </c>
      <c r="B6513" t="s">
        <v>11168</v>
      </c>
      <c r="C6513" t="s">
        <v>77</v>
      </c>
      <c r="D6513">
        <v>1.141</v>
      </c>
      <c r="E6513">
        <v>365</v>
      </c>
      <c r="F6513" t="str">
        <f>HYPERLINK("https://www.google.com/maps/search/?api=1&amp;query=21.99435748,46.01513686", "View Map")</f>
        <v>View Map</v>
      </c>
      <c r="G6513" s="2">
        <v>0.36644434352347011</v>
      </c>
    </row>
    <row r="6514" spans="1:7" x14ac:dyDescent="0.3">
      <c r="A6514" t="s">
        <v>11169</v>
      </c>
      <c r="B6514" t="s">
        <v>11170</v>
      </c>
      <c r="C6514" t="s">
        <v>393</v>
      </c>
      <c r="D6514">
        <v>1.141</v>
      </c>
      <c r="E6514">
        <v>365</v>
      </c>
      <c r="F6514" t="str">
        <f>HYPERLINK("https://www.google.com/maps/search/?api=1&amp;query=23.54860338,45.49559448", "View Map")</f>
        <v>View Map</v>
      </c>
      <c r="G6514" s="2">
        <v>0.48223058377171718</v>
      </c>
    </row>
    <row r="6515" spans="1:7" x14ac:dyDescent="0.3">
      <c r="A6515" t="s">
        <v>289</v>
      </c>
      <c r="B6515" t="s">
        <v>11171</v>
      </c>
      <c r="C6515" t="s">
        <v>393</v>
      </c>
      <c r="D6515">
        <v>1.141</v>
      </c>
      <c r="E6515">
        <v>365</v>
      </c>
      <c r="F6515" t="str">
        <f>HYPERLINK("https://www.google.com/maps/search/?api=1&amp;query=23.15581432,45.21796824", "View Map")</f>
        <v>View Map</v>
      </c>
      <c r="G6515" s="2">
        <v>0.68115712544581541</v>
      </c>
    </row>
    <row r="6516" spans="1:7" x14ac:dyDescent="0.3">
      <c r="A6516" t="s">
        <v>5093</v>
      </c>
      <c r="B6516" t="s">
        <v>11172</v>
      </c>
      <c r="C6516" t="s">
        <v>255</v>
      </c>
      <c r="D6516">
        <v>1.1399999999999999</v>
      </c>
      <c r="E6516">
        <v>365</v>
      </c>
      <c r="F6516" t="str">
        <f>HYPERLINK("https://www.google.com/maps/search/?api=1&amp;query=24.29624478,43.73631034", "View Map")</f>
        <v>View Map</v>
      </c>
      <c r="G6516" s="2">
        <v>0.42876745079630618</v>
      </c>
    </row>
    <row r="6517" spans="1:7" x14ac:dyDescent="0.3">
      <c r="A6517" t="s">
        <v>11173</v>
      </c>
      <c r="B6517" t="s">
        <v>11174</v>
      </c>
      <c r="C6517" t="s">
        <v>77</v>
      </c>
      <c r="D6517">
        <v>1.1399999999999999</v>
      </c>
      <c r="E6517">
        <v>365</v>
      </c>
      <c r="F6517" t="str">
        <f>HYPERLINK("https://www.google.com/maps/search/?api=1&amp;query=22.08817506,46.65972655", "View Map")</f>
        <v>View Map</v>
      </c>
      <c r="G6517" s="2">
        <v>0.87786957254640885</v>
      </c>
    </row>
    <row r="6518" spans="1:7" x14ac:dyDescent="0.3">
      <c r="A6518" t="s">
        <v>11175</v>
      </c>
      <c r="B6518" t="s">
        <v>11176</v>
      </c>
      <c r="C6518" t="s">
        <v>255</v>
      </c>
      <c r="D6518">
        <v>1.1379999999999999</v>
      </c>
      <c r="E6518">
        <v>364</v>
      </c>
      <c r="F6518" t="str">
        <f>HYPERLINK("https://www.google.com/maps/search/?api=1&amp;query=24.29512638,43.73824623", "View Map")</f>
        <v>View Map</v>
      </c>
    </row>
    <row r="6519" spans="1:7" x14ac:dyDescent="0.3">
      <c r="A6519" t="s">
        <v>11177</v>
      </c>
      <c r="B6519" t="s">
        <v>11178</v>
      </c>
      <c r="C6519" t="s">
        <v>241</v>
      </c>
      <c r="D6519">
        <v>1.1379999999999999</v>
      </c>
      <c r="E6519">
        <v>364</v>
      </c>
      <c r="F6519" t="str">
        <f>HYPERLINK("https://www.google.com/maps/search/?api=1&amp;query=20.41289126,44.7095047", "View Map")</f>
        <v>View Map</v>
      </c>
    </row>
    <row r="6520" spans="1:7" x14ac:dyDescent="0.3">
      <c r="A6520" t="s">
        <v>11179</v>
      </c>
      <c r="B6520" t="s">
        <v>11180</v>
      </c>
      <c r="C6520" t="s">
        <v>8</v>
      </c>
      <c r="D6520">
        <v>1.137</v>
      </c>
      <c r="E6520">
        <v>364</v>
      </c>
      <c r="F6520" t="str">
        <f>HYPERLINK("https://www.google.com/maps/search/?api=1&amp;query=24.56435677,46.6236296", "View Map")</f>
        <v>View Map</v>
      </c>
    </row>
    <row r="6521" spans="1:7" x14ac:dyDescent="0.3">
      <c r="A6521" t="s">
        <v>11181</v>
      </c>
      <c r="B6521" t="s">
        <v>11182</v>
      </c>
      <c r="C6521" t="s">
        <v>241</v>
      </c>
      <c r="D6521">
        <v>1.1359999999999999</v>
      </c>
      <c r="E6521">
        <v>364</v>
      </c>
      <c r="F6521" t="str">
        <f>HYPERLINK("https://www.google.com/maps/search/?api=1&amp;query=20.43748765,44.81868327", "View Map")</f>
        <v>View Map</v>
      </c>
    </row>
    <row r="6522" spans="1:7" x14ac:dyDescent="0.3">
      <c r="A6522" t="s">
        <v>11183</v>
      </c>
      <c r="B6522" t="s">
        <v>11184</v>
      </c>
      <c r="C6522" t="s">
        <v>77</v>
      </c>
      <c r="D6522">
        <v>1.1359999999999999</v>
      </c>
      <c r="E6522">
        <v>363</v>
      </c>
      <c r="F6522" t="str">
        <f>HYPERLINK("https://www.google.com/maps/search/?api=1&amp;query=22.01975314,46.56147781", "View Map")</f>
        <v>View Map</v>
      </c>
      <c r="G6522" s="2">
        <v>0.56555952358069195</v>
      </c>
    </row>
    <row r="6523" spans="1:7" x14ac:dyDescent="0.3">
      <c r="A6523" t="s">
        <v>644</v>
      </c>
      <c r="B6523" t="s">
        <v>11185</v>
      </c>
      <c r="C6523" t="s">
        <v>646</v>
      </c>
      <c r="D6523">
        <v>1.1339999999999999</v>
      </c>
      <c r="E6523">
        <v>363</v>
      </c>
      <c r="F6523" t="str">
        <f>HYPERLINK("https://www.google.com/maps/search/?api=1&amp;query=20.46061723,45.59354143", "View Map")</f>
        <v>View Map</v>
      </c>
    </row>
    <row r="6524" spans="1:7" x14ac:dyDescent="0.3">
      <c r="A6524" t="s">
        <v>11186</v>
      </c>
      <c r="B6524" t="s">
        <v>11187</v>
      </c>
      <c r="C6524" t="s">
        <v>137</v>
      </c>
      <c r="D6524">
        <v>1.1339999999999999</v>
      </c>
      <c r="E6524">
        <v>363</v>
      </c>
      <c r="F6524" t="str">
        <f>HYPERLINK("https://www.google.com/maps/search/?api=1&amp;query=23.22403121,46.4906187", "View Map")</f>
        <v>View Map</v>
      </c>
      <c r="G6524" s="2">
        <v>0.48442811669143909</v>
      </c>
    </row>
    <row r="6525" spans="1:7" x14ac:dyDescent="0.3">
      <c r="A6525" t="s">
        <v>11188</v>
      </c>
      <c r="B6525" t="s">
        <v>11189</v>
      </c>
      <c r="C6525" t="s">
        <v>241</v>
      </c>
      <c r="D6525">
        <v>1.133</v>
      </c>
      <c r="E6525">
        <v>362</v>
      </c>
      <c r="F6525" t="str">
        <f>HYPERLINK("https://www.google.com/maps/search/?api=1&amp;query=20.44554512,44.86089673", "View Map")</f>
        <v>View Map</v>
      </c>
    </row>
    <row r="6526" spans="1:7" x14ac:dyDescent="0.3">
      <c r="A6526" t="s">
        <v>11190</v>
      </c>
      <c r="B6526" t="s">
        <v>11191</v>
      </c>
      <c r="C6526" t="s">
        <v>393</v>
      </c>
      <c r="D6526">
        <v>1.1319999999999999</v>
      </c>
      <c r="E6526">
        <v>362</v>
      </c>
      <c r="F6526" t="str">
        <f>HYPERLINK("https://www.google.com/maps/search/?api=1&amp;query=22.74332077,44.97755932", "View Map")</f>
        <v>View Map</v>
      </c>
      <c r="G6526" s="2">
        <v>0.70950503901185968</v>
      </c>
    </row>
    <row r="6527" spans="1:7" x14ac:dyDescent="0.3">
      <c r="A6527" t="s">
        <v>11192</v>
      </c>
      <c r="B6527" t="s">
        <v>11193</v>
      </c>
      <c r="C6527" t="s">
        <v>8</v>
      </c>
      <c r="D6527">
        <v>1.1319999999999999</v>
      </c>
      <c r="E6527">
        <v>362</v>
      </c>
      <c r="F6527" t="str">
        <f>HYPERLINK("https://www.google.com/maps/search/?api=1&amp;query=24.58415541,46.60684764", "View Map")</f>
        <v>View Map</v>
      </c>
    </row>
    <row r="6528" spans="1:7" x14ac:dyDescent="0.3">
      <c r="A6528" t="s">
        <v>11194</v>
      </c>
      <c r="B6528" t="s">
        <v>11195</v>
      </c>
      <c r="C6528" t="s">
        <v>77</v>
      </c>
      <c r="D6528">
        <v>1.127</v>
      </c>
      <c r="E6528">
        <v>361</v>
      </c>
      <c r="F6528" t="str">
        <f>HYPERLINK("https://www.google.com/maps/search/?api=1&amp;query=21.97706404,45.95718559", "View Map")</f>
        <v>View Map</v>
      </c>
    </row>
    <row r="6529" spans="1:7" x14ac:dyDescent="0.3">
      <c r="A6529" t="s">
        <v>11196</v>
      </c>
      <c r="B6529" t="s">
        <v>11197</v>
      </c>
      <c r="C6529" t="s">
        <v>214</v>
      </c>
      <c r="D6529">
        <v>1.1259999999999999</v>
      </c>
      <c r="E6529">
        <v>360</v>
      </c>
      <c r="F6529" t="str">
        <f>HYPERLINK("https://www.google.com/maps/search/?api=1&amp;query=25.65044976,45.56020465", "View Map")</f>
        <v>View Map</v>
      </c>
      <c r="G6529" s="2">
        <v>0.45604887149178308</v>
      </c>
    </row>
    <row r="6530" spans="1:7" x14ac:dyDescent="0.3">
      <c r="A6530" t="s">
        <v>11198</v>
      </c>
      <c r="B6530" t="s">
        <v>11199</v>
      </c>
      <c r="C6530" t="s">
        <v>393</v>
      </c>
      <c r="D6530">
        <v>1.123</v>
      </c>
      <c r="E6530">
        <v>359</v>
      </c>
      <c r="F6530" t="str">
        <f>HYPERLINK("https://www.google.com/maps/search/?api=1&amp;query=23.0871222,45.24393675", "View Map")</f>
        <v>View Map</v>
      </c>
      <c r="G6530" s="2">
        <v>0.66964977124168623</v>
      </c>
    </row>
    <row r="6531" spans="1:7" x14ac:dyDescent="0.3">
      <c r="A6531" t="s">
        <v>46</v>
      </c>
      <c r="B6531" t="s">
        <v>11200</v>
      </c>
      <c r="C6531" t="s">
        <v>8</v>
      </c>
      <c r="D6531">
        <v>1.1140000000000001</v>
      </c>
      <c r="E6531">
        <v>357</v>
      </c>
      <c r="F6531" t="str">
        <f>HYPERLINK("https://www.google.com/maps/search/?api=1&amp;query=24.8711394,46.66222365", "View Map")</f>
        <v>View Map</v>
      </c>
    </row>
    <row r="6532" spans="1:7" x14ac:dyDescent="0.3">
      <c r="A6532" t="s">
        <v>11201</v>
      </c>
      <c r="B6532" t="s">
        <v>11202</v>
      </c>
      <c r="C6532" t="s">
        <v>4447</v>
      </c>
      <c r="D6532">
        <v>1.113</v>
      </c>
      <c r="E6532">
        <v>356</v>
      </c>
      <c r="F6532" t="str">
        <f>HYPERLINK("https://www.google.com/maps/search/?api=1&amp;query=24.30993577,42.09035105", "View Map")</f>
        <v>View Map</v>
      </c>
      <c r="G6532" s="2">
        <v>0.57700837105871439</v>
      </c>
    </row>
    <row r="6533" spans="1:7" x14ac:dyDescent="0.3">
      <c r="A6533" t="s">
        <v>661</v>
      </c>
      <c r="B6533" t="s">
        <v>11203</v>
      </c>
      <c r="C6533" t="s">
        <v>214</v>
      </c>
      <c r="D6533">
        <v>1.1080000000000001</v>
      </c>
      <c r="E6533">
        <v>355</v>
      </c>
      <c r="F6533" t="str">
        <f>HYPERLINK("https://www.google.com/maps/search/?api=1&amp;query=25.70290708,45.45487016", "View Map")</f>
        <v>View Map</v>
      </c>
      <c r="G6533" s="2">
        <v>0.48168391004534</v>
      </c>
    </row>
    <row r="6534" spans="1:7" x14ac:dyDescent="0.3">
      <c r="A6534" t="s">
        <v>869</v>
      </c>
      <c r="B6534" t="s">
        <v>11204</v>
      </c>
      <c r="C6534" t="s">
        <v>8</v>
      </c>
      <c r="D6534">
        <v>1.1060000000000001</v>
      </c>
      <c r="E6534">
        <v>354</v>
      </c>
      <c r="F6534" t="str">
        <f>HYPERLINK("https://www.google.com/maps/search/?api=1&amp;query=24.56804658,46.80371402", "View Map")</f>
        <v>View Map</v>
      </c>
    </row>
    <row r="6535" spans="1:7" x14ac:dyDescent="0.3">
      <c r="A6535" t="s">
        <v>46</v>
      </c>
      <c r="B6535" t="s">
        <v>11205</v>
      </c>
      <c r="C6535" t="s">
        <v>8</v>
      </c>
      <c r="D6535">
        <v>1.1040000000000001</v>
      </c>
      <c r="E6535">
        <v>353</v>
      </c>
      <c r="F6535" t="str">
        <f>HYPERLINK("https://www.google.com/maps/search/?api=1&amp;query=24.57565674,46.75136896", "View Map")</f>
        <v>View Map</v>
      </c>
    </row>
    <row r="6536" spans="1:7" x14ac:dyDescent="0.3">
      <c r="A6536" t="s">
        <v>999</v>
      </c>
      <c r="B6536" t="s">
        <v>11206</v>
      </c>
      <c r="C6536" t="s">
        <v>8</v>
      </c>
      <c r="D6536">
        <v>1.103</v>
      </c>
      <c r="E6536">
        <v>353</v>
      </c>
      <c r="F6536" t="str">
        <f>HYPERLINK("https://www.google.com/maps/search/?api=1&amp;query=24.59573145,46.75077188", "View Map")</f>
        <v>View Map</v>
      </c>
    </row>
    <row r="6537" spans="1:7" x14ac:dyDescent="0.3">
      <c r="A6537" t="s">
        <v>1273</v>
      </c>
      <c r="B6537" t="s">
        <v>11207</v>
      </c>
      <c r="C6537" t="s">
        <v>241</v>
      </c>
      <c r="D6537">
        <v>1.101</v>
      </c>
      <c r="E6537">
        <v>352</v>
      </c>
      <c r="F6537" t="str">
        <f>HYPERLINK("https://www.google.com/maps/search/?api=1&amp;query=20.44236314,45.10328028", "View Map")</f>
        <v>View Map</v>
      </c>
    </row>
    <row r="6538" spans="1:7" x14ac:dyDescent="0.3">
      <c r="A6538" t="s">
        <v>11208</v>
      </c>
      <c r="B6538" t="s">
        <v>11209</v>
      </c>
      <c r="C6538" t="s">
        <v>214</v>
      </c>
      <c r="D6538">
        <v>1.1000000000000001</v>
      </c>
      <c r="E6538">
        <v>352</v>
      </c>
      <c r="F6538" t="str">
        <f>HYPERLINK("https://www.google.com/maps/search/?api=1&amp;query=25.5980558,45.64463926", "View Map")</f>
        <v>View Map</v>
      </c>
    </row>
    <row r="6539" spans="1:7" x14ac:dyDescent="0.3">
      <c r="A6539" t="s">
        <v>28</v>
      </c>
      <c r="B6539" t="s">
        <v>11210</v>
      </c>
      <c r="C6539" t="s">
        <v>820</v>
      </c>
      <c r="D6539">
        <v>1.1000000000000001</v>
      </c>
      <c r="E6539">
        <v>352</v>
      </c>
      <c r="F6539" t="str">
        <f>HYPERLINK("https://www.google.com/maps/search/?api=1&amp;query=0.0,0.0", "View Map")</f>
        <v>View Map</v>
      </c>
    </row>
    <row r="6540" spans="1:7" x14ac:dyDescent="0.3">
      <c r="A6540" t="s">
        <v>11211</v>
      </c>
      <c r="B6540" t="s">
        <v>11212</v>
      </c>
      <c r="C6540" t="s">
        <v>8</v>
      </c>
      <c r="D6540">
        <v>1.0940000000000001</v>
      </c>
      <c r="E6540">
        <v>350</v>
      </c>
      <c r="F6540" t="str">
        <f>HYPERLINK("https://www.google.com/maps/search/?api=1&amp;query=24.6754743,46.74790578", "View Map")</f>
        <v>View Map</v>
      </c>
    </row>
    <row r="6541" spans="1:7" x14ac:dyDescent="0.3">
      <c r="A6541" t="s">
        <v>46</v>
      </c>
      <c r="B6541" t="s">
        <v>11213</v>
      </c>
      <c r="C6541" t="s">
        <v>8</v>
      </c>
      <c r="D6541">
        <v>1.093</v>
      </c>
      <c r="E6541">
        <v>350</v>
      </c>
      <c r="F6541" t="str">
        <f>HYPERLINK("https://www.google.com/maps/search/?api=1&amp;query=24.85522799,46.62433144", "View Map")</f>
        <v>View Map</v>
      </c>
    </row>
    <row r="6542" spans="1:7" x14ac:dyDescent="0.3">
      <c r="A6542" t="s">
        <v>999</v>
      </c>
      <c r="B6542" t="s">
        <v>11214</v>
      </c>
      <c r="C6542" t="s">
        <v>8</v>
      </c>
      <c r="D6542">
        <v>1.091</v>
      </c>
      <c r="E6542">
        <v>349</v>
      </c>
      <c r="F6542" t="str">
        <f>HYPERLINK("https://www.google.com/maps/search/?api=1&amp;query=24.58107035,46.7845072", "View Map")</f>
        <v>View Map</v>
      </c>
    </row>
    <row r="6543" spans="1:7" x14ac:dyDescent="0.3">
      <c r="A6543" t="s">
        <v>6212</v>
      </c>
      <c r="B6543" t="s">
        <v>11215</v>
      </c>
      <c r="C6543" t="s">
        <v>255</v>
      </c>
      <c r="D6543">
        <v>1.089</v>
      </c>
      <c r="E6543">
        <v>349</v>
      </c>
      <c r="F6543" t="str">
        <f>HYPERLINK("https://www.google.com/maps/search/?api=1&amp;query=24.7383765,43.78606097", "View Map")</f>
        <v>View Map</v>
      </c>
      <c r="G6543" s="2">
        <v>0.58842328922650755</v>
      </c>
    </row>
    <row r="6544" spans="1:7" x14ac:dyDescent="0.3">
      <c r="A6544" t="s">
        <v>11216</v>
      </c>
      <c r="B6544" t="s">
        <v>11217</v>
      </c>
      <c r="C6544" t="s">
        <v>241</v>
      </c>
      <c r="D6544">
        <v>1.0880000000000001</v>
      </c>
      <c r="E6544">
        <v>348</v>
      </c>
      <c r="F6544" t="str">
        <f>HYPERLINK("https://www.google.com/maps/search/?api=1&amp;query=21.42692287,43.95059678", "View Map")</f>
        <v>View Map</v>
      </c>
      <c r="G6544" s="2">
        <v>0.61021476655771778</v>
      </c>
    </row>
    <row r="6545" spans="1:7" x14ac:dyDescent="0.3">
      <c r="A6545" t="s">
        <v>11218</v>
      </c>
      <c r="B6545" t="s">
        <v>11219</v>
      </c>
      <c r="C6545" t="s">
        <v>8</v>
      </c>
      <c r="D6545">
        <v>1.0860000000000001</v>
      </c>
      <c r="E6545">
        <v>348</v>
      </c>
      <c r="F6545" t="str">
        <f>HYPERLINK("https://www.google.com/maps/search/?api=1&amp;query=24.81008175,46.60339533", "View Map")</f>
        <v>View Map</v>
      </c>
    </row>
    <row r="6546" spans="1:7" x14ac:dyDescent="0.3">
      <c r="A6546" t="s">
        <v>73</v>
      </c>
      <c r="B6546" t="s">
        <v>11220</v>
      </c>
      <c r="C6546" t="s">
        <v>8</v>
      </c>
      <c r="D6546">
        <v>1.0840000000000001</v>
      </c>
      <c r="E6546">
        <v>347</v>
      </c>
      <c r="F6546" t="str">
        <f>HYPERLINK("https://www.google.com/maps/search/?api=1&amp;query=24.64229549,46.55349158", "View Map")</f>
        <v>View Map</v>
      </c>
    </row>
    <row r="6547" spans="1:7" x14ac:dyDescent="0.3">
      <c r="A6547" t="s">
        <v>11221</v>
      </c>
      <c r="B6547" t="s">
        <v>11222</v>
      </c>
      <c r="C6547" t="s">
        <v>8</v>
      </c>
      <c r="D6547">
        <v>1.079</v>
      </c>
      <c r="E6547">
        <v>345</v>
      </c>
      <c r="F6547" t="str">
        <f>HYPERLINK("https://www.google.com/maps/search/?api=1&amp;query=24.61005496,46.72750178", "View Map")</f>
        <v>View Map</v>
      </c>
    </row>
    <row r="6548" spans="1:7" x14ac:dyDescent="0.3">
      <c r="A6548" t="s">
        <v>2020</v>
      </c>
      <c r="B6548" t="s">
        <v>11223</v>
      </c>
      <c r="C6548" t="s">
        <v>8</v>
      </c>
      <c r="D6548">
        <v>1.077</v>
      </c>
      <c r="E6548">
        <v>345</v>
      </c>
      <c r="F6548" t="str">
        <f>HYPERLINK("https://www.google.com/maps/search/?api=1&amp;query=24.5556,46.5514", "View Map")</f>
        <v>View Map</v>
      </c>
      <c r="G6548" s="2">
        <v>0.32775405886461351</v>
      </c>
    </row>
    <row r="6549" spans="1:7" x14ac:dyDescent="0.3">
      <c r="A6549" t="s">
        <v>11224</v>
      </c>
      <c r="B6549" t="s">
        <v>11225</v>
      </c>
      <c r="C6549" t="s">
        <v>8</v>
      </c>
      <c r="D6549">
        <v>1.0760000000000001</v>
      </c>
      <c r="E6549">
        <v>344</v>
      </c>
      <c r="F6549" t="str">
        <f>HYPERLINK("https://www.google.com/maps/search/?api=1&amp;query=24.78537893,46.65196584", "View Map")</f>
        <v>View Map</v>
      </c>
      <c r="G6549" s="2">
        <v>0.1693545973988391</v>
      </c>
    </row>
    <row r="6550" spans="1:7" x14ac:dyDescent="0.3">
      <c r="A6550" t="s">
        <v>11226</v>
      </c>
      <c r="B6550" t="s">
        <v>11227</v>
      </c>
      <c r="C6550" t="s">
        <v>77</v>
      </c>
      <c r="D6550">
        <v>1.0640000000000001</v>
      </c>
      <c r="E6550">
        <v>341</v>
      </c>
      <c r="F6550" t="str">
        <f>HYPERLINK("https://www.google.com/maps/search/?api=1&amp;query=22.56578527,46.53145875", "View Map")</f>
        <v>View Map</v>
      </c>
      <c r="G6550" s="2">
        <v>0.47249070990748321</v>
      </c>
    </row>
    <row r="6551" spans="1:7" x14ac:dyDescent="0.3">
      <c r="A6551" t="s">
        <v>11228</v>
      </c>
      <c r="B6551" t="s">
        <v>11229</v>
      </c>
      <c r="C6551" t="s">
        <v>214</v>
      </c>
      <c r="D6551">
        <v>1.0569999999999999</v>
      </c>
      <c r="E6551">
        <v>338</v>
      </c>
      <c r="F6551" t="str">
        <f>HYPERLINK("https://www.google.com/maps/search/?api=1&amp;query=25.90238454,45.35256886", "View Map")</f>
        <v>View Map</v>
      </c>
      <c r="G6551" s="2">
        <v>0.35411318880778048</v>
      </c>
    </row>
    <row r="6552" spans="1:7" x14ac:dyDescent="0.3">
      <c r="A6552" t="s">
        <v>11230</v>
      </c>
      <c r="B6552" t="s">
        <v>11231</v>
      </c>
      <c r="C6552" t="s">
        <v>8</v>
      </c>
      <c r="D6552">
        <v>1.052</v>
      </c>
      <c r="E6552">
        <v>337</v>
      </c>
      <c r="F6552" t="str">
        <f>HYPERLINK("https://www.google.com/maps/search/?api=1&amp;query=24.59360186,46.66058462", "View Map")</f>
        <v>View Map</v>
      </c>
    </row>
    <row r="6553" spans="1:7" x14ac:dyDescent="0.3">
      <c r="A6553" t="s">
        <v>11232</v>
      </c>
      <c r="B6553" t="s">
        <v>11233</v>
      </c>
      <c r="C6553" t="s">
        <v>1112</v>
      </c>
      <c r="D6553">
        <v>1.0509999999999999</v>
      </c>
      <c r="E6553">
        <v>336</v>
      </c>
      <c r="F6553" t="str">
        <f>HYPERLINK("https://www.google.com/maps/search/?api=1&amp;query=26.03204639,44.95451107", "View Map")</f>
        <v>View Map</v>
      </c>
    </row>
    <row r="6554" spans="1:7" x14ac:dyDescent="0.3">
      <c r="A6554" t="s">
        <v>4014</v>
      </c>
      <c r="B6554" t="s">
        <v>11234</v>
      </c>
      <c r="C6554" t="s">
        <v>8</v>
      </c>
      <c r="D6554">
        <v>1.0449999999999999</v>
      </c>
      <c r="E6554">
        <v>334</v>
      </c>
      <c r="F6554" t="str">
        <f>HYPERLINK("https://www.google.com/maps/search/?api=1&amp;query=24.61319344,46.64943108", "View Map")</f>
        <v>View Map</v>
      </c>
    </row>
    <row r="6555" spans="1:7" x14ac:dyDescent="0.3">
      <c r="A6555" t="s">
        <v>4412</v>
      </c>
      <c r="B6555" t="s">
        <v>11235</v>
      </c>
      <c r="C6555" t="s">
        <v>16</v>
      </c>
      <c r="D6555">
        <v>1.042</v>
      </c>
      <c r="E6555">
        <v>333</v>
      </c>
      <c r="F6555" t="str">
        <f>HYPERLINK("https://www.google.com/maps/search/?api=1&amp;query=23.9033538,42.89162467", "View Map")</f>
        <v>View Map</v>
      </c>
      <c r="G6555" s="2">
        <v>0.43825149114567619</v>
      </c>
    </row>
    <row r="6556" spans="1:7" x14ac:dyDescent="0.3">
      <c r="A6556" t="s">
        <v>11236</v>
      </c>
      <c r="B6556" t="s">
        <v>11237</v>
      </c>
      <c r="C6556" t="s">
        <v>364</v>
      </c>
      <c r="D6556">
        <v>1.0369999999999999</v>
      </c>
      <c r="E6556">
        <v>332</v>
      </c>
      <c r="F6556" t="str">
        <f>HYPERLINK("https://www.google.com/maps/search/?api=1&amp;query=25.22398384,45.86181391", "View Map")</f>
        <v>View Map</v>
      </c>
      <c r="G6556" s="2">
        <v>0.40357087657360619</v>
      </c>
    </row>
    <row r="6557" spans="1:7" x14ac:dyDescent="0.3">
      <c r="A6557" t="s">
        <v>46</v>
      </c>
      <c r="B6557" t="s">
        <v>11238</v>
      </c>
      <c r="C6557" t="s">
        <v>8</v>
      </c>
      <c r="D6557">
        <v>1.0309999999999999</v>
      </c>
      <c r="E6557">
        <v>330</v>
      </c>
      <c r="F6557" t="str">
        <f>HYPERLINK("https://www.google.com/maps/search/?api=1&amp;query=24.55408653,46.78413843", "View Map")</f>
        <v>View Map</v>
      </c>
    </row>
    <row r="6558" spans="1:7" x14ac:dyDescent="0.3">
      <c r="A6558" t="s">
        <v>11239</v>
      </c>
      <c r="B6558" t="s">
        <v>11240</v>
      </c>
      <c r="C6558" t="s">
        <v>8</v>
      </c>
      <c r="D6558">
        <v>1.016</v>
      </c>
      <c r="E6558">
        <v>325</v>
      </c>
      <c r="F6558" t="str">
        <f>HYPERLINK("https://www.google.com/maps/search/?api=1&amp;query=24.5741245,46.67866138", "View Map")</f>
        <v>View Map</v>
      </c>
    </row>
    <row r="6559" spans="1:7" x14ac:dyDescent="0.3">
      <c r="A6559" t="s">
        <v>11241</v>
      </c>
      <c r="B6559" t="s">
        <v>11242</v>
      </c>
      <c r="C6559" t="s">
        <v>55</v>
      </c>
      <c r="D6559">
        <v>1.01</v>
      </c>
      <c r="E6559">
        <v>323</v>
      </c>
      <c r="F6559" t="str">
        <f>HYPERLINK("https://www.google.com/maps/search/?api=1&amp;query=24.8987084,46.36596146", "View Map")</f>
        <v>View Map</v>
      </c>
      <c r="G6559" s="2">
        <v>0.47290917483263317</v>
      </c>
    </row>
    <row r="6560" spans="1:7" x14ac:dyDescent="0.3">
      <c r="A6560" t="s">
        <v>11243</v>
      </c>
      <c r="B6560" t="s">
        <v>11244</v>
      </c>
      <c r="C6560" t="s">
        <v>8</v>
      </c>
      <c r="D6560">
        <v>1.002</v>
      </c>
      <c r="E6560">
        <v>321</v>
      </c>
      <c r="F6560" t="str">
        <f>HYPERLINK("https://www.google.com/maps/search/?api=1&amp;query=24.5444917,46.69517782", "View Map")</f>
        <v>View Map</v>
      </c>
    </row>
    <row r="6561" spans="1:7" x14ac:dyDescent="0.3">
      <c r="A6561" t="s">
        <v>11245</v>
      </c>
      <c r="B6561" t="s">
        <v>11246</v>
      </c>
      <c r="C6561" t="s">
        <v>393</v>
      </c>
      <c r="D6561">
        <v>1</v>
      </c>
      <c r="E6561">
        <v>320</v>
      </c>
      <c r="F6561" t="str">
        <f>HYPERLINK("https://www.google.com/maps/search/?api=1&amp;query=22.85694346,44.90787729", "View Map")</f>
        <v>View Map</v>
      </c>
      <c r="G6561" s="2">
        <v>0.75834793001685119</v>
      </c>
    </row>
    <row r="6562" spans="1:7" x14ac:dyDescent="0.3">
      <c r="A6562" t="s">
        <v>11247</v>
      </c>
      <c r="B6562" t="s">
        <v>11248</v>
      </c>
      <c r="C6562" t="s">
        <v>241</v>
      </c>
      <c r="D6562">
        <v>0.98399999999999999</v>
      </c>
      <c r="E6562">
        <v>315</v>
      </c>
      <c r="F6562" t="str">
        <f>HYPERLINK("https://www.google.com/maps/search/?api=1&amp;query=21.58537837,43.95638325", "View Map")</f>
        <v>View Map</v>
      </c>
      <c r="G6562" s="2">
        <v>0.61915446505275973</v>
      </c>
    </row>
    <row r="6563" spans="1:7" x14ac:dyDescent="0.3">
      <c r="A6563" t="s">
        <v>11249</v>
      </c>
      <c r="B6563" t="s">
        <v>11250</v>
      </c>
      <c r="C6563" t="s">
        <v>291</v>
      </c>
      <c r="D6563">
        <v>0.97099999999999997</v>
      </c>
      <c r="E6563">
        <v>311</v>
      </c>
      <c r="F6563" t="str">
        <f>HYPERLINK("https://www.google.com/maps/search/?api=1&amp;query=24.3855424,45.80120663", "View Map")</f>
        <v>View Map</v>
      </c>
      <c r="G6563" s="2">
        <v>0.77637665179309712</v>
      </c>
    </row>
    <row r="6564" spans="1:7" x14ac:dyDescent="0.3">
      <c r="A6564" t="s">
        <v>11251</v>
      </c>
      <c r="B6564" t="s">
        <v>11252</v>
      </c>
      <c r="C6564" t="s">
        <v>255</v>
      </c>
      <c r="D6564">
        <v>0.97</v>
      </c>
      <c r="E6564">
        <v>311</v>
      </c>
      <c r="F6564" t="str">
        <f>HYPERLINK("https://www.google.com/maps/search/?api=1&amp;query=24.52132293,44.4159675", "View Map")</f>
        <v>View Map</v>
      </c>
    </row>
    <row r="6565" spans="1:7" x14ac:dyDescent="0.3">
      <c r="A6565" t="s">
        <v>11253</v>
      </c>
      <c r="B6565" t="s">
        <v>11254</v>
      </c>
      <c r="C6565" t="s">
        <v>255</v>
      </c>
      <c r="D6565">
        <v>0.96799999999999997</v>
      </c>
      <c r="E6565">
        <v>310</v>
      </c>
      <c r="F6565" t="str">
        <f>HYPERLINK("https://www.google.com/maps/search/?api=1&amp;query=25.02457623,43.81349745", "View Map")</f>
        <v>View Map</v>
      </c>
    </row>
    <row r="6566" spans="1:7" x14ac:dyDescent="0.3">
      <c r="A6566" t="s">
        <v>11255</v>
      </c>
      <c r="B6566" t="s">
        <v>11256</v>
      </c>
      <c r="C6566" t="s">
        <v>214</v>
      </c>
      <c r="D6566">
        <v>0.95899999999999996</v>
      </c>
      <c r="E6566">
        <v>307</v>
      </c>
      <c r="F6566" t="str">
        <f>HYPERLINK("https://www.google.com/maps/search/?api=1&amp;query=25.90238454,45.35256886", "View Map")</f>
        <v>View Map</v>
      </c>
      <c r="G6566" s="2">
        <v>0.39929426959327441</v>
      </c>
    </row>
    <row r="6567" spans="1:7" x14ac:dyDescent="0.3">
      <c r="A6567" t="s">
        <v>11257</v>
      </c>
      <c r="B6567" t="s">
        <v>11258</v>
      </c>
      <c r="C6567" t="s">
        <v>214</v>
      </c>
      <c r="D6567">
        <v>0.95299999999999996</v>
      </c>
      <c r="E6567">
        <v>305</v>
      </c>
      <c r="F6567" t="str">
        <f>HYPERLINK("https://www.google.com/maps/search/?api=1&amp;query=25.71320261,45.86310017", "View Map")</f>
        <v>View Map</v>
      </c>
      <c r="G6567" s="2">
        <v>0.48364333790159669</v>
      </c>
    </row>
    <row r="6568" spans="1:7" x14ac:dyDescent="0.3">
      <c r="A6568" t="s">
        <v>11259</v>
      </c>
      <c r="B6568" t="s">
        <v>11260</v>
      </c>
      <c r="C6568" t="s">
        <v>8</v>
      </c>
      <c r="D6568">
        <v>0.94899999999999995</v>
      </c>
      <c r="E6568">
        <v>304</v>
      </c>
      <c r="F6568" t="str">
        <f>HYPERLINK("https://www.google.com/maps/search/?api=1&amp;query=24.5740782,46.77259381", "View Map")</f>
        <v>View Map</v>
      </c>
    </row>
    <row r="6569" spans="1:7" x14ac:dyDescent="0.3">
      <c r="A6569" t="s">
        <v>3164</v>
      </c>
      <c r="B6569" t="s">
        <v>11261</v>
      </c>
      <c r="C6569" t="s">
        <v>255</v>
      </c>
      <c r="D6569">
        <v>0.91600000000000004</v>
      </c>
      <c r="E6569">
        <v>293</v>
      </c>
      <c r="F6569" t="str">
        <f>HYPERLINK("https://www.google.com/maps/search/?api=1&amp;query=25.03748185,43.79413781", "View Map")</f>
        <v>View Map</v>
      </c>
      <c r="G6569" s="2">
        <v>0.84410768604086073</v>
      </c>
    </row>
    <row r="6570" spans="1:7" x14ac:dyDescent="0.3">
      <c r="A6570" t="s">
        <v>11262</v>
      </c>
      <c r="B6570" t="s">
        <v>11263</v>
      </c>
      <c r="C6570" t="s">
        <v>241</v>
      </c>
      <c r="D6570">
        <v>0.90900000000000003</v>
      </c>
      <c r="E6570">
        <v>291</v>
      </c>
      <c r="F6570" t="str">
        <f>HYPERLINK("https://www.google.com/maps/search/?api=1&amp;query=20.43981078,44.9235643", "View Map")</f>
        <v>View Map</v>
      </c>
    </row>
    <row r="6571" spans="1:7" x14ac:dyDescent="0.3">
      <c r="A6571" t="s">
        <v>11264</v>
      </c>
      <c r="B6571" t="s">
        <v>11265</v>
      </c>
      <c r="C6571" t="s">
        <v>241</v>
      </c>
      <c r="D6571">
        <v>0.89800000000000002</v>
      </c>
      <c r="E6571">
        <v>287</v>
      </c>
      <c r="F6571" t="str">
        <f>HYPERLINK("https://www.google.com/maps/search/?api=1&amp;query=21.96393943,44.98700189", "View Map")</f>
        <v>View Map</v>
      </c>
      <c r="G6571" s="2">
        <v>0.59680537974683556</v>
      </c>
    </row>
    <row r="6572" spans="1:7" x14ac:dyDescent="0.3">
      <c r="A6572" t="s">
        <v>11266</v>
      </c>
      <c r="B6572" t="s">
        <v>11267</v>
      </c>
      <c r="C6572" t="s">
        <v>8</v>
      </c>
      <c r="D6572">
        <v>0.89400000000000002</v>
      </c>
      <c r="E6572">
        <v>286</v>
      </c>
      <c r="F6572" t="str">
        <f>HYPERLINK("https://www.google.com/maps/search/?api=1&amp;query=24.44098936,46.97822832", "View Map")</f>
        <v>View Map</v>
      </c>
    </row>
    <row r="6573" spans="1:7" x14ac:dyDescent="0.3">
      <c r="A6573" t="s">
        <v>11268</v>
      </c>
      <c r="B6573" t="s">
        <v>11269</v>
      </c>
      <c r="C6573" t="s">
        <v>291</v>
      </c>
      <c r="D6573">
        <v>0.876</v>
      </c>
      <c r="E6573">
        <v>280</v>
      </c>
      <c r="F6573" t="str">
        <f>HYPERLINK("https://www.google.com/maps/search/?api=1&amp;query=23.98812483,45.11369298", "View Map")</f>
        <v>View Map</v>
      </c>
      <c r="G6573" s="2">
        <v>0.77833615488315588</v>
      </c>
    </row>
    <row r="6574" spans="1:7" x14ac:dyDescent="0.3">
      <c r="A6574" t="s">
        <v>11270</v>
      </c>
      <c r="B6574" t="s">
        <v>11271</v>
      </c>
      <c r="C6574" t="s">
        <v>21</v>
      </c>
      <c r="D6574">
        <v>0.86899999999999999</v>
      </c>
      <c r="E6574">
        <v>278</v>
      </c>
      <c r="F6574" t="str">
        <f>HYPERLINK("https://www.google.com/maps/search/?api=1&amp;query=26.32287771,44.80793044", "View Map")</f>
        <v>View Map</v>
      </c>
    </row>
    <row r="6575" spans="1:7" x14ac:dyDescent="0.3">
      <c r="A6575" t="s">
        <v>9223</v>
      </c>
      <c r="B6575" t="s">
        <v>11272</v>
      </c>
      <c r="C6575" t="s">
        <v>8</v>
      </c>
      <c r="D6575">
        <v>0.86799999999999999</v>
      </c>
      <c r="E6575">
        <v>278</v>
      </c>
      <c r="F6575" t="str">
        <f>HYPERLINK("https://www.google.com/maps/search/?api=1&amp;query=24.77722624,46.79580449", "View Map")</f>
        <v>View Map</v>
      </c>
    </row>
    <row r="6576" spans="1:7" x14ac:dyDescent="0.3">
      <c r="A6576" t="s">
        <v>11273</v>
      </c>
      <c r="B6576" t="s">
        <v>11274</v>
      </c>
      <c r="C6576" t="s">
        <v>8</v>
      </c>
      <c r="D6576">
        <v>0.86699999999999999</v>
      </c>
      <c r="E6576">
        <v>277</v>
      </c>
      <c r="F6576" t="str">
        <f>HYPERLINK("https://www.google.com/maps/search/?api=1&amp;query=24.4981774,46.62160574", "View Map")</f>
        <v>View Map</v>
      </c>
    </row>
    <row r="6577" spans="1:7" x14ac:dyDescent="0.3">
      <c r="A6577" t="s">
        <v>362</v>
      </c>
      <c r="B6577" t="s">
        <v>11275</v>
      </c>
      <c r="C6577" t="s">
        <v>364</v>
      </c>
      <c r="D6577">
        <v>0.85799999999999998</v>
      </c>
      <c r="E6577">
        <v>275</v>
      </c>
      <c r="F6577" t="str">
        <f>HYPERLINK("https://www.google.com/maps/search/?api=1&amp;query=25.29057632,45.7976909", "View Map")</f>
        <v>View Map</v>
      </c>
      <c r="G6577" s="2">
        <v>0.66174192054579162</v>
      </c>
    </row>
    <row r="6578" spans="1:7" x14ac:dyDescent="0.3">
      <c r="A6578" t="s">
        <v>11276</v>
      </c>
      <c r="B6578" t="s">
        <v>11277</v>
      </c>
      <c r="C6578" t="s">
        <v>255</v>
      </c>
      <c r="D6578">
        <v>0.85799999999999998</v>
      </c>
      <c r="E6578">
        <v>274</v>
      </c>
      <c r="F6578" t="str">
        <f>HYPERLINK("https://www.google.com/maps/search/?api=1&amp;query=25.03029411,43.74884355", "View Map")</f>
        <v>View Map</v>
      </c>
      <c r="G6578" s="2">
        <v>0.70067334183544583</v>
      </c>
    </row>
    <row r="6579" spans="1:7" x14ac:dyDescent="0.3">
      <c r="A6579" t="s">
        <v>11278</v>
      </c>
      <c r="B6579" t="s">
        <v>11279</v>
      </c>
      <c r="C6579" t="s">
        <v>8</v>
      </c>
      <c r="D6579">
        <v>0.84799999999999998</v>
      </c>
      <c r="E6579">
        <v>271</v>
      </c>
      <c r="F6579" t="str">
        <f>HYPERLINK("https://www.google.com/maps/search/?api=1&amp;query=24.57250535,46.65660856", "View Map")</f>
        <v>View Map</v>
      </c>
    </row>
    <row r="6580" spans="1:7" x14ac:dyDescent="0.3">
      <c r="A6580" t="s">
        <v>11280</v>
      </c>
      <c r="B6580" t="s">
        <v>11281</v>
      </c>
      <c r="C6580" t="s">
        <v>255</v>
      </c>
      <c r="D6580">
        <v>0.84299999999999997</v>
      </c>
      <c r="E6580">
        <v>270</v>
      </c>
      <c r="F6580" t="str">
        <f>HYPERLINK("https://www.google.com/maps/search/?api=1&amp;query=25.08583256,43.77471867", "View Map")</f>
        <v>View Map</v>
      </c>
      <c r="G6580" s="2">
        <v>0.62287771009153037</v>
      </c>
    </row>
    <row r="6581" spans="1:7" x14ac:dyDescent="0.3">
      <c r="A6581" t="s">
        <v>11282</v>
      </c>
      <c r="B6581" t="s">
        <v>11283</v>
      </c>
      <c r="C6581" t="s">
        <v>255</v>
      </c>
      <c r="D6581">
        <v>0.80800000000000005</v>
      </c>
      <c r="E6581">
        <v>258</v>
      </c>
      <c r="F6581" t="str">
        <f>HYPERLINK("https://www.google.com/maps/search/?api=1&amp;query=24.66443002,43.6415956", "View Map")</f>
        <v>View Map</v>
      </c>
      <c r="G6581" s="2">
        <v>0.81622570642530523</v>
      </c>
    </row>
    <row r="6582" spans="1:7" x14ac:dyDescent="0.3">
      <c r="A6582" t="s">
        <v>11284</v>
      </c>
      <c r="B6582" t="s">
        <v>11285</v>
      </c>
      <c r="C6582" t="s">
        <v>442</v>
      </c>
      <c r="D6582">
        <v>0.79300000000000004</v>
      </c>
      <c r="E6582">
        <v>254</v>
      </c>
      <c r="F6582" t="str">
        <f>HYPERLINK("https://www.google.com/maps/search/?api=1&amp;query=23.33813592,45.95495329", "View Map")</f>
        <v>View Map</v>
      </c>
      <c r="G6582" s="2">
        <v>0.38631891807316238</v>
      </c>
    </row>
    <row r="6583" spans="1:7" x14ac:dyDescent="0.3">
      <c r="A6583" t="s">
        <v>11286</v>
      </c>
      <c r="B6583" t="s">
        <v>11287</v>
      </c>
      <c r="C6583" t="s">
        <v>291</v>
      </c>
      <c r="D6583">
        <v>0.79200000000000004</v>
      </c>
      <c r="E6583">
        <v>253</v>
      </c>
      <c r="F6583" t="str">
        <f>HYPERLINK("https://www.google.com/maps/search/?api=1&amp;query=24.40055501,45.32537801", "View Map")</f>
        <v>View Map</v>
      </c>
      <c r="G6583" s="2">
        <v>0.67786396580052699</v>
      </c>
    </row>
    <row r="6584" spans="1:7" x14ac:dyDescent="0.3">
      <c r="A6584" t="s">
        <v>11288</v>
      </c>
      <c r="B6584" t="s">
        <v>11289</v>
      </c>
      <c r="C6584" t="s">
        <v>8</v>
      </c>
      <c r="D6584">
        <v>0.76</v>
      </c>
      <c r="E6584">
        <v>243</v>
      </c>
      <c r="F6584" t="str">
        <f>HYPERLINK("https://www.google.com/maps/search/?api=1&amp;query=24.43904749,46.97940649", "View Map")</f>
        <v>View Map</v>
      </c>
    </row>
    <row r="6585" spans="1:7" x14ac:dyDescent="0.3">
      <c r="A6585" t="s">
        <v>11290</v>
      </c>
      <c r="B6585" t="s">
        <v>11291</v>
      </c>
      <c r="C6585" t="s">
        <v>8</v>
      </c>
      <c r="D6585">
        <v>0.75800000000000001</v>
      </c>
      <c r="E6585">
        <v>243</v>
      </c>
      <c r="F6585" t="str">
        <f>HYPERLINK("https://www.google.com/maps/search/?api=1&amp;query=24.74945472,46.75192887", "View Map")</f>
        <v>View Map</v>
      </c>
    </row>
    <row r="6586" spans="1:7" x14ac:dyDescent="0.3">
      <c r="A6586" t="s">
        <v>4155</v>
      </c>
      <c r="B6586" t="s">
        <v>11292</v>
      </c>
      <c r="C6586" t="s">
        <v>8</v>
      </c>
      <c r="D6586">
        <v>0.75800000000000001</v>
      </c>
      <c r="E6586">
        <v>242</v>
      </c>
      <c r="F6586" t="str">
        <f>HYPERLINK("https://www.google.com/maps/search/?api=1&amp;query=24.5780302,46.5218564", "View Map")</f>
        <v>View Map</v>
      </c>
    </row>
    <row r="6587" spans="1:7" x14ac:dyDescent="0.3">
      <c r="A6587" t="s">
        <v>11293</v>
      </c>
      <c r="B6587" t="s">
        <v>11294</v>
      </c>
      <c r="C6587" t="s">
        <v>77</v>
      </c>
      <c r="D6587">
        <v>0.754</v>
      </c>
      <c r="E6587">
        <v>241</v>
      </c>
      <c r="F6587" t="str">
        <f>HYPERLINK("https://www.google.com/maps/search/?api=1&amp;query=22.31736012,46.72595035", "View Map")</f>
        <v>View Map</v>
      </c>
      <c r="G6587" s="2">
        <v>0.33709403313768932</v>
      </c>
    </row>
    <row r="6588" spans="1:7" x14ac:dyDescent="0.3">
      <c r="A6588" t="s">
        <v>11295</v>
      </c>
      <c r="B6588" t="s">
        <v>11296</v>
      </c>
      <c r="C6588" t="s">
        <v>214</v>
      </c>
      <c r="D6588">
        <v>0.751</v>
      </c>
      <c r="E6588">
        <v>240</v>
      </c>
      <c r="F6588" t="str">
        <f>HYPERLINK("https://www.google.com/maps/search/?api=1&amp;query=25.59515648,45.62045728", "View Map")</f>
        <v>View Map</v>
      </c>
    </row>
    <row r="6589" spans="1:7" x14ac:dyDescent="0.3">
      <c r="A6589" t="s">
        <v>632</v>
      </c>
      <c r="B6589" t="s">
        <v>11297</v>
      </c>
      <c r="C6589" t="s">
        <v>8</v>
      </c>
      <c r="D6589">
        <v>0.69399999999999995</v>
      </c>
      <c r="E6589">
        <v>222</v>
      </c>
      <c r="F6589" t="str">
        <f>HYPERLINK("https://www.google.com/maps/search/?api=1&amp;query=24.59072626,46.59392509", "View Map")</f>
        <v>View Map</v>
      </c>
    </row>
    <row r="6590" spans="1:7" x14ac:dyDescent="0.3">
      <c r="A6590" t="s">
        <v>11298</v>
      </c>
      <c r="B6590" t="s">
        <v>11299</v>
      </c>
      <c r="C6590" t="s">
        <v>16</v>
      </c>
      <c r="D6590">
        <v>0.65200000000000002</v>
      </c>
      <c r="E6590">
        <v>209</v>
      </c>
      <c r="F6590" t="str">
        <f>HYPERLINK("https://www.google.com/maps/search/?api=1&amp;query=23.87881886,42.8785835", "View Map")</f>
        <v>View Map</v>
      </c>
    </row>
    <row r="6591" spans="1:7" x14ac:dyDescent="0.3">
      <c r="A6591" t="s">
        <v>11300</v>
      </c>
      <c r="B6591" t="s">
        <v>11301</v>
      </c>
      <c r="C6591" t="s">
        <v>214</v>
      </c>
      <c r="D6591">
        <v>0.64500000000000002</v>
      </c>
      <c r="E6591">
        <v>206</v>
      </c>
      <c r="F6591" t="str">
        <f>HYPERLINK("https://www.google.com/maps/search/?api=1&amp;query=26.87995,45.32123", "View Map")</f>
        <v>View Map</v>
      </c>
      <c r="G6591" s="2">
        <v>0.71964804016642347</v>
      </c>
    </row>
    <row r="6592" spans="1:7" x14ac:dyDescent="0.3">
      <c r="A6592" t="s">
        <v>1788</v>
      </c>
      <c r="B6592" t="s">
        <v>11302</v>
      </c>
      <c r="C6592" t="s">
        <v>393</v>
      </c>
      <c r="D6592">
        <v>0.624</v>
      </c>
      <c r="E6592">
        <v>200</v>
      </c>
      <c r="F6592" t="str">
        <f>HYPERLINK("https://www.google.com/maps/search/?api=1&amp;query=23.61835924,45.39282352", "View Map")</f>
        <v>View Map</v>
      </c>
      <c r="G6592" s="2">
        <v>0.76159108395207553</v>
      </c>
    </row>
  </sheetData>
  <pageMargins left="0.75" right="0.75" top="1" bottom="1" header="0.5" footer="0.5"/>
  <headerFooter>
    <oddFooter>&amp;C_x000D_&amp;1#&amp;"Aptos"&amp;10&amp;K0000FF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28"/>
  <sheetViews>
    <sheetView workbookViewId="0">
      <selection activeCell="G4" sqref="G4"/>
    </sheetView>
  </sheetViews>
  <sheetFormatPr defaultRowHeight="14.4" x14ac:dyDescent="0.3"/>
  <cols>
    <col min="1" max="1" width="39.109375" bestFit="1" customWidth="1"/>
    <col min="2" max="2" width="18.6640625" bestFit="1" customWidth="1"/>
    <col min="3" max="3" width="15.33203125" bestFit="1" customWidth="1"/>
    <col min="4" max="4" width="36.33203125" bestFit="1" customWidth="1"/>
    <col min="5" max="5" width="14.88671875" bestFit="1" customWidth="1"/>
    <col min="6" max="6" width="9.88671875" bestFit="1" customWidth="1"/>
    <col min="7" max="7" width="23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13125</v>
      </c>
      <c r="F1" s="5" t="s">
        <v>4</v>
      </c>
      <c r="G1" s="1" t="s">
        <v>11303</v>
      </c>
    </row>
    <row r="2" spans="1:7" x14ac:dyDescent="0.3">
      <c r="A2" t="s">
        <v>10</v>
      </c>
      <c r="B2" t="s">
        <v>11</v>
      </c>
      <c r="C2" t="s">
        <v>8</v>
      </c>
      <c r="D2">
        <v>309.55500000000001</v>
      </c>
      <c r="E2" s="4">
        <v>99058</v>
      </c>
      <c r="F2" t="str">
        <f>HYPERLINK("https://www.google.com/maps/search/?api=1&amp;query=24.71878225,46.7552068", "View Map")</f>
        <v>View Map</v>
      </c>
      <c r="G2" s="2">
        <v>0.83889289113762022</v>
      </c>
    </row>
    <row r="3" spans="1:7" x14ac:dyDescent="0.3">
      <c r="A3" t="s">
        <v>6</v>
      </c>
      <c r="B3" t="s">
        <v>7</v>
      </c>
      <c r="C3" t="s">
        <v>8</v>
      </c>
      <c r="D3">
        <v>306.43900000000002</v>
      </c>
      <c r="E3" s="4">
        <v>98061</v>
      </c>
      <c r="F3" t="str">
        <f>HYPERLINK("https://www.google.com/maps/search/?api=1&amp;query=24.6290373,46.70857805", "View Map")</f>
        <v>View Map</v>
      </c>
      <c r="G3" s="2">
        <v>0.62512211154762132</v>
      </c>
    </row>
    <row r="4" spans="1:7" x14ac:dyDescent="0.3">
      <c r="A4" t="s">
        <v>17</v>
      </c>
      <c r="B4" t="s">
        <v>18</v>
      </c>
      <c r="C4" t="s">
        <v>8</v>
      </c>
      <c r="D4">
        <v>127.23099999999999</v>
      </c>
      <c r="E4" s="4">
        <v>40714</v>
      </c>
      <c r="F4" t="str">
        <f>HYPERLINK("https://www.google.com/maps/search/?api=1&amp;query=24.70051282,46.65273349", "View Map")</f>
        <v>View Map</v>
      </c>
      <c r="G4" s="2">
        <v>0.78547462005540114</v>
      </c>
    </row>
    <row r="5" spans="1:7" x14ac:dyDescent="0.3">
      <c r="A5" t="s">
        <v>22</v>
      </c>
      <c r="B5" t="s">
        <v>23</v>
      </c>
      <c r="C5" t="s">
        <v>8</v>
      </c>
      <c r="D5">
        <v>113.245</v>
      </c>
      <c r="E5" s="4">
        <v>36238</v>
      </c>
      <c r="F5" t="str">
        <f>HYPERLINK("https://www.google.com/maps/search/?api=1&amp;query=24.67291561,46.86330744", "View Map")</f>
        <v>View Map</v>
      </c>
      <c r="G5" s="2">
        <v>0.71377124936932324</v>
      </c>
    </row>
    <row r="6" spans="1:7" x14ac:dyDescent="0.3">
      <c r="A6" t="s">
        <v>24</v>
      </c>
      <c r="B6" t="s">
        <v>25</v>
      </c>
      <c r="C6" t="s">
        <v>8</v>
      </c>
      <c r="D6">
        <v>103.26300000000001</v>
      </c>
      <c r="E6" s="4">
        <v>33044</v>
      </c>
      <c r="F6" t="str">
        <f>HYPERLINK("https://www.google.com/maps/search/?api=1&amp;query=24.66201851,46.86361439", "View Map")</f>
        <v>View Map</v>
      </c>
      <c r="G6" s="2">
        <v>0.7755473545994378</v>
      </c>
    </row>
    <row r="7" spans="1:7" x14ac:dyDescent="0.3">
      <c r="A7" t="s">
        <v>19</v>
      </c>
      <c r="B7" t="s">
        <v>20</v>
      </c>
      <c r="C7" t="s">
        <v>21</v>
      </c>
      <c r="D7">
        <v>100.916</v>
      </c>
      <c r="E7" s="4">
        <v>32293</v>
      </c>
      <c r="F7" t="str">
        <f>HYPERLINK("https://www.google.com/maps/search/?api=1&amp;query=26.30596794,44.80295377", "View Map")</f>
        <v>View Map</v>
      </c>
      <c r="G7" s="2">
        <v>0.52383916530626728</v>
      </c>
    </row>
    <row r="8" spans="1:7" x14ac:dyDescent="0.3">
      <c r="A8" t="s">
        <v>26</v>
      </c>
      <c r="B8" t="s">
        <v>27</v>
      </c>
      <c r="C8" t="s">
        <v>8</v>
      </c>
      <c r="D8">
        <v>94.234999999999999</v>
      </c>
      <c r="E8" s="4">
        <v>30155</v>
      </c>
      <c r="F8" t="str">
        <f>HYPERLINK("https://www.google.com/maps/search/?api=1&amp;query=24.67439423,46.87595957", "View Map")</f>
        <v>View Map</v>
      </c>
      <c r="G8" s="2">
        <v>0.7731617555771616</v>
      </c>
    </row>
    <row r="9" spans="1:7" x14ac:dyDescent="0.3">
      <c r="A9" t="s">
        <v>12</v>
      </c>
      <c r="B9" t="s">
        <v>13</v>
      </c>
      <c r="C9" t="s">
        <v>8</v>
      </c>
      <c r="D9">
        <v>83.53</v>
      </c>
      <c r="E9" s="4">
        <v>26730</v>
      </c>
      <c r="F9" t="str">
        <f>HYPERLINK("https://www.google.com/maps/search/?api=1&amp;query=24.674339,46.7816788", "View Map")</f>
        <v>View Map</v>
      </c>
      <c r="G9" s="2">
        <v>0.1143442096702858</v>
      </c>
    </row>
    <row r="10" spans="1:7" x14ac:dyDescent="0.3">
      <c r="A10" t="s">
        <v>33</v>
      </c>
      <c r="B10" t="s">
        <v>34</v>
      </c>
      <c r="C10" t="s">
        <v>8</v>
      </c>
      <c r="D10">
        <v>80.671000000000006</v>
      </c>
      <c r="E10" s="4">
        <v>25815</v>
      </c>
      <c r="F10" t="str">
        <f>HYPERLINK("https://www.google.com/maps/search/?api=1&amp;query=24.67053649,46.65803202", "View Map")</f>
        <v>View Map</v>
      </c>
      <c r="G10" s="2">
        <v>0.76094752448363989</v>
      </c>
    </row>
    <row r="11" spans="1:7" x14ac:dyDescent="0.3">
      <c r="A11" t="s">
        <v>35</v>
      </c>
      <c r="B11" t="s">
        <v>36</v>
      </c>
      <c r="C11" t="s">
        <v>8</v>
      </c>
      <c r="D11">
        <v>79.771000000000001</v>
      </c>
      <c r="E11" s="4">
        <v>25527</v>
      </c>
      <c r="F11" t="str">
        <f>HYPERLINK("https://www.google.com/maps/search/?api=1&amp;query=24.62872277,46.71230113", "View Map")</f>
        <v>View Map</v>
      </c>
      <c r="G11" s="2">
        <v>0.75173253949808316</v>
      </c>
    </row>
    <row r="12" spans="1:7" x14ac:dyDescent="0.3">
      <c r="A12" t="s">
        <v>41</v>
      </c>
      <c r="B12" t="s">
        <v>42</v>
      </c>
      <c r="C12" t="s">
        <v>8</v>
      </c>
      <c r="D12">
        <v>65.474000000000004</v>
      </c>
      <c r="E12" s="4">
        <v>20952</v>
      </c>
      <c r="F12" t="str">
        <f>HYPERLINK("https://www.google.com/maps/search/?api=1&amp;query=24.65966611,46.86842639", "View Map")</f>
        <v>View Map</v>
      </c>
      <c r="G12" s="2">
        <v>0.62967370186784821</v>
      </c>
    </row>
    <row r="13" spans="1:7" x14ac:dyDescent="0.3">
      <c r="A13" t="s">
        <v>48</v>
      </c>
      <c r="B13" t="s">
        <v>49</v>
      </c>
      <c r="C13" t="s">
        <v>8</v>
      </c>
      <c r="D13">
        <v>65.058999999999997</v>
      </c>
      <c r="E13" s="4">
        <v>20819</v>
      </c>
      <c r="F13" t="str">
        <f>HYPERLINK("https://www.google.com/maps/search/?api=1&amp;query=24.80437452,46.61631235", "View Map")</f>
        <v>View Map</v>
      </c>
      <c r="G13" s="2">
        <v>0.881756009023137</v>
      </c>
    </row>
    <row r="14" spans="1:7" x14ac:dyDescent="0.3">
      <c r="A14" t="s">
        <v>120</v>
      </c>
      <c r="B14" t="s">
        <v>121</v>
      </c>
      <c r="C14" t="s">
        <v>8</v>
      </c>
      <c r="D14">
        <v>62.804000000000002</v>
      </c>
      <c r="E14" s="4">
        <v>20097</v>
      </c>
      <c r="F14" t="str">
        <f>HYPERLINK("https://www.google.com/maps/search/?api=1&amp;query=24.71811061,46.85098508", "View Map")</f>
        <v>View Map</v>
      </c>
      <c r="G14" s="2">
        <v>0.80584354844858752</v>
      </c>
    </row>
    <row r="15" spans="1:7" x14ac:dyDescent="0.3">
      <c r="A15" t="s">
        <v>44</v>
      </c>
      <c r="B15" t="s">
        <v>45</v>
      </c>
      <c r="C15" t="s">
        <v>8</v>
      </c>
      <c r="D15">
        <v>61.862000000000002</v>
      </c>
      <c r="E15" s="4">
        <v>19796</v>
      </c>
      <c r="F15" t="str">
        <f>HYPERLINK("https://www.google.com/maps/search/?api=1&amp;query=24.67564658,46.87356533", "View Map")</f>
        <v>View Map</v>
      </c>
      <c r="G15" s="2">
        <v>0.65582351878708678</v>
      </c>
    </row>
    <row r="16" spans="1:7" x14ac:dyDescent="0.3">
      <c r="A16" t="s">
        <v>64</v>
      </c>
      <c r="B16" t="s">
        <v>65</v>
      </c>
      <c r="C16" t="s">
        <v>8</v>
      </c>
      <c r="D16">
        <v>61.234000000000002</v>
      </c>
      <c r="E16" s="4">
        <v>19595</v>
      </c>
      <c r="F16" t="str">
        <f>HYPERLINK("https://www.google.com/maps/search/?api=1&amp;query=24.74076623,46.79615151", "View Map")</f>
        <v>View Map</v>
      </c>
      <c r="G16" s="2">
        <v>0.71616288884830592</v>
      </c>
    </row>
    <row r="17" spans="1:7" x14ac:dyDescent="0.3">
      <c r="A17" t="s">
        <v>17</v>
      </c>
      <c r="B17" t="s">
        <v>43</v>
      </c>
      <c r="C17" t="s">
        <v>8</v>
      </c>
      <c r="D17">
        <v>60.180999999999997</v>
      </c>
      <c r="E17" s="4">
        <v>19258</v>
      </c>
      <c r="F17" t="str">
        <f>HYPERLINK("https://www.google.com/maps/search/?api=1&amp;query=24.70051434,46.65273532", "View Map")</f>
        <v>View Map</v>
      </c>
      <c r="G17" s="2">
        <v>0.64493773667579246</v>
      </c>
    </row>
    <row r="18" spans="1:7" x14ac:dyDescent="0.3">
      <c r="A18" t="s">
        <v>60</v>
      </c>
      <c r="B18" t="s">
        <v>61</v>
      </c>
      <c r="C18" t="s">
        <v>8</v>
      </c>
      <c r="D18">
        <v>60.17</v>
      </c>
      <c r="E18" s="4">
        <v>19254</v>
      </c>
      <c r="F18" t="str">
        <f>HYPERLINK("https://www.google.com/maps/search/?api=1&amp;query=24.64446,46.67468", "View Map")</f>
        <v>View Map</v>
      </c>
      <c r="G18" s="2">
        <v>0.8429837641306881</v>
      </c>
    </row>
    <row r="19" spans="1:7" x14ac:dyDescent="0.3">
      <c r="A19" t="s">
        <v>58</v>
      </c>
      <c r="B19" t="s">
        <v>59</v>
      </c>
      <c r="C19" t="s">
        <v>30</v>
      </c>
      <c r="D19">
        <v>59.456000000000003</v>
      </c>
      <c r="E19" s="4">
        <v>19026</v>
      </c>
      <c r="F19" t="str">
        <f>HYPERLINK("https://www.google.com/maps/search/?api=1&amp;query=24.13137844,47.27461704", "View Map")</f>
        <v>View Map</v>
      </c>
      <c r="G19" s="2">
        <v>0.75027256758666638</v>
      </c>
    </row>
    <row r="20" spans="1:7" x14ac:dyDescent="0.3">
      <c r="A20" t="s">
        <v>37</v>
      </c>
      <c r="B20" t="s">
        <v>38</v>
      </c>
      <c r="C20" t="s">
        <v>8</v>
      </c>
      <c r="D20">
        <v>58.863999999999997</v>
      </c>
      <c r="E20" s="4">
        <v>18837</v>
      </c>
      <c r="F20" t="str">
        <f>HYPERLINK("https://www.google.com/maps/search/?api=1&amp;query=24.65884065,46.87719912", "View Map")</f>
        <v>View Map</v>
      </c>
      <c r="G20" s="2">
        <v>0.53036400346499246</v>
      </c>
    </row>
    <row r="21" spans="1:7" x14ac:dyDescent="0.3">
      <c r="A21" t="s">
        <v>52</v>
      </c>
      <c r="B21" t="s">
        <v>53</v>
      </c>
      <c r="C21" t="s">
        <v>8</v>
      </c>
      <c r="D21">
        <v>58.851999999999997</v>
      </c>
      <c r="E21" s="4">
        <v>18833</v>
      </c>
      <c r="F21" t="str">
        <f>HYPERLINK("https://www.google.com/maps/search/?api=1&amp;query=24.673575,46.88101881", "View Map")</f>
        <v>View Map</v>
      </c>
      <c r="G21" s="2">
        <v>0.73963214557331558</v>
      </c>
    </row>
    <row r="22" spans="1:7" x14ac:dyDescent="0.3">
      <c r="A22" t="s">
        <v>46</v>
      </c>
      <c r="B22" t="s">
        <v>68</v>
      </c>
      <c r="C22" t="s">
        <v>8</v>
      </c>
      <c r="D22">
        <v>56.442</v>
      </c>
      <c r="E22" s="4">
        <v>18061</v>
      </c>
      <c r="F22" t="str">
        <f>HYPERLINK("https://www.google.com/maps/search/?api=1&amp;query=24.8608,46.6494", "View Map")</f>
        <v>View Map</v>
      </c>
      <c r="G22" s="2">
        <v>0.85406138921997599</v>
      </c>
    </row>
    <row r="23" spans="1:7" x14ac:dyDescent="0.3">
      <c r="A23" t="s">
        <v>126</v>
      </c>
      <c r="B23" t="s">
        <v>127</v>
      </c>
      <c r="C23" t="s">
        <v>8</v>
      </c>
      <c r="D23">
        <v>55.965000000000003</v>
      </c>
      <c r="E23" s="4">
        <v>17909</v>
      </c>
      <c r="F23" t="str">
        <f>HYPERLINK("https://www.google.com/maps/search/?api=1&amp;query=24.63422828,46.70184492", "View Map")</f>
        <v>View Map</v>
      </c>
      <c r="G23" s="2">
        <v>0.61391337783267308</v>
      </c>
    </row>
    <row r="24" spans="1:7" x14ac:dyDescent="0.3">
      <c r="A24" t="s">
        <v>46</v>
      </c>
      <c r="B24" t="s">
        <v>47</v>
      </c>
      <c r="C24" t="s">
        <v>8</v>
      </c>
      <c r="D24">
        <v>55.136000000000003</v>
      </c>
      <c r="E24" s="4">
        <v>17644</v>
      </c>
      <c r="F24" t="str">
        <f>HYPERLINK("https://www.google.com/maps/search/?api=1&amp;query=24.8589,46.6406", "View Map")</f>
        <v>View Map</v>
      </c>
      <c r="G24" s="2">
        <v>0.50984562144745038</v>
      </c>
    </row>
    <row r="25" spans="1:7" x14ac:dyDescent="0.3">
      <c r="A25" t="s">
        <v>46</v>
      </c>
      <c r="B25" t="s">
        <v>69</v>
      </c>
      <c r="C25" t="s">
        <v>8</v>
      </c>
      <c r="D25">
        <v>54.938000000000002</v>
      </c>
      <c r="E25" s="4">
        <v>17580</v>
      </c>
      <c r="F25" t="str">
        <f>HYPERLINK("https://www.google.com/maps/search/?api=1&amp;query=24.81908,46.61899", "View Map")</f>
        <v>View Map</v>
      </c>
      <c r="G25" s="2">
        <v>0.52433508605983503</v>
      </c>
    </row>
    <row r="26" spans="1:7" x14ac:dyDescent="0.3">
      <c r="A26" t="s">
        <v>66</v>
      </c>
      <c r="B26" t="s">
        <v>67</v>
      </c>
      <c r="C26" t="s">
        <v>8</v>
      </c>
      <c r="D26">
        <v>54.826999999999998</v>
      </c>
      <c r="E26" s="4">
        <v>17545</v>
      </c>
      <c r="F26" t="str">
        <f>HYPERLINK("https://www.google.com/maps/search/?api=1&amp;query=24.64905,46.68186", "View Map")</f>
        <v>View Map</v>
      </c>
      <c r="G26" s="2">
        <v>0.76548729199946375</v>
      </c>
    </row>
    <row r="27" spans="1:7" x14ac:dyDescent="0.3">
      <c r="A27" t="s">
        <v>50</v>
      </c>
      <c r="B27" t="s">
        <v>51</v>
      </c>
      <c r="C27" t="s">
        <v>30</v>
      </c>
      <c r="D27">
        <v>54.542999999999999</v>
      </c>
      <c r="E27" s="4">
        <v>17454</v>
      </c>
      <c r="F27" t="str">
        <f>HYPERLINK("https://www.google.com/maps/search/?api=1&amp;query=24.15200302,47.30254745", "View Map")</f>
        <v>View Map</v>
      </c>
      <c r="G27" s="2">
        <v>0.48496198704881111</v>
      </c>
    </row>
    <row r="28" spans="1:7" x14ac:dyDescent="0.3">
      <c r="A28" t="s">
        <v>168</v>
      </c>
      <c r="B28" t="s">
        <v>169</v>
      </c>
      <c r="C28" t="s">
        <v>8</v>
      </c>
      <c r="D28">
        <v>53.982999999999997</v>
      </c>
      <c r="E28" s="4">
        <v>17275</v>
      </c>
      <c r="F28" t="str">
        <f>HYPERLINK("https://www.google.com/maps/search/?api=1&amp;query=24.62757384,46.74264107", "View Map")</f>
        <v>View Map</v>
      </c>
      <c r="G28" s="2">
        <v>0.74206312013649001</v>
      </c>
    </row>
    <row r="29" spans="1:7" x14ac:dyDescent="0.3">
      <c r="A29" t="s">
        <v>81</v>
      </c>
      <c r="B29" t="s">
        <v>82</v>
      </c>
      <c r="C29" t="s">
        <v>8</v>
      </c>
      <c r="D29">
        <v>53.313000000000002</v>
      </c>
      <c r="E29" s="4">
        <v>17060</v>
      </c>
      <c r="F29" t="str">
        <f>HYPERLINK("https://www.google.com/maps/search/?api=1&amp;query=24.67329557,46.7328561", "View Map")</f>
        <v>View Map</v>
      </c>
      <c r="G29" s="2">
        <v>0.74493851286414037</v>
      </c>
    </row>
    <row r="30" spans="1:7" x14ac:dyDescent="0.3">
      <c r="A30" t="s">
        <v>73</v>
      </c>
      <c r="B30" t="s">
        <v>74</v>
      </c>
      <c r="C30" t="s">
        <v>8</v>
      </c>
      <c r="D30">
        <v>51.167000000000002</v>
      </c>
      <c r="E30" s="4">
        <v>16373</v>
      </c>
      <c r="F30" t="str">
        <f>HYPERLINK("https://www.google.com/maps/search/?api=1&amp;query=24.7196813,46.65872229", "View Map")</f>
        <v>View Map</v>
      </c>
      <c r="G30" s="2">
        <v>0.82970174397872232</v>
      </c>
    </row>
    <row r="31" spans="1:7" x14ac:dyDescent="0.3">
      <c r="A31" t="s">
        <v>39</v>
      </c>
      <c r="B31" t="s">
        <v>40</v>
      </c>
      <c r="C31" t="s">
        <v>8</v>
      </c>
      <c r="D31">
        <v>49.765000000000001</v>
      </c>
      <c r="E31" s="4">
        <v>15925</v>
      </c>
      <c r="F31" t="str">
        <f>HYPERLINK("https://www.google.com/maps/search/?api=1&amp;query=24.78932199,46.76853061", "View Map")</f>
        <v>View Map</v>
      </c>
      <c r="G31" s="2">
        <v>0.36648994351330172</v>
      </c>
    </row>
    <row r="32" spans="1:7" x14ac:dyDescent="0.3">
      <c r="A32" t="s">
        <v>83</v>
      </c>
      <c r="B32" t="s">
        <v>84</v>
      </c>
      <c r="C32" t="s">
        <v>8</v>
      </c>
      <c r="D32">
        <v>46.712000000000003</v>
      </c>
      <c r="E32" s="4">
        <v>14948</v>
      </c>
      <c r="F32" t="str">
        <f>HYPERLINK("https://www.google.com/maps/search/?api=1&amp;query=24.69470816,46.68759636", "View Map")</f>
        <v>View Map</v>
      </c>
      <c r="G32" s="2">
        <v>0.8198454820524701</v>
      </c>
    </row>
    <row r="33" spans="1:7" x14ac:dyDescent="0.3">
      <c r="A33" t="s">
        <v>46</v>
      </c>
      <c r="B33" t="s">
        <v>103</v>
      </c>
      <c r="C33" t="s">
        <v>8</v>
      </c>
      <c r="D33">
        <v>45.771999999999998</v>
      </c>
      <c r="E33" s="4">
        <v>14647</v>
      </c>
      <c r="F33" t="str">
        <f>HYPERLINK("https://www.google.com/maps/search/?api=1&amp;query=24.87769689,46.64635932", "View Map")</f>
        <v>View Map</v>
      </c>
      <c r="G33" s="2">
        <v>0.78727554179566572</v>
      </c>
    </row>
    <row r="34" spans="1:7" x14ac:dyDescent="0.3">
      <c r="A34" t="s">
        <v>97</v>
      </c>
      <c r="B34" t="s">
        <v>98</v>
      </c>
      <c r="C34" t="s">
        <v>8</v>
      </c>
      <c r="D34">
        <v>45.267000000000003</v>
      </c>
      <c r="E34" s="4">
        <v>14485</v>
      </c>
      <c r="F34" t="str">
        <f>HYPERLINK("https://www.google.com/maps/search/?api=1&amp;query=24.80580317,46.64511913", "View Map")</f>
        <v>View Map</v>
      </c>
      <c r="G34" s="2">
        <v>0.82874639522601834</v>
      </c>
    </row>
    <row r="35" spans="1:7" x14ac:dyDescent="0.3">
      <c r="A35" t="s">
        <v>99</v>
      </c>
      <c r="B35" t="s">
        <v>100</v>
      </c>
      <c r="C35" t="s">
        <v>8</v>
      </c>
      <c r="D35">
        <v>45.08</v>
      </c>
      <c r="E35" s="4">
        <v>14426</v>
      </c>
      <c r="F35" t="str">
        <f>HYPERLINK("https://www.google.com/maps/search/?api=1&amp;query=24.7328067,46.82586604", "View Map")</f>
        <v>View Map</v>
      </c>
      <c r="G35" s="2">
        <v>0.56518825347820212</v>
      </c>
    </row>
    <row r="36" spans="1:7" x14ac:dyDescent="0.3">
      <c r="A36" t="s">
        <v>93</v>
      </c>
      <c r="B36" t="s">
        <v>94</v>
      </c>
      <c r="C36" t="s">
        <v>8</v>
      </c>
      <c r="D36">
        <v>44.011000000000003</v>
      </c>
      <c r="E36" s="4">
        <v>14083</v>
      </c>
      <c r="F36" t="str">
        <f>HYPERLINK("https://www.google.com/maps/search/?api=1&amp;query=24.66912039,46.86116075", "View Map")</f>
        <v>View Map</v>
      </c>
      <c r="G36" s="2">
        <v>0.66593646918783589</v>
      </c>
    </row>
    <row r="37" spans="1:7" x14ac:dyDescent="0.3">
      <c r="A37" t="s">
        <v>104</v>
      </c>
      <c r="B37" t="s">
        <v>105</v>
      </c>
      <c r="C37" t="s">
        <v>8</v>
      </c>
      <c r="D37">
        <v>43.741999999999997</v>
      </c>
      <c r="E37" s="4">
        <v>13997</v>
      </c>
      <c r="F37" t="str">
        <f>HYPERLINK("https://www.google.com/maps/search/?api=1&amp;query=24.74781716,46.70447247", "View Map")</f>
        <v>View Map</v>
      </c>
      <c r="G37" s="2">
        <v>0.74866105493031698</v>
      </c>
    </row>
    <row r="38" spans="1:7" x14ac:dyDescent="0.3">
      <c r="A38" t="s">
        <v>79</v>
      </c>
      <c r="B38" t="s">
        <v>80</v>
      </c>
      <c r="C38" t="s">
        <v>8</v>
      </c>
      <c r="D38">
        <v>43.738999999999997</v>
      </c>
      <c r="E38" s="4">
        <v>13997</v>
      </c>
      <c r="F38" t="str">
        <f>HYPERLINK("https://www.google.com/maps/search/?api=1&amp;query=24.80212711,46.7338643", "View Map")</f>
        <v>View Map</v>
      </c>
      <c r="G38" s="2">
        <v>0.70514768518606596</v>
      </c>
    </row>
    <row r="39" spans="1:7" x14ac:dyDescent="0.3">
      <c r="A39" t="s">
        <v>133</v>
      </c>
      <c r="B39" t="s">
        <v>134</v>
      </c>
      <c r="C39" t="s">
        <v>8</v>
      </c>
      <c r="D39">
        <v>43.557000000000002</v>
      </c>
      <c r="E39" s="4">
        <v>13938</v>
      </c>
      <c r="F39" t="str">
        <f>HYPERLINK("https://www.google.com/maps/search/?api=1&amp;query=24.78040768,46.74986449", "View Map")</f>
        <v>View Map</v>
      </c>
      <c r="G39" s="2">
        <v>0.79234734254819716</v>
      </c>
    </row>
    <row r="40" spans="1:7" x14ac:dyDescent="0.3">
      <c r="A40" t="s">
        <v>112</v>
      </c>
      <c r="B40" t="s">
        <v>113</v>
      </c>
      <c r="C40" t="s">
        <v>8</v>
      </c>
      <c r="D40">
        <v>43.423999999999999</v>
      </c>
      <c r="E40" s="4">
        <v>13896</v>
      </c>
      <c r="F40" t="str">
        <f>HYPERLINK("https://www.google.com/maps/search/?api=1&amp;query=24.6076925,46.63268705", "View Map")</f>
        <v>View Map</v>
      </c>
      <c r="G40" s="2">
        <v>0.60147246043270575</v>
      </c>
    </row>
    <row r="41" spans="1:7" x14ac:dyDescent="0.3">
      <c r="A41" t="s">
        <v>114</v>
      </c>
      <c r="B41" t="s">
        <v>115</v>
      </c>
      <c r="C41" t="s">
        <v>21</v>
      </c>
      <c r="D41">
        <v>42.99</v>
      </c>
      <c r="E41" s="4">
        <v>13757</v>
      </c>
      <c r="F41" t="str">
        <f>HYPERLINK("https://www.google.com/maps/search/?api=1&amp;query=26.29313403,44.82522687", "View Map")</f>
        <v>View Map</v>
      </c>
      <c r="G41" s="2">
        <v>0.79810172391429834</v>
      </c>
    </row>
    <row r="42" spans="1:7" x14ac:dyDescent="0.3">
      <c r="A42" t="s">
        <v>118</v>
      </c>
      <c r="B42" t="s">
        <v>119</v>
      </c>
      <c r="C42" t="s">
        <v>8</v>
      </c>
      <c r="D42">
        <v>42.954999999999998</v>
      </c>
      <c r="E42" s="4">
        <v>13746</v>
      </c>
      <c r="F42" t="str">
        <f>HYPERLINK("https://www.google.com/maps/search/?api=1&amp;query=24.78245443,46.66026953", "View Map")</f>
        <v>View Map</v>
      </c>
      <c r="G42" s="2">
        <v>0.72768440048389194</v>
      </c>
    </row>
    <row r="43" spans="1:7" x14ac:dyDescent="0.3">
      <c r="A43" t="s">
        <v>95</v>
      </c>
      <c r="B43" t="s">
        <v>96</v>
      </c>
      <c r="C43" t="s">
        <v>8</v>
      </c>
      <c r="D43">
        <v>42.308999999999997</v>
      </c>
      <c r="E43" s="4">
        <v>13539</v>
      </c>
      <c r="F43" t="str">
        <f>HYPERLINK("https://www.google.com/maps/search/?api=1&amp;query=24.66101798,46.8607738", "View Map")</f>
        <v>View Map</v>
      </c>
      <c r="G43" s="2">
        <v>0.71855254757115583</v>
      </c>
    </row>
    <row r="44" spans="1:7" x14ac:dyDescent="0.3">
      <c r="A44" t="s">
        <v>110</v>
      </c>
      <c r="B44" t="s">
        <v>111</v>
      </c>
      <c r="C44" t="s">
        <v>55</v>
      </c>
      <c r="D44">
        <v>42.183999999999997</v>
      </c>
      <c r="E44" s="4">
        <v>13499</v>
      </c>
      <c r="F44" t="str">
        <f>HYPERLINK("https://www.google.com/maps/search/?api=1&amp;query=24.73793,46.57923", "View Map")</f>
        <v>View Map</v>
      </c>
      <c r="G44" s="2">
        <v>0.74171924123140653</v>
      </c>
    </row>
    <row r="45" spans="1:7" x14ac:dyDescent="0.3">
      <c r="A45" t="s">
        <v>135</v>
      </c>
      <c r="B45" t="s">
        <v>136</v>
      </c>
      <c r="C45" t="s">
        <v>137</v>
      </c>
      <c r="D45">
        <v>41.731000000000002</v>
      </c>
      <c r="E45" s="4">
        <v>13354</v>
      </c>
      <c r="F45" t="str">
        <f>HYPERLINK("https://www.google.com/maps/search/?api=1&amp;query=23.49019876,46.86642954", "View Map")</f>
        <v>View Map</v>
      </c>
      <c r="G45" s="2">
        <v>0.50481625716786838</v>
      </c>
    </row>
    <row r="46" spans="1:7" x14ac:dyDescent="0.3">
      <c r="A46" t="s">
        <v>124</v>
      </c>
      <c r="B46" t="s">
        <v>125</v>
      </c>
      <c r="C46" t="s">
        <v>8</v>
      </c>
      <c r="D46">
        <v>41.1</v>
      </c>
      <c r="E46" s="4">
        <v>13152</v>
      </c>
      <c r="F46" t="str">
        <f>HYPERLINK("https://www.google.com/maps/search/?api=1&amp;query=24.68503394,46.57709164", "View Map")</f>
        <v>View Map</v>
      </c>
      <c r="G46" s="2">
        <v>0.74449708932715286</v>
      </c>
    </row>
    <row r="47" spans="1:7" x14ac:dyDescent="0.3">
      <c r="A47" t="s">
        <v>46</v>
      </c>
      <c r="B47" t="s">
        <v>106</v>
      </c>
      <c r="C47" t="s">
        <v>8</v>
      </c>
      <c r="D47">
        <v>40.738</v>
      </c>
      <c r="E47" s="4">
        <v>13036</v>
      </c>
      <c r="F47" t="str">
        <f>HYPERLINK("https://www.google.com/maps/search/?api=1&amp;query=24.92576238,46.82523471", "View Map")</f>
        <v>View Map</v>
      </c>
      <c r="G47" s="2">
        <v>0.74904492141439372</v>
      </c>
    </row>
    <row r="48" spans="1:7" x14ac:dyDescent="0.3">
      <c r="A48" t="s">
        <v>101</v>
      </c>
      <c r="B48" t="s">
        <v>102</v>
      </c>
      <c r="C48" t="s">
        <v>8</v>
      </c>
      <c r="D48">
        <v>40.031999999999996</v>
      </c>
      <c r="E48" s="4">
        <v>12810</v>
      </c>
      <c r="F48" t="str">
        <f>HYPERLINK("https://www.google.com/maps/search/?api=1&amp;query=24.80658817,46.62264935", "View Map")</f>
        <v>View Map</v>
      </c>
      <c r="G48" s="2">
        <v>0.61233932886699938</v>
      </c>
    </row>
    <row r="49" spans="1:7" x14ac:dyDescent="0.3">
      <c r="A49" t="s">
        <v>46</v>
      </c>
      <c r="B49" t="s">
        <v>129</v>
      </c>
      <c r="C49" t="s">
        <v>8</v>
      </c>
      <c r="D49">
        <v>39.895000000000003</v>
      </c>
      <c r="E49" s="4">
        <v>12766</v>
      </c>
      <c r="F49" t="str">
        <f>HYPERLINK("https://www.google.com/maps/search/?api=1&amp;query=24.74721,46.84946", "View Map")</f>
        <v>View Map</v>
      </c>
      <c r="G49" s="2">
        <v>0.57745850125355991</v>
      </c>
    </row>
    <row r="50" spans="1:7" x14ac:dyDescent="0.3">
      <c r="A50" t="s">
        <v>73</v>
      </c>
      <c r="B50" t="s">
        <v>78</v>
      </c>
      <c r="C50" t="s">
        <v>8</v>
      </c>
      <c r="D50">
        <v>39.805</v>
      </c>
      <c r="E50" s="4">
        <v>12738</v>
      </c>
      <c r="F50" t="str">
        <f>HYPERLINK("https://www.google.com/maps/search/?api=1&amp;query=24.75392709,46.61690089", "View Map")</f>
        <v>View Map</v>
      </c>
      <c r="G50" s="2">
        <v>0.57004131403969172</v>
      </c>
    </row>
    <row r="51" spans="1:7" x14ac:dyDescent="0.3">
      <c r="A51" t="s">
        <v>110</v>
      </c>
      <c r="B51" t="s">
        <v>128</v>
      </c>
      <c r="C51" t="s">
        <v>55</v>
      </c>
      <c r="D51">
        <v>39.765999999999998</v>
      </c>
      <c r="E51" s="4">
        <v>12725</v>
      </c>
      <c r="F51" t="str">
        <f>HYPERLINK("https://www.google.com/maps/search/?api=1&amp;query=24.73795,46.57921", "View Map")</f>
        <v>View Map</v>
      </c>
      <c r="G51" s="2">
        <v>0.74282037229881881</v>
      </c>
    </row>
    <row r="52" spans="1:7" x14ac:dyDescent="0.3">
      <c r="A52" t="s">
        <v>107</v>
      </c>
      <c r="B52" t="s">
        <v>108</v>
      </c>
      <c r="C52" t="s">
        <v>8</v>
      </c>
      <c r="D52">
        <v>39.628999999999998</v>
      </c>
      <c r="E52" s="4">
        <v>12681</v>
      </c>
      <c r="F52" t="str">
        <f>HYPERLINK("https://www.google.com/maps/search/?api=1&amp;query=24.66639,46.87482", "View Map")</f>
        <v>View Map</v>
      </c>
      <c r="G52" s="2">
        <v>0.69179763454641441</v>
      </c>
    </row>
    <row r="53" spans="1:7" x14ac:dyDescent="0.3">
      <c r="A53" t="s">
        <v>46</v>
      </c>
      <c r="B53" t="s">
        <v>109</v>
      </c>
      <c r="C53" t="s">
        <v>8</v>
      </c>
      <c r="D53">
        <v>39.622999999999998</v>
      </c>
      <c r="E53" s="4">
        <v>12679</v>
      </c>
      <c r="F53" t="str">
        <f>HYPERLINK("https://www.google.com/maps/search/?api=1&amp;query=24.7961,46.6783", "View Map")</f>
        <v>View Map</v>
      </c>
      <c r="G53" s="2">
        <v>0.35293393896455022</v>
      </c>
    </row>
    <row r="54" spans="1:7" x14ac:dyDescent="0.3">
      <c r="A54" t="s">
        <v>163</v>
      </c>
      <c r="B54" t="s">
        <v>164</v>
      </c>
      <c r="C54" t="s">
        <v>8</v>
      </c>
      <c r="D54">
        <v>39.252000000000002</v>
      </c>
      <c r="E54" s="4">
        <v>12561</v>
      </c>
      <c r="F54" t="str">
        <f>HYPERLINK("https://www.google.com/maps/search/?api=1&amp;query=24.56930384,46.84492638", "View Map")</f>
        <v>View Map</v>
      </c>
      <c r="G54" s="2">
        <v>0.84402010205424038</v>
      </c>
    </row>
    <row r="55" spans="1:7" x14ac:dyDescent="0.3">
      <c r="A55" t="s">
        <v>156</v>
      </c>
      <c r="B55" t="s">
        <v>157</v>
      </c>
      <c r="C55" t="s">
        <v>8</v>
      </c>
      <c r="D55">
        <v>39.101999999999997</v>
      </c>
      <c r="E55" s="4">
        <v>12513</v>
      </c>
      <c r="F55" t="str">
        <f>HYPERLINK("https://www.google.com/maps/search/?api=1&amp;query=24.72517966,46.80649294", "View Map")</f>
        <v>View Map</v>
      </c>
      <c r="G55" s="2">
        <v>0.59059087659334608</v>
      </c>
    </row>
    <row r="56" spans="1:7" x14ac:dyDescent="0.3">
      <c r="A56" t="s">
        <v>152</v>
      </c>
      <c r="B56" t="s">
        <v>153</v>
      </c>
      <c r="C56" t="s">
        <v>8</v>
      </c>
      <c r="D56">
        <v>38.720999999999997</v>
      </c>
      <c r="E56" s="4">
        <v>12391</v>
      </c>
      <c r="F56" t="str">
        <f>HYPERLINK("https://www.google.com/maps/search/?api=1&amp;query=24.56288985,46.87173798", "View Map")</f>
        <v>View Map</v>
      </c>
      <c r="G56" s="2">
        <v>0.41468950181028702</v>
      </c>
    </row>
    <row r="57" spans="1:7" x14ac:dyDescent="0.3">
      <c r="A57" t="s">
        <v>251</v>
      </c>
      <c r="B57" t="s">
        <v>252</v>
      </c>
      <c r="C57" t="s">
        <v>8</v>
      </c>
      <c r="D57">
        <v>38.6</v>
      </c>
      <c r="E57" s="4">
        <v>12352</v>
      </c>
      <c r="F57" t="str">
        <f>HYPERLINK("https://www.google.com/maps/search/?api=1&amp;query=24.6798632,46.71079373", "View Map")</f>
        <v>View Map</v>
      </c>
      <c r="G57" s="2">
        <v>0.54403135348687715</v>
      </c>
    </row>
    <row r="58" spans="1:7" x14ac:dyDescent="0.3">
      <c r="A58" t="s">
        <v>144</v>
      </c>
      <c r="B58" t="s">
        <v>145</v>
      </c>
      <c r="C58" t="s">
        <v>8</v>
      </c>
      <c r="D58">
        <v>38.463000000000001</v>
      </c>
      <c r="E58" s="4">
        <v>12308</v>
      </c>
      <c r="F58" t="str">
        <f>HYPERLINK("https://www.google.com/maps/search/?api=1&amp;query=24.75976505,46.62691597", "View Map")</f>
        <v>View Map</v>
      </c>
      <c r="G58" s="2">
        <v>0.79746233477406359</v>
      </c>
    </row>
    <row r="59" spans="1:7" x14ac:dyDescent="0.3">
      <c r="A59" t="s">
        <v>140</v>
      </c>
      <c r="B59" t="s">
        <v>141</v>
      </c>
      <c r="C59" t="s">
        <v>8</v>
      </c>
      <c r="D59">
        <v>37.451000000000001</v>
      </c>
      <c r="E59" s="4">
        <v>11984</v>
      </c>
      <c r="F59" t="str">
        <f>HYPERLINK("https://www.google.com/maps/search/?api=1&amp;query=24.67622402,46.72770081", "View Map")</f>
        <v>View Map</v>
      </c>
      <c r="G59" s="2">
        <v>0.76584213950149016</v>
      </c>
    </row>
    <row r="60" spans="1:7" x14ac:dyDescent="0.3">
      <c r="A60" t="s">
        <v>75</v>
      </c>
      <c r="B60" t="s">
        <v>76</v>
      </c>
      <c r="C60" t="s">
        <v>77</v>
      </c>
      <c r="D60">
        <v>37.326999999999998</v>
      </c>
      <c r="E60" s="4">
        <v>11945</v>
      </c>
      <c r="F60" t="str">
        <f>HYPERLINK("https://www.google.com/maps/search/?api=1&amp;query=22.30267156,46.72373659", "View Map")</f>
        <v>View Map</v>
      </c>
      <c r="G60" s="2">
        <v>0.63258556783872788</v>
      </c>
    </row>
    <row r="61" spans="1:7" x14ac:dyDescent="0.3">
      <c r="A61" t="s">
        <v>170</v>
      </c>
      <c r="B61" t="s">
        <v>171</v>
      </c>
      <c r="C61" t="s">
        <v>8</v>
      </c>
      <c r="D61">
        <v>35.83</v>
      </c>
      <c r="E61" s="4">
        <v>11466</v>
      </c>
      <c r="F61" t="str">
        <f>HYPERLINK("https://www.google.com/maps/search/?api=1&amp;query=24.75244777,46.66041016", "View Map")</f>
        <v>View Map</v>
      </c>
      <c r="G61" s="2">
        <v>0.76751857606208973</v>
      </c>
    </row>
    <row r="62" spans="1:7" x14ac:dyDescent="0.3">
      <c r="A62" t="s">
        <v>46</v>
      </c>
      <c r="B62" t="s">
        <v>139</v>
      </c>
      <c r="C62" t="s">
        <v>8</v>
      </c>
      <c r="D62">
        <v>35.756</v>
      </c>
      <c r="E62" s="4">
        <v>11442</v>
      </c>
      <c r="F62" t="str">
        <f>HYPERLINK("https://www.google.com/maps/search/?api=1&amp;query=24.79720059,46.59853213", "View Map")</f>
        <v>View Map</v>
      </c>
      <c r="G62" s="2">
        <v>0.58168260628164026</v>
      </c>
    </row>
    <row r="63" spans="1:7" x14ac:dyDescent="0.3">
      <c r="A63" t="s">
        <v>62</v>
      </c>
      <c r="B63" t="s">
        <v>63</v>
      </c>
      <c r="C63" t="s">
        <v>8</v>
      </c>
      <c r="D63">
        <v>35.613</v>
      </c>
      <c r="E63" s="4">
        <v>11396</v>
      </c>
      <c r="F63" t="str">
        <f>HYPERLINK("https://www.google.com/maps/search/?api=1&amp;query=24.81794716,46.77955596", "View Map")</f>
        <v>View Map</v>
      </c>
      <c r="G63" s="2">
        <v>0.52238616857335973</v>
      </c>
    </row>
    <row r="64" spans="1:7" x14ac:dyDescent="0.3">
      <c r="A64" t="s">
        <v>160</v>
      </c>
      <c r="B64" t="s">
        <v>161</v>
      </c>
      <c r="C64" t="s">
        <v>55</v>
      </c>
      <c r="D64">
        <v>35.569000000000003</v>
      </c>
      <c r="E64" s="4">
        <v>11382</v>
      </c>
      <c r="F64" t="str">
        <f>HYPERLINK("https://www.google.com/maps/search/?api=1&amp;query=24.80390597,46.52287513", "View Map")</f>
        <v>View Map</v>
      </c>
      <c r="G64" s="2">
        <v>0.70450232429725901</v>
      </c>
    </row>
    <row r="65" spans="1:7" x14ac:dyDescent="0.3">
      <c r="A65" t="s">
        <v>181</v>
      </c>
      <c r="B65" t="s">
        <v>182</v>
      </c>
      <c r="C65" t="s">
        <v>8</v>
      </c>
      <c r="D65">
        <v>35.049999999999997</v>
      </c>
      <c r="E65" s="4">
        <v>11216</v>
      </c>
      <c r="F65" t="str">
        <f>HYPERLINK("https://www.google.com/maps/search/?api=1&amp;query=24.63849898,46.66478357", "View Map")</f>
        <v>View Map</v>
      </c>
      <c r="G65" s="2">
        <v>0.60987905253008845</v>
      </c>
    </row>
    <row r="66" spans="1:7" x14ac:dyDescent="0.3">
      <c r="A66" t="s">
        <v>46</v>
      </c>
      <c r="B66" t="s">
        <v>162</v>
      </c>
      <c r="C66" t="s">
        <v>8</v>
      </c>
      <c r="D66">
        <v>34.853000000000002</v>
      </c>
      <c r="E66" s="4">
        <v>11153</v>
      </c>
      <c r="F66" t="str">
        <f>HYPERLINK("https://www.google.com/maps/search/?api=1&amp;query=24.83314673,46.74338989", "View Map")</f>
        <v>View Map</v>
      </c>
      <c r="G66" s="2">
        <v>0.74403510939565731</v>
      </c>
    </row>
    <row r="67" spans="1:7" x14ac:dyDescent="0.3">
      <c r="A67" t="s">
        <v>148</v>
      </c>
      <c r="B67" t="s">
        <v>149</v>
      </c>
      <c r="C67" t="s">
        <v>8</v>
      </c>
      <c r="D67">
        <v>34.648000000000003</v>
      </c>
      <c r="E67" s="4">
        <v>11087</v>
      </c>
      <c r="F67" t="str">
        <f>HYPERLINK("https://www.google.com/maps/search/?api=1&amp;query=24.66517893,46.87975884", "View Map")</f>
        <v>View Map</v>
      </c>
      <c r="G67" s="2">
        <v>0.67340074297542851</v>
      </c>
    </row>
    <row r="68" spans="1:7" x14ac:dyDescent="0.3">
      <c r="A68" t="s">
        <v>146</v>
      </c>
      <c r="B68" t="s">
        <v>147</v>
      </c>
      <c r="C68" t="s">
        <v>8</v>
      </c>
      <c r="D68">
        <v>34.433999999999997</v>
      </c>
      <c r="E68" s="4">
        <v>11019</v>
      </c>
      <c r="F68" t="str">
        <f>HYPERLINK("https://www.google.com/maps/search/?api=1&amp;query=24.55363744,46.55218514", "View Map")</f>
        <v>View Map</v>
      </c>
      <c r="G68" s="2">
        <v>0.73332232530369512</v>
      </c>
    </row>
    <row r="69" spans="1:7" x14ac:dyDescent="0.3">
      <c r="A69" t="s">
        <v>46</v>
      </c>
      <c r="B69" t="s">
        <v>180</v>
      </c>
      <c r="C69" t="s">
        <v>8</v>
      </c>
      <c r="D69">
        <v>34.375</v>
      </c>
      <c r="E69" s="4">
        <v>11000</v>
      </c>
      <c r="F69" t="str">
        <f>HYPERLINK("https://www.google.com/maps/search/?api=1&amp;query=24.69409578,46.60271828", "View Map")</f>
        <v>View Map</v>
      </c>
    </row>
    <row r="70" spans="1:7" x14ac:dyDescent="0.3">
      <c r="A70" t="s">
        <v>176</v>
      </c>
      <c r="B70" t="s">
        <v>177</v>
      </c>
      <c r="C70" t="s">
        <v>8</v>
      </c>
      <c r="D70">
        <v>33.057000000000002</v>
      </c>
      <c r="E70" s="4">
        <v>10578</v>
      </c>
      <c r="F70" t="str">
        <f>HYPERLINK("https://www.google.com/maps/search/?api=1&amp;query=24.79026589,46.80096866", "View Map")</f>
        <v>View Map</v>
      </c>
      <c r="G70" s="2">
        <v>0.56315674923276215</v>
      </c>
    </row>
    <row r="71" spans="1:7" x14ac:dyDescent="0.3">
      <c r="A71" t="s">
        <v>46</v>
      </c>
      <c r="B71" t="s">
        <v>138</v>
      </c>
      <c r="C71" t="s">
        <v>8</v>
      </c>
      <c r="D71">
        <v>32.874000000000002</v>
      </c>
      <c r="E71" s="4">
        <v>10520</v>
      </c>
      <c r="F71" t="str">
        <f>HYPERLINK("https://www.google.com/maps/search/?api=1&amp;query=24.79239619,46.58872121", "View Map")</f>
        <v>View Map</v>
      </c>
      <c r="G71" s="2">
        <v>0.46280317299609741</v>
      </c>
    </row>
    <row r="72" spans="1:7" x14ac:dyDescent="0.3">
      <c r="A72" t="s">
        <v>46</v>
      </c>
      <c r="B72" t="s">
        <v>191</v>
      </c>
      <c r="C72" t="s">
        <v>8</v>
      </c>
      <c r="D72">
        <v>32.828000000000003</v>
      </c>
      <c r="E72" s="4">
        <v>10505</v>
      </c>
      <c r="F72" t="str">
        <f>HYPERLINK("https://www.google.com/maps/search/?api=1&amp;query=24.70896007,46.68531757", "View Map")</f>
        <v>View Map</v>
      </c>
      <c r="G72" s="2">
        <v>0.68090381572443126</v>
      </c>
    </row>
    <row r="73" spans="1:7" x14ac:dyDescent="0.3">
      <c r="A73" t="s">
        <v>198</v>
      </c>
      <c r="B73" t="s">
        <v>199</v>
      </c>
      <c r="C73" t="s">
        <v>8</v>
      </c>
      <c r="D73">
        <v>32.56</v>
      </c>
      <c r="E73" s="4">
        <v>10419</v>
      </c>
      <c r="F73" t="str">
        <f>HYPERLINK("https://www.google.com/maps/search/?api=1&amp;query=24.69469787,46.74235539", "View Map")</f>
        <v>View Map</v>
      </c>
      <c r="G73" s="2">
        <v>0.73850470981875271</v>
      </c>
    </row>
    <row r="74" spans="1:7" x14ac:dyDescent="0.3">
      <c r="A74" t="s">
        <v>166</v>
      </c>
      <c r="B74" t="s">
        <v>167</v>
      </c>
      <c r="C74" t="s">
        <v>8</v>
      </c>
      <c r="D74">
        <v>32.534999999999997</v>
      </c>
      <c r="E74" s="4">
        <v>10411</v>
      </c>
      <c r="F74" t="str">
        <f>HYPERLINK("https://www.google.com/maps/search/?api=1&amp;query=24.67184839,46.87290208", "View Map")</f>
        <v>View Map</v>
      </c>
      <c r="G74" s="2">
        <v>0.70072413379205467</v>
      </c>
    </row>
    <row r="75" spans="1:7" x14ac:dyDescent="0.3">
      <c r="A75" t="s">
        <v>261</v>
      </c>
      <c r="B75" t="s">
        <v>262</v>
      </c>
      <c r="C75" t="s">
        <v>8</v>
      </c>
      <c r="D75">
        <v>32.238</v>
      </c>
      <c r="E75" s="4">
        <v>10316</v>
      </c>
      <c r="F75" t="str">
        <f>HYPERLINK("https://www.google.com/maps/search/?api=1&amp;query=24.74727361,46.84160882", "View Map")</f>
        <v>View Map</v>
      </c>
      <c r="G75" s="2">
        <v>0.51611170591810207</v>
      </c>
    </row>
    <row r="76" spans="1:7" x14ac:dyDescent="0.3">
      <c r="A76" t="s">
        <v>228</v>
      </c>
      <c r="B76" t="s">
        <v>229</v>
      </c>
      <c r="C76" t="s">
        <v>8</v>
      </c>
      <c r="D76">
        <v>31.442</v>
      </c>
      <c r="E76" s="4">
        <v>10061</v>
      </c>
      <c r="F76" t="str">
        <f>HYPERLINK("https://www.google.com/maps/search/?api=1&amp;query=24.79631409,46.70845731", "View Map")</f>
        <v>View Map</v>
      </c>
    </row>
    <row r="77" spans="1:7" x14ac:dyDescent="0.3">
      <c r="A77" t="s">
        <v>46</v>
      </c>
      <c r="B77" t="s">
        <v>192</v>
      </c>
      <c r="C77" t="s">
        <v>8</v>
      </c>
      <c r="D77">
        <v>31.102</v>
      </c>
      <c r="E77" s="4">
        <v>9953</v>
      </c>
      <c r="F77" t="str">
        <f>HYPERLINK("https://www.google.com/maps/search/?api=1&amp;query=24.86718667,46.63469465", "View Map")</f>
        <v>View Map</v>
      </c>
      <c r="G77" s="2">
        <v>0.67660980483741096</v>
      </c>
    </row>
    <row r="78" spans="1:7" x14ac:dyDescent="0.3">
      <c r="A78" t="s">
        <v>178</v>
      </c>
      <c r="B78" t="s">
        <v>179</v>
      </c>
      <c r="C78" t="s">
        <v>8</v>
      </c>
      <c r="D78">
        <v>31.027999999999999</v>
      </c>
      <c r="E78" s="4">
        <v>9929</v>
      </c>
      <c r="F78" t="str">
        <f>HYPERLINK("https://www.google.com/maps/search/?api=1&amp;query=24.7808198,46.80009952", "View Map")</f>
        <v>View Map</v>
      </c>
      <c r="G78" s="2">
        <v>0.72181607930165725</v>
      </c>
    </row>
    <row r="79" spans="1:7" x14ac:dyDescent="0.3">
      <c r="A79" t="s">
        <v>226</v>
      </c>
      <c r="B79" t="s">
        <v>227</v>
      </c>
      <c r="C79" t="s">
        <v>8</v>
      </c>
      <c r="D79">
        <v>30.974</v>
      </c>
      <c r="E79" s="4">
        <v>9912</v>
      </c>
      <c r="F79" t="str">
        <f>HYPERLINK("https://www.google.com/maps/search/?api=1&amp;query=24.79234344,46.78817133", "View Map")</f>
        <v>View Map</v>
      </c>
      <c r="G79" s="2">
        <v>0.72090145975637865</v>
      </c>
    </row>
    <row r="80" spans="1:7" x14ac:dyDescent="0.3">
      <c r="A80" t="s">
        <v>187</v>
      </c>
      <c r="B80" t="s">
        <v>188</v>
      </c>
      <c r="C80" t="s">
        <v>8</v>
      </c>
      <c r="D80">
        <v>30.863</v>
      </c>
      <c r="E80" s="4">
        <v>9876</v>
      </c>
      <c r="F80" t="str">
        <f>HYPERLINK("https://www.google.com/maps/search/?api=1&amp;query=24.67610276,46.86496369", "View Map")</f>
        <v>View Map</v>
      </c>
      <c r="G80" s="2">
        <v>0.70984835857467876</v>
      </c>
    </row>
    <row r="81" spans="1:7" x14ac:dyDescent="0.3">
      <c r="A81" t="s">
        <v>200</v>
      </c>
      <c r="B81" t="s">
        <v>201</v>
      </c>
      <c r="C81" t="s">
        <v>8</v>
      </c>
      <c r="D81">
        <v>30.806000000000001</v>
      </c>
      <c r="E81" s="4">
        <v>9858</v>
      </c>
      <c r="F81" t="str">
        <f>HYPERLINK("https://www.google.com/maps/search/?api=1&amp;query=24.69756071,46.76240858", "View Map")</f>
        <v>View Map</v>
      </c>
      <c r="G81" s="2">
        <v>0.78218657486403653</v>
      </c>
    </row>
    <row r="82" spans="1:7" x14ac:dyDescent="0.3">
      <c r="A82" t="s">
        <v>46</v>
      </c>
      <c r="B82" t="s">
        <v>92</v>
      </c>
      <c r="C82" t="s">
        <v>8</v>
      </c>
      <c r="D82">
        <v>30.695</v>
      </c>
      <c r="E82" s="4">
        <v>9822</v>
      </c>
      <c r="F82" t="str">
        <f>HYPERLINK("https://www.google.com/maps/search/?api=1&amp;query=24.82874649,46.73084389", "View Map")</f>
        <v>View Map</v>
      </c>
      <c r="G82" s="2">
        <v>0.55878060285635622</v>
      </c>
    </row>
    <row r="83" spans="1:7" x14ac:dyDescent="0.3">
      <c r="A83" t="s">
        <v>208</v>
      </c>
      <c r="B83" t="s">
        <v>209</v>
      </c>
      <c r="C83" t="s">
        <v>8</v>
      </c>
      <c r="D83">
        <v>30.587</v>
      </c>
      <c r="E83" s="4">
        <v>9788</v>
      </c>
      <c r="F83" t="str">
        <f>HYPERLINK("https://www.google.com/maps/search/?api=1&amp;query=24.68996777,46.79271818", "View Map")</f>
        <v>View Map</v>
      </c>
      <c r="G83" s="2">
        <v>0.72681800532950647</v>
      </c>
    </row>
    <row r="84" spans="1:7" x14ac:dyDescent="0.3">
      <c r="A84" t="s">
        <v>210</v>
      </c>
      <c r="B84" t="s">
        <v>211</v>
      </c>
      <c r="C84" t="s">
        <v>8</v>
      </c>
      <c r="D84">
        <v>30.292000000000002</v>
      </c>
      <c r="E84" s="4">
        <v>9693</v>
      </c>
      <c r="F84" t="str">
        <f>HYPERLINK("https://www.google.com/maps/search/?api=1&amp;query=24.67088702,46.74360874", "View Map")</f>
        <v>View Map</v>
      </c>
      <c r="G84" s="2">
        <v>0.71570787363080013</v>
      </c>
    </row>
    <row r="85" spans="1:7" x14ac:dyDescent="0.3">
      <c r="A85" t="s">
        <v>587</v>
      </c>
      <c r="B85" t="s">
        <v>588</v>
      </c>
      <c r="C85" t="s">
        <v>8</v>
      </c>
      <c r="D85">
        <v>30.273</v>
      </c>
      <c r="E85" s="4">
        <v>9687</v>
      </c>
      <c r="F85" t="str">
        <f>HYPERLINK("https://www.google.com/maps/search/?api=1&amp;query=24.58819031,46.57208541", "View Map")</f>
        <v>View Map</v>
      </c>
      <c r="G85" s="2">
        <v>0.64051744480026973</v>
      </c>
    </row>
    <row r="86" spans="1:7" x14ac:dyDescent="0.3">
      <c r="A86" t="s">
        <v>46</v>
      </c>
      <c r="B86" t="s">
        <v>72</v>
      </c>
      <c r="C86" t="s">
        <v>8</v>
      </c>
      <c r="D86">
        <v>29.869</v>
      </c>
      <c r="E86" s="4">
        <v>9558</v>
      </c>
      <c r="F86" t="str">
        <f>HYPERLINK("https://www.google.com/maps/search/?api=1&amp;query=24.84761723,46.62807962", "View Map")</f>
        <v>View Map</v>
      </c>
    </row>
    <row r="87" spans="1:7" x14ac:dyDescent="0.3">
      <c r="A87" t="s">
        <v>220</v>
      </c>
      <c r="B87" t="s">
        <v>221</v>
      </c>
      <c r="C87" t="s">
        <v>8</v>
      </c>
      <c r="D87">
        <v>29.706</v>
      </c>
      <c r="E87" s="4">
        <v>9506</v>
      </c>
      <c r="F87" t="str">
        <f>HYPERLINK("https://www.google.com/maps/search/?api=1&amp;query=24.78268175,46.70087355", "View Map")</f>
        <v>View Map</v>
      </c>
      <c r="G87" s="2">
        <v>0.73988762235960848</v>
      </c>
    </row>
    <row r="88" spans="1:7" x14ac:dyDescent="0.3">
      <c r="A88" t="s">
        <v>46</v>
      </c>
      <c r="B88" t="s">
        <v>230</v>
      </c>
      <c r="C88" t="s">
        <v>8</v>
      </c>
      <c r="D88">
        <v>29.425999999999998</v>
      </c>
      <c r="E88" s="4">
        <v>9416</v>
      </c>
      <c r="F88" t="str">
        <f>HYPERLINK("https://www.google.com/maps/search/?api=1&amp;query=24.82845,46.60742", "View Map")</f>
        <v>View Map</v>
      </c>
      <c r="G88" s="2">
        <v>0.74035991846357807</v>
      </c>
    </row>
    <row r="89" spans="1:7" x14ac:dyDescent="0.3">
      <c r="A89" t="s">
        <v>142</v>
      </c>
      <c r="B89" t="s">
        <v>143</v>
      </c>
      <c r="C89" t="s">
        <v>8</v>
      </c>
      <c r="D89">
        <v>29.387</v>
      </c>
      <c r="E89" s="4">
        <v>9404</v>
      </c>
      <c r="F89" t="str">
        <f>HYPERLINK("https://www.google.com/maps/search/?api=1&amp;query=24.55545024,46.71343576", "View Map")</f>
        <v>View Map</v>
      </c>
    </row>
    <row r="90" spans="1:7" x14ac:dyDescent="0.3">
      <c r="A90" t="s">
        <v>289</v>
      </c>
      <c r="B90" t="s">
        <v>290</v>
      </c>
      <c r="C90" t="s">
        <v>291</v>
      </c>
      <c r="D90">
        <v>29.128</v>
      </c>
      <c r="E90" s="4">
        <v>9321</v>
      </c>
      <c r="F90" t="str">
        <f>HYPERLINK("https://www.google.com/maps/search/?api=1&amp;query=24.07626638,45.30074534", "View Map")</f>
        <v>View Map</v>
      </c>
      <c r="G90" s="2">
        <v>1.0399344785614619</v>
      </c>
    </row>
    <row r="91" spans="1:7" x14ac:dyDescent="0.3">
      <c r="A91" t="s">
        <v>253</v>
      </c>
      <c r="B91" t="s">
        <v>254</v>
      </c>
      <c r="C91" t="s">
        <v>255</v>
      </c>
      <c r="D91">
        <v>29.030999999999999</v>
      </c>
      <c r="E91" s="4">
        <v>9290</v>
      </c>
      <c r="F91" t="str">
        <f>HYPERLINK("https://www.google.com/maps/search/?api=1&amp;query=24.49120647,44.36657021", "View Map")</f>
        <v>View Map</v>
      </c>
      <c r="G91" s="2">
        <v>0.72278128511503847</v>
      </c>
    </row>
    <row r="92" spans="1:7" x14ac:dyDescent="0.3">
      <c r="A92" t="s">
        <v>405</v>
      </c>
      <c r="B92" t="s">
        <v>406</v>
      </c>
      <c r="C92" t="s">
        <v>8</v>
      </c>
      <c r="D92">
        <v>28.72</v>
      </c>
      <c r="E92" s="4">
        <v>9190</v>
      </c>
      <c r="F92" t="str">
        <f>HYPERLINK("https://www.google.com/maps/search/?api=1&amp;query=24.71415605,46.78377465", "View Map")</f>
        <v>View Map</v>
      </c>
      <c r="G92" s="2">
        <v>0.72165721405967398</v>
      </c>
    </row>
    <row r="93" spans="1:7" x14ac:dyDescent="0.3">
      <c r="A93" t="s">
        <v>193</v>
      </c>
      <c r="B93" t="s">
        <v>194</v>
      </c>
      <c r="C93" t="s">
        <v>8</v>
      </c>
      <c r="D93">
        <v>28.692</v>
      </c>
      <c r="E93" s="4">
        <v>9181</v>
      </c>
      <c r="F93" t="str">
        <f>HYPERLINK("https://www.google.com/maps/search/?api=1&amp;query=24.58757385,46.59471991", "View Map")</f>
        <v>View Map</v>
      </c>
      <c r="G93" s="2">
        <v>0.49695422325130661</v>
      </c>
    </row>
    <row r="94" spans="1:7" x14ac:dyDescent="0.3">
      <c r="A94" t="s">
        <v>247</v>
      </c>
      <c r="B94" t="s">
        <v>248</v>
      </c>
      <c r="C94" t="s">
        <v>8</v>
      </c>
      <c r="D94">
        <v>28.664000000000001</v>
      </c>
      <c r="E94" s="4">
        <v>9173</v>
      </c>
      <c r="F94" t="str">
        <f>HYPERLINK("https://www.google.com/maps/search/?api=1&amp;query=24.5885165,46.67740114", "View Map")</f>
        <v>View Map</v>
      </c>
      <c r="G94" s="2">
        <v>0.50825161274993591</v>
      </c>
    </row>
    <row r="95" spans="1:7" x14ac:dyDescent="0.3">
      <c r="A95" t="s">
        <v>234</v>
      </c>
      <c r="B95" t="s">
        <v>235</v>
      </c>
      <c r="C95" t="s">
        <v>8</v>
      </c>
      <c r="D95">
        <v>28.364000000000001</v>
      </c>
      <c r="E95" s="4">
        <v>9076</v>
      </c>
      <c r="F95" t="str">
        <f>HYPERLINK("https://www.google.com/maps/search/?api=1&amp;query=24.82106777,46.63710869", "View Map")</f>
        <v>View Map</v>
      </c>
      <c r="G95" s="2">
        <v>0.78411332290396951</v>
      </c>
    </row>
    <row r="96" spans="1:7" x14ac:dyDescent="0.3">
      <c r="A96" t="s">
        <v>202</v>
      </c>
      <c r="B96" t="s">
        <v>203</v>
      </c>
      <c r="C96" t="s">
        <v>8</v>
      </c>
      <c r="D96">
        <v>28.111999999999998</v>
      </c>
      <c r="E96" s="4">
        <v>8996</v>
      </c>
      <c r="F96" t="str">
        <f>HYPERLINK("https://www.google.com/maps/search/?api=1&amp;query=24.66920219,46.86510731", "View Map")</f>
        <v>View Map</v>
      </c>
      <c r="G96" s="2">
        <v>0.72636879595356585</v>
      </c>
    </row>
    <row r="97" spans="1:7" x14ac:dyDescent="0.3">
      <c r="A97" t="s">
        <v>239</v>
      </c>
      <c r="B97" t="s">
        <v>240</v>
      </c>
      <c r="C97" t="s">
        <v>241</v>
      </c>
      <c r="D97">
        <v>27.867999999999999</v>
      </c>
      <c r="E97" s="4">
        <v>8918</v>
      </c>
      <c r="F97" t="str">
        <f>HYPERLINK("https://www.google.com/maps/search/?api=1&amp;query=20.47210421,44.78443717", "View Map")</f>
        <v>View Map</v>
      </c>
    </row>
    <row r="98" spans="1:7" x14ac:dyDescent="0.3">
      <c r="A98" t="s">
        <v>154</v>
      </c>
      <c r="B98" t="s">
        <v>155</v>
      </c>
      <c r="C98" t="s">
        <v>8</v>
      </c>
      <c r="D98">
        <v>27.795999999999999</v>
      </c>
      <c r="E98" s="4">
        <v>8895</v>
      </c>
      <c r="F98" t="str">
        <f>HYPERLINK("https://www.google.com/maps/search/?api=1&amp;query=24.75806727,46.74662437", "View Map")</f>
        <v>View Map</v>
      </c>
      <c r="G98" s="2">
        <v>0.49678993198910132</v>
      </c>
    </row>
    <row r="99" spans="1:7" x14ac:dyDescent="0.3">
      <c r="A99" t="s">
        <v>212</v>
      </c>
      <c r="B99" t="s">
        <v>213</v>
      </c>
      <c r="C99" t="s">
        <v>214</v>
      </c>
      <c r="D99">
        <v>27.698</v>
      </c>
      <c r="E99" s="4">
        <v>8863</v>
      </c>
      <c r="F99" t="str">
        <f>HYPERLINK("https://www.google.com/maps/search/?api=1&amp;query=25.70874679,45.86746664", "View Map")</f>
        <v>View Map</v>
      </c>
      <c r="G99" s="2">
        <v>0.66726114989927698</v>
      </c>
    </row>
    <row r="100" spans="1:7" x14ac:dyDescent="0.3">
      <c r="A100" t="s">
        <v>303</v>
      </c>
      <c r="B100" t="s">
        <v>304</v>
      </c>
      <c r="C100" t="s">
        <v>8</v>
      </c>
      <c r="D100">
        <v>27.555</v>
      </c>
      <c r="E100" s="4">
        <v>8818</v>
      </c>
      <c r="F100" t="str">
        <f>HYPERLINK("https://www.google.com/maps/search/?api=1&amp;query=24.57913996,46.66583556", "View Map")</f>
        <v>View Map</v>
      </c>
      <c r="G100" s="2">
        <v>0.71709527424558739</v>
      </c>
    </row>
    <row r="101" spans="1:7" x14ac:dyDescent="0.3">
      <c r="A101" t="s">
        <v>150</v>
      </c>
      <c r="B101" t="s">
        <v>297</v>
      </c>
      <c r="C101" t="s">
        <v>8</v>
      </c>
      <c r="D101">
        <v>27.417999999999999</v>
      </c>
      <c r="E101" s="4">
        <v>8774</v>
      </c>
      <c r="F101" t="str">
        <f>HYPERLINK("https://www.google.com/maps/search/?api=1&amp;query=24.8132771,46.73512109", "View Map")</f>
        <v>View Map</v>
      </c>
      <c r="G101" s="2">
        <v>0.70409393116824215</v>
      </c>
    </row>
    <row r="102" spans="1:7" x14ac:dyDescent="0.3">
      <c r="A102" t="s">
        <v>146</v>
      </c>
      <c r="B102" t="s">
        <v>236</v>
      </c>
      <c r="C102" t="s">
        <v>8</v>
      </c>
      <c r="D102">
        <v>27.23</v>
      </c>
      <c r="E102" s="4">
        <v>8714</v>
      </c>
      <c r="F102" t="str">
        <f>HYPERLINK("https://www.google.com/maps/search/?api=1&amp;query=24.5040804,46.6683632", "View Map")</f>
        <v>View Map</v>
      </c>
      <c r="G102" s="2">
        <v>0.78908899858511428</v>
      </c>
    </row>
    <row r="103" spans="1:7" x14ac:dyDescent="0.3">
      <c r="A103" t="s">
        <v>362</v>
      </c>
      <c r="B103" t="s">
        <v>363</v>
      </c>
      <c r="C103" t="s">
        <v>364</v>
      </c>
      <c r="D103">
        <v>26.876000000000001</v>
      </c>
      <c r="E103" s="4">
        <v>8600</v>
      </c>
      <c r="F103" t="str">
        <f>HYPERLINK("https://www.google.com/maps/search/?api=1&amp;query=25.18074702,45.80168178", "View Map")</f>
        <v>View Map</v>
      </c>
      <c r="G103" s="2">
        <v>0.66355971100722488</v>
      </c>
    </row>
    <row r="104" spans="1:7" x14ac:dyDescent="0.3">
      <c r="A104" t="s">
        <v>206</v>
      </c>
      <c r="B104" t="s">
        <v>207</v>
      </c>
      <c r="C104" t="s">
        <v>8</v>
      </c>
      <c r="D104">
        <v>26.863</v>
      </c>
      <c r="E104" s="4">
        <v>8596</v>
      </c>
      <c r="F104" t="str">
        <f>HYPERLINK("https://www.google.com/maps/search/?api=1&amp;query=24.8078,46.6183", "View Map")</f>
        <v>View Map</v>
      </c>
      <c r="G104" s="2">
        <v>0.69405645688832007</v>
      </c>
    </row>
    <row r="105" spans="1:7" x14ac:dyDescent="0.3">
      <c r="A105" t="s">
        <v>150</v>
      </c>
      <c r="B105" t="s">
        <v>195</v>
      </c>
      <c r="C105" t="s">
        <v>8</v>
      </c>
      <c r="D105">
        <v>26.863</v>
      </c>
      <c r="E105" s="4">
        <v>8596</v>
      </c>
      <c r="F105" t="str">
        <f>HYPERLINK("https://www.google.com/maps/search/?api=1&amp;query=24.75061791,46.76832507", "View Map")</f>
        <v>View Map</v>
      </c>
      <c r="G105" s="2">
        <v>0.66012545411249546</v>
      </c>
    </row>
    <row r="106" spans="1:7" x14ac:dyDescent="0.3">
      <c r="A106" t="s">
        <v>237</v>
      </c>
      <c r="B106" t="s">
        <v>238</v>
      </c>
      <c r="C106" t="s">
        <v>8</v>
      </c>
      <c r="D106">
        <v>26.673999999999999</v>
      </c>
      <c r="E106" s="4">
        <v>8536</v>
      </c>
      <c r="F106" t="str">
        <f>HYPERLINK("https://www.google.com/maps/search/?api=1&amp;query=24.79261396,46.63660156", "View Map")</f>
        <v>View Map</v>
      </c>
      <c r="G106" s="2">
        <v>0.61345291039333216</v>
      </c>
    </row>
    <row r="107" spans="1:7" x14ac:dyDescent="0.3">
      <c r="A107" t="s">
        <v>146</v>
      </c>
      <c r="B107" t="s">
        <v>280</v>
      </c>
      <c r="C107" t="s">
        <v>8</v>
      </c>
      <c r="D107">
        <v>26.6</v>
      </c>
      <c r="E107" s="4">
        <v>8512</v>
      </c>
      <c r="F107" t="str">
        <f>HYPERLINK("https://www.google.com/maps/search/?api=1&amp;query=24.6069,46.625", "View Map")</f>
        <v>View Map</v>
      </c>
      <c r="G107" s="2">
        <v>0.84357102471963907</v>
      </c>
    </row>
    <row r="108" spans="1:7" x14ac:dyDescent="0.3">
      <c r="A108" t="s">
        <v>244</v>
      </c>
      <c r="B108" t="s">
        <v>245</v>
      </c>
      <c r="C108" t="s">
        <v>8</v>
      </c>
      <c r="D108">
        <v>26.571000000000002</v>
      </c>
      <c r="E108" s="4">
        <v>8503</v>
      </c>
      <c r="F108" t="str">
        <f>HYPERLINK("https://www.google.com/maps/search/?api=1&amp;query=24.80627015,46.66876306", "View Map")</f>
        <v>View Map</v>
      </c>
      <c r="G108" s="2">
        <v>0.56797426503440263</v>
      </c>
    </row>
    <row r="109" spans="1:7" x14ac:dyDescent="0.3">
      <c r="A109" t="s">
        <v>298</v>
      </c>
      <c r="B109" t="s">
        <v>299</v>
      </c>
      <c r="C109" t="s">
        <v>8</v>
      </c>
      <c r="D109">
        <v>26.542999999999999</v>
      </c>
      <c r="E109" s="4">
        <v>8494</v>
      </c>
      <c r="F109" t="str">
        <f>HYPERLINK("https://www.google.com/maps/search/?api=1&amp;query=24.55649386,46.67708684", "View Map")</f>
        <v>View Map</v>
      </c>
      <c r="G109" s="2">
        <v>0.75217161631491902</v>
      </c>
    </row>
    <row r="110" spans="1:7" x14ac:dyDescent="0.3">
      <c r="A110" t="s">
        <v>46</v>
      </c>
      <c r="B110" t="s">
        <v>217</v>
      </c>
      <c r="C110" t="s">
        <v>8</v>
      </c>
      <c r="D110">
        <v>26.466000000000001</v>
      </c>
      <c r="E110" s="4">
        <v>8469</v>
      </c>
      <c r="F110" t="str">
        <f>HYPERLINK("https://www.google.com/maps/search/?api=1&amp;query=24.77533413,46.69329393", "View Map")</f>
        <v>View Map</v>
      </c>
    </row>
    <row r="111" spans="1:7" x14ac:dyDescent="0.3">
      <c r="A111" t="s">
        <v>116</v>
      </c>
      <c r="B111" t="s">
        <v>117</v>
      </c>
      <c r="C111" t="s">
        <v>77</v>
      </c>
      <c r="D111">
        <v>26.372</v>
      </c>
      <c r="E111" s="4">
        <v>8439</v>
      </c>
      <c r="F111" t="str">
        <f>HYPERLINK("https://www.google.com/maps/search/?api=1&amp;query=22.28821198,46.72140969", "View Map")</f>
        <v>View Map</v>
      </c>
      <c r="G111" s="2">
        <v>0.35289897313928531</v>
      </c>
    </row>
    <row r="112" spans="1:7" x14ac:dyDescent="0.3">
      <c r="A112" t="s">
        <v>204</v>
      </c>
      <c r="B112" t="s">
        <v>205</v>
      </c>
      <c r="C112" t="s">
        <v>8</v>
      </c>
      <c r="D112">
        <v>26.184000000000001</v>
      </c>
      <c r="E112" s="4">
        <v>8379</v>
      </c>
      <c r="F112" t="str">
        <f>HYPERLINK("https://www.google.com/maps/search/?api=1&amp;query=24.72058456,46.65218849", "View Map")</f>
        <v>View Map</v>
      </c>
      <c r="G112" s="2">
        <v>0.51473976039920799</v>
      </c>
    </row>
    <row r="113" spans="1:7" x14ac:dyDescent="0.3">
      <c r="A113" t="s">
        <v>305</v>
      </c>
      <c r="B113" t="s">
        <v>306</v>
      </c>
      <c r="C113" t="s">
        <v>8</v>
      </c>
      <c r="D113">
        <v>26.027999999999999</v>
      </c>
      <c r="E113" s="4">
        <v>8329</v>
      </c>
      <c r="F113" t="str">
        <f>HYPERLINK("https://www.google.com/maps/search/?api=1&amp;query=24.69496368,46.76523926", "View Map")</f>
        <v>View Map</v>
      </c>
      <c r="G113" s="2">
        <v>0.81180881723012821</v>
      </c>
    </row>
    <row r="114" spans="1:7" x14ac:dyDescent="0.3">
      <c r="A114" t="s">
        <v>183</v>
      </c>
      <c r="B114" t="s">
        <v>184</v>
      </c>
      <c r="C114" t="s">
        <v>8</v>
      </c>
      <c r="D114">
        <v>25.798999999999999</v>
      </c>
      <c r="E114" s="4">
        <v>8256</v>
      </c>
      <c r="F114" t="str">
        <f>HYPERLINK("https://www.google.com/maps/search/?api=1&amp;query=24.69302381,46.66629719", "View Map")</f>
        <v>View Map</v>
      </c>
      <c r="G114" s="2">
        <v>0.54600123621498586</v>
      </c>
    </row>
    <row r="115" spans="1:7" x14ac:dyDescent="0.3">
      <c r="A115" t="s">
        <v>277</v>
      </c>
      <c r="B115" t="s">
        <v>278</v>
      </c>
      <c r="C115" t="s">
        <v>55</v>
      </c>
      <c r="D115">
        <v>25.445</v>
      </c>
      <c r="E115" s="4">
        <v>8142</v>
      </c>
      <c r="F115" t="str">
        <f>HYPERLINK("https://www.google.com/maps/search/?api=1&amp;query=24.74883235,46.5738511", "View Map")</f>
        <v>View Map</v>
      </c>
      <c r="G115" s="2">
        <v>0.67865993888064158</v>
      </c>
    </row>
    <row r="116" spans="1:7" x14ac:dyDescent="0.3">
      <c r="A116" t="s">
        <v>341</v>
      </c>
      <c r="B116" t="s">
        <v>342</v>
      </c>
      <c r="C116" t="s">
        <v>8</v>
      </c>
      <c r="D116">
        <v>25.305</v>
      </c>
      <c r="E116" s="4">
        <v>8098</v>
      </c>
      <c r="F116" t="str">
        <f>HYPERLINK("https://www.google.com/maps/search/?api=1&amp;query=24.8112021,46.78053911", "View Map")</f>
        <v>View Map</v>
      </c>
      <c r="G116" s="2">
        <v>0.42994537126838478</v>
      </c>
    </row>
    <row r="117" spans="1:7" x14ac:dyDescent="0.3">
      <c r="A117" t="s">
        <v>319</v>
      </c>
      <c r="B117" t="s">
        <v>320</v>
      </c>
      <c r="C117" t="s">
        <v>8</v>
      </c>
      <c r="D117">
        <v>25.276</v>
      </c>
      <c r="E117" s="4">
        <v>8088</v>
      </c>
      <c r="F117" t="str">
        <f>HYPERLINK("https://www.google.com/maps/search/?api=1&amp;query=24.80957067,46.88653704", "View Map")</f>
        <v>View Map</v>
      </c>
      <c r="G117" s="2">
        <v>0.62336186572593144</v>
      </c>
    </row>
    <row r="118" spans="1:7" x14ac:dyDescent="0.3">
      <c r="A118" t="s">
        <v>284</v>
      </c>
      <c r="B118" t="s">
        <v>285</v>
      </c>
      <c r="C118" t="s">
        <v>286</v>
      </c>
      <c r="D118">
        <v>25.210999999999999</v>
      </c>
      <c r="E118" s="4">
        <v>8068</v>
      </c>
      <c r="F118" t="str">
        <f>HYPERLINK("https://www.google.com/maps/search/?api=1&amp;query=25.33811005,45.18448705", "View Map")</f>
        <v>View Map</v>
      </c>
      <c r="G118" s="2">
        <v>0.77285719371388106</v>
      </c>
    </row>
    <row r="119" spans="1:7" x14ac:dyDescent="0.3">
      <c r="A119" t="s">
        <v>259</v>
      </c>
      <c r="B119" t="s">
        <v>260</v>
      </c>
      <c r="C119" t="s">
        <v>8</v>
      </c>
      <c r="D119">
        <v>24.893000000000001</v>
      </c>
      <c r="E119" s="4">
        <v>7966</v>
      </c>
      <c r="F119" t="str">
        <f>HYPERLINK("https://www.google.com/maps/search/?api=1&amp;query=24.56145228,46.79002075", "View Map")</f>
        <v>View Map</v>
      </c>
      <c r="G119" s="2">
        <v>0.42924146254839562</v>
      </c>
    </row>
    <row r="120" spans="1:7" x14ac:dyDescent="0.3">
      <c r="A120" t="s">
        <v>130</v>
      </c>
      <c r="B120" t="s">
        <v>131</v>
      </c>
      <c r="C120" t="s">
        <v>8</v>
      </c>
      <c r="D120">
        <v>24.811</v>
      </c>
      <c r="E120" s="4">
        <v>7940</v>
      </c>
      <c r="F120" t="str">
        <f>HYPERLINK("https://www.google.com/maps/search/?api=1&amp;query=24.56028075,46.76468396", "View Map")</f>
        <v>View Map</v>
      </c>
      <c r="G120" s="2">
        <v>0.70392418017561464</v>
      </c>
    </row>
    <row r="121" spans="1:7" x14ac:dyDescent="0.3">
      <c r="A121" t="s">
        <v>85</v>
      </c>
      <c r="B121" t="s">
        <v>86</v>
      </c>
      <c r="C121" t="s">
        <v>8</v>
      </c>
      <c r="D121">
        <v>24.745999999999999</v>
      </c>
      <c r="E121" s="4">
        <v>7919</v>
      </c>
      <c r="F121" t="str">
        <f>HYPERLINK("https://www.google.com/maps/search/?api=1&amp;query=24.70831193,46.80891747", "View Map")</f>
        <v>View Map</v>
      </c>
      <c r="G121" s="2">
        <v>0.22700303733426139</v>
      </c>
    </row>
    <row r="122" spans="1:7" x14ac:dyDescent="0.3">
      <c r="A122" t="s">
        <v>46</v>
      </c>
      <c r="B122" t="s">
        <v>3630</v>
      </c>
      <c r="C122" t="s">
        <v>8</v>
      </c>
      <c r="D122">
        <v>24.608000000000001</v>
      </c>
      <c r="E122" s="4">
        <v>7874</v>
      </c>
      <c r="F122" t="str">
        <f>HYPERLINK("https://www.google.com/maps/search/?api=1&amp;query=24.85604,46.6519", "View Map")</f>
        <v>View Map</v>
      </c>
      <c r="G122" s="2">
        <v>0.51933227660690973</v>
      </c>
    </row>
    <row r="123" spans="1:7" x14ac:dyDescent="0.3">
      <c r="A123" t="s">
        <v>378</v>
      </c>
      <c r="B123" t="s">
        <v>379</v>
      </c>
      <c r="C123" t="s">
        <v>8</v>
      </c>
      <c r="D123">
        <v>24.504999999999999</v>
      </c>
      <c r="E123" s="4">
        <v>7842</v>
      </c>
      <c r="F123" t="str">
        <f>HYPERLINK("https://www.google.com/maps/search/?api=1&amp;query=24.59312243,46.63023738", "View Map")</f>
        <v>View Map</v>
      </c>
      <c r="G123" s="2">
        <v>0.79673646774979956</v>
      </c>
    </row>
    <row r="124" spans="1:7" x14ac:dyDescent="0.3">
      <c r="A124" t="s">
        <v>46</v>
      </c>
      <c r="B124" t="s">
        <v>265</v>
      </c>
      <c r="C124" t="s">
        <v>8</v>
      </c>
      <c r="D124">
        <v>24.466000000000001</v>
      </c>
      <c r="E124" s="4">
        <v>7829</v>
      </c>
      <c r="F124" t="str">
        <f>HYPERLINK("https://www.google.com/maps/search/?api=1&amp;query=24.84062294,46.88054074", "View Map")</f>
        <v>View Map</v>
      </c>
      <c r="G124" s="2">
        <v>0.64268694877013288</v>
      </c>
    </row>
    <row r="125" spans="1:7" x14ac:dyDescent="0.3">
      <c r="A125" t="s">
        <v>266</v>
      </c>
      <c r="B125" t="s">
        <v>267</v>
      </c>
      <c r="C125" t="s">
        <v>8</v>
      </c>
      <c r="D125">
        <v>24.399000000000001</v>
      </c>
      <c r="E125" s="4">
        <v>7808</v>
      </c>
      <c r="F125" t="str">
        <f>HYPERLINK("https://www.google.com/maps/search/?api=1&amp;query=24.58041158,46.67659749", "View Map")</f>
        <v>View Map</v>
      </c>
      <c r="G125" s="2">
        <v>0.76209900807285391</v>
      </c>
    </row>
    <row r="126" spans="1:7" x14ac:dyDescent="0.3">
      <c r="A126" t="s">
        <v>222</v>
      </c>
      <c r="B126" t="s">
        <v>223</v>
      </c>
      <c r="C126" t="s">
        <v>8</v>
      </c>
      <c r="D126">
        <v>24.251999999999999</v>
      </c>
      <c r="E126" s="4">
        <v>7761</v>
      </c>
      <c r="F126" t="str">
        <f>HYPERLINK("https://www.google.com/maps/search/?api=1&amp;query=24.61919749,46.7485558", "View Map")</f>
        <v>View Map</v>
      </c>
      <c r="G126" s="2">
        <v>0.32718981794238822</v>
      </c>
    </row>
    <row r="127" spans="1:7" x14ac:dyDescent="0.3">
      <c r="A127" t="s">
        <v>309</v>
      </c>
      <c r="B127" t="s">
        <v>310</v>
      </c>
      <c r="C127" t="s">
        <v>8</v>
      </c>
      <c r="D127">
        <v>23.827999999999999</v>
      </c>
      <c r="E127" s="4">
        <v>7625</v>
      </c>
      <c r="F127" t="str">
        <f>HYPERLINK("https://www.google.com/maps/search/?api=1&amp;query=24.53781668,46.66622221", "View Map")</f>
        <v>View Map</v>
      </c>
      <c r="G127" s="2">
        <v>0.8062554955753708</v>
      </c>
    </row>
    <row r="128" spans="1:7" x14ac:dyDescent="0.3">
      <c r="A128" t="s">
        <v>46</v>
      </c>
      <c r="B128" t="s">
        <v>432</v>
      </c>
      <c r="C128" t="s">
        <v>8</v>
      </c>
      <c r="D128">
        <v>23.724</v>
      </c>
      <c r="E128" s="4">
        <v>7592</v>
      </c>
      <c r="F128" t="str">
        <f>HYPERLINK("https://www.google.com/maps/search/?api=1&amp;query=24.83066896,46.66620127", "View Map")</f>
        <v>View Map</v>
      </c>
      <c r="G128" s="2">
        <v>0.78598783532478189</v>
      </c>
    </row>
    <row r="129" spans="1:7" x14ac:dyDescent="0.3">
      <c r="A129" t="s">
        <v>325</v>
      </c>
      <c r="B129" t="s">
        <v>326</v>
      </c>
      <c r="C129" t="s">
        <v>8</v>
      </c>
      <c r="D129">
        <v>23.675000000000001</v>
      </c>
      <c r="E129" s="4">
        <v>7576</v>
      </c>
      <c r="F129" t="str">
        <f>HYPERLINK("https://www.google.com/maps/search/?api=1&amp;query=24.74499644,46.71869362", "View Map")</f>
        <v>View Map</v>
      </c>
      <c r="G129" s="2">
        <v>0.72472663409628557</v>
      </c>
    </row>
    <row r="130" spans="1:7" x14ac:dyDescent="0.3">
      <c r="A130" t="s">
        <v>73</v>
      </c>
      <c r="B130" t="s">
        <v>281</v>
      </c>
      <c r="C130" t="s">
        <v>8</v>
      </c>
      <c r="D130">
        <v>23.664999999999999</v>
      </c>
      <c r="E130" s="4">
        <v>7573</v>
      </c>
      <c r="F130" t="str">
        <f>HYPERLINK("https://www.google.com/maps/search/?api=1&amp;query=24.78684,46.61241", "View Map")</f>
        <v>View Map</v>
      </c>
      <c r="G130" s="2">
        <v>0.42410740235237371</v>
      </c>
    </row>
    <row r="131" spans="1:7" x14ac:dyDescent="0.3">
      <c r="A131" t="s">
        <v>335</v>
      </c>
      <c r="B131" t="s">
        <v>336</v>
      </c>
      <c r="C131" t="s">
        <v>8</v>
      </c>
      <c r="D131">
        <v>23.478999999999999</v>
      </c>
      <c r="E131" s="4">
        <v>7513</v>
      </c>
      <c r="F131" t="str">
        <f>HYPERLINK("https://www.google.com/maps/search/?api=1&amp;query=24.67643014,46.80624134", "View Map")</f>
        <v>View Map</v>
      </c>
      <c r="G131" s="2">
        <v>0.71958112401953445</v>
      </c>
    </row>
    <row r="132" spans="1:7" x14ac:dyDescent="0.3">
      <c r="A132" t="s">
        <v>389</v>
      </c>
      <c r="B132" t="s">
        <v>390</v>
      </c>
      <c r="C132" t="s">
        <v>8</v>
      </c>
      <c r="D132">
        <v>23.413</v>
      </c>
      <c r="E132" s="4">
        <v>7492</v>
      </c>
      <c r="F132" t="str">
        <f>HYPERLINK("https://www.google.com/maps/search/?api=1&amp;query=24.68184014,46.71961591", "View Map")</f>
        <v>View Map</v>
      </c>
      <c r="G132" s="2">
        <v>0.417270175748296</v>
      </c>
    </row>
    <row r="133" spans="1:7" x14ac:dyDescent="0.3">
      <c r="A133" t="s">
        <v>146</v>
      </c>
      <c r="B133" t="s">
        <v>384</v>
      </c>
      <c r="C133" t="s">
        <v>8</v>
      </c>
      <c r="D133">
        <v>23.382999999999999</v>
      </c>
      <c r="E133" s="4">
        <v>7483</v>
      </c>
      <c r="F133" t="str">
        <f>HYPERLINK("https://www.google.com/maps/search/?api=1&amp;query=24.53586152,46.63978243", "View Map")</f>
        <v>View Map</v>
      </c>
      <c r="G133" s="2">
        <v>0.77546147263487919</v>
      </c>
    </row>
    <row r="134" spans="1:7" x14ac:dyDescent="0.3">
      <c r="A134" t="s">
        <v>371</v>
      </c>
      <c r="B134" t="s">
        <v>372</v>
      </c>
      <c r="C134" t="s">
        <v>8</v>
      </c>
      <c r="D134">
        <v>23.209</v>
      </c>
      <c r="E134" s="4">
        <v>7427</v>
      </c>
      <c r="F134" t="str">
        <f>HYPERLINK("https://www.google.com/maps/search/?api=1&amp;query=24.76462182,46.76403247", "View Map")</f>
        <v>View Map</v>
      </c>
      <c r="G134" s="2">
        <v>0.53489728755330868</v>
      </c>
    </row>
    <row r="135" spans="1:7" x14ac:dyDescent="0.3">
      <c r="A135" t="s">
        <v>73</v>
      </c>
      <c r="B135" t="s">
        <v>330</v>
      </c>
      <c r="C135" t="s">
        <v>8</v>
      </c>
      <c r="D135">
        <v>23.004000000000001</v>
      </c>
      <c r="E135" s="4">
        <v>7361</v>
      </c>
      <c r="F135" t="str">
        <f>HYPERLINK("https://www.google.com/maps/search/?api=1&amp;query=24.78503888,46.67786923", "View Map")</f>
        <v>View Map</v>
      </c>
      <c r="G135" s="2">
        <v>0.71693748633067689</v>
      </c>
    </row>
    <row r="136" spans="1:7" x14ac:dyDescent="0.3">
      <c r="A136" t="s">
        <v>307</v>
      </c>
      <c r="B136" t="s">
        <v>308</v>
      </c>
      <c r="C136" t="s">
        <v>8</v>
      </c>
      <c r="D136">
        <v>22.896000000000001</v>
      </c>
      <c r="E136" s="4">
        <v>7327</v>
      </c>
      <c r="F136" t="str">
        <f>HYPERLINK("https://www.google.com/maps/search/?api=1&amp;query=24.73298,46.65794", "View Map")</f>
        <v>View Map</v>
      </c>
      <c r="G136" s="2">
        <v>0.79786792177469079</v>
      </c>
    </row>
    <row r="137" spans="1:7" x14ac:dyDescent="0.3">
      <c r="A137" t="s">
        <v>174</v>
      </c>
      <c r="B137" t="s">
        <v>175</v>
      </c>
      <c r="C137" t="s">
        <v>8</v>
      </c>
      <c r="D137">
        <v>22.88</v>
      </c>
      <c r="E137" s="4">
        <v>7322</v>
      </c>
      <c r="F137" t="str">
        <f>HYPERLINK("https://www.google.com/maps/search/?api=1&amp;query=24.73006,46.65733", "View Map")</f>
        <v>View Map</v>
      </c>
      <c r="G137" s="2">
        <v>0.62646954174913883</v>
      </c>
    </row>
    <row r="138" spans="1:7" x14ac:dyDescent="0.3">
      <c r="A138" t="s">
        <v>437</v>
      </c>
      <c r="B138" t="s">
        <v>438</v>
      </c>
      <c r="C138" t="s">
        <v>8</v>
      </c>
      <c r="D138">
        <v>22.861000000000001</v>
      </c>
      <c r="E138" s="4">
        <v>7315</v>
      </c>
      <c r="F138" t="str">
        <f>HYPERLINK("https://www.google.com/maps/search/?api=1&amp;query=24.70743241,46.7825186", "View Map")</f>
        <v>View Map</v>
      </c>
      <c r="G138" s="2">
        <v>0.79772665491760475</v>
      </c>
    </row>
    <row r="139" spans="1:7" x14ac:dyDescent="0.3">
      <c r="A139" t="s">
        <v>358</v>
      </c>
      <c r="B139" t="s">
        <v>359</v>
      </c>
      <c r="C139" t="s">
        <v>8</v>
      </c>
      <c r="D139">
        <v>22.734999999999999</v>
      </c>
      <c r="E139" s="4">
        <v>7275</v>
      </c>
      <c r="F139" t="str">
        <f>HYPERLINK("https://www.google.com/maps/search/?api=1&amp;query=24.79638973,46.70013016", "View Map")</f>
        <v>View Map</v>
      </c>
      <c r="G139" s="2">
        <v>0.73717845641226087</v>
      </c>
    </row>
    <row r="140" spans="1:7" x14ac:dyDescent="0.3">
      <c r="A140" t="s">
        <v>367</v>
      </c>
      <c r="B140" t="s">
        <v>368</v>
      </c>
      <c r="C140" t="s">
        <v>8</v>
      </c>
      <c r="D140">
        <v>22.734000000000002</v>
      </c>
      <c r="E140" s="4">
        <v>7275</v>
      </c>
      <c r="F140" t="str">
        <f>HYPERLINK("https://www.google.com/maps/search/?api=1&amp;query=24.68619557,46.78018729", "View Map")</f>
        <v>View Map</v>
      </c>
      <c r="G140" s="2">
        <v>0.60830526135812379</v>
      </c>
    </row>
    <row r="141" spans="1:7" x14ac:dyDescent="0.3">
      <c r="A141" t="s">
        <v>597</v>
      </c>
      <c r="B141" t="s">
        <v>598</v>
      </c>
      <c r="C141" t="s">
        <v>8</v>
      </c>
      <c r="D141">
        <v>22.611999999999998</v>
      </c>
      <c r="E141" s="4">
        <v>7236</v>
      </c>
      <c r="F141" t="str">
        <f>HYPERLINK("https://www.google.com/maps/search/?api=1&amp;query=24.68915115,46.80418445", "View Map")</f>
        <v>View Map</v>
      </c>
      <c r="G141" s="2">
        <v>0.74925208012397637</v>
      </c>
    </row>
    <row r="142" spans="1:7" x14ac:dyDescent="0.3">
      <c r="A142" t="s">
        <v>268</v>
      </c>
      <c r="B142" t="s">
        <v>269</v>
      </c>
      <c r="C142" t="s">
        <v>270</v>
      </c>
      <c r="D142">
        <v>22.498000000000001</v>
      </c>
      <c r="E142" s="4">
        <v>7200</v>
      </c>
      <c r="F142" t="str">
        <f>HYPERLINK("https://www.google.com/maps/search/?api=1&amp;query=23.9842,47.1356", "View Map")</f>
        <v>View Map</v>
      </c>
      <c r="G142" s="2">
        <v>0.5482778809354284</v>
      </c>
    </row>
    <row r="143" spans="1:7" x14ac:dyDescent="0.3">
      <c r="A143" t="s">
        <v>331</v>
      </c>
      <c r="B143" t="s">
        <v>332</v>
      </c>
      <c r="C143" t="s">
        <v>8</v>
      </c>
      <c r="D143">
        <v>22.288</v>
      </c>
      <c r="E143" s="4">
        <v>7132</v>
      </c>
      <c r="F143" t="str">
        <f>HYPERLINK("https://www.google.com/maps/search/?api=1&amp;query=24.68868255,46.84266039", "View Map")</f>
        <v>View Map</v>
      </c>
      <c r="G143" s="2">
        <v>0.72195288124100221</v>
      </c>
    </row>
    <row r="144" spans="1:7" x14ac:dyDescent="0.3">
      <c r="A144" t="s">
        <v>428</v>
      </c>
      <c r="B144" t="s">
        <v>429</v>
      </c>
      <c r="C144" t="s">
        <v>8</v>
      </c>
      <c r="D144">
        <v>22.216999999999999</v>
      </c>
      <c r="E144" s="4">
        <v>7109</v>
      </c>
      <c r="F144" t="str">
        <f>HYPERLINK("https://www.google.com/maps/search/?api=1&amp;query=24.76157554,46.74725419", "View Map")</f>
        <v>View Map</v>
      </c>
      <c r="G144" s="2">
        <v>0.70126247754705162</v>
      </c>
    </row>
    <row r="145" spans="1:7" x14ac:dyDescent="0.3">
      <c r="A145" t="s">
        <v>365</v>
      </c>
      <c r="B145" t="s">
        <v>366</v>
      </c>
      <c r="C145" t="s">
        <v>30</v>
      </c>
      <c r="D145">
        <v>21.965</v>
      </c>
      <c r="E145" s="4">
        <v>7029</v>
      </c>
      <c r="F145" t="str">
        <f>HYPERLINK("https://www.google.com/maps/search/?api=1&amp;query=24.16532819,47.33944296", "View Map")</f>
        <v>View Map</v>
      </c>
      <c r="G145" s="2">
        <v>0.61754423923210411</v>
      </c>
    </row>
    <row r="146" spans="1:7" x14ac:dyDescent="0.3">
      <c r="A146" t="s">
        <v>411</v>
      </c>
      <c r="B146" t="s">
        <v>412</v>
      </c>
      <c r="C146" t="s">
        <v>77</v>
      </c>
      <c r="D146">
        <v>21.922000000000001</v>
      </c>
      <c r="E146" s="4">
        <v>7015</v>
      </c>
      <c r="F146" t="str">
        <f>HYPERLINK("https://www.google.com/maps/search/?api=1&amp;query=22.04178402,46.5695802", "View Map")</f>
        <v>View Map</v>
      </c>
      <c r="G146" s="2">
        <v>0.8054629389735497</v>
      </c>
    </row>
    <row r="147" spans="1:7" x14ac:dyDescent="0.3">
      <c r="A147" t="s">
        <v>394</v>
      </c>
      <c r="B147" t="s">
        <v>395</v>
      </c>
      <c r="C147" t="s">
        <v>8</v>
      </c>
      <c r="D147">
        <v>21.869</v>
      </c>
      <c r="E147" s="4">
        <v>6998</v>
      </c>
      <c r="F147" t="str">
        <f>HYPERLINK("https://www.google.com/maps/search/?api=1&amp;query=24.77342195,46.69107172", "View Map")</f>
        <v>View Map</v>
      </c>
      <c r="G147" s="2">
        <v>0.39258757933606669</v>
      </c>
    </row>
    <row r="148" spans="1:7" x14ac:dyDescent="0.3">
      <c r="A148" t="s">
        <v>467</v>
      </c>
      <c r="B148" t="s">
        <v>468</v>
      </c>
      <c r="C148" t="s">
        <v>8</v>
      </c>
      <c r="D148">
        <v>21.853000000000002</v>
      </c>
      <c r="E148" s="4">
        <v>6993</v>
      </c>
      <c r="F148" t="str">
        <f>HYPERLINK("https://www.google.com/maps/search/?api=1&amp;query=24.56246651,46.64444749", "View Map")</f>
        <v>View Map</v>
      </c>
      <c r="G148" s="2">
        <v>0.5573133541143882</v>
      </c>
    </row>
    <row r="149" spans="1:7" x14ac:dyDescent="0.3">
      <c r="A149" t="s">
        <v>146</v>
      </c>
      <c r="B149" t="s">
        <v>302</v>
      </c>
      <c r="C149" t="s">
        <v>8</v>
      </c>
      <c r="D149">
        <v>21.803000000000001</v>
      </c>
      <c r="E149" s="4">
        <v>6977</v>
      </c>
      <c r="F149" t="str">
        <f>HYPERLINK("https://www.google.com/maps/search/?api=1&amp;query=24.55203435,46.54888884", "View Map")</f>
        <v>View Map</v>
      </c>
      <c r="G149" s="2">
        <v>0.73004945095472962</v>
      </c>
    </row>
    <row r="150" spans="1:7" x14ac:dyDescent="0.3">
      <c r="A150" t="s">
        <v>398</v>
      </c>
      <c r="B150" t="s">
        <v>399</v>
      </c>
      <c r="C150" t="s">
        <v>8</v>
      </c>
      <c r="D150">
        <v>21.774999999999999</v>
      </c>
      <c r="E150" s="4">
        <v>6968</v>
      </c>
      <c r="F150" t="str">
        <f>HYPERLINK("https://www.google.com/maps/search/?api=1&amp;query=24.68586567,46.6778582", "View Map")</f>
        <v>View Map</v>
      </c>
      <c r="G150" s="2">
        <v>0.70247206652084382</v>
      </c>
    </row>
    <row r="151" spans="1:7" x14ac:dyDescent="0.3">
      <c r="A151" t="s">
        <v>46</v>
      </c>
      <c r="B151" t="s">
        <v>329</v>
      </c>
      <c r="C151" t="s">
        <v>8</v>
      </c>
      <c r="D151">
        <v>21.759</v>
      </c>
      <c r="E151" s="4">
        <v>6963</v>
      </c>
      <c r="F151" t="str">
        <f>HYPERLINK("https://www.google.com/maps/search/?api=1&amp;query=24.7822977,46.8353532", "View Map")</f>
        <v>View Map</v>
      </c>
      <c r="G151" s="2">
        <v>0.48767013848529089</v>
      </c>
    </row>
    <row r="152" spans="1:7" x14ac:dyDescent="0.3">
      <c r="A152" t="s">
        <v>348</v>
      </c>
      <c r="B152" t="s">
        <v>349</v>
      </c>
      <c r="C152" t="s">
        <v>21</v>
      </c>
      <c r="D152">
        <v>21.736999999999998</v>
      </c>
      <c r="E152" s="4">
        <v>6956</v>
      </c>
      <c r="F152" t="str">
        <f>HYPERLINK("https://www.google.com/maps/search/?api=1&amp;query=26.33741856,44.78205274", "View Map")</f>
        <v>View Map</v>
      </c>
      <c r="G152" s="2">
        <v>0.63154096413615257</v>
      </c>
    </row>
    <row r="153" spans="1:7" x14ac:dyDescent="0.3">
      <c r="A153" t="s">
        <v>158</v>
      </c>
      <c r="B153" t="s">
        <v>159</v>
      </c>
      <c r="C153" t="s">
        <v>8</v>
      </c>
      <c r="D153">
        <v>21.736000000000001</v>
      </c>
      <c r="E153" s="4">
        <v>6955</v>
      </c>
      <c r="F153" t="str">
        <f>HYPERLINK("https://www.google.com/maps/search/?api=1&amp;query=24.77267282,46.75851137", "View Map")</f>
        <v>View Map</v>
      </c>
      <c r="G153" s="2">
        <v>0.45005671490989618</v>
      </c>
    </row>
    <row r="154" spans="1:7" x14ac:dyDescent="0.3">
      <c r="A154" t="s">
        <v>292</v>
      </c>
      <c r="B154" t="s">
        <v>293</v>
      </c>
      <c r="C154" t="s">
        <v>8</v>
      </c>
      <c r="D154">
        <v>21.68</v>
      </c>
      <c r="E154" s="4">
        <v>6938</v>
      </c>
      <c r="F154" t="str">
        <f>HYPERLINK("https://www.google.com/maps/search/?api=1&amp;query=24.79523579,46.73767582", "View Map")</f>
        <v>View Map</v>
      </c>
      <c r="G154" s="2">
        <v>0.39836759211537948</v>
      </c>
    </row>
    <row r="155" spans="1:7" x14ac:dyDescent="0.3">
      <c r="A155" t="s">
        <v>28</v>
      </c>
      <c r="B155" t="s">
        <v>322</v>
      </c>
      <c r="C155" t="s">
        <v>30</v>
      </c>
      <c r="D155">
        <v>21.622</v>
      </c>
      <c r="E155" s="4">
        <v>6919</v>
      </c>
      <c r="F155" t="str">
        <f>HYPERLINK("https://www.google.com/maps/search/?api=1&amp;query=24.12170154,47.25547128", "View Map")</f>
        <v>View Map</v>
      </c>
      <c r="G155" s="2">
        <v>0.52214635098110851</v>
      </c>
    </row>
    <row r="156" spans="1:7" x14ac:dyDescent="0.3">
      <c r="A156" t="s">
        <v>122</v>
      </c>
      <c r="B156" t="s">
        <v>441</v>
      </c>
      <c r="C156" t="s">
        <v>442</v>
      </c>
      <c r="D156">
        <v>21.58</v>
      </c>
      <c r="E156" s="4">
        <v>6906</v>
      </c>
      <c r="F156" t="str">
        <f>HYPERLINK("https://www.google.com/maps/search/?api=1&amp;query=23.63346239,46.52722316", "View Map")</f>
        <v>View Map</v>
      </c>
      <c r="G156" s="2">
        <v>0.48653074506852262</v>
      </c>
    </row>
    <row r="157" spans="1:7" x14ac:dyDescent="0.3">
      <c r="A157" t="s">
        <v>651</v>
      </c>
      <c r="B157" t="s">
        <v>652</v>
      </c>
      <c r="C157" t="s">
        <v>270</v>
      </c>
      <c r="D157">
        <v>21.492999999999999</v>
      </c>
      <c r="E157" s="4">
        <v>6878</v>
      </c>
      <c r="F157" t="str">
        <f>HYPERLINK("https://www.google.com/maps/search/?api=1&amp;query=23.99563646,47.1238727", "View Map")</f>
        <v>View Map</v>
      </c>
    </row>
    <row r="158" spans="1:7" x14ac:dyDescent="0.3">
      <c r="A158" t="s">
        <v>146</v>
      </c>
      <c r="B158" t="s">
        <v>373</v>
      </c>
      <c r="C158" t="s">
        <v>8</v>
      </c>
      <c r="D158">
        <v>21.423999999999999</v>
      </c>
      <c r="E158" s="4">
        <v>6856</v>
      </c>
      <c r="F158" t="str">
        <f>HYPERLINK("https://www.google.com/maps/search/?api=1&amp;query=24.61477434,46.70980659", "View Map")</f>
        <v>View Map</v>
      </c>
      <c r="G158" s="2">
        <v>0.78774689143017607</v>
      </c>
    </row>
    <row r="159" spans="1:7" x14ac:dyDescent="0.3">
      <c r="A159" t="s">
        <v>327</v>
      </c>
      <c r="B159" t="s">
        <v>328</v>
      </c>
      <c r="C159" t="s">
        <v>8</v>
      </c>
      <c r="D159">
        <v>21.398</v>
      </c>
      <c r="E159" s="4">
        <v>6847</v>
      </c>
      <c r="F159" t="str">
        <f>HYPERLINK("https://www.google.com/maps/search/?api=1&amp;query=24.75857819,46.75001691", "View Map")</f>
        <v>View Map</v>
      </c>
      <c r="G159" s="2">
        <v>0.72467061906485486</v>
      </c>
    </row>
    <row r="160" spans="1:7" x14ac:dyDescent="0.3">
      <c r="A160" t="s">
        <v>263</v>
      </c>
      <c r="B160" t="s">
        <v>264</v>
      </c>
      <c r="C160" t="s">
        <v>8</v>
      </c>
      <c r="D160">
        <v>21.265999999999998</v>
      </c>
      <c r="E160" s="4">
        <v>6805</v>
      </c>
      <c r="F160" t="str">
        <f>HYPERLINK("https://www.google.com/maps/search/?api=1&amp;query=24.78883047,46.73059015", "View Map")</f>
        <v>View Map</v>
      </c>
      <c r="G160" s="2">
        <v>0.51976567361382631</v>
      </c>
    </row>
    <row r="161" spans="1:7" x14ac:dyDescent="0.3">
      <c r="A161" t="s">
        <v>481</v>
      </c>
      <c r="B161" t="s">
        <v>482</v>
      </c>
      <c r="C161" t="s">
        <v>8</v>
      </c>
      <c r="D161">
        <v>21.241</v>
      </c>
      <c r="E161" s="4">
        <v>6797</v>
      </c>
      <c r="F161" t="str">
        <f>HYPERLINK("https://www.google.com/maps/search/?api=1&amp;query=24.81351193,46.63982027", "View Map")</f>
        <v>View Map</v>
      </c>
      <c r="G161" s="2">
        <v>0.43947112639886732</v>
      </c>
    </row>
    <row r="162" spans="1:7" x14ac:dyDescent="0.3">
      <c r="A162" t="s">
        <v>510</v>
      </c>
      <c r="B162" t="s">
        <v>511</v>
      </c>
      <c r="C162" t="s">
        <v>291</v>
      </c>
      <c r="D162">
        <v>21.241</v>
      </c>
      <c r="E162" s="4">
        <v>6797</v>
      </c>
      <c r="F162" t="str">
        <f>HYPERLINK("https://www.google.com/maps/search/?api=1&amp;query=24.08460266,45.32580326", "View Map")</f>
        <v>View Map</v>
      </c>
      <c r="G162" s="2">
        <v>0.44688163810095349</v>
      </c>
    </row>
    <row r="163" spans="1:7" x14ac:dyDescent="0.3">
      <c r="A163" t="s">
        <v>430</v>
      </c>
      <c r="B163" t="s">
        <v>431</v>
      </c>
      <c r="C163" t="s">
        <v>8</v>
      </c>
      <c r="D163">
        <v>21.173999999999999</v>
      </c>
      <c r="E163" s="4">
        <v>6776</v>
      </c>
      <c r="F163" t="str">
        <f>HYPERLINK("https://www.google.com/maps/search/?api=1&amp;query=24.75253842,46.77390533", "View Map")</f>
        <v>View Map</v>
      </c>
      <c r="G163" s="2">
        <v>0.74053467438130582</v>
      </c>
    </row>
    <row r="164" spans="1:7" x14ac:dyDescent="0.3">
      <c r="A164" t="s">
        <v>313</v>
      </c>
      <c r="B164" t="s">
        <v>314</v>
      </c>
      <c r="C164" t="s">
        <v>8</v>
      </c>
      <c r="D164">
        <v>21.111000000000001</v>
      </c>
      <c r="E164" s="4">
        <v>6756</v>
      </c>
      <c r="F164" t="str">
        <f>HYPERLINK("https://www.google.com/maps/search/?api=1&amp;query=24.71568591,46.82771854", "View Map")</f>
        <v>View Map</v>
      </c>
      <c r="G164" s="2">
        <v>0.44949613666072319</v>
      </c>
    </row>
    <row r="165" spans="1:7" x14ac:dyDescent="0.3">
      <c r="A165" t="s">
        <v>257</v>
      </c>
      <c r="B165" t="s">
        <v>258</v>
      </c>
      <c r="C165" t="s">
        <v>8</v>
      </c>
      <c r="D165">
        <v>20.96</v>
      </c>
      <c r="E165" s="4">
        <v>6707</v>
      </c>
      <c r="F165" t="str">
        <f>HYPERLINK("https://www.google.com/maps/search/?api=1&amp;query=24.70428071,46.67103887", "View Map")</f>
        <v>View Map</v>
      </c>
      <c r="G165" s="2">
        <v>0.28888803238878979</v>
      </c>
    </row>
    <row r="166" spans="1:7" x14ac:dyDescent="0.3">
      <c r="A166" t="s">
        <v>422</v>
      </c>
      <c r="B166" t="s">
        <v>423</v>
      </c>
      <c r="C166" t="s">
        <v>8</v>
      </c>
      <c r="D166">
        <v>20.530999999999999</v>
      </c>
      <c r="E166" s="4">
        <v>6570</v>
      </c>
      <c r="F166" t="str">
        <f>HYPERLINK("https://www.google.com/maps/search/?api=1&amp;query=24.60363978,46.6584658", "View Map")</f>
        <v>View Map</v>
      </c>
      <c r="G166" s="2">
        <v>0.66151002682935167</v>
      </c>
    </row>
    <row r="167" spans="1:7" x14ac:dyDescent="0.3">
      <c r="A167" t="s">
        <v>73</v>
      </c>
      <c r="B167" t="s">
        <v>527</v>
      </c>
      <c r="C167" t="s">
        <v>8</v>
      </c>
      <c r="D167">
        <v>20.472999999999999</v>
      </c>
      <c r="E167" s="4">
        <v>6552</v>
      </c>
      <c r="F167" t="str">
        <f>HYPERLINK("https://www.google.com/maps/search/?api=1&amp;query=24.82120776,46.60274635", "View Map")</f>
        <v>View Map</v>
      </c>
      <c r="G167" s="2">
        <v>0.66837126836340777</v>
      </c>
    </row>
    <row r="168" spans="1:7" x14ac:dyDescent="0.3">
      <c r="A168" t="s">
        <v>150</v>
      </c>
      <c r="B168" t="s">
        <v>507</v>
      </c>
      <c r="C168" t="s">
        <v>8</v>
      </c>
      <c r="D168">
        <v>20.468</v>
      </c>
      <c r="E168" s="4">
        <v>6550</v>
      </c>
      <c r="F168" t="str">
        <f>HYPERLINK("https://www.google.com/maps/search/?api=1&amp;query=24.82942092,46.68542883", "View Map")</f>
        <v>View Map</v>
      </c>
      <c r="G168" s="2">
        <v>0.49709105289441929</v>
      </c>
    </row>
    <row r="169" spans="1:7" x14ac:dyDescent="0.3">
      <c r="A169" t="s">
        <v>70</v>
      </c>
      <c r="B169" t="s">
        <v>71</v>
      </c>
      <c r="C169" t="s">
        <v>8</v>
      </c>
      <c r="D169">
        <v>20.238</v>
      </c>
      <c r="E169" s="4">
        <v>6476</v>
      </c>
      <c r="F169" t="str">
        <f>HYPERLINK("https://www.google.com/maps/search/?api=1&amp;query=24.6042,46.7106", "View Map")</f>
        <v>View Map</v>
      </c>
    </row>
    <row r="170" spans="1:7" x14ac:dyDescent="0.3">
      <c r="A170" t="s">
        <v>1124</v>
      </c>
      <c r="B170" t="s">
        <v>1125</v>
      </c>
      <c r="C170" t="s">
        <v>8</v>
      </c>
      <c r="D170">
        <v>20.155999999999999</v>
      </c>
      <c r="E170" s="4">
        <v>6450</v>
      </c>
      <c r="F170" t="str">
        <f>HYPERLINK("https://www.google.com/maps/search/?api=1&amp;query=24.65996461,46.74198876", "View Map")</f>
        <v>View Map</v>
      </c>
      <c r="G170" s="2">
        <v>0.53669688098929325</v>
      </c>
    </row>
    <row r="171" spans="1:7" x14ac:dyDescent="0.3">
      <c r="A171" t="s">
        <v>46</v>
      </c>
      <c r="B171" t="s">
        <v>321</v>
      </c>
      <c r="C171" t="s">
        <v>55</v>
      </c>
      <c r="D171">
        <v>20.094000000000001</v>
      </c>
      <c r="E171" s="4">
        <v>6430</v>
      </c>
      <c r="F171" t="str">
        <f>HYPERLINK("https://www.google.com/maps/search/?api=1&amp;query=24.79095,46.57925", "View Map")</f>
        <v>View Map</v>
      </c>
      <c r="G171" s="2">
        <v>0.55163142028003298</v>
      </c>
    </row>
    <row r="172" spans="1:7" x14ac:dyDescent="0.3">
      <c r="A172" t="s">
        <v>563</v>
      </c>
      <c r="B172" t="s">
        <v>564</v>
      </c>
      <c r="C172" t="s">
        <v>8</v>
      </c>
      <c r="D172">
        <v>20.024000000000001</v>
      </c>
      <c r="E172" s="4">
        <v>6408</v>
      </c>
      <c r="F172" t="str">
        <f>HYPERLINK("https://www.google.com/maps/search/?api=1&amp;query=24.72106303,46.78516465", "View Map")</f>
        <v>View Map</v>
      </c>
      <c r="G172" s="2">
        <v>0.71118906531836112</v>
      </c>
    </row>
    <row r="173" spans="1:7" x14ac:dyDescent="0.3">
      <c r="A173" t="s">
        <v>487</v>
      </c>
      <c r="B173" t="s">
        <v>488</v>
      </c>
      <c r="C173" t="s">
        <v>8</v>
      </c>
      <c r="D173">
        <v>20.018999999999998</v>
      </c>
      <c r="E173" s="4">
        <v>6406</v>
      </c>
      <c r="F173" t="str">
        <f>HYPERLINK("https://www.google.com/maps/search/?api=1&amp;query=24.8157958,46.79362523", "View Map")</f>
        <v>View Map</v>
      </c>
      <c r="G173" s="2">
        <v>0.90201425744849439</v>
      </c>
    </row>
    <row r="174" spans="1:7" x14ac:dyDescent="0.3">
      <c r="A174" t="s">
        <v>416</v>
      </c>
      <c r="B174" t="s">
        <v>417</v>
      </c>
      <c r="C174" t="s">
        <v>8</v>
      </c>
      <c r="D174">
        <v>20.013999999999999</v>
      </c>
      <c r="E174" s="4">
        <v>6404</v>
      </c>
      <c r="F174" t="str">
        <f>HYPERLINK("https://www.google.com/maps/search/?api=1&amp;query=24.59053613,46.64161047", "View Map")</f>
        <v>View Map</v>
      </c>
      <c r="G174" s="2">
        <v>0.68339320686579852</v>
      </c>
    </row>
    <row r="175" spans="1:7" x14ac:dyDescent="0.3">
      <c r="A175" t="s">
        <v>185</v>
      </c>
      <c r="B175" t="s">
        <v>186</v>
      </c>
      <c r="C175" t="s">
        <v>55</v>
      </c>
      <c r="D175">
        <v>19.882999999999999</v>
      </c>
      <c r="E175" s="4">
        <v>6363</v>
      </c>
      <c r="F175" t="str">
        <f>HYPERLINK("https://www.google.com/maps/search/?api=1&amp;query=24.76002407,46.57250774", "View Map")</f>
        <v>View Map</v>
      </c>
    </row>
    <row r="176" spans="1:7" x14ac:dyDescent="0.3">
      <c r="A176" t="s">
        <v>930</v>
      </c>
      <c r="B176" t="s">
        <v>931</v>
      </c>
      <c r="C176" t="s">
        <v>30</v>
      </c>
      <c r="D176">
        <v>19.779</v>
      </c>
      <c r="E176" s="4">
        <v>6329</v>
      </c>
      <c r="F176" t="str">
        <f>HYPERLINK("https://www.google.com/maps/search/?api=1&amp;query=24.13314947,47.34355138", "View Map")</f>
        <v>View Map</v>
      </c>
      <c r="G176" s="2">
        <v>0.71539722071948697</v>
      </c>
    </row>
    <row r="177" spans="1:7" x14ac:dyDescent="0.3">
      <c r="A177" t="s">
        <v>517</v>
      </c>
      <c r="B177" t="s">
        <v>518</v>
      </c>
      <c r="C177" t="s">
        <v>8</v>
      </c>
      <c r="D177">
        <v>19.742999999999999</v>
      </c>
      <c r="E177" s="4">
        <v>6318</v>
      </c>
      <c r="F177" t="str">
        <f>HYPERLINK("https://www.google.com/maps/search/?api=1&amp;query=24.60350696,46.66371151", "View Map")</f>
        <v>View Map</v>
      </c>
      <c r="G177" s="2">
        <v>0.66205665670787495</v>
      </c>
    </row>
    <row r="178" spans="1:7" x14ac:dyDescent="0.3">
      <c r="A178" t="s">
        <v>46</v>
      </c>
      <c r="B178" t="s">
        <v>541</v>
      </c>
      <c r="C178" t="s">
        <v>8</v>
      </c>
      <c r="D178">
        <v>19.588999999999999</v>
      </c>
      <c r="E178" s="4">
        <v>6268</v>
      </c>
      <c r="F178" t="str">
        <f>HYPERLINK("https://www.google.com/maps/search/?api=1&amp;query=24.62069505,46.76202884", "View Map")</f>
        <v>View Map</v>
      </c>
      <c r="G178" s="2">
        <v>0.50566331565574929</v>
      </c>
    </row>
    <row r="179" spans="1:7" x14ac:dyDescent="0.3">
      <c r="A179" t="s">
        <v>90</v>
      </c>
      <c r="B179" t="s">
        <v>91</v>
      </c>
      <c r="C179" t="s">
        <v>8</v>
      </c>
      <c r="D179">
        <v>19.577999999999999</v>
      </c>
      <c r="E179" s="4">
        <v>6265</v>
      </c>
      <c r="F179" t="str">
        <f>HYPERLINK("https://www.google.com/maps/search/?api=1&amp;query=24.80106567,46.81345225", "View Map")</f>
        <v>View Map</v>
      </c>
      <c r="G179" s="2">
        <v>0.36487732848340748</v>
      </c>
    </row>
    <row r="180" spans="1:7" x14ac:dyDescent="0.3">
      <c r="A180" t="s">
        <v>380</v>
      </c>
      <c r="B180" t="s">
        <v>381</v>
      </c>
      <c r="C180" t="s">
        <v>214</v>
      </c>
      <c r="D180">
        <v>19.477</v>
      </c>
      <c r="E180" s="4">
        <v>6233</v>
      </c>
      <c r="F180" t="str">
        <f>HYPERLINK("https://www.google.com/maps/search/?api=1&amp;query=25.69664192,45.88027634", "View Map")</f>
        <v>View Map</v>
      </c>
      <c r="G180" s="2">
        <v>0.69768441712281914</v>
      </c>
    </row>
    <row r="181" spans="1:7" x14ac:dyDescent="0.3">
      <c r="A181" t="s">
        <v>469</v>
      </c>
      <c r="B181" t="s">
        <v>470</v>
      </c>
      <c r="C181" t="s">
        <v>8</v>
      </c>
      <c r="D181">
        <v>19.431000000000001</v>
      </c>
      <c r="E181" s="4">
        <v>6218</v>
      </c>
      <c r="F181" t="str">
        <f>HYPERLINK("https://www.google.com/maps/search/?api=1&amp;query=24.79351,46.77427", "View Map")</f>
        <v>View Map</v>
      </c>
      <c r="G181" s="2">
        <v>0.72853306261732786</v>
      </c>
    </row>
    <row r="182" spans="1:7" x14ac:dyDescent="0.3">
      <c r="A182" t="s">
        <v>46</v>
      </c>
      <c r="B182" t="s">
        <v>538</v>
      </c>
      <c r="C182" t="s">
        <v>55</v>
      </c>
      <c r="D182">
        <v>19.306999999999999</v>
      </c>
      <c r="E182" s="4">
        <v>6178</v>
      </c>
      <c r="F182" t="str">
        <f>HYPERLINK("https://www.google.com/maps/search/?api=1&amp;query=24.77141234,46.58162402", "View Map")</f>
        <v>View Map</v>
      </c>
      <c r="G182" s="2">
        <v>0.47731983844950032</v>
      </c>
    </row>
    <row r="183" spans="1:7" x14ac:dyDescent="0.3">
      <c r="A183" t="s">
        <v>561</v>
      </c>
      <c r="B183" t="s">
        <v>562</v>
      </c>
      <c r="C183" t="s">
        <v>8</v>
      </c>
      <c r="D183">
        <v>19.224</v>
      </c>
      <c r="E183" s="4">
        <v>6152</v>
      </c>
      <c r="F183" t="str">
        <f>HYPERLINK("https://www.google.com/maps/search/?api=1&amp;query=24.59055247,46.67017034", "View Map")</f>
        <v>View Map</v>
      </c>
      <c r="G183" s="2">
        <v>0.74360000675779447</v>
      </c>
    </row>
    <row r="184" spans="1:7" x14ac:dyDescent="0.3">
      <c r="A184" t="s">
        <v>146</v>
      </c>
      <c r="B184" t="s">
        <v>581</v>
      </c>
      <c r="C184" t="s">
        <v>8</v>
      </c>
      <c r="D184">
        <v>19.202000000000002</v>
      </c>
      <c r="E184" s="4">
        <v>6145</v>
      </c>
      <c r="F184" t="str">
        <f>HYPERLINK("https://www.google.com/maps/search/?api=1&amp;query=24.68074,46.57364", "View Map")</f>
        <v>View Map</v>
      </c>
      <c r="G184" s="2">
        <v>0.71804972981328807</v>
      </c>
    </row>
    <row r="185" spans="1:7" x14ac:dyDescent="0.3">
      <c r="A185" t="s">
        <v>403</v>
      </c>
      <c r="B185" t="s">
        <v>404</v>
      </c>
      <c r="C185" t="s">
        <v>8</v>
      </c>
      <c r="D185">
        <v>19.135999999999999</v>
      </c>
      <c r="E185" s="4">
        <v>6124</v>
      </c>
      <c r="F185" t="str">
        <f>HYPERLINK("https://www.google.com/maps/search/?api=1&amp;query=24.7960199,46.63184058", "View Map")</f>
        <v>View Map</v>
      </c>
      <c r="G185" s="2">
        <v>0.88688097832589885</v>
      </c>
    </row>
    <row r="186" spans="1:7" x14ac:dyDescent="0.3">
      <c r="A186" t="s">
        <v>146</v>
      </c>
      <c r="B186" t="s">
        <v>421</v>
      </c>
      <c r="C186" t="s">
        <v>8</v>
      </c>
      <c r="D186">
        <v>19.13</v>
      </c>
      <c r="E186" s="4">
        <v>6122</v>
      </c>
      <c r="F186" t="str">
        <f>HYPERLINK("https://www.google.com/maps/search/?api=1&amp;query=24.57398396,46.63571953", "View Map")</f>
        <v>View Map</v>
      </c>
      <c r="G186" s="2">
        <v>0.67145534013786057</v>
      </c>
    </row>
    <row r="187" spans="1:7" x14ac:dyDescent="0.3">
      <c r="A187" t="s">
        <v>385</v>
      </c>
      <c r="B187" t="s">
        <v>386</v>
      </c>
      <c r="C187" t="s">
        <v>8</v>
      </c>
      <c r="D187">
        <v>19.123999999999999</v>
      </c>
      <c r="E187" s="4">
        <v>6120</v>
      </c>
      <c r="F187" t="str">
        <f>HYPERLINK("https://www.google.com/maps/search/?api=1&amp;query=24.59857647,46.77267912", "View Map")</f>
        <v>View Map</v>
      </c>
    </row>
    <row r="188" spans="1:7" x14ac:dyDescent="0.3">
      <c r="A188" t="s">
        <v>396</v>
      </c>
      <c r="B188" t="s">
        <v>397</v>
      </c>
      <c r="C188" t="s">
        <v>55</v>
      </c>
      <c r="D188">
        <v>19.004000000000001</v>
      </c>
      <c r="E188" s="4">
        <v>6081</v>
      </c>
      <c r="F188" t="str">
        <f>HYPERLINK("https://www.google.com/maps/search/?api=1&amp;query=24.73759225,46.59876738", "View Map")</f>
        <v>View Map</v>
      </c>
      <c r="G188" s="2">
        <v>0.56833089430296435</v>
      </c>
    </row>
    <row r="189" spans="1:7" x14ac:dyDescent="0.3">
      <c r="A189" t="s">
        <v>344</v>
      </c>
      <c r="B189" t="s">
        <v>345</v>
      </c>
      <c r="C189" t="s">
        <v>8</v>
      </c>
      <c r="D189">
        <v>18.896999999999998</v>
      </c>
      <c r="E189" s="4">
        <v>6047</v>
      </c>
      <c r="F189" t="str">
        <f>HYPERLINK("https://www.google.com/maps/search/?api=1&amp;query=24.78992452,46.81871222", "View Map")</f>
        <v>View Map</v>
      </c>
      <c r="G189" s="2">
        <v>0.4676823929105271</v>
      </c>
    </row>
    <row r="190" spans="1:7" x14ac:dyDescent="0.3">
      <c r="A190" t="s">
        <v>461</v>
      </c>
      <c r="B190" t="s">
        <v>462</v>
      </c>
      <c r="C190" t="s">
        <v>8</v>
      </c>
      <c r="D190">
        <v>18.896999999999998</v>
      </c>
      <c r="E190" s="4">
        <v>6047</v>
      </c>
      <c r="F190" t="str">
        <f>HYPERLINK("https://www.google.com/maps/search/?api=1&amp;query=24.6908,46.6269", "View Map")</f>
        <v>View Map</v>
      </c>
      <c r="G190" s="2">
        <v>0.89268806130468681</v>
      </c>
    </row>
    <row r="191" spans="1:7" x14ac:dyDescent="0.3">
      <c r="A191" t="s">
        <v>585</v>
      </c>
      <c r="B191" t="s">
        <v>586</v>
      </c>
      <c r="C191" t="s">
        <v>8</v>
      </c>
      <c r="D191">
        <v>18.893000000000001</v>
      </c>
      <c r="E191" s="4">
        <v>6046</v>
      </c>
      <c r="F191" t="str">
        <f>HYPERLINK("https://www.google.com/maps/search/?api=1&amp;query=24.80787682,46.86147383", "View Map")</f>
        <v>View Map</v>
      </c>
    </row>
    <row r="192" spans="1:7" x14ac:dyDescent="0.3">
      <c r="A192" t="s">
        <v>443</v>
      </c>
      <c r="B192" t="s">
        <v>444</v>
      </c>
      <c r="C192" t="s">
        <v>8</v>
      </c>
      <c r="D192">
        <v>18.873999999999999</v>
      </c>
      <c r="E192" s="4">
        <v>6040</v>
      </c>
      <c r="F192" t="str">
        <f>HYPERLINK("https://www.google.com/maps/search/?api=1&amp;query=24.63609762,46.7104271", "View Map")</f>
        <v>View Map</v>
      </c>
      <c r="G192" s="2">
        <v>0.39956954787117188</v>
      </c>
    </row>
    <row r="193" spans="1:7" x14ac:dyDescent="0.3">
      <c r="A193" t="s">
        <v>519</v>
      </c>
      <c r="B193" t="s">
        <v>520</v>
      </c>
      <c r="C193" t="s">
        <v>8</v>
      </c>
      <c r="D193">
        <v>18.873000000000001</v>
      </c>
      <c r="E193" s="4">
        <v>6039</v>
      </c>
      <c r="F193" t="str">
        <f>HYPERLINK("https://www.google.com/maps/search/?api=1&amp;query=24.79112,46.71663", "View Map")</f>
        <v>View Map</v>
      </c>
      <c r="G193" s="2">
        <v>0.67360153416433899</v>
      </c>
    </row>
    <row r="194" spans="1:7" x14ac:dyDescent="0.3">
      <c r="A194" t="s">
        <v>1281</v>
      </c>
      <c r="B194" t="s">
        <v>1282</v>
      </c>
      <c r="C194" t="s">
        <v>8</v>
      </c>
      <c r="D194">
        <v>18.82</v>
      </c>
      <c r="E194" s="4">
        <v>6022</v>
      </c>
      <c r="F194" t="str">
        <f>HYPERLINK("https://www.google.com/maps/search/?api=1&amp;query=24.68369106,46.79342526", "View Map")</f>
        <v>View Map</v>
      </c>
      <c r="G194" s="2">
        <v>0.50989815908943958</v>
      </c>
    </row>
    <row r="195" spans="1:7" x14ac:dyDescent="0.3">
      <c r="A195" t="s">
        <v>491</v>
      </c>
      <c r="B195" t="s">
        <v>492</v>
      </c>
      <c r="C195" t="s">
        <v>8</v>
      </c>
      <c r="D195">
        <v>18.722000000000001</v>
      </c>
      <c r="E195" s="4">
        <v>5991</v>
      </c>
      <c r="F195" t="str">
        <f>HYPERLINK("https://www.google.com/maps/search/?api=1&amp;query=24.81032301,46.61099192", "View Map")</f>
        <v>View Map</v>
      </c>
      <c r="G195" s="2">
        <v>0.64944422749131159</v>
      </c>
    </row>
    <row r="196" spans="1:7" x14ac:dyDescent="0.3">
      <c r="A196" t="s">
        <v>500</v>
      </c>
      <c r="B196" t="s">
        <v>501</v>
      </c>
      <c r="C196" t="s">
        <v>8</v>
      </c>
      <c r="D196">
        <v>18.722000000000001</v>
      </c>
      <c r="E196" s="4">
        <v>5991</v>
      </c>
      <c r="F196" t="str">
        <f>HYPERLINK("https://www.google.com/maps/search/?api=1&amp;query=24.56722617,46.77511662", "View Map")</f>
        <v>View Map</v>
      </c>
      <c r="G196" s="2">
        <v>0.71159617436955203</v>
      </c>
    </row>
    <row r="197" spans="1:7" x14ac:dyDescent="0.3">
      <c r="A197" t="s">
        <v>556</v>
      </c>
      <c r="B197" t="s">
        <v>557</v>
      </c>
      <c r="C197" t="s">
        <v>8</v>
      </c>
      <c r="D197">
        <v>18.608000000000001</v>
      </c>
      <c r="E197" s="4">
        <v>5954</v>
      </c>
      <c r="F197" t="str">
        <f>HYPERLINK("https://www.google.com/maps/search/?api=1&amp;query=24.68607,46.56311", "View Map")</f>
        <v>View Map</v>
      </c>
      <c r="G197" s="2">
        <v>0.68586298820030112</v>
      </c>
    </row>
    <row r="198" spans="1:7" x14ac:dyDescent="0.3">
      <c r="A198" t="s">
        <v>508</v>
      </c>
      <c r="B198" t="s">
        <v>509</v>
      </c>
      <c r="C198" t="s">
        <v>291</v>
      </c>
      <c r="D198">
        <v>18.539000000000001</v>
      </c>
      <c r="E198" s="4">
        <v>5932</v>
      </c>
      <c r="F198" t="str">
        <f>HYPERLINK("https://www.google.com/maps/search/?api=1&amp;query=23.77546139,44.7838122", "View Map")</f>
        <v>View Map</v>
      </c>
      <c r="G198" s="2">
        <v>0.87507204138193162</v>
      </c>
    </row>
    <row r="199" spans="1:7" x14ac:dyDescent="0.3">
      <c r="A199" t="s">
        <v>439</v>
      </c>
      <c r="B199" t="s">
        <v>440</v>
      </c>
      <c r="C199" t="s">
        <v>8</v>
      </c>
      <c r="D199">
        <v>18.483000000000001</v>
      </c>
      <c r="E199" s="4">
        <v>5915</v>
      </c>
      <c r="F199" t="str">
        <f>HYPERLINK("https://www.google.com/maps/search/?api=1&amp;query=24.66957461,46.70044643", "View Map")</f>
        <v>View Map</v>
      </c>
      <c r="G199" s="2">
        <v>0.68928543433209599</v>
      </c>
    </row>
    <row r="200" spans="1:7" x14ac:dyDescent="0.3">
      <c r="A200" t="s">
        <v>46</v>
      </c>
      <c r="B200" t="s">
        <v>256</v>
      </c>
      <c r="C200" t="s">
        <v>8</v>
      </c>
      <c r="D200">
        <v>18.437000000000001</v>
      </c>
      <c r="E200" s="4">
        <v>5900</v>
      </c>
      <c r="F200" t="str">
        <f>HYPERLINK("https://www.google.com/maps/search/?api=1&amp;query=24.68444607,46.58426799", "View Map")</f>
        <v>View Map</v>
      </c>
      <c r="G200" s="2">
        <v>0.37448917119376451</v>
      </c>
    </row>
    <row r="201" spans="1:7" x14ac:dyDescent="0.3">
      <c r="A201" t="s">
        <v>146</v>
      </c>
      <c r="B201" t="s">
        <v>475</v>
      </c>
      <c r="C201" t="s">
        <v>8</v>
      </c>
      <c r="D201">
        <v>18.355</v>
      </c>
      <c r="E201" s="4">
        <v>5874</v>
      </c>
      <c r="F201" t="str">
        <f>HYPERLINK("https://www.google.com/maps/search/?api=1&amp;query=24.56218376,46.57032725", "View Map")</f>
        <v>View Map</v>
      </c>
      <c r="G201" s="2">
        <v>0.84164170239195868</v>
      </c>
    </row>
    <row r="202" spans="1:7" x14ac:dyDescent="0.3">
      <c r="A202" t="s">
        <v>409</v>
      </c>
      <c r="B202" t="s">
        <v>410</v>
      </c>
      <c r="C202" t="s">
        <v>8</v>
      </c>
      <c r="D202">
        <v>18.306000000000001</v>
      </c>
      <c r="E202" s="4">
        <v>5858</v>
      </c>
      <c r="F202" t="str">
        <f>HYPERLINK("https://www.google.com/maps/search/?api=1&amp;query=24.68620666,46.58833388", "View Map")</f>
        <v>View Map</v>
      </c>
      <c r="G202" s="2">
        <v>0.4771031972303561</v>
      </c>
    </row>
    <row r="203" spans="1:7" x14ac:dyDescent="0.3">
      <c r="A203" t="s">
        <v>275</v>
      </c>
      <c r="B203" t="s">
        <v>276</v>
      </c>
      <c r="C203" t="s">
        <v>8</v>
      </c>
      <c r="D203">
        <v>18.294</v>
      </c>
      <c r="E203" s="4">
        <v>5854</v>
      </c>
      <c r="F203" t="str">
        <f>HYPERLINK("https://www.google.com/maps/search/?api=1&amp;query=24.76785944,46.7377981", "View Map")</f>
        <v>View Map</v>
      </c>
      <c r="G203" s="2">
        <v>0.50780897796138125</v>
      </c>
    </row>
    <row r="204" spans="1:7" x14ac:dyDescent="0.3">
      <c r="A204" t="s">
        <v>46</v>
      </c>
      <c r="B204" t="s">
        <v>165</v>
      </c>
      <c r="C204" t="s">
        <v>8</v>
      </c>
      <c r="D204">
        <v>18.263999999999999</v>
      </c>
      <c r="E204" s="4">
        <v>5845</v>
      </c>
      <c r="F204" t="str">
        <f>HYPERLINK("https://www.google.com/maps/search/?api=1&amp;query=24.70226648,46.66692736", "View Map")</f>
        <v>View Map</v>
      </c>
      <c r="G204" s="2">
        <v>0.40817402967139771</v>
      </c>
    </row>
    <row r="205" spans="1:7" x14ac:dyDescent="0.3">
      <c r="A205" t="s">
        <v>352</v>
      </c>
      <c r="B205" t="s">
        <v>353</v>
      </c>
      <c r="C205" t="s">
        <v>8</v>
      </c>
      <c r="D205">
        <v>18.158999999999999</v>
      </c>
      <c r="E205" s="4">
        <v>5811</v>
      </c>
      <c r="F205" t="str">
        <f>HYPERLINK("https://www.google.com/maps/search/?api=1&amp;query=24.75554387,46.78789353", "View Map")</f>
        <v>View Map</v>
      </c>
      <c r="G205" s="2">
        <v>0.34076100413561389</v>
      </c>
    </row>
    <row r="206" spans="1:7" x14ac:dyDescent="0.3">
      <c r="A206" t="s">
        <v>521</v>
      </c>
      <c r="B206" t="s">
        <v>522</v>
      </c>
      <c r="C206" t="s">
        <v>8</v>
      </c>
      <c r="D206">
        <v>18.081</v>
      </c>
      <c r="E206" s="4">
        <v>5786</v>
      </c>
      <c r="F206" t="str">
        <f>HYPERLINK("https://www.google.com/maps/search/?api=1&amp;query=24.71041136,46.61485027", "View Map")</f>
        <v>View Map</v>
      </c>
      <c r="G206" s="2">
        <v>0.4884566060259416</v>
      </c>
    </row>
    <row r="207" spans="1:7" x14ac:dyDescent="0.3">
      <c r="A207" t="s">
        <v>565</v>
      </c>
      <c r="B207" t="s">
        <v>566</v>
      </c>
      <c r="C207" t="s">
        <v>8</v>
      </c>
      <c r="D207">
        <v>18.045999999999999</v>
      </c>
      <c r="E207" s="4">
        <v>5775</v>
      </c>
      <c r="F207" t="str">
        <f>HYPERLINK("https://www.google.com/maps/search/?api=1&amp;query=24.48979644,46.61598214", "View Map")</f>
        <v>View Map</v>
      </c>
      <c r="G207" s="2">
        <v>0.85628903029077275</v>
      </c>
    </row>
    <row r="208" spans="1:7" x14ac:dyDescent="0.3">
      <c r="A208" t="s">
        <v>600</v>
      </c>
      <c r="B208" t="s">
        <v>601</v>
      </c>
      <c r="C208" t="s">
        <v>8</v>
      </c>
      <c r="D208">
        <v>18.036000000000001</v>
      </c>
      <c r="E208" s="4">
        <v>5772</v>
      </c>
      <c r="F208" t="str">
        <f>HYPERLINK("https://www.google.com/maps/search/?api=1&amp;query=24.61438633,46.71976303", "View Map")</f>
        <v>View Map</v>
      </c>
    </row>
    <row r="209" spans="1:7" x14ac:dyDescent="0.3">
      <c r="A209" t="s">
        <v>446</v>
      </c>
      <c r="B209" t="s">
        <v>447</v>
      </c>
      <c r="C209" t="s">
        <v>8</v>
      </c>
      <c r="D209">
        <v>17.890999999999998</v>
      </c>
      <c r="E209" s="4">
        <v>5725</v>
      </c>
      <c r="F209" t="str">
        <f>HYPERLINK("https://www.google.com/maps/search/?api=1&amp;query=24.73037392,46.68446288", "View Map")</f>
        <v>View Map</v>
      </c>
      <c r="G209" s="2">
        <v>0.64140904193089943</v>
      </c>
    </row>
    <row r="210" spans="1:7" x14ac:dyDescent="0.3">
      <c r="A210" t="s">
        <v>56</v>
      </c>
      <c r="B210" t="s">
        <v>57</v>
      </c>
      <c r="C210" t="s">
        <v>8</v>
      </c>
      <c r="D210">
        <v>17.876999999999999</v>
      </c>
      <c r="E210" s="4">
        <v>5721</v>
      </c>
      <c r="F210" t="str">
        <f>HYPERLINK("https://www.google.com/maps/search/?api=1&amp;query=24.70812841,46.82041352", "View Map")</f>
        <v>View Map</v>
      </c>
      <c r="G210" s="2">
        <v>0.1186602823745829</v>
      </c>
    </row>
    <row r="211" spans="1:7" x14ac:dyDescent="0.3">
      <c r="A211" t="s">
        <v>719</v>
      </c>
      <c r="B211" t="s">
        <v>720</v>
      </c>
      <c r="C211" t="s">
        <v>8</v>
      </c>
      <c r="D211">
        <v>17.786999999999999</v>
      </c>
      <c r="E211" s="4">
        <v>5692</v>
      </c>
      <c r="F211" t="str">
        <f>HYPERLINK("https://www.google.com/maps/search/?api=1&amp;query=24.67988475,46.81956778", "View Map")</f>
        <v>View Map</v>
      </c>
      <c r="G211" s="2">
        <v>0.49177376367995812</v>
      </c>
    </row>
    <row r="212" spans="1:7" x14ac:dyDescent="0.3">
      <c r="A212" t="s">
        <v>471</v>
      </c>
      <c r="B212" t="s">
        <v>472</v>
      </c>
      <c r="C212" t="s">
        <v>8</v>
      </c>
      <c r="D212">
        <v>17.731000000000002</v>
      </c>
      <c r="E212" s="4">
        <v>5674</v>
      </c>
      <c r="F212" t="str">
        <f>HYPERLINK("https://www.google.com/maps/search/?api=1&amp;query=24.73232027,46.68662811", "View Map")</f>
        <v>View Map</v>
      </c>
      <c r="G212" s="2">
        <v>0.60308447047255331</v>
      </c>
    </row>
    <row r="213" spans="1:7" x14ac:dyDescent="0.3">
      <c r="A213" t="s">
        <v>623</v>
      </c>
      <c r="B213" t="s">
        <v>624</v>
      </c>
      <c r="C213" t="s">
        <v>8</v>
      </c>
      <c r="D213">
        <v>17.719000000000001</v>
      </c>
      <c r="E213" s="4">
        <v>5670</v>
      </c>
      <c r="F213" t="str">
        <f>HYPERLINK("https://www.google.com/maps/search/?api=1&amp;query=24.74580983,46.83531074", "View Map")</f>
        <v>View Map</v>
      </c>
      <c r="G213" s="2">
        <v>0.7238482510050368</v>
      </c>
    </row>
    <row r="214" spans="1:7" x14ac:dyDescent="0.3">
      <c r="A214" t="s">
        <v>426</v>
      </c>
      <c r="B214" t="s">
        <v>427</v>
      </c>
      <c r="C214" t="s">
        <v>55</v>
      </c>
      <c r="D214">
        <v>17.704999999999998</v>
      </c>
      <c r="E214" s="4">
        <v>5666</v>
      </c>
      <c r="F214" t="str">
        <f>HYPERLINK("https://www.google.com/maps/search/?api=1&amp;query=24.74555352,46.574474", "View Map")</f>
        <v>View Map</v>
      </c>
      <c r="G214" s="2">
        <v>0.53925223459770599</v>
      </c>
    </row>
    <row r="215" spans="1:7" x14ac:dyDescent="0.3">
      <c r="A215" t="s">
        <v>46</v>
      </c>
      <c r="B215" t="s">
        <v>575</v>
      </c>
      <c r="C215" t="s">
        <v>8</v>
      </c>
      <c r="D215">
        <v>17.616</v>
      </c>
      <c r="E215" s="4">
        <v>5637</v>
      </c>
      <c r="F215" t="str">
        <f>HYPERLINK("https://www.google.com/maps/search/?api=1&amp;query=24.84300835,46.7751923", "View Map")</f>
        <v>View Map</v>
      </c>
      <c r="G215" s="2">
        <v>0.78366570061388818</v>
      </c>
    </row>
    <row r="216" spans="1:7" x14ac:dyDescent="0.3">
      <c r="A216" t="s">
        <v>657</v>
      </c>
      <c r="B216" t="s">
        <v>658</v>
      </c>
      <c r="C216" t="s">
        <v>296</v>
      </c>
      <c r="D216">
        <v>17.561</v>
      </c>
      <c r="E216" s="4">
        <v>5619</v>
      </c>
      <c r="F216" t="str">
        <f>HYPERLINK("https://www.google.com/maps/search/?api=1&amp;query=24.45073409,46.30022976", "View Map")</f>
        <v>View Map</v>
      </c>
      <c r="G216" s="2">
        <v>0.5405383979512095</v>
      </c>
    </row>
    <row r="217" spans="1:7" x14ac:dyDescent="0.3">
      <c r="A217" t="s">
        <v>1122</v>
      </c>
      <c r="B217" t="s">
        <v>1123</v>
      </c>
      <c r="C217" t="s">
        <v>214</v>
      </c>
      <c r="D217">
        <v>17.484000000000002</v>
      </c>
      <c r="E217" s="4">
        <v>5595</v>
      </c>
      <c r="F217" t="str">
        <f>HYPERLINK("https://www.google.com/maps/search/?api=1&amp;query=25.70312563,45.59412699", "View Map")</f>
        <v>View Map</v>
      </c>
      <c r="G217" s="2">
        <v>0.99560961267660131</v>
      </c>
    </row>
    <row r="218" spans="1:7" x14ac:dyDescent="0.3">
      <c r="A218" t="s">
        <v>73</v>
      </c>
      <c r="B218" t="s">
        <v>547</v>
      </c>
      <c r="C218" t="s">
        <v>8</v>
      </c>
      <c r="D218">
        <v>17.411000000000001</v>
      </c>
      <c r="E218" s="4">
        <v>5572</v>
      </c>
      <c r="F218" t="str">
        <f>HYPERLINK("https://www.google.com/maps/search/?api=1&amp;query=24.63540454,46.55433271", "View Map")</f>
        <v>View Map</v>
      </c>
      <c r="G218" s="2">
        <v>0.50134964333874232</v>
      </c>
    </row>
    <row r="219" spans="1:7" x14ac:dyDescent="0.3">
      <c r="A219" t="s">
        <v>451</v>
      </c>
      <c r="B219" t="s">
        <v>452</v>
      </c>
      <c r="C219" t="s">
        <v>8</v>
      </c>
      <c r="D219">
        <v>17.411000000000001</v>
      </c>
      <c r="E219" s="4">
        <v>5571</v>
      </c>
      <c r="F219" t="str">
        <f>HYPERLINK("https://www.google.com/maps/search/?api=1&amp;query=24.80429228,46.77294503", "View Map")</f>
        <v>View Map</v>
      </c>
      <c r="G219" s="2">
        <v>0.79697225759613433</v>
      </c>
    </row>
    <row r="220" spans="1:7" x14ac:dyDescent="0.3">
      <c r="A220" t="s">
        <v>502</v>
      </c>
      <c r="B220" t="s">
        <v>503</v>
      </c>
      <c r="C220" t="s">
        <v>8</v>
      </c>
      <c r="D220">
        <v>17.384</v>
      </c>
      <c r="E220" s="4">
        <v>5563</v>
      </c>
      <c r="F220" t="str">
        <f>HYPERLINK("https://www.google.com/maps/search/?api=1&amp;query=24.66598522,46.7009511", "View Map")</f>
        <v>View Map</v>
      </c>
    </row>
    <row r="221" spans="1:7" x14ac:dyDescent="0.3">
      <c r="A221" t="s">
        <v>454</v>
      </c>
      <c r="B221" t="s">
        <v>455</v>
      </c>
      <c r="C221" t="s">
        <v>8</v>
      </c>
      <c r="D221">
        <v>17.347999999999999</v>
      </c>
      <c r="E221" s="4">
        <v>5551</v>
      </c>
      <c r="F221" t="str">
        <f>HYPERLINK("https://www.google.com/maps/search/?api=1&amp;query=24.82022623,46.77454046", "View Map")</f>
        <v>View Map</v>
      </c>
    </row>
    <row r="222" spans="1:7" x14ac:dyDescent="0.3">
      <c r="A222" t="s">
        <v>543</v>
      </c>
      <c r="B222" t="s">
        <v>544</v>
      </c>
      <c r="C222" t="s">
        <v>8</v>
      </c>
      <c r="D222">
        <v>17.292000000000002</v>
      </c>
      <c r="E222" s="4">
        <v>5533</v>
      </c>
      <c r="F222" t="str">
        <f>HYPERLINK("https://www.google.com/maps/search/?api=1&amp;query=24.8023764,46.80238528", "View Map")</f>
        <v>View Map</v>
      </c>
      <c r="G222" s="2">
        <v>0.74133258977368865</v>
      </c>
    </row>
    <row r="223" spans="1:7" x14ac:dyDescent="0.3">
      <c r="A223" t="s">
        <v>150</v>
      </c>
      <c r="B223" t="s">
        <v>837</v>
      </c>
      <c r="C223" t="s">
        <v>8</v>
      </c>
      <c r="D223">
        <v>17.289000000000001</v>
      </c>
      <c r="E223" s="4">
        <v>5533</v>
      </c>
      <c r="F223" t="str">
        <f>HYPERLINK("https://www.google.com/maps/search/?api=1&amp;query=24.78065677,46.58766811", "View Map")</f>
        <v>View Map</v>
      </c>
      <c r="G223" s="2">
        <v>0.78154217069463205</v>
      </c>
    </row>
    <row r="224" spans="1:7" x14ac:dyDescent="0.3">
      <c r="A224" t="s">
        <v>473</v>
      </c>
      <c r="B224" t="s">
        <v>474</v>
      </c>
      <c r="C224" t="s">
        <v>8</v>
      </c>
      <c r="D224">
        <v>17.135999999999999</v>
      </c>
      <c r="E224" s="4">
        <v>5484</v>
      </c>
      <c r="F224" t="str">
        <f>HYPERLINK("https://www.google.com/maps/search/?api=1&amp;query=24.59613063,46.71067492", "View Map")</f>
        <v>View Map</v>
      </c>
      <c r="G224" s="2">
        <v>0.426284567910448</v>
      </c>
    </row>
    <row r="225" spans="1:7" x14ac:dyDescent="0.3">
      <c r="A225" t="s">
        <v>459</v>
      </c>
      <c r="B225" t="s">
        <v>460</v>
      </c>
      <c r="C225" t="s">
        <v>286</v>
      </c>
      <c r="D225">
        <v>17.135000000000002</v>
      </c>
      <c r="E225" s="4">
        <v>5483</v>
      </c>
      <c r="F225" t="str">
        <f>HYPERLINK("https://www.google.com/maps/search/?api=1&amp;query=25.21797302,45.26699082", "View Map")</f>
        <v>View Map</v>
      </c>
      <c r="G225" s="2">
        <v>0.74384905112257926</v>
      </c>
    </row>
    <row r="226" spans="1:7" x14ac:dyDescent="0.3">
      <c r="A226" t="s">
        <v>856</v>
      </c>
      <c r="B226" t="s">
        <v>857</v>
      </c>
      <c r="C226" t="s">
        <v>8</v>
      </c>
      <c r="D226">
        <v>17.126000000000001</v>
      </c>
      <c r="E226" s="4">
        <v>5480</v>
      </c>
      <c r="F226" t="str">
        <f>HYPERLINK("https://www.google.com/maps/search/?api=1&amp;query=24.68061524,46.7845886", "View Map")</f>
        <v>View Map</v>
      </c>
    </row>
    <row r="227" spans="1:7" x14ac:dyDescent="0.3">
      <c r="A227" t="s">
        <v>122</v>
      </c>
      <c r="B227" t="s">
        <v>123</v>
      </c>
      <c r="C227" t="s">
        <v>30</v>
      </c>
      <c r="D227">
        <v>17.119</v>
      </c>
      <c r="E227" s="4">
        <v>5478</v>
      </c>
      <c r="F227" t="str">
        <f>HYPERLINK("https://www.google.com/maps/search/?api=1&amp;query=24.33593315,47.50011255", "View Map")</f>
        <v>View Map</v>
      </c>
      <c r="G227" s="2">
        <v>0.219414004105254</v>
      </c>
    </row>
    <row r="228" spans="1:7" x14ac:dyDescent="0.3">
      <c r="A228" t="s">
        <v>535</v>
      </c>
      <c r="B228" t="s">
        <v>536</v>
      </c>
      <c r="C228" t="s">
        <v>241</v>
      </c>
      <c r="D228">
        <v>17.088000000000001</v>
      </c>
      <c r="E228" s="4">
        <v>5468</v>
      </c>
      <c r="F228" t="str">
        <f>HYPERLINK("https://www.google.com/maps/search/?api=1&amp;query=20.44948124,44.84848058", "View Map")</f>
        <v>View Map</v>
      </c>
      <c r="G228" s="2">
        <v>0.34905619520386361</v>
      </c>
    </row>
    <row r="229" spans="1:7" x14ac:dyDescent="0.3">
      <c r="A229" t="s">
        <v>150</v>
      </c>
      <c r="B229" t="s">
        <v>542</v>
      </c>
      <c r="C229" t="s">
        <v>8</v>
      </c>
      <c r="D229">
        <v>17.079000000000001</v>
      </c>
      <c r="E229" s="4">
        <v>5465</v>
      </c>
      <c r="F229" t="str">
        <f>HYPERLINK("https://www.google.com/maps/search/?api=1&amp;query=24.83112837,46.6431487", "View Map")</f>
        <v>View Map</v>
      </c>
      <c r="G229" s="2">
        <v>0.78245476246595824</v>
      </c>
    </row>
    <row r="230" spans="1:7" x14ac:dyDescent="0.3">
      <c r="A230" t="s">
        <v>817</v>
      </c>
      <c r="B230" t="s">
        <v>818</v>
      </c>
      <c r="C230" t="s">
        <v>30</v>
      </c>
      <c r="D230">
        <v>17.045000000000002</v>
      </c>
      <c r="E230" s="4">
        <v>5454</v>
      </c>
      <c r="F230" t="str">
        <f>HYPERLINK("https://www.google.com/maps/search/?api=1&amp;query=24.13352099,47.28804134", "View Map")</f>
        <v>View Map</v>
      </c>
      <c r="G230" s="2">
        <v>0.84357216431613158</v>
      </c>
    </row>
    <row r="231" spans="1:7" x14ac:dyDescent="0.3">
      <c r="A231" t="s">
        <v>46</v>
      </c>
      <c r="B231" t="s">
        <v>456</v>
      </c>
      <c r="C231" t="s">
        <v>8</v>
      </c>
      <c r="D231">
        <v>17.021000000000001</v>
      </c>
      <c r="E231" s="4">
        <v>5447</v>
      </c>
      <c r="F231" t="str">
        <f>HYPERLINK("https://www.google.com/maps/search/?api=1&amp;query=24.81243589,46.82744311", "View Map")</f>
        <v>View Map</v>
      </c>
      <c r="G231" s="2">
        <v>0.70526638729769842</v>
      </c>
    </row>
    <row r="232" spans="1:7" x14ac:dyDescent="0.3">
      <c r="A232" t="s">
        <v>376</v>
      </c>
      <c r="B232" t="s">
        <v>377</v>
      </c>
      <c r="C232" t="s">
        <v>8</v>
      </c>
      <c r="D232">
        <v>16.994</v>
      </c>
      <c r="E232" s="4">
        <v>5438</v>
      </c>
      <c r="F232" t="str">
        <f>HYPERLINK("https://www.google.com/maps/search/?api=1&amp;query=24.79397828,46.77968977", "View Map")</f>
        <v>View Map</v>
      </c>
      <c r="G232" s="2">
        <v>0.45448082454684791</v>
      </c>
    </row>
    <row r="233" spans="1:7" x14ac:dyDescent="0.3">
      <c r="A233" t="s">
        <v>619</v>
      </c>
      <c r="B233" t="s">
        <v>620</v>
      </c>
      <c r="C233" t="s">
        <v>8</v>
      </c>
      <c r="D233">
        <v>16.878</v>
      </c>
      <c r="E233" s="4">
        <v>5401</v>
      </c>
      <c r="F233" t="str">
        <f>HYPERLINK("https://www.google.com/maps/search/?api=1&amp;query=24.63543151,46.66348217", "View Map")</f>
        <v>View Map</v>
      </c>
      <c r="G233" s="2">
        <v>0.83761697031759463</v>
      </c>
    </row>
    <row r="234" spans="1:7" x14ac:dyDescent="0.3">
      <c r="A234" t="s">
        <v>315</v>
      </c>
      <c r="B234" t="s">
        <v>316</v>
      </c>
      <c r="C234" t="s">
        <v>8</v>
      </c>
      <c r="D234">
        <v>16.861000000000001</v>
      </c>
      <c r="E234" s="4">
        <v>5395</v>
      </c>
      <c r="F234" t="str">
        <f>HYPERLINK("https://www.google.com/maps/search/?api=1&amp;query=24.72108914,46.85436542", "View Map")</f>
        <v>View Map</v>
      </c>
      <c r="G234" s="2">
        <v>0.40080447356421162</v>
      </c>
    </row>
    <row r="235" spans="1:7" x14ac:dyDescent="0.3">
      <c r="A235" t="s">
        <v>715</v>
      </c>
      <c r="B235" t="s">
        <v>716</v>
      </c>
      <c r="C235" t="s">
        <v>8</v>
      </c>
      <c r="D235">
        <v>16.617999999999999</v>
      </c>
      <c r="E235" s="4">
        <v>5318</v>
      </c>
      <c r="F235" t="str">
        <f>HYPERLINK("https://www.google.com/maps/search/?api=1&amp;query=24.68166379,46.80459328", "View Map")</f>
        <v>View Map</v>
      </c>
      <c r="G235" s="2">
        <v>0.62944715553628294</v>
      </c>
    </row>
    <row r="236" spans="1:7" x14ac:dyDescent="0.3">
      <c r="A236" t="s">
        <v>1120</v>
      </c>
      <c r="B236" t="s">
        <v>1121</v>
      </c>
      <c r="C236" t="s">
        <v>8</v>
      </c>
      <c r="D236">
        <v>16.600999999999999</v>
      </c>
      <c r="E236" s="4">
        <v>5312</v>
      </c>
      <c r="F236" t="str">
        <f>HYPERLINK("https://www.google.com/maps/search/?api=1&amp;query=24.78604308,46.76298235", "View Map")</f>
        <v>View Map</v>
      </c>
    </row>
    <row r="237" spans="1:7" x14ac:dyDescent="0.3">
      <c r="A237" t="s">
        <v>528</v>
      </c>
      <c r="B237" t="s">
        <v>529</v>
      </c>
      <c r="C237" t="s">
        <v>8</v>
      </c>
      <c r="D237">
        <v>16.556000000000001</v>
      </c>
      <c r="E237" s="4">
        <v>5298</v>
      </c>
      <c r="F237" t="str">
        <f>HYPERLINK("https://www.google.com/maps/search/?api=1&amp;query=24.69646524,46.78867533", "View Map")</f>
        <v>View Map</v>
      </c>
      <c r="G237" s="2">
        <v>0.64337911190780195</v>
      </c>
    </row>
    <row r="238" spans="1:7" x14ac:dyDescent="0.3">
      <c r="A238" t="s">
        <v>567</v>
      </c>
      <c r="B238" t="s">
        <v>568</v>
      </c>
      <c r="C238" t="s">
        <v>8</v>
      </c>
      <c r="D238">
        <v>16.527999999999999</v>
      </c>
      <c r="E238" s="4">
        <v>5289</v>
      </c>
      <c r="F238" t="str">
        <f>HYPERLINK("https://www.google.com/maps/search/?api=1&amp;query=24.61142882,46.70484649", "View Map")</f>
        <v>View Map</v>
      </c>
      <c r="G238" s="2">
        <v>0.75722748366817538</v>
      </c>
    </row>
    <row r="239" spans="1:7" x14ac:dyDescent="0.3">
      <c r="A239" t="s">
        <v>1273</v>
      </c>
      <c r="B239" t="s">
        <v>1274</v>
      </c>
      <c r="C239" t="s">
        <v>241</v>
      </c>
      <c r="D239">
        <v>16.501999999999999</v>
      </c>
      <c r="E239" s="4">
        <v>5281</v>
      </c>
      <c r="F239" t="str">
        <f>HYPERLINK("https://www.google.com/maps/search/?api=1&amp;query=20.47812639,44.79162144", "View Map")</f>
        <v>View Map</v>
      </c>
      <c r="G239" s="2">
        <v>0.6775695577335179</v>
      </c>
    </row>
    <row r="240" spans="1:7" x14ac:dyDescent="0.3">
      <c r="A240" t="s">
        <v>573</v>
      </c>
      <c r="B240" t="s">
        <v>574</v>
      </c>
      <c r="C240" t="s">
        <v>8</v>
      </c>
      <c r="D240">
        <v>16.442</v>
      </c>
      <c r="E240" s="4">
        <v>5261</v>
      </c>
      <c r="F240" t="str">
        <f>HYPERLINK("https://www.google.com/maps/search/?api=1&amp;query=24.7915941,46.65051766", "View Map")</f>
        <v>View Map</v>
      </c>
      <c r="G240" s="2">
        <v>0.52979597845708981</v>
      </c>
    </row>
    <row r="241" spans="1:7" x14ac:dyDescent="0.3">
      <c r="A241" t="s">
        <v>713</v>
      </c>
      <c r="B241" t="s">
        <v>714</v>
      </c>
      <c r="C241" t="s">
        <v>8</v>
      </c>
      <c r="D241">
        <v>16.425000000000001</v>
      </c>
      <c r="E241" s="4">
        <v>5256</v>
      </c>
      <c r="F241" t="str">
        <f>HYPERLINK("https://www.google.com/maps/search/?api=1&amp;query=24.64249818,46.70717456", "View Map")</f>
        <v>View Map</v>
      </c>
      <c r="G241" s="2">
        <v>0.6573545441326778</v>
      </c>
    </row>
    <row r="242" spans="1:7" x14ac:dyDescent="0.3">
      <c r="A242" t="s">
        <v>928</v>
      </c>
      <c r="B242" t="s">
        <v>929</v>
      </c>
      <c r="C242" t="s">
        <v>393</v>
      </c>
      <c r="D242">
        <v>16.39</v>
      </c>
      <c r="E242" s="4">
        <v>5245</v>
      </c>
      <c r="F242" t="str">
        <f>HYPERLINK("https://www.google.com/maps/search/?api=1&amp;query=22.53108548,45.07763164", "View Map")</f>
        <v>View Map</v>
      </c>
      <c r="G242" s="2">
        <v>0.56688625308181051</v>
      </c>
    </row>
    <row r="243" spans="1:7" x14ac:dyDescent="0.3">
      <c r="A243" t="s">
        <v>1219</v>
      </c>
      <c r="B243" t="s">
        <v>1220</v>
      </c>
      <c r="C243" t="s">
        <v>8</v>
      </c>
      <c r="D243">
        <v>16.347999999999999</v>
      </c>
      <c r="E243" s="4">
        <v>5231</v>
      </c>
      <c r="F243" t="str">
        <f>HYPERLINK("https://www.google.com/maps/search/?api=1&amp;query=24.70893355,46.78726012", "View Map")</f>
        <v>View Map</v>
      </c>
      <c r="G243" s="2">
        <v>0.57936593030585881</v>
      </c>
    </row>
    <row r="244" spans="1:7" x14ac:dyDescent="0.3">
      <c r="A244" t="s">
        <v>413</v>
      </c>
      <c r="B244" t="s">
        <v>414</v>
      </c>
      <c r="C244" t="s">
        <v>8</v>
      </c>
      <c r="D244">
        <v>16.334</v>
      </c>
      <c r="E244" s="4">
        <v>5227</v>
      </c>
      <c r="F244" t="str">
        <f>HYPERLINK("https://www.google.com/maps/search/?api=1&amp;query=24.72321569,46.68044048", "View Map")</f>
        <v>View Map</v>
      </c>
      <c r="G244" s="2">
        <v>0.43445908404001382</v>
      </c>
    </row>
    <row r="245" spans="1:7" x14ac:dyDescent="0.3">
      <c r="A245" t="s">
        <v>606</v>
      </c>
      <c r="B245" t="s">
        <v>607</v>
      </c>
      <c r="C245" t="s">
        <v>8</v>
      </c>
      <c r="D245">
        <v>16.308</v>
      </c>
      <c r="E245" s="4">
        <v>5219</v>
      </c>
      <c r="F245" t="str">
        <f>HYPERLINK("https://www.google.com/maps/search/?api=1&amp;query=24.82941374,46.74639906", "View Map")</f>
        <v>View Map</v>
      </c>
      <c r="G245" s="2">
        <v>0.43760097787465452</v>
      </c>
    </row>
    <row r="246" spans="1:7" x14ac:dyDescent="0.3">
      <c r="A246" t="s">
        <v>476</v>
      </c>
      <c r="B246" t="s">
        <v>477</v>
      </c>
      <c r="C246" t="s">
        <v>8</v>
      </c>
      <c r="D246">
        <v>16.303000000000001</v>
      </c>
      <c r="E246" s="4">
        <v>5217</v>
      </c>
      <c r="F246" t="str">
        <f>HYPERLINK("https://www.google.com/maps/search/?api=1&amp;query=24.62418346,46.74383133", "View Map")</f>
        <v>View Map</v>
      </c>
      <c r="G246" s="2">
        <v>0.36654538547757681</v>
      </c>
    </row>
    <row r="247" spans="1:7" x14ac:dyDescent="0.3">
      <c r="A247" t="s">
        <v>805</v>
      </c>
      <c r="B247" t="s">
        <v>806</v>
      </c>
      <c r="C247" t="s">
        <v>291</v>
      </c>
      <c r="D247">
        <v>16.298999999999999</v>
      </c>
      <c r="E247" s="4">
        <v>5216</v>
      </c>
      <c r="F247" t="str">
        <f>HYPERLINK("https://www.google.com/maps/search/?api=1&amp;query=24.06148414,45.27587126", "View Map")</f>
        <v>View Map</v>
      </c>
      <c r="G247" s="2">
        <v>0.71403265144311556</v>
      </c>
    </row>
    <row r="248" spans="1:7" x14ac:dyDescent="0.3">
      <c r="A248" t="s">
        <v>632</v>
      </c>
      <c r="B248" t="s">
        <v>633</v>
      </c>
      <c r="C248" t="s">
        <v>8</v>
      </c>
      <c r="D248">
        <v>16.274000000000001</v>
      </c>
      <c r="E248" s="4">
        <v>5208</v>
      </c>
      <c r="F248" t="str">
        <f>HYPERLINK("https://www.google.com/maps/search/?api=1&amp;query=24.626032,46.67015535", "View Map")</f>
        <v>View Map</v>
      </c>
      <c r="G248" s="2">
        <v>0.53500049000457484</v>
      </c>
    </row>
    <row r="249" spans="1:7" x14ac:dyDescent="0.3">
      <c r="A249" t="s">
        <v>671</v>
      </c>
      <c r="B249" t="s">
        <v>672</v>
      </c>
      <c r="C249" t="s">
        <v>8</v>
      </c>
      <c r="D249">
        <v>16.202000000000002</v>
      </c>
      <c r="E249" s="4">
        <v>5184</v>
      </c>
      <c r="F249" t="str">
        <f>HYPERLINK("https://www.google.com/maps/search/?api=1&amp;query=24.78821659,46.64503146", "View Map")</f>
        <v>View Map</v>
      </c>
      <c r="G249" s="2">
        <v>0.59984352295495058</v>
      </c>
    </row>
    <row r="250" spans="1:7" x14ac:dyDescent="0.3">
      <c r="A250" t="s">
        <v>46</v>
      </c>
      <c r="B250" t="s">
        <v>582</v>
      </c>
      <c r="C250" t="s">
        <v>8</v>
      </c>
      <c r="D250">
        <v>16.195</v>
      </c>
      <c r="E250" s="4">
        <v>5182</v>
      </c>
      <c r="F250" t="str">
        <f>HYPERLINK("https://www.google.com/maps/search/?api=1&amp;query=24.64672947,46.5638687", "View Map")</f>
        <v>View Map</v>
      </c>
      <c r="G250" s="2">
        <v>0.44439010446698729</v>
      </c>
    </row>
    <row r="251" spans="1:7" x14ac:dyDescent="0.3">
      <c r="A251" t="s">
        <v>46</v>
      </c>
      <c r="B251" t="s">
        <v>591</v>
      </c>
      <c r="C251" t="s">
        <v>8</v>
      </c>
      <c r="D251">
        <v>16.189</v>
      </c>
      <c r="E251" s="4">
        <v>5180</v>
      </c>
      <c r="F251" t="str">
        <f>HYPERLINK("https://www.google.com/maps/search/?api=1&amp;query=24.75067195,46.75744096", "View Map")</f>
        <v>View Map</v>
      </c>
      <c r="G251" s="2">
        <v>0.69354219172493936</v>
      </c>
    </row>
    <row r="252" spans="1:7" x14ac:dyDescent="0.3">
      <c r="A252" t="s">
        <v>711</v>
      </c>
      <c r="B252" t="s">
        <v>712</v>
      </c>
      <c r="C252" t="s">
        <v>8</v>
      </c>
      <c r="D252">
        <v>16.135000000000002</v>
      </c>
      <c r="E252" s="4">
        <v>5163</v>
      </c>
      <c r="F252" t="str">
        <f>HYPERLINK("https://www.google.com/maps/search/?api=1&amp;query=24.70921421,46.76989273", "View Map")</f>
        <v>View Map</v>
      </c>
      <c r="G252" s="2">
        <v>0.53613553530734981</v>
      </c>
    </row>
    <row r="253" spans="1:7" x14ac:dyDescent="0.3">
      <c r="A253" t="s">
        <v>728</v>
      </c>
      <c r="B253" t="s">
        <v>729</v>
      </c>
      <c r="C253" t="s">
        <v>214</v>
      </c>
      <c r="D253">
        <v>16.047999999999998</v>
      </c>
      <c r="E253" s="4">
        <v>5135</v>
      </c>
      <c r="F253" t="str">
        <f>HYPERLINK("https://www.google.com/maps/search/?api=1&amp;query=25.90012722,45.36758724", "View Map")</f>
        <v>View Map</v>
      </c>
      <c r="G253" s="2">
        <v>0.65707815392670033</v>
      </c>
    </row>
    <row r="254" spans="1:7" x14ac:dyDescent="0.3">
      <c r="A254" t="s">
        <v>1685</v>
      </c>
      <c r="B254" t="s">
        <v>1686</v>
      </c>
      <c r="C254" t="s">
        <v>8</v>
      </c>
      <c r="D254">
        <v>16.023</v>
      </c>
      <c r="E254" s="4">
        <v>5127</v>
      </c>
      <c r="F254" t="str">
        <f>HYPERLINK("https://www.google.com/maps/search/?api=1&amp;query=24.63639813,46.73641514", "View Map")</f>
        <v>View Map</v>
      </c>
      <c r="G254" s="2">
        <v>0.45420891028389587</v>
      </c>
    </row>
    <row r="255" spans="1:7" x14ac:dyDescent="0.3">
      <c r="A255" t="s">
        <v>382</v>
      </c>
      <c r="B255" t="s">
        <v>383</v>
      </c>
      <c r="C255" t="s">
        <v>8</v>
      </c>
      <c r="D255">
        <v>16.02</v>
      </c>
      <c r="E255" s="4">
        <v>5126</v>
      </c>
      <c r="F255" t="str">
        <f>HYPERLINK("https://www.google.com/maps/search/?api=1&amp;query=24.80039563,46.80001072", "View Map")</f>
        <v>View Map</v>
      </c>
      <c r="G255" s="2">
        <v>0.56557789664153513</v>
      </c>
    </row>
    <row r="256" spans="1:7" x14ac:dyDescent="0.3">
      <c r="A256" t="s">
        <v>691</v>
      </c>
      <c r="B256" t="s">
        <v>692</v>
      </c>
      <c r="C256" t="s">
        <v>8</v>
      </c>
      <c r="D256">
        <v>15.959</v>
      </c>
      <c r="E256" s="4">
        <v>5107</v>
      </c>
      <c r="F256" t="str">
        <f>HYPERLINK("https://www.google.com/maps/search/?api=1&amp;query=24.6585166,46.80513643", "View Map")</f>
        <v>View Map</v>
      </c>
      <c r="G256" s="2">
        <v>0.88898608243583144</v>
      </c>
    </row>
    <row r="257" spans="1:7" x14ac:dyDescent="0.3">
      <c r="A257" t="s">
        <v>731</v>
      </c>
      <c r="B257" t="s">
        <v>732</v>
      </c>
      <c r="C257" t="s">
        <v>8</v>
      </c>
      <c r="D257">
        <v>15.791</v>
      </c>
      <c r="E257" s="4">
        <v>5053</v>
      </c>
      <c r="F257" t="str">
        <f>HYPERLINK("https://www.google.com/maps/search/?api=1&amp;query=24.73153205,46.64280987", "View Map")</f>
        <v>View Map</v>
      </c>
      <c r="G257" s="2">
        <v>0.61859003603307494</v>
      </c>
    </row>
    <row r="258" spans="1:7" x14ac:dyDescent="0.3">
      <c r="A258" t="s">
        <v>391</v>
      </c>
      <c r="B258" t="s">
        <v>392</v>
      </c>
      <c r="C258" t="s">
        <v>393</v>
      </c>
      <c r="D258">
        <v>15.702</v>
      </c>
      <c r="E258" s="4">
        <v>5025</v>
      </c>
      <c r="F258" t="str">
        <f>HYPERLINK("https://www.google.com/maps/search/?api=1&amp;query=23.54262176,45.5144862", "View Map")</f>
        <v>View Map</v>
      </c>
      <c r="G258" s="2">
        <v>0.36491113011984189</v>
      </c>
    </row>
    <row r="259" spans="1:7" x14ac:dyDescent="0.3">
      <c r="A259" t="s">
        <v>659</v>
      </c>
      <c r="B259" t="s">
        <v>660</v>
      </c>
      <c r="C259" t="s">
        <v>270</v>
      </c>
      <c r="D259">
        <v>15.457000000000001</v>
      </c>
      <c r="E259" s="4">
        <v>4946</v>
      </c>
      <c r="F259" t="str">
        <f>HYPERLINK("https://www.google.com/maps/search/?api=1&amp;query=23.95827861,47.11796616", "View Map")</f>
        <v>View Map</v>
      </c>
      <c r="G259" s="2">
        <v>0.64888235818717011</v>
      </c>
    </row>
    <row r="260" spans="1:7" x14ac:dyDescent="0.3">
      <c r="A260" t="s">
        <v>637</v>
      </c>
      <c r="B260" t="s">
        <v>638</v>
      </c>
      <c r="C260" t="s">
        <v>8</v>
      </c>
      <c r="D260">
        <v>15.404</v>
      </c>
      <c r="E260" s="4">
        <v>4929</v>
      </c>
      <c r="F260" t="str">
        <f>HYPERLINK("https://www.google.com/maps/search/?api=1&amp;query=24.81133093,46.61878903", "View Map")</f>
        <v>View Map</v>
      </c>
      <c r="G260" s="2">
        <v>0.73483377618341139</v>
      </c>
    </row>
    <row r="261" spans="1:7" x14ac:dyDescent="0.3">
      <c r="A261" t="s">
        <v>640</v>
      </c>
      <c r="B261" t="s">
        <v>641</v>
      </c>
      <c r="C261" t="s">
        <v>8</v>
      </c>
      <c r="D261">
        <v>15.356</v>
      </c>
      <c r="E261" s="4">
        <v>4914</v>
      </c>
      <c r="F261" t="str">
        <f>HYPERLINK("https://www.google.com/maps/search/?api=1&amp;query=24.75492832,46.64334662", "View Map")</f>
        <v>View Map</v>
      </c>
      <c r="G261" s="2">
        <v>0.62972547657124167</v>
      </c>
    </row>
    <row r="262" spans="1:7" x14ac:dyDescent="0.3">
      <c r="A262" t="s">
        <v>654</v>
      </c>
      <c r="B262" t="s">
        <v>655</v>
      </c>
      <c r="C262" t="s">
        <v>8</v>
      </c>
      <c r="D262">
        <v>15.345000000000001</v>
      </c>
      <c r="E262" s="4">
        <v>4910</v>
      </c>
      <c r="F262" t="str">
        <f>HYPERLINK("https://www.google.com/maps/search/?api=1&amp;query=24.65678285,46.67067659", "View Map")</f>
        <v>View Map</v>
      </c>
      <c r="G262" s="2">
        <v>0.4747787547538998</v>
      </c>
    </row>
    <row r="263" spans="1:7" x14ac:dyDescent="0.3">
      <c r="A263" t="s">
        <v>150</v>
      </c>
      <c r="B263" t="s">
        <v>709</v>
      </c>
      <c r="C263" t="s">
        <v>8</v>
      </c>
      <c r="D263">
        <v>15.335000000000001</v>
      </c>
      <c r="E263" s="4">
        <v>4907</v>
      </c>
      <c r="F263" t="str">
        <f>HYPERLINK("https://www.google.com/maps/search/?api=1&amp;query=24.81083538,46.7401432", "View Map")</f>
        <v>View Map</v>
      </c>
      <c r="G263" s="2">
        <v>0.54158456802258681</v>
      </c>
    </row>
    <row r="264" spans="1:7" x14ac:dyDescent="0.3">
      <c r="A264" t="s">
        <v>782</v>
      </c>
      <c r="B264" t="s">
        <v>783</v>
      </c>
      <c r="C264" t="s">
        <v>8</v>
      </c>
      <c r="D264">
        <v>15.314</v>
      </c>
      <c r="E264" s="4">
        <v>4901</v>
      </c>
      <c r="F264" t="str">
        <f>HYPERLINK("https://www.google.com/maps/search/?api=1&amp;query=24.74253944,46.68709447", "View Map")</f>
        <v>View Map</v>
      </c>
      <c r="G264" s="2">
        <v>0.60371701214009665</v>
      </c>
    </row>
    <row r="265" spans="1:7" x14ac:dyDescent="0.3">
      <c r="A265" t="s">
        <v>862</v>
      </c>
      <c r="B265" t="s">
        <v>863</v>
      </c>
      <c r="C265" t="s">
        <v>8</v>
      </c>
      <c r="D265">
        <v>15.311999999999999</v>
      </c>
      <c r="E265" s="4">
        <v>4900</v>
      </c>
      <c r="F265" t="str">
        <f>HYPERLINK("https://www.google.com/maps/search/?api=1&amp;query=24.74898477,46.62586132", "View Map")</f>
        <v>View Map</v>
      </c>
      <c r="G265" s="2">
        <v>0.72925623396601624</v>
      </c>
    </row>
    <row r="266" spans="1:7" x14ac:dyDescent="0.3">
      <c r="A266" t="s">
        <v>649</v>
      </c>
      <c r="B266" t="s">
        <v>650</v>
      </c>
      <c r="C266" t="s">
        <v>8</v>
      </c>
      <c r="D266">
        <v>15.31</v>
      </c>
      <c r="E266" s="4">
        <v>4899</v>
      </c>
      <c r="F266" t="str">
        <f>HYPERLINK("https://www.google.com/maps/search/?api=1&amp;query=24.71462786,46.80416291", "View Map")</f>
        <v>View Map</v>
      </c>
      <c r="G266" s="2">
        <v>0.83831874970958598</v>
      </c>
    </row>
    <row r="267" spans="1:7" x14ac:dyDescent="0.3">
      <c r="A267" t="s">
        <v>686</v>
      </c>
      <c r="B267" t="s">
        <v>687</v>
      </c>
      <c r="C267" t="s">
        <v>8</v>
      </c>
      <c r="D267">
        <v>15.307</v>
      </c>
      <c r="E267" s="4">
        <v>4898</v>
      </c>
      <c r="F267" t="str">
        <f>HYPERLINK("https://www.google.com/maps/search/?api=1&amp;query=24.72976975,46.6530934", "View Map")</f>
        <v>View Map</v>
      </c>
      <c r="G267" s="2">
        <v>0.7279959276483331</v>
      </c>
    </row>
    <row r="268" spans="1:7" x14ac:dyDescent="0.3">
      <c r="A268" t="s">
        <v>678</v>
      </c>
      <c r="B268" t="s">
        <v>679</v>
      </c>
      <c r="C268" t="s">
        <v>21</v>
      </c>
      <c r="D268">
        <v>15.307</v>
      </c>
      <c r="E268" s="4">
        <v>4898</v>
      </c>
      <c r="F268" t="str">
        <f>HYPERLINK("https://www.google.com/maps/search/?api=1&amp;query=26.2750392,44.83346738", "View Map")</f>
        <v>View Map</v>
      </c>
      <c r="G268" s="2">
        <v>0.75468744697560741</v>
      </c>
    </row>
    <row r="269" spans="1:7" x14ac:dyDescent="0.3">
      <c r="A269" t="s">
        <v>765</v>
      </c>
      <c r="B269" t="s">
        <v>766</v>
      </c>
      <c r="C269" t="s">
        <v>8</v>
      </c>
      <c r="D269">
        <v>15.282999999999999</v>
      </c>
      <c r="E269" s="4">
        <v>4891</v>
      </c>
      <c r="F269" t="str">
        <f>HYPERLINK("https://www.google.com/maps/search/?api=1&amp;query=24.68890721,46.77067909", "View Map")</f>
        <v>View Map</v>
      </c>
      <c r="G269" s="2">
        <v>0.51841278094202725</v>
      </c>
    </row>
    <row r="270" spans="1:7" x14ac:dyDescent="0.3">
      <c r="A270" t="s">
        <v>760</v>
      </c>
      <c r="B270" t="s">
        <v>761</v>
      </c>
      <c r="C270" t="s">
        <v>270</v>
      </c>
      <c r="D270">
        <v>15.266</v>
      </c>
      <c r="E270" s="4">
        <v>4885</v>
      </c>
      <c r="F270" t="str">
        <f>HYPERLINK("https://www.google.com/maps/search/?api=1&amp;query=23.9886,47.1644", "View Map")</f>
        <v>View Map</v>
      </c>
      <c r="G270" s="2">
        <v>0.66628592122832875</v>
      </c>
    </row>
    <row r="271" spans="1:7" x14ac:dyDescent="0.3">
      <c r="A271" t="s">
        <v>579</v>
      </c>
      <c r="B271" t="s">
        <v>580</v>
      </c>
      <c r="C271" t="s">
        <v>8</v>
      </c>
      <c r="D271">
        <v>15.250999999999999</v>
      </c>
      <c r="E271" s="4">
        <v>4880</v>
      </c>
      <c r="F271" t="str">
        <f>HYPERLINK("https://www.google.com/maps/search/?api=1&amp;query=24.57351722,46.6148052", "View Map")</f>
        <v>View Map</v>
      </c>
      <c r="G271" s="2">
        <v>0.8268157526803166</v>
      </c>
    </row>
    <row r="272" spans="1:7" x14ac:dyDescent="0.3">
      <c r="A272" t="s">
        <v>6431</v>
      </c>
      <c r="B272" t="s">
        <v>6432</v>
      </c>
      <c r="C272" t="s">
        <v>8</v>
      </c>
      <c r="D272">
        <v>15.218999999999999</v>
      </c>
      <c r="E272" s="4">
        <v>4870</v>
      </c>
      <c r="F272" t="str">
        <f>HYPERLINK("https://www.google.com/maps/search/?api=1&amp;query=24.65812398,46.73017836", "View Map")</f>
        <v>View Map</v>
      </c>
      <c r="G272" s="2">
        <v>0.77357909485533161</v>
      </c>
    </row>
    <row r="273" spans="1:7" x14ac:dyDescent="0.3">
      <c r="A273" t="s">
        <v>46</v>
      </c>
      <c r="B273" t="s">
        <v>54</v>
      </c>
      <c r="C273" t="s">
        <v>55</v>
      </c>
      <c r="D273">
        <v>15.162000000000001</v>
      </c>
      <c r="E273" s="4">
        <v>4852</v>
      </c>
      <c r="F273" t="str">
        <f>HYPERLINK("https://www.google.com/maps/search/?api=1&amp;query=24.8244511,46.56413091", "View Map")</f>
        <v>View Map</v>
      </c>
      <c r="G273" s="2">
        <v>0.18225186620411871</v>
      </c>
    </row>
    <row r="274" spans="1:7" x14ac:dyDescent="0.3">
      <c r="A274" t="s">
        <v>317</v>
      </c>
      <c r="B274" t="s">
        <v>318</v>
      </c>
      <c r="C274" t="s">
        <v>8</v>
      </c>
      <c r="D274">
        <v>15.154</v>
      </c>
      <c r="E274" s="4">
        <v>4849</v>
      </c>
      <c r="F274" t="str">
        <f>HYPERLINK("https://www.google.com/maps/search/?api=1&amp;query=24.81350778,46.81228237", "View Map")</f>
        <v>View Map</v>
      </c>
      <c r="G274" s="2">
        <v>0.56741155754025341</v>
      </c>
    </row>
    <row r="275" spans="1:7" x14ac:dyDescent="0.3">
      <c r="A275" t="s">
        <v>1110</v>
      </c>
      <c r="B275" t="s">
        <v>1111</v>
      </c>
      <c r="C275" t="s">
        <v>1112</v>
      </c>
      <c r="D275">
        <v>15.14</v>
      </c>
      <c r="E275" s="4">
        <v>4845</v>
      </c>
      <c r="F275" t="str">
        <f>HYPERLINK("https://www.google.com/maps/search/?api=1&amp;query=26.01802025,44.92578941", "View Map")</f>
        <v>View Map</v>
      </c>
      <c r="G275" s="2">
        <v>0.65862087480882425</v>
      </c>
    </row>
    <row r="276" spans="1:7" x14ac:dyDescent="0.3">
      <c r="A276" t="s">
        <v>689</v>
      </c>
      <c r="B276" t="s">
        <v>690</v>
      </c>
      <c r="C276" t="s">
        <v>8</v>
      </c>
      <c r="D276">
        <v>15.121</v>
      </c>
      <c r="E276" s="4">
        <v>4839</v>
      </c>
      <c r="F276" t="str">
        <f>HYPERLINK("https://www.google.com/maps/search/?api=1&amp;query=24.65306179,46.65133897", "View Map")</f>
        <v>View Map</v>
      </c>
      <c r="G276" s="2">
        <v>0.68528889433929696</v>
      </c>
    </row>
    <row r="277" spans="1:7" x14ac:dyDescent="0.3">
      <c r="A277" t="s">
        <v>46</v>
      </c>
      <c r="B277" t="s">
        <v>819</v>
      </c>
      <c r="C277" t="s">
        <v>820</v>
      </c>
      <c r="D277">
        <v>15.109</v>
      </c>
      <c r="E277" s="4">
        <v>4835</v>
      </c>
      <c r="F277" t="str">
        <f>HYPERLINK("https://www.google.com/maps/search/?api=1&amp;query=0.0,0.0", "View Map")</f>
        <v>View Map</v>
      </c>
      <c r="G277" s="2">
        <v>0.63571458004987158</v>
      </c>
    </row>
    <row r="278" spans="1:7" x14ac:dyDescent="0.3">
      <c r="A278" t="s">
        <v>608</v>
      </c>
      <c r="B278" t="s">
        <v>609</v>
      </c>
      <c r="C278" t="s">
        <v>8</v>
      </c>
      <c r="D278">
        <v>15.045</v>
      </c>
      <c r="E278" s="4">
        <v>4814</v>
      </c>
      <c r="F278" t="str">
        <f>HYPERLINK("https://www.google.com/maps/search/?api=1&amp;query=24.59429692,46.77229409", "View Map")</f>
        <v>View Map</v>
      </c>
      <c r="G278" s="2">
        <v>0.43502425295312758</v>
      </c>
    </row>
    <row r="279" spans="1:7" x14ac:dyDescent="0.3">
      <c r="A279" t="s">
        <v>46</v>
      </c>
      <c r="B279" t="s">
        <v>602</v>
      </c>
      <c r="C279" t="s">
        <v>8</v>
      </c>
      <c r="D279">
        <v>15.010999999999999</v>
      </c>
      <c r="E279" s="4">
        <v>4804</v>
      </c>
      <c r="F279" t="str">
        <f>HYPERLINK("https://www.google.com/maps/search/?api=1&amp;query=24.8224203,46.73908315", "View Map")</f>
        <v>View Map</v>
      </c>
      <c r="G279" s="2">
        <v>0.82955742440487734</v>
      </c>
    </row>
    <row r="280" spans="1:7" x14ac:dyDescent="0.3">
      <c r="A280" t="s">
        <v>224</v>
      </c>
      <c r="B280" t="s">
        <v>225</v>
      </c>
      <c r="C280" t="s">
        <v>8</v>
      </c>
      <c r="D280">
        <v>14.916</v>
      </c>
      <c r="E280" s="4">
        <v>4773</v>
      </c>
      <c r="F280" t="str">
        <f>HYPERLINK("https://www.google.com/maps/search/?api=1&amp;query=24.6839708,46.75931963", "View Map")</f>
        <v>View Map</v>
      </c>
      <c r="G280" s="2">
        <v>0.38208164178023302</v>
      </c>
    </row>
    <row r="281" spans="1:7" x14ac:dyDescent="0.3">
      <c r="A281" t="s">
        <v>150</v>
      </c>
      <c r="B281" t="s">
        <v>478</v>
      </c>
      <c r="C281" t="s">
        <v>8</v>
      </c>
      <c r="D281">
        <v>14.896000000000001</v>
      </c>
      <c r="E281" s="4">
        <v>4767</v>
      </c>
      <c r="F281" t="str">
        <f>HYPERLINK("https://www.google.com/maps/search/?api=1&amp;query=24.79307551,46.76440138", "View Map")</f>
        <v>View Map</v>
      </c>
    </row>
    <row r="282" spans="1:7" x14ac:dyDescent="0.3">
      <c r="A282" t="s">
        <v>809</v>
      </c>
      <c r="B282" t="s">
        <v>810</v>
      </c>
      <c r="C282" t="s">
        <v>8</v>
      </c>
      <c r="D282">
        <v>14.739000000000001</v>
      </c>
      <c r="E282" s="4">
        <v>4717</v>
      </c>
      <c r="F282" t="str">
        <f>HYPERLINK("https://www.google.com/maps/search/?api=1&amp;query=24.74676282,46.77700217", "View Map")</f>
        <v>View Map</v>
      </c>
      <c r="G282" s="2">
        <v>0.64052411699847822</v>
      </c>
    </row>
    <row r="283" spans="1:7" x14ac:dyDescent="0.3">
      <c r="A283" t="s">
        <v>512</v>
      </c>
      <c r="B283" t="s">
        <v>513</v>
      </c>
      <c r="C283" t="s">
        <v>8</v>
      </c>
      <c r="D283">
        <v>14.699</v>
      </c>
      <c r="E283" s="4">
        <v>4704</v>
      </c>
      <c r="F283" t="str">
        <f>HYPERLINK("https://www.google.com/maps/search/?api=1&amp;query=24.80129235,46.74042935", "View Map")</f>
        <v>View Map</v>
      </c>
    </row>
    <row r="284" spans="1:7" x14ac:dyDescent="0.3">
      <c r="A284" t="s">
        <v>742</v>
      </c>
      <c r="B284" t="s">
        <v>743</v>
      </c>
      <c r="C284" t="s">
        <v>255</v>
      </c>
      <c r="D284">
        <v>14.683</v>
      </c>
      <c r="E284" s="4">
        <v>4698</v>
      </c>
      <c r="F284" t="str">
        <f>HYPERLINK("https://www.google.com/maps/search/?api=1&amp;query=25.17930951,44.60393932", "View Map")</f>
        <v>View Map</v>
      </c>
      <c r="G284" s="2">
        <v>0.76172552385084391</v>
      </c>
    </row>
    <row r="285" spans="1:7" x14ac:dyDescent="0.3">
      <c r="A285" t="s">
        <v>46</v>
      </c>
      <c r="B285" t="s">
        <v>453</v>
      </c>
      <c r="C285" t="s">
        <v>8</v>
      </c>
      <c r="D285">
        <v>14.677</v>
      </c>
      <c r="E285" s="4">
        <v>4697</v>
      </c>
      <c r="F285" t="str">
        <f>HYPERLINK("https://www.google.com/maps/search/?api=1&amp;query=24.85319071,46.66450634", "View Map")</f>
        <v>View Map</v>
      </c>
      <c r="G285" s="2">
        <v>0.48481337780853367</v>
      </c>
    </row>
    <row r="286" spans="1:7" x14ac:dyDescent="0.3">
      <c r="A286" t="s">
        <v>661</v>
      </c>
      <c r="B286" t="s">
        <v>662</v>
      </c>
      <c r="C286" t="s">
        <v>214</v>
      </c>
      <c r="D286">
        <v>14.672000000000001</v>
      </c>
      <c r="E286" s="4">
        <v>4695</v>
      </c>
      <c r="F286" t="str">
        <f>HYPERLINK("https://www.google.com/maps/search/?api=1&amp;query=25.70480561,45.45324623", "View Map")</f>
        <v>View Map</v>
      </c>
      <c r="G286" s="2">
        <v>0.62496853686012055</v>
      </c>
    </row>
    <row r="287" spans="1:7" x14ac:dyDescent="0.3">
      <c r="A287" t="s">
        <v>448</v>
      </c>
      <c r="B287" t="s">
        <v>449</v>
      </c>
      <c r="C287" t="s">
        <v>8</v>
      </c>
      <c r="D287">
        <v>14.667</v>
      </c>
      <c r="E287" s="4">
        <v>4693</v>
      </c>
      <c r="F287" t="str">
        <f>HYPERLINK("https://www.google.com/maps/search/?api=1&amp;query=24.82195567,46.77697875", "View Map")</f>
        <v>View Map</v>
      </c>
      <c r="G287" s="2">
        <v>0.3591366628795542</v>
      </c>
    </row>
    <row r="288" spans="1:7" x14ac:dyDescent="0.3">
      <c r="A288" t="s">
        <v>150</v>
      </c>
      <c r="B288" t="s">
        <v>764</v>
      </c>
      <c r="C288" t="s">
        <v>8</v>
      </c>
      <c r="D288">
        <v>14.629</v>
      </c>
      <c r="E288" s="4">
        <v>4681</v>
      </c>
      <c r="F288" t="str">
        <f>HYPERLINK("https://www.google.com/maps/search/?api=1&amp;query=24.81756076,46.77037614", "View Map")</f>
        <v>View Map</v>
      </c>
    </row>
    <row r="289" spans="1:7" x14ac:dyDescent="0.3">
      <c r="A289" t="s">
        <v>380</v>
      </c>
      <c r="B289" t="s">
        <v>629</v>
      </c>
      <c r="C289" t="s">
        <v>214</v>
      </c>
      <c r="D289">
        <v>14.627000000000001</v>
      </c>
      <c r="E289" s="4">
        <v>4680</v>
      </c>
      <c r="F289" t="str">
        <f>HYPERLINK("https://www.google.com/maps/search/?api=1&amp;query=25.69980448,45.88108272", "View Map")</f>
        <v>View Map</v>
      </c>
      <c r="G289" s="2">
        <v>0.7076342737914767</v>
      </c>
    </row>
    <row r="290" spans="1:7" x14ac:dyDescent="0.3">
      <c r="A290" t="s">
        <v>3602</v>
      </c>
      <c r="B290" t="s">
        <v>3603</v>
      </c>
      <c r="C290" t="s">
        <v>8</v>
      </c>
      <c r="D290">
        <v>14.622</v>
      </c>
      <c r="E290" s="4">
        <v>4679</v>
      </c>
      <c r="F290" t="str">
        <f>HYPERLINK("https://www.google.com/maps/search/?api=1&amp;query=24.68720105,46.75389824", "View Map")</f>
        <v>View Map</v>
      </c>
      <c r="G290" s="2">
        <v>0.61785258436418211</v>
      </c>
    </row>
    <row r="291" spans="1:7" x14ac:dyDescent="0.3">
      <c r="A291" t="s">
        <v>46</v>
      </c>
      <c r="B291" t="s">
        <v>802</v>
      </c>
      <c r="C291" t="s">
        <v>8</v>
      </c>
      <c r="D291">
        <v>14.558</v>
      </c>
      <c r="E291" s="4">
        <v>4658</v>
      </c>
      <c r="F291" t="str">
        <f>HYPERLINK("https://www.google.com/maps/search/?api=1&amp;query=24.79414024,46.73328974", "View Map")</f>
        <v>View Map</v>
      </c>
      <c r="G291" s="2">
        <v>0.71999376789892611</v>
      </c>
    </row>
    <row r="292" spans="1:7" x14ac:dyDescent="0.3">
      <c r="A292" t="s">
        <v>834</v>
      </c>
      <c r="B292" t="s">
        <v>835</v>
      </c>
      <c r="C292" t="s">
        <v>8</v>
      </c>
      <c r="D292">
        <v>14.523999999999999</v>
      </c>
      <c r="E292" s="4">
        <v>4648</v>
      </c>
      <c r="F292" t="str">
        <f>HYPERLINK("https://www.google.com/maps/search/?api=1&amp;query=24.71016165,46.69043979", "View Map")</f>
        <v>View Map</v>
      </c>
      <c r="G292" s="2">
        <v>0.71214610327237504</v>
      </c>
    </row>
    <row r="293" spans="1:7" x14ac:dyDescent="0.3">
      <c r="A293" t="s">
        <v>825</v>
      </c>
      <c r="B293" t="s">
        <v>826</v>
      </c>
      <c r="C293" t="s">
        <v>8</v>
      </c>
      <c r="D293">
        <v>14.509</v>
      </c>
      <c r="E293" s="4">
        <v>4643</v>
      </c>
      <c r="F293" t="str">
        <f>HYPERLINK("https://www.google.com/maps/search/?api=1&amp;query=24.82311751,46.77345016", "View Map")</f>
        <v>View Map</v>
      </c>
      <c r="G293" s="2">
        <v>0.6344158047703754</v>
      </c>
    </row>
    <row r="294" spans="1:7" x14ac:dyDescent="0.3">
      <c r="A294" t="s">
        <v>4121</v>
      </c>
      <c r="B294" t="s">
        <v>4122</v>
      </c>
      <c r="C294" t="s">
        <v>8</v>
      </c>
      <c r="D294">
        <v>14.468</v>
      </c>
      <c r="E294" s="4">
        <v>4630</v>
      </c>
      <c r="F294" t="str">
        <f>HYPERLINK("https://www.google.com/maps/search/?api=1&amp;query=24.56885442,46.61709099", "View Map")</f>
        <v>View Map</v>
      </c>
      <c r="G294" s="2">
        <v>0.41189863168157947</v>
      </c>
    </row>
    <row r="295" spans="1:7" x14ac:dyDescent="0.3">
      <c r="A295" t="s">
        <v>146</v>
      </c>
      <c r="B295" t="s">
        <v>578</v>
      </c>
      <c r="C295" t="s">
        <v>8</v>
      </c>
      <c r="D295">
        <v>14.430999999999999</v>
      </c>
      <c r="E295" s="4">
        <v>4618</v>
      </c>
      <c r="F295" t="str">
        <f>HYPERLINK("https://www.google.com/maps/search/?api=1&amp;query=24.5572,46.5258", "View Map")</f>
        <v>View Map</v>
      </c>
      <c r="G295" s="2">
        <v>0.76621077265219573</v>
      </c>
    </row>
    <row r="296" spans="1:7" x14ac:dyDescent="0.3">
      <c r="A296" t="s">
        <v>627</v>
      </c>
      <c r="B296" t="s">
        <v>628</v>
      </c>
      <c r="C296" t="s">
        <v>8</v>
      </c>
      <c r="D296">
        <v>14.426</v>
      </c>
      <c r="E296" s="4">
        <v>4616</v>
      </c>
      <c r="F296" t="str">
        <f>HYPERLINK("https://www.google.com/maps/search/?api=1&amp;query=24.74132,46.61862", "View Map")</f>
        <v>View Map</v>
      </c>
      <c r="G296" s="2">
        <v>0.77787020770214998</v>
      </c>
    </row>
    <row r="297" spans="1:7" x14ac:dyDescent="0.3">
      <c r="A297" t="s">
        <v>46</v>
      </c>
      <c r="B297" t="s">
        <v>572</v>
      </c>
      <c r="C297" t="s">
        <v>8</v>
      </c>
      <c r="D297">
        <v>14.394</v>
      </c>
      <c r="E297" s="4">
        <v>4606</v>
      </c>
      <c r="F297" t="str">
        <f>HYPERLINK("https://www.google.com/maps/search/?api=1&amp;query=24.8933,46.6367", "View Map")</f>
        <v>View Map</v>
      </c>
      <c r="G297" s="2">
        <v>0.4433605214811111</v>
      </c>
    </row>
    <row r="298" spans="1:7" x14ac:dyDescent="0.3">
      <c r="A298" t="s">
        <v>1126</v>
      </c>
      <c r="B298" t="s">
        <v>1127</v>
      </c>
      <c r="C298" t="s">
        <v>8</v>
      </c>
      <c r="D298">
        <v>14.366</v>
      </c>
      <c r="E298" s="4">
        <v>4597</v>
      </c>
      <c r="F298" t="str">
        <f>HYPERLINK("https://www.google.com/maps/search/?api=1&amp;query=24.59596687,46.63667737", "View Map")</f>
        <v>View Map</v>
      </c>
    </row>
    <row r="299" spans="1:7" x14ac:dyDescent="0.3">
      <c r="A299" t="s">
        <v>941</v>
      </c>
      <c r="B299" t="s">
        <v>942</v>
      </c>
      <c r="C299" t="s">
        <v>8</v>
      </c>
      <c r="D299">
        <v>14.298</v>
      </c>
      <c r="E299" s="4">
        <v>4575</v>
      </c>
      <c r="F299" t="str">
        <f>HYPERLINK("https://www.google.com/maps/search/?api=1&amp;query=24.58210422,46.83014168", "View Map")</f>
        <v>View Map</v>
      </c>
      <c r="G299" s="2">
        <v>0.77216553721879111</v>
      </c>
    </row>
    <row r="300" spans="1:7" x14ac:dyDescent="0.3">
      <c r="A300" t="s">
        <v>146</v>
      </c>
      <c r="B300" t="s">
        <v>445</v>
      </c>
      <c r="C300" t="s">
        <v>8</v>
      </c>
      <c r="D300">
        <v>14.289</v>
      </c>
      <c r="E300" s="4">
        <v>4572</v>
      </c>
      <c r="F300" t="str">
        <f>HYPERLINK("https://www.google.com/maps/search/?api=1&amp;query=24.5594289,46.54186244", "View Map")</f>
        <v>View Map</v>
      </c>
      <c r="G300" s="2">
        <v>0.30571641503892011</v>
      </c>
    </row>
    <row r="301" spans="1:7" x14ac:dyDescent="0.3">
      <c r="A301" t="s">
        <v>146</v>
      </c>
      <c r="B301" t="s">
        <v>710</v>
      </c>
      <c r="C301" t="s">
        <v>8</v>
      </c>
      <c r="D301">
        <v>14.246</v>
      </c>
      <c r="E301" s="4">
        <v>4559</v>
      </c>
      <c r="F301" t="str">
        <f>HYPERLINK("https://www.google.com/maps/search/?api=1&amp;query=24.67851479,46.57639115", "View Map")</f>
        <v>View Map</v>
      </c>
      <c r="G301" s="2">
        <v>0.84174903123949785</v>
      </c>
    </row>
    <row r="302" spans="1:7" x14ac:dyDescent="0.3">
      <c r="A302" t="s">
        <v>46</v>
      </c>
      <c r="B302" t="s">
        <v>1049</v>
      </c>
      <c r="C302" t="s">
        <v>8</v>
      </c>
      <c r="D302">
        <v>14.195</v>
      </c>
      <c r="E302" s="4">
        <v>4542</v>
      </c>
      <c r="F302" t="str">
        <f>HYPERLINK("https://www.google.com/maps/search/?api=1&amp;query=24.78988799,46.69180053", "View Map")</f>
        <v>View Map</v>
      </c>
    </row>
    <row r="303" spans="1:7" x14ac:dyDescent="0.3">
      <c r="A303" t="s">
        <v>704</v>
      </c>
      <c r="B303" t="s">
        <v>705</v>
      </c>
      <c r="C303" t="s">
        <v>8</v>
      </c>
      <c r="D303">
        <v>14.19</v>
      </c>
      <c r="E303" s="4">
        <v>4541</v>
      </c>
      <c r="F303" t="str">
        <f>HYPERLINK("https://www.google.com/maps/search/?api=1&amp;query=24.71939877,46.85284179", "View Map")</f>
        <v>View Map</v>
      </c>
      <c r="G303" s="2">
        <v>0.46275341990659291</v>
      </c>
    </row>
    <row r="304" spans="1:7" x14ac:dyDescent="0.3">
      <c r="A304" t="s">
        <v>754</v>
      </c>
      <c r="B304" t="s">
        <v>755</v>
      </c>
      <c r="C304" t="s">
        <v>8</v>
      </c>
      <c r="D304">
        <v>14.157999999999999</v>
      </c>
      <c r="E304" s="4">
        <v>4530</v>
      </c>
      <c r="F304" t="str">
        <f>HYPERLINK("https://www.google.com/maps/search/?api=1&amp;query=24.73685094,46.76052308", "View Map")</f>
        <v>View Map</v>
      </c>
      <c r="G304" s="2">
        <v>0.7620623344473535</v>
      </c>
    </row>
    <row r="305" spans="1:7" x14ac:dyDescent="0.3">
      <c r="A305" t="s">
        <v>665</v>
      </c>
      <c r="B305" t="s">
        <v>666</v>
      </c>
      <c r="C305" t="s">
        <v>8</v>
      </c>
      <c r="D305">
        <v>14.112</v>
      </c>
      <c r="E305" s="4">
        <v>4516</v>
      </c>
      <c r="F305" t="str">
        <f>HYPERLINK("https://www.google.com/maps/search/?api=1&amp;query=24.71878225,46.7552068", "View Map")</f>
        <v>View Map</v>
      </c>
      <c r="G305" s="2">
        <v>0.67508170318036986</v>
      </c>
    </row>
    <row r="306" spans="1:7" x14ac:dyDescent="0.3">
      <c r="A306" t="s">
        <v>46</v>
      </c>
      <c r="B306" t="s">
        <v>532</v>
      </c>
      <c r="C306" t="s">
        <v>8</v>
      </c>
      <c r="D306">
        <v>14.112</v>
      </c>
      <c r="E306" s="4">
        <v>4516</v>
      </c>
      <c r="F306" t="str">
        <f>HYPERLINK("https://www.google.com/maps/search/?api=1&amp;query=24.83991516,46.76439191", "View Map")</f>
        <v>View Map</v>
      </c>
      <c r="G306" s="2">
        <v>0.32126698440177698</v>
      </c>
    </row>
    <row r="307" spans="1:7" x14ac:dyDescent="0.3">
      <c r="A307" t="s">
        <v>46</v>
      </c>
      <c r="B307" t="s">
        <v>1370</v>
      </c>
      <c r="C307" t="s">
        <v>8</v>
      </c>
      <c r="D307">
        <v>14.093</v>
      </c>
      <c r="E307" s="4">
        <v>4510</v>
      </c>
      <c r="F307" t="str">
        <f>HYPERLINK("https://www.google.com/maps/search/?api=1&amp;query=24.82135816,46.71911923", "View Map")</f>
        <v>View Map</v>
      </c>
      <c r="G307" s="2">
        <v>0.55034135111534488</v>
      </c>
    </row>
    <row r="308" spans="1:7" x14ac:dyDescent="0.3">
      <c r="A308" t="s">
        <v>2376</v>
      </c>
      <c r="B308" t="s">
        <v>2377</v>
      </c>
      <c r="C308" t="s">
        <v>8</v>
      </c>
      <c r="D308">
        <v>14.087</v>
      </c>
      <c r="E308" s="4">
        <v>4508</v>
      </c>
      <c r="F308" t="str">
        <f>HYPERLINK("https://www.google.com/maps/search/?api=1&amp;query=24.64942153,46.70695369", "View Map")</f>
        <v>View Map</v>
      </c>
      <c r="G308" s="2">
        <v>0.4770114436870152</v>
      </c>
    </row>
    <row r="309" spans="1:7" x14ac:dyDescent="0.3">
      <c r="A309" t="s">
        <v>300</v>
      </c>
      <c r="B309" t="s">
        <v>301</v>
      </c>
      <c r="C309" t="s">
        <v>8</v>
      </c>
      <c r="D309">
        <v>14.077</v>
      </c>
      <c r="E309" s="4">
        <v>4505</v>
      </c>
      <c r="F309" t="str">
        <f>HYPERLINK("https://www.google.com/maps/search/?api=1&amp;query=24.79318363,46.69914311", "View Map")</f>
        <v>View Map</v>
      </c>
      <c r="G309" s="2">
        <v>0.2209226980269072</v>
      </c>
    </row>
    <row r="310" spans="1:7" x14ac:dyDescent="0.3">
      <c r="A310" t="s">
        <v>3470</v>
      </c>
      <c r="B310" t="s">
        <v>3471</v>
      </c>
      <c r="C310" t="s">
        <v>291</v>
      </c>
      <c r="D310">
        <v>14.04</v>
      </c>
      <c r="E310" s="4">
        <v>4493</v>
      </c>
      <c r="F310" t="str">
        <f>HYPERLINK("https://www.google.com/maps/search/?api=1&amp;query=23.52366,44.43464333", "View Map")</f>
        <v>View Map</v>
      </c>
      <c r="G310" s="2">
        <v>0.74802726035400791</v>
      </c>
    </row>
    <row r="311" spans="1:7" x14ac:dyDescent="0.3">
      <c r="A311" t="s">
        <v>669</v>
      </c>
      <c r="B311" t="s">
        <v>670</v>
      </c>
      <c r="C311" t="s">
        <v>8</v>
      </c>
      <c r="D311">
        <v>14.038</v>
      </c>
      <c r="E311" s="4">
        <v>4492</v>
      </c>
      <c r="F311" t="str">
        <f>HYPERLINK("https://www.google.com/maps/search/?api=1&amp;query=24.53272717,46.65771573", "View Map")</f>
        <v>View Map</v>
      </c>
      <c r="G311" s="2">
        <v>0.61279836554583811</v>
      </c>
    </row>
    <row r="312" spans="1:7" x14ac:dyDescent="0.3">
      <c r="A312" t="s">
        <v>46</v>
      </c>
      <c r="B312" t="s">
        <v>1026</v>
      </c>
      <c r="C312" t="s">
        <v>8</v>
      </c>
      <c r="D312">
        <v>14.026999999999999</v>
      </c>
      <c r="E312" s="4">
        <v>4489</v>
      </c>
      <c r="F312" t="str">
        <f>HYPERLINK("https://www.google.com/maps/search/?api=1&amp;query=24.76371,46.69553", "View Map")</f>
        <v>View Map</v>
      </c>
    </row>
    <row r="313" spans="1:7" x14ac:dyDescent="0.3">
      <c r="A313" t="s">
        <v>963</v>
      </c>
      <c r="B313" t="s">
        <v>964</v>
      </c>
      <c r="C313" t="s">
        <v>241</v>
      </c>
      <c r="D313">
        <v>14.023</v>
      </c>
      <c r="E313" s="4">
        <v>4487</v>
      </c>
      <c r="F313" t="str">
        <f>HYPERLINK("https://www.google.com/maps/search/?api=1&amp;query=20.43414579,44.87712767", "View Map")</f>
        <v>View Map</v>
      </c>
      <c r="G313" s="2">
        <v>0.45255302703660699</v>
      </c>
    </row>
    <row r="314" spans="1:7" x14ac:dyDescent="0.3">
      <c r="A314" t="s">
        <v>46</v>
      </c>
      <c r="B314" t="s">
        <v>1019</v>
      </c>
      <c r="C314" t="s">
        <v>8</v>
      </c>
      <c r="D314">
        <v>14.01</v>
      </c>
      <c r="E314" s="4">
        <v>4483</v>
      </c>
      <c r="F314" t="str">
        <f>HYPERLINK("https://www.google.com/maps/search/?api=1&amp;query=24.86585165,46.67032626", "View Map")</f>
        <v>View Map</v>
      </c>
      <c r="G314" s="2">
        <v>0.41572563090829368</v>
      </c>
    </row>
    <row r="315" spans="1:7" x14ac:dyDescent="0.3">
      <c r="A315" t="s">
        <v>910</v>
      </c>
      <c r="B315" t="s">
        <v>911</v>
      </c>
      <c r="C315" t="s">
        <v>214</v>
      </c>
      <c r="D315">
        <v>13.977</v>
      </c>
      <c r="E315" s="4">
        <v>4473</v>
      </c>
      <c r="F315" t="str">
        <f>HYPERLINK("https://www.google.com/maps/search/?api=1&amp;query=25.5886303,45.6929573", "View Map")</f>
        <v>View Map</v>
      </c>
      <c r="G315" s="2">
        <v>0.64750687958281195</v>
      </c>
    </row>
    <row r="316" spans="1:7" x14ac:dyDescent="0.3">
      <c r="A316" t="s">
        <v>736</v>
      </c>
      <c r="B316" t="s">
        <v>737</v>
      </c>
      <c r="C316" t="s">
        <v>738</v>
      </c>
      <c r="D316">
        <v>13.896000000000001</v>
      </c>
      <c r="E316" s="4">
        <v>4447</v>
      </c>
      <c r="F316" t="str">
        <f>HYPERLINK("https://www.google.com/maps/search/?api=1&amp;query=25.11112499,46.0953707", "View Map")</f>
        <v>View Map</v>
      </c>
      <c r="G316" s="2">
        <v>0.65902924775476801</v>
      </c>
    </row>
    <row r="317" spans="1:7" x14ac:dyDescent="0.3">
      <c r="A317" t="s">
        <v>767</v>
      </c>
      <c r="B317" t="s">
        <v>768</v>
      </c>
      <c r="C317" t="s">
        <v>8</v>
      </c>
      <c r="D317">
        <v>13.882</v>
      </c>
      <c r="E317" s="4">
        <v>4442</v>
      </c>
      <c r="F317" t="str">
        <f>HYPERLINK("https://www.google.com/maps/search/?api=1&amp;query=24.73160227,46.69385327", "View Map")</f>
        <v>View Map</v>
      </c>
      <c r="G317" s="2">
        <v>0.76894969888121112</v>
      </c>
    </row>
    <row r="318" spans="1:7" x14ac:dyDescent="0.3">
      <c r="A318" t="s">
        <v>758</v>
      </c>
      <c r="B318" t="s">
        <v>759</v>
      </c>
      <c r="C318" t="s">
        <v>214</v>
      </c>
      <c r="D318">
        <v>13.879</v>
      </c>
      <c r="E318" s="4">
        <v>4441</v>
      </c>
      <c r="F318" t="str">
        <f>HYPERLINK("https://www.google.com/maps/search/?api=1&amp;query=25.55667534,45.68171065", "View Map")</f>
        <v>View Map</v>
      </c>
      <c r="G318" s="2">
        <v>0.6650013667254201</v>
      </c>
    </row>
    <row r="319" spans="1:7" x14ac:dyDescent="0.3">
      <c r="A319" t="s">
        <v>146</v>
      </c>
      <c r="B319" t="s">
        <v>797</v>
      </c>
      <c r="C319" t="s">
        <v>8</v>
      </c>
      <c r="D319">
        <v>13.839</v>
      </c>
      <c r="E319" s="4">
        <v>4429</v>
      </c>
      <c r="F319" t="str">
        <f>HYPERLINK("https://www.google.com/maps/search/?api=1&amp;query=24.51032709,46.67249126", "View Map")</f>
        <v>View Map</v>
      </c>
      <c r="G319" s="2">
        <v>0.6614361506584675</v>
      </c>
    </row>
    <row r="320" spans="1:7" x14ac:dyDescent="0.3">
      <c r="A320" t="s">
        <v>583</v>
      </c>
      <c r="B320" t="s">
        <v>584</v>
      </c>
      <c r="C320" t="s">
        <v>255</v>
      </c>
      <c r="D320">
        <v>13.805</v>
      </c>
      <c r="E320" s="4">
        <v>4418</v>
      </c>
      <c r="F320" t="str">
        <f>HYPERLINK("https://www.google.com/maps/search/?api=1&amp;query=24.73457848,43.7884768", "View Map")</f>
        <v>View Map</v>
      </c>
      <c r="G320" s="2">
        <v>0.65497798394080764</v>
      </c>
    </row>
    <row r="321" spans="1:7" x14ac:dyDescent="0.3">
      <c r="A321" t="s">
        <v>610</v>
      </c>
      <c r="B321" t="s">
        <v>611</v>
      </c>
      <c r="C321" t="s">
        <v>8</v>
      </c>
      <c r="D321">
        <v>13.77</v>
      </c>
      <c r="E321" s="4">
        <v>4406</v>
      </c>
      <c r="F321" t="str">
        <f>HYPERLINK("https://www.google.com/maps/search/?api=1&amp;query=24.81224366,46.66457489", "View Map")</f>
        <v>View Map</v>
      </c>
      <c r="G321" s="2">
        <v>0.55713482288439709</v>
      </c>
    </row>
    <row r="322" spans="1:7" x14ac:dyDescent="0.3">
      <c r="A322" t="s">
        <v>734</v>
      </c>
      <c r="B322" t="s">
        <v>735</v>
      </c>
      <c r="C322" t="s">
        <v>214</v>
      </c>
      <c r="D322">
        <v>13.766999999999999</v>
      </c>
      <c r="E322" s="4">
        <v>4406</v>
      </c>
      <c r="F322" t="str">
        <f>HYPERLINK("https://www.google.com/maps/search/?api=1&amp;query=25.9142345,45.38042345", "View Map")</f>
        <v>View Map</v>
      </c>
      <c r="G322" s="2">
        <v>0.6679115766367627</v>
      </c>
    </row>
    <row r="323" spans="1:7" x14ac:dyDescent="0.3">
      <c r="A323" t="s">
        <v>726</v>
      </c>
      <c r="B323" t="s">
        <v>727</v>
      </c>
      <c r="C323" t="s">
        <v>8</v>
      </c>
      <c r="D323">
        <v>13.733000000000001</v>
      </c>
      <c r="E323" s="4">
        <v>4395</v>
      </c>
      <c r="F323" t="str">
        <f>HYPERLINK("https://www.google.com/maps/search/?api=1&amp;query=24.5901523,46.77267602", "View Map")</f>
        <v>View Map</v>
      </c>
      <c r="G323" s="2">
        <v>0.64178699500597669</v>
      </c>
    </row>
    <row r="324" spans="1:7" x14ac:dyDescent="0.3">
      <c r="A324" t="s">
        <v>46</v>
      </c>
      <c r="B324" t="s">
        <v>537</v>
      </c>
      <c r="C324" t="s">
        <v>8</v>
      </c>
      <c r="D324">
        <v>13.724</v>
      </c>
      <c r="E324" s="4">
        <v>4392</v>
      </c>
      <c r="F324" t="str">
        <f>HYPERLINK("https://www.google.com/maps/search/?api=1&amp;query=24.62811641,46.52462515", "View Map")</f>
        <v>View Map</v>
      </c>
      <c r="G324" s="2">
        <v>0.44224397775811991</v>
      </c>
    </row>
    <row r="325" spans="1:7" x14ac:dyDescent="0.3">
      <c r="A325" t="s">
        <v>840</v>
      </c>
      <c r="B325" t="s">
        <v>7563</v>
      </c>
      <c r="C325" t="s">
        <v>8</v>
      </c>
      <c r="D325">
        <v>13.7</v>
      </c>
      <c r="E325" s="4">
        <v>4384</v>
      </c>
      <c r="F325" t="str">
        <f>HYPERLINK("https://www.google.com/maps/search/?api=1&amp;query=24.56528104,46.63626444", "View Map")</f>
        <v>View Map</v>
      </c>
    </row>
    <row r="326" spans="1:7" x14ac:dyDescent="0.3">
      <c r="A326" t="s">
        <v>1537</v>
      </c>
      <c r="B326" t="s">
        <v>1538</v>
      </c>
      <c r="C326" t="s">
        <v>8</v>
      </c>
      <c r="D326">
        <v>13.651999999999999</v>
      </c>
      <c r="E326" s="4">
        <v>4369</v>
      </c>
      <c r="F326" t="str">
        <f>HYPERLINK("https://www.google.com/maps/search/?api=1&amp;query=24.8252308,46.77551103", "View Map")</f>
        <v>View Map</v>
      </c>
    </row>
    <row r="327" spans="1:7" x14ac:dyDescent="0.3">
      <c r="A327" t="s">
        <v>771</v>
      </c>
      <c r="B327" t="s">
        <v>772</v>
      </c>
      <c r="C327" t="s">
        <v>8</v>
      </c>
      <c r="D327">
        <v>13.638</v>
      </c>
      <c r="E327" s="4">
        <v>4364</v>
      </c>
      <c r="F327" t="str">
        <f>HYPERLINK("https://www.google.com/maps/search/?api=1&amp;query=24.73033882,46.65855522", "View Map")</f>
        <v>View Map</v>
      </c>
      <c r="G327" s="2">
        <v>0.70950281822576822</v>
      </c>
    </row>
    <row r="328" spans="1:7" x14ac:dyDescent="0.3">
      <c r="A328" t="s">
        <v>1351</v>
      </c>
      <c r="B328" t="s">
        <v>1352</v>
      </c>
      <c r="C328" t="s">
        <v>8</v>
      </c>
      <c r="D328">
        <v>13.631</v>
      </c>
      <c r="E328" s="4">
        <v>4362</v>
      </c>
      <c r="F328" t="str">
        <f>HYPERLINK("https://www.google.com/maps/search/?api=1&amp;query=24.69664673,46.81679054", "View Map")</f>
        <v>View Map</v>
      </c>
    </row>
    <row r="329" spans="1:7" x14ac:dyDescent="0.3">
      <c r="A329" t="s">
        <v>73</v>
      </c>
      <c r="B329" t="s">
        <v>1422</v>
      </c>
      <c r="C329" t="s">
        <v>8</v>
      </c>
      <c r="D329">
        <v>13.622</v>
      </c>
      <c r="E329" s="4">
        <v>4359</v>
      </c>
      <c r="F329" t="str">
        <f>HYPERLINK("https://www.google.com/maps/search/?api=1&amp;query=24.8319,46.6525", "View Map")</f>
        <v>View Map</v>
      </c>
      <c r="G329" s="2">
        <v>0.66082286642702459</v>
      </c>
    </row>
    <row r="330" spans="1:7" x14ac:dyDescent="0.3">
      <c r="A330" t="s">
        <v>73</v>
      </c>
      <c r="B330" t="s">
        <v>912</v>
      </c>
      <c r="C330" t="s">
        <v>8</v>
      </c>
      <c r="D330">
        <v>13.609</v>
      </c>
      <c r="E330" s="4">
        <v>4355</v>
      </c>
      <c r="F330" t="str">
        <f>HYPERLINK("https://www.google.com/maps/search/?api=1&amp;query=24.74195971,46.7134947", "View Map")</f>
        <v>View Map</v>
      </c>
      <c r="G330" s="2">
        <v>0.76283474184671152</v>
      </c>
    </row>
    <row r="331" spans="1:7" x14ac:dyDescent="0.3">
      <c r="A331" t="s">
        <v>932</v>
      </c>
      <c r="B331" t="s">
        <v>933</v>
      </c>
      <c r="C331" t="s">
        <v>8</v>
      </c>
      <c r="D331">
        <v>13.6</v>
      </c>
      <c r="E331" s="4">
        <v>4352</v>
      </c>
      <c r="F331" t="str">
        <f>HYPERLINK("https://www.google.com/maps/search/?api=1&amp;query=24.76040456,46.8216772", "View Map")</f>
        <v>View Map</v>
      </c>
      <c r="G331" s="2">
        <v>0.54507161436808771</v>
      </c>
    </row>
    <row r="332" spans="1:7" x14ac:dyDescent="0.3">
      <c r="A332" t="s">
        <v>918</v>
      </c>
      <c r="B332" t="s">
        <v>919</v>
      </c>
      <c r="C332" t="s">
        <v>255</v>
      </c>
      <c r="D332">
        <v>13.584</v>
      </c>
      <c r="E332" s="4">
        <v>4347</v>
      </c>
      <c r="F332" t="str">
        <f>HYPERLINK("https://www.google.com/maps/search/?api=1&amp;query=25.20253973,44.59991507", "View Map")</f>
        <v>View Map</v>
      </c>
      <c r="G332" s="2">
        <v>0.75879588718841129</v>
      </c>
    </row>
    <row r="333" spans="1:7" x14ac:dyDescent="0.3">
      <c r="A333" t="s">
        <v>873</v>
      </c>
      <c r="B333" t="s">
        <v>874</v>
      </c>
      <c r="C333" t="s">
        <v>8</v>
      </c>
      <c r="D333">
        <v>13.574999999999999</v>
      </c>
      <c r="E333" s="4">
        <v>4344</v>
      </c>
      <c r="F333" t="str">
        <f>HYPERLINK("https://www.google.com/maps/search/?api=1&amp;query=24.68786992,46.81217155", "View Map")</f>
        <v>View Map</v>
      </c>
      <c r="G333" s="2">
        <v>0.67180237894517769</v>
      </c>
    </row>
    <row r="334" spans="1:7" x14ac:dyDescent="0.3">
      <c r="A334" t="s">
        <v>674</v>
      </c>
      <c r="B334" t="s">
        <v>675</v>
      </c>
      <c r="C334" t="s">
        <v>8</v>
      </c>
      <c r="D334">
        <v>13.539</v>
      </c>
      <c r="E334" s="4">
        <v>4332</v>
      </c>
      <c r="F334" t="str">
        <f>HYPERLINK("https://www.google.com/maps/search/?api=1&amp;query=24.75026011,46.67943946", "View Map")</f>
        <v>View Map</v>
      </c>
      <c r="G334" s="2">
        <v>0.45342712741629371</v>
      </c>
    </row>
    <row r="335" spans="1:7" x14ac:dyDescent="0.3">
      <c r="A335" t="s">
        <v>695</v>
      </c>
      <c r="B335" t="s">
        <v>696</v>
      </c>
      <c r="C335" t="s">
        <v>214</v>
      </c>
      <c r="D335">
        <v>13.472</v>
      </c>
      <c r="E335" s="4">
        <v>4311</v>
      </c>
      <c r="F335" t="str">
        <f>HYPERLINK("https://www.google.com/maps/search/?api=1&amp;query=25.62758335,45.5764935", "View Map")</f>
        <v>View Map</v>
      </c>
      <c r="G335" s="2">
        <v>0.60877414898519089</v>
      </c>
    </row>
    <row r="336" spans="1:7" x14ac:dyDescent="0.3">
      <c r="A336" t="s">
        <v>46</v>
      </c>
      <c r="B336" t="s">
        <v>463</v>
      </c>
      <c r="C336" t="s">
        <v>8</v>
      </c>
      <c r="D336">
        <v>13.465</v>
      </c>
      <c r="E336" s="4">
        <v>4309</v>
      </c>
      <c r="F336" t="str">
        <f>HYPERLINK("https://www.google.com/maps/search/?api=1&amp;query=24.84848672,46.81388526", "View Map")</f>
        <v>View Map</v>
      </c>
      <c r="G336" s="2">
        <v>0.47677331062350409</v>
      </c>
    </row>
    <row r="337" spans="1:7" x14ac:dyDescent="0.3">
      <c r="A337" t="s">
        <v>46</v>
      </c>
      <c r="B337" t="s">
        <v>960</v>
      </c>
      <c r="C337" t="s">
        <v>8</v>
      </c>
      <c r="D337">
        <v>13.368</v>
      </c>
      <c r="E337" s="4">
        <v>4278</v>
      </c>
      <c r="F337" t="str">
        <f>HYPERLINK("https://www.google.com/maps/search/?api=1&amp;query=24.80732227,46.73790035", "View Map")</f>
        <v>View Map</v>
      </c>
      <c r="G337" s="2">
        <v>0.68551283033251442</v>
      </c>
    </row>
    <row r="338" spans="1:7" x14ac:dyDescent="0.3">
      <c r="A338" t="s">
        <v>769</v>
      </c>
      <c r="B338" t="s">
        <v>770</v>
      </c>
      <c r="C338" t="s">
        <v>8</v>
      </c>
      <c r="D338">
        <v>13.346</v>
      </c>
      <c r="E338" s="4">
        <v>4271</v>
      </c>
      <c r="F338" t="str">
        <f>HYPERLINK("https://www.google.com/maps/search/?api=1&amp;query=24.73843638,46.79563318", "View Map")</f>
        <v>View Map</v>
      </c>
      <c r="G338" s="2">
        <v>0.67650022922531816</v>
      </c>
    </row>
    <row r="339" spans="1:7" x14ac:dyDescent="0.3">
      <c r="A339" t="s">
        <v>773</v>
      </c>
      <c r="B339" t="s">
        <v>774</v>
      </c>
      <c r="C339" t="s">
        <v>8</v>
      </c>
      <c r="D339">
        <v>13.291</v>
      </c>
      <c r="E339" s="4">
        <v>4253</v>
      </c>
      <c r="F339" t="str">
        <f>HYPERLINK("https://www.google.com/maps/search/?api=1&amp;query=24.58976787,46.73712067", "View Map")</f>
        <v>View Map</v>
      </c>
      <c r="G339" s="2">
        <v>0.41000757657563319</v>
      </c>
    </row>
    <row r="340" spans="1:7" x14ac:dyDescent="0.3">
      <c r="A340" t="s">
        <v>46</v>
      </c>
      <c r="B340" t="s">
        <v>420</v>
      </c>
      <c r="C340" t="s">
        <v>8</v>
      </c>
      <c r="D340">
        <v>13.286</v>
      </c>
      <c r="E340" s="4">
        <v>4252</v>
      </c>
      <c r="F340" t="str">
        <f>HYPERLINK("https://www.google.com/maps/search/?api=1&amp;query=24.61917,46.50129", "View Map")</f>
        <v>View Map</v>
      </c>
    </row>
    <row r="341" spans="1:7" x14ac:dyDescent="0.3">
      <c r="A341" t="s">
        <v>967</v>
      </c>
      <c r="B341" t="s">
        <v>968</v>
      </c>
      <c r="C341" t="s">
        <v>8</v>
      </c>
      <c r="D341">
        <v>13.247999999999999</v>
      </c>
      <c r="E341" s="4">
        <v>4239</v>
      </c>
      <c r="F341" t="str">
        <f>HYPERLINK("https://www.google.com/maps/search/?api=1&amp;query=24.67626846,46.81616517", "View Map")</f>
        <v>View Map</v>
      </c>
    </row>
    <row r="342" spans="1:7" x14ac:dyDescent="0.3">
      <c r="A342" t="s">
        <v>881</v>
      </c>
      <c r="B342" t="s">
        <v>882</v>
      </c>
      <c r="C342" t="s">
        <v>883</v>
      </c>
      <c r="D342">
        <v>13.234999999999999</v>
      </c>
      <c r="E342" s="4">
        <v>4235</v>
      </c>
      <c r="F342" t="str">
        <f>HYPERLINK("https://www.google.com/maps/search/?api=1&amp;query=25.542916,47.17302172", "View Map")</f>
        <v>View Map</v>
      </c>
      <c r="G342" s="2">
        <v>0.78320084342983631</v>
      </c>
    </row>
    <row r="343" spans="1:7" x14ac:dyDescent="0.3">
      <c r="A343" t="s">
        <v>1160</v>
      </c>
      <c r="B343" t="s">
        <v>1161</v>
      </c>
      <c r="C343" t="s">
        <v>291</v>
      </c>
      <c r="D343">
        <v>13.186</v>
      </c>
      <c r="E343" s="4">
        <v>4220</v>
      </c>
      <c r="F343" t="str">
        <f>HYPERLINK("https://www.google.com/maps/search/?api=1&amp;query=23.72264249,44.65141602", "View Map")</f>
        <v>View Map</v>
      </c>
      <c r="G343" s="2">
        <v>0.65518701824524317</v>
      </c>
    </row>
    <row r="344" spans="1:7" x14ac:dyDescent="0.3">
      <c r="A344" t="s">
        <v>46</v>
      </c>
      <c r="B344" t="s">
        <v>1371</v>
      </c>
      <c r="C344" t="s">
        <v>8</v>
      </c>
      <c r="D344">
        <v>13.157999999999999</v>
      </c>
      <c r="E344" s="4">
        <v>4210</v>
      </c>
      <c r="F344" t="str">
        <f>HYPERLINK("https://www.google.com/maps/search/?api=1&amp;query=24.83051913,46.57855565", "View Map")</f>
        <v>View Map</v>
      </c>
    </row>
    <row r="345" spans="1:7" x14ac:dyDescent="0.3">
      <c r="A345" t="s">
        <v>721</v>
      </c>
      <c r="B345" t="s">
        <v>722</v>
      </c>
      <c r="C345" t="s">
        <v>296</v>
      </c>
      <c r="D345">
        <v>13.119</v>
      </c>
      <c r="E345" s="4">
        <v>4198</v>
      </c>
      <c r="F345" t="str">
        <f>HYPERLINK("https://www.google.com/maps/search/?api=1&amp;query=24.4605639,46.29787354", "View Map")</f>
        <v>View Map</v>
      </c>
      <c r="G345" s="2">
        <v>0.52780525824092639</v>
      </c>
    </row>
    <row r="346" spans="1:7" x14ac:dyDescent="0.3">
      <c r="A346" t="s">
        <v>815</v>
      </c>
      <c r="B346" t="s">
        <v>816</v>
      </c>
      <c r="C346" t="s">
        <v>30</v>
      </c>
      <c r="D346">
        <v>13.113</v>
      </c>
      <c r="E346" s="4">
        <v>4196</v>
      </c>
      <c r="F346" t="str">
        <f>HYPERLINK("https://www.google.com/maps/search/?api=1&amp;query=24.21256254,47.19673791", "View Map")</f>
        <v>View Map</v>
      </c>
      <c r="G346" s="2">
        <v>0.8076541866896253</v>
      </c>
    </row>
    <row r="347" spans="1:7" x14ac:dyDescent="0.3">
      <c r="A347" t="s">
        <v>847</v>
      </c>
      <c r="B347" t="s">
        <v>848</v>
      </c>
      <c r="C347" t="s">
        <v>8</v>
      </c>
      <c r="D347">
        <v>13.111000000000001</v>
      </c>
      <c r="E347" s="4">
        <v>4196</v>
      </c>
      <c r="F347" t="str">
        <f>HYPERLINK("https://www.google.com/maps/search/?api=1&amp;query=24.71842281,46.77646545", "View Map")</f>
        <v>View Map</v>
      </c>
      <c r="G347" s="2">
        <v>0.58832693291742033</v>
      </c>
    </row>
    <row r="348" spans="1:7" x14ac:dyDescent="0.3">
      <c r="A348" t="s">
        <v>46</v>
      </c>
      <c r="B348" t="s">
        <v>966</v>
      </c>
      <c r="C348" t="s">
        <v>8</v>
      </c>
      <c r="D348">
        <v>13.102</v>
      </c>
      <c r="E348" s="4">
        <v>4193</v>
      </c>
      <c r="F348" t="str">
        <f>HYPERLINK("https://www.google.com/maps/search/?api=1&amp;query=24.5596323,46.8080934", "View Map")</f>
        <v>View Map</v>
      </c>
      <c r="G348" s="2">
        <v>0.59309467780952185</v>
      </c>
    </row>
    <row r="349" spans="1:7" x14ac:dyDescent="0.3">
      <c r="A349" t="s">
        <v>459</v>
      </c>
      <c r="B349" t="s">
        <v>739</v>
      </c>
      <c r="C349" t="s">
        <v>286</v>
      </c>
      <c r="D349">
        <v>13.1</v>
      </c>
      <c r="E349" s="4">
        <v>4192</v>
      </c>
      <c r="F349" t="str">
        <f>HYPERLINK("https://www.google.com/maps/search/?api=1&amp;query=25.30138419,45.53439916", "View Map")</f>
        <v>View Map</v>
      </c>
      <c r="G349" s="2">
        <v>0.6635431292376448</v>
      </c>
    </row>
    <row r="350" spans="1:7" x14ac:dyDescent="0.3">
      <c r="A350" t="s">
        <v>1099</v>
      </c>
      <c r="B350" t="s">
        <v>1100</v>
      </c>
      <c r="C350" t="s">
        <v>30</v>
      </c>
      <c r="D350">
        <v>13.057</v>
      </c>
      <c r="E350" s="4">
        <v>4178</v>
      </c>
      <c r="F350" t="str">
        <f>HYPERLINK("https://www.google.com/maps/search/?api=1&amp;query=24.117,47.939", "View Map")</f>
        <v>View Map</v>
      </c>
      <c r="G350" s="2">
        <v>0.72883154940276784</v>
      </c>
    </row>
    <row r="351" spans="1:7" x14ac:dyDescent="0.3">
      <c r="A351" t="s">
        <v>46</v>
      </c>
      <c r="B351" t="s">
        <v>571</v>
      </c>
      <c r="C351" t="s">
        <v>8</v>
      </c>
      <c r="D351">
        <v>13.034000000000001</v>
      </c>
      <c r="E351" s="4">
        <v>4171</v>
      </c>
      <c r="F351" t="str">
        <f>HYPERLINK("https://www.google.com/maps/search/?api=1&amp;query=24.92334319,46.82037301", "View Map")</f>
        <v>View Map</v>
      </c>
      <c r="G351" s="2">
        <v>0.32911745143169502</v>
      </c>
    </row>
    <row r="352" spans="1:7" x14ac:dyDescent="0.3">
      <c r="A352" t="s">
        <v>31</v>
      </c>
      <c r="B352" t="s">
        <v>279</v>
      </c>
      <c r="C352" t="s">
        <v>8</v>
      </c>
      <c r="D352">
        <v>13.002000000000001</v>
      </c>
      <c r="E352" s="4">
        <v>4161</v>
      </c>
      <c r="F352" t="str">
        <f>HYPERLINK("https://www.google.com/maps/search/?api=1&amp;query=24.55178967,46.76239806", "View Map")</f>
        <v>View Map</v>
      </c>
      <c r="G352" s="2">
        <v>0.33172621115020529</v>
      </c>
    </row>
    <row r="353" spans="1:7" x14ac:dyDescent="0.3">
      <c r="A353" t="s">
        <v>775</v>
      </c>
      <c r="B353" t="s">
        <v>776</v>
      </c>
      <c r="C353" t="s">
        <v>8</v>
      </c>
      <c r="D353">
        <v>12.992000000000001</v>
      </c>
      <c r="E353" s="4">
        <v>4157</v>
      </c>
      <c r="F353" t="str">
        <f>HYPERLINK("https://www.google.com/maps/search/?api=1&amp;query=24.5919537,46.7471375", "View Map")</f>
        <v>View Map</v>
      </c>
      <c r="G353" s="2">
        <v>0.86511386285711667</v>
      </c>
    </row>
    <row r="354" spans="1:7" x14ac:dyDescent="0.3">
      <c r="A354" t="s">
        <v>903</v>
      </c>
      <c r="B354" t="s">
        <v>904</v>
      </c>
      <c r="C354" t="s">
        <v>8</v>
      </c>
      <c r="D354">
        <v>12.965999999999999</v>
      </c>
      <c r="E354" s="4">
        <v>4149</v>
      </c>
      <c r="F354" t="str">
        <f>HYPERLINK("https://www.google.com/maps/search/?api=1&amp;query=24.7549957,46.72114823", "View Map")</f>
        <v>View Map</v>
      </c>
    </row>
    <row r="355" spans="1:7" x14ac:dyDescent="0.3">
      <c r="A355" t="s">
        <v>558</v>
      </c>
      <c r="B355" t="s">
        <v>559</v>
      </c>
      <c r="C355" t="s">
        <v>8</v>
      </c>
      <c r="D355">
        <v>12.946</v>
      </c>
      <c r="E355" s="4">
        <v>4143</v>
      </c>
      <c r="F355" t="str">
        <f>HYPERLINK("https://www.google.com/maps/search/?api=1&amp;query=24.7378628,46.61243436", "View Map")</f>
        <v>View Map</v>
      </c>
      <c r="G355" s="2">
        <v>0.6366356565290433</v>
      </c>
    </row>
    <row r="356" spans="1:7" x14ac:dyDescent="0.3">
      <c r="A356" t="s">
        <v>435</v>
      </c>
      <c r="B356" t="s">
        <v>436</v>
      </c>
      <c r="C356" t="s">
        <v>8</v>
      </c>
      <c r="D356">
        <v>12.946</v>
      </c>
      <c r="E356" s="4">
        <v>4143</v>
      </c>
      <c r="F356" t="str">
        <f>HYPERLINK("https://www.google.com/maps/search/?api=1&amp;query=24.7675,46.5931", "View Map")</f>
        <v>View Map</v>
      </c>
      <c r="G356" s="2">
        <v>0.42077334546528572</v>
      </c>
    </row>
    <row r="357" spans="1:7" x14ac:dyDescent="0.3">
      <c r="A357" t="s">
        <v>495</v>
      </c>
      <c r="B357" t="s">
        <v>496</v>
      </c>
      <c r="C357" t="s">
        <v>8</v>
      </c>
      <c r="D357">
        <v>12.936999999999999</v>
      </c>
      <c r="E357" s="4">
        <v>4140</v>
      </c>
      <c r="F357" t="str">
        <f>HYPERLINK("https://www.google.com/maps/search/?api=1&amp;query=24.7350782,46.64576413", "View Map")</f>
        <v>View Map</v>
      </c>
      <c r="G357" s="2">
        <v>0.48314974704692148</v>
      </c>
    </row>
    <row r="358" spans="1:7" x14ac:dyDescent="0.3">
      <c r="A358" t="s">
        <v>2668</v>
      </c>
      <c r="B358" t="s">
        <v>2669</v>
      </c>
      <c r="C358" t="s">
        <v>8</v>
      </c>
      <c r="D358">
        <v>12.901999999999999</v>
      </c>
      <c r="E358" s="4">
        <v>4129</v>
      </c>
      <c r="F358" t="str">
        <f>HYPERLINK("https://www.google.com/maps/search/?api=1&amp;query=24.57151923,46.6304919", "View Map")</f>
        <v>View Map</v>
      </c>
    </row>
    <row r="359" spans="1:7" x14ac:dyDescent="0.3">
      <c r="A359" t="s">
        <v>46</v>
      </c>
      <c r="B359" t="s">
        <v>673</v>
      </c>
      <c r="C359" t="s">
        <v>8</v>
      </c>
      <c r="D359">
        <v>12.897</v>
      </c>
      <c r="E359" s="4">
        <v>4127</v>
      </c>
      <c r="F359" t="str">
        <f>HYPERLINK("https://www.google.com/maps/search/?api=1&amp;query=24.73728402,46.78538541", "View Map")</f>
        <v>View Map</v>
      </c>
      <c r="G359" s="2">
        <v>0.42390158699482849</v>
      </c>
    </row>
    <row r="360" spans="1:7" x14ac:dyDescent="0.3">
      <c r="A360" t="s">
        <v>845</v>
      </c>
      <c r="B360" t="s">
        <v>846</v>
      </c>
      <c r="C360" t="s">
        <v>8</v>
      </c>
      <c r="D360">
        <v>12.887</v>
      </c>
      <c r="E360" s="4">
        <v>4124</v>
      </c>
      <c r="F360" t="str">
        <f>HYPERLINK("https://www.google.com/maps/search/?api=1&amp;query=24.78809276,46.64128075", "View Map")</f>
        <v>View Map</v>
      </c>
      <c r="G360" s="2">
        <v>0.84180724167571808</v>
      </c>
    </row>
    <row r="361" spans="1:7" x14ac:dyDescent="0.3">
      <c r="A361" t="s">
        <v>433</v>
      </c>
      <c r="B361" t="s">
        <v>688</v>
      </c>
      <c r="C361" t="s">
        <v>137</v>
      </c>
      <c r="D361">
        <v>12.875999999999999</v>
      </c>
      <c r="E361" s="4">
        <v>4120</v>
      </c>
      <c r="F361" t="str">
        <f>HYPERLINK("https://www.google.com/maps/search/?api=1&amp;query=23.48928235,46.87721383", "View Map")</f>
        <v>View Map</v>
      </c>
      <c r="G361" s="2">
        <v>0.4712766494726135</v>
      </c>
    </row>
    <row r="362" spans="1:7" x14ac:dyDescent="0.3">
      <c r="A362" t="s">
        <v>1024</v>
      </c>
      <c r="B362" t="s">
        <v>1025</v>
      </c>
      <c r="C362" t="s">
        <v>291</v>
      </c>
      <c r="D362">
        <v>12.861000000000001</v>
      </c>
      <c r="E362" s="4">
        <v>4116</v>
      </c>
      <c r="F362" t="str">
        <f>HYPERLINK("https://www.google.com/maps/search/?api=1&amp;query=24.47537055,45.67232534", "View Map")</f>
        <v>View Map</v>
      </c>
      <c r="G362" s="2">
        <v>0.77354970707473436</v>
      </c>
    </row>
    <row r="363" spans="1:7" x14ac:dyDescent="0.3">
      <c r="A363" t="s">
        <v>553</v>
      </c>
      <c r="B363" t="s">
        <v>554</v>
      </c>
      <c r="C363" t="s">
        <v>30</v>
      </c>
      <c r="D363">
        <v>12.746</v>
      </c>
      <c r="E363" s="4">
        <v>4079</v>
      </c>
      <c r="F363" t="str">
        <f>HYPERLINK("https://www.google.com/maps/search/?api=1&amp;query=24.13584247,47.35314122", "View Map")</f>
        <v>View Map</v>
      </c>
      <c r="G363" s="2">
        <v>0.39445013355081021</v>
      </c>
    </row>
    <row r="364" spans="1:7" x14ac:dyDescent="0.3">
      <c r="A364" t="s">
        <v>433</v>
      </c>
      <c r="B364" t="s">
        <v>982</v>
      </c>
      <c r="C364" t="s">
        <v>137</v>
      </c>
      <c r="D364">
        <v>12.74</v>
      </c>
      <c r="E364" s="4">
        <v>4077</v>
      </c>
      <c r="F364" t="str">
        <f>HYPERLINK("https://www.google.com/maps/search/?api=1&amp;query=23.49260601,46.87017804", "View Map")</f>
        <v>View Map</v>
      </c>
      <c r="G364" s="2">
        <v>0.72605805400131262</v>
      </c>
    </row>
    <row r="365" spans="1:7" x14ac:dyDescent="0.3">
      <c r="A365" t="s">
        <v>6027</v>
      </c>
      <c r="B365" t="s">
        <v>6028</v>
      </c>
      <c r="C365" t="s">
        <v>8</v>
      </c>
      <c r="D365">
        <v>12.702</v>
      </c>
      <c r="E365" s="4">
        <v>4065</v>
      </c>
      <c r="F365" t="str">
        <f>HYPERLINK("https://www.google.com/maps/search/?api=1&amp;query=24.56704379,46.76661186", "View Map")</f>
        <v>View Map</v>
      </c>
      <c r="G365" s="2">
        <v>0.83532954904541712</v>
      </c>
    </row>
    <row r="366" spans="1:7" x14ac:dyDescent="0.3">
      <c r="A366" t="s">
        <v>1132</v>
      </c>
      <c r="B366" t="s">
        <v>1133</v>
      </c>
      <c r="C366" t="s">
        <v>466</v>
      </c>
      <c r="D366">
        <v>12.702</v>
      </c>
      <c r="E366" s="4">
        <v>4065</v>
      </c>
      <c r="F366" t="str">
        <f>HYPERLINK("https://www.google.com/maps/search/?api=1&amp;query=24.49004984,46.17018803", "View Map")</f>
        <v>View Map</v>
      </c>
      <c r="G366" s="2">
        <v>0.59929541474292147</v>
      </c>
    </row>
    <row r="367" spans="1:7" x14ac:dyDescent="0.3">
      <c r="A367" t="s">
        <v>46</v>
      </c>
      <c r="B367" t="s">
        <v>886</v>
      </c>
      <c r="C367" t="s">
        <v>8</v>
      </c>
      <c r="D367">
        <v>12.675000000000001</v>
      </c>
      <c r="E367" s="4">
        <v>4056</v>
      </c>
      <c r="F367" t="str">
        <f>HYPERLINK("https://www.google.com/maps/search/?api=1&amp;query=24.9017873,46.61425903", "View Map")</f>
        <v>View Map</v>
      </c>
      <c r="G367" s="2">
        <v>0.64826621228444448</v>
      </c>
    </row>
    <row r="368" spans="1:7" x14ac:dyDescent="0.3">
      <c r="A368" t="s">
        <v>515</v>
      </c>
      <c r="B368" t="s">
        <v>516</v>
      </c>
      <c r="C368" t="s">
        <v>8</v>
      </c>
      <c r="D368">
        <v>12.670999999999999</v>
      </c>
      <c r="E368" s="4">
        <v>4055</v>
      </c>
      <c r="F368" t="str">
        <f>HYPERLINK("https://www.google.com/maps/search/?api=1&amp;query=24.7529,46.87116", "View Map")</f>
        <v>View Map</v>
      </c>
      <c r="G368" s="2">
        <v>0.78562445940899395</v>
      </c>
    </row>
    <row r="369" spans="1:7" x14ac:dyDescent="0.3">
      <c r="A369" t="s">
        <v>740</v>
      </c>
      <c r="B369" t="s">
        <v>741</v>
      </c>
      <c r="C369" t="s">
        <v>8</v>
      </c>
      <c r="D369">
        <v>12.602</v>
      </c>
      <c r="E369" s="4">
        <v>4032</v>
      </c>
      <c r="F369" t="str">
        <f>HYPERLINK("https://www.google.com/maps/search/?api=1&amp;query=24.67036033,46.79370774", "View Map")</f>
        <v>View Map</v>
      </c>
      <c r="G369" s="2">
        <v>0.52652127682855765</v>
      </c>
    </row>
    <row r="370" spans="1:7" x14ac:dyDescent="0.3">
      <c r="A370" t="s">
        <v>46</v>
      </c>
      <c r="B370" t="s">
        <v>1082</v>
      </c>
      <c r="C370" t="s">
        <v>820</v>
      </c>
      <c r="D370">
        <v>12.601000000000001</v>
      </c>
      <c r="E370" s="4">
        <v>4032</v>
      </c>
      <c r="F370" t="str">
        <f>HYPERLINK("https://www.google.com/maps/search/?api=1&amp;query=0.0,0.0", "View Map")</f>
        <v>View Map</v>
      </c>
      <c r="G370" s="2">
        <v>0.66256714494614821</v>
      </c>
    </row>
    <row r="371" spans="1:7" x14ac:dyDescent="0.3">
      <c r="A371" t="s">
        <v>899</v>
      </c>
      <c r="B371" t="s">
        <v>900</v>
      </c>
      <c r="C371" t="s">
        <v>8</v>
      </c>
      <c r="D371">
        <v>12.587</v>
      </c>
      <c r="E371" s="4">
        <v>4028</v>
      </c>
      <c r="F371" t="str">
        <f>HYPERLINK("https://www.google.com/maps/search/?api=1&amp;query=24.76779662,46.63119513", "View Map")</f>
        <v>View Map</v>
      </c>
      <c r="G371" s="2">
        <v>0.66394209716668973</v>
      </c>
    </row>
    <row r="372" spans="1:7" x14ac:dyDescent="0.3">
      <c r="A372" t="s">
        <v>46</v>
      </c>
      <c r="B372" t="s">
        <v>913</v>
      </c>
      <c r="C372" t="s">
        <v>8</v>
      </c>
      <c r="D372">
        <v>12.529</v>
      </c>
      <c r="E372" s="4">
        <v>4009</v>
      </c>
      <c r="F372" t="str">
        <f>HYPERLINK("https://www.google.com/maps/search/?api=1&amp;query=24.84452324,46.62858748", "View Map")</f>
        <v>View Map</v>
      </c>
    </row>
    <row r="373" spans="1:7" x14ac:dyDescent="0.3">
      <c r="A373" t="s">
        <v>196</v>
      </c>
      <c r="B373" t="s">
        <v>197</v>
      </c>
      <c r="C373" t="s">
        <v>8</v>
      </c>
      <c r="D373">
        <v>12.523</v>
      </c>
      <c r="E373" s="4">
        <v>4007</v>
      </c>
      <c r="F373" t="str">
        <f>HYPERLINK("https://www.google.com/maps/search/?api=1&amp;query=24.79887,46.74665", "View Map")</f>
        <v>View Map</v>
      </c>
      <c r="G373" s="2">
        <v>0.2037909719389793</v>
      </c>
    </row>
    <row r="374" spans="1:7" x14ac:dyDescent="0.3">
      <c r="A374" t="s">
        <v>46</v>
      </c>
      <c r="B374" t="s">
        <v>702</v>
      </c>
      <c r="C374" t="s">
        <v>8</v>
      </c>
      <c r="D374">
        <v>12.478999999999999</v>
      </c>
      <c r="E374" s="4">
        <v>3993</v>
      </c>
      <c r="F374" t="str">
        <f>HYPERLINK("https://www.google.com/maps/search/?api=1&amp;query=24.82910127,46.63398993", "View Map")</f>
        <v>View Map</v>
      </c>
      <c r="G374" s="2">
        <v>0.43483337043336567</v>
      </c>
    </row>
    <row r="375" spans="1:7" x14ac:dyDescent="0.3">
      <c r="A375" t="s">
        <v>854</v>
      </c>
      <c r="B375" t="s">
        <v>855</v>
      </c>
      <c r="C375" t="s">
        <v>8</v>
      </c>
      <c r="D375">
        <v>12.475</v>
      </c>
      <c r="E375" s="4">
        <v>3992</v>
      </c>
      <c r="F375" t="str">
        <f>HYPERLINK("https://www.google.com/maps/search/?api=1&amp;query=24.73451893,46.65339147", "View Map")</f>
        <v>View Map</v>
      </c>
      <c r="G375" s="2">
        <v>0.38195808374907181</v>
      </c>
    </row>
    <row r="376" spans="1:7" x14ac:dyDescent="0.3">
      <c r="A376" t="s">
        <v>961</v>
      </c>
      <c r="B376" t="s">
        <v>962</v>
      </c>
      <c r="C376" t="s">
        <v>8</v>
      </c>
      <c r="D376">
        <v>12.472</v>
      </c>
      <c r="E376" s="4">
        <v>3991</v>
      </c>
      <c r="F376" t="str">
        <f>HYPERLINK("https://www.google.com/maps/search/?api=1&amp;query=24.58082044,46.68156942", "View Map")</f>
        <v>View Map</v>
      </c>
      <c r="G376" s="2">
        <v>0.71476655790541022</v>
      </c>
    </row>
    <row r="377" spans="1:7" x14ac:dyDescent="0.3">
      <c r="A377" t="s">
        <v>877</v>
      </c>
      <c r="B377" t="s">
        <v>878</v>
      </c>
      <c r="C377" t="s">
        <v>8</v>
      </c>
      <c r="D377">
        <v>12.468</v>
      </c>
      <c r="E377" s="4">
        <v>3990</v>
      </c>
      <c r="F377" t="str">
        <f>HYPERLINK("https://www.google.com/maps/search/?api=1&amp;query=24.74151075,46.82299896", "View Map")</f>
        <v>View Map</v>
      </c>
      <c r="G377" s="2">
        <v>0.59669280696908267</v>
      </c>
    </row>
    <row r="378" spans="1:7" x14ac:dyDescent="0.3">
      <c r="A378" t="s">
        <v>489</v>
      </c>
      <c r="B378" t="s">
        <v>490</v>
      </c>
      <c r="C378" t="s">
        <v>8</v>
      </c>
      <c r="D378">
        <v>12.465</v>
      </c>
      <c r="E378" s="4">
        <v>3989</v>
      </c>
      <c r="F378" t="str">
        <f>HYPERLINK("https://www.google.com/maps/search/?api=1&amp;query=24.59883664,46.68591839", "View Map")</f>
        <v>View Map</v>
      </c>
      <c r="G378" s="2">
        <v>0.6491398101257333</v>
      </c>
    </row>
    <row r="379" spans="1:7" x14ac:dyDescent="0.3">
      <c r="A379" t="s">
        <v>956</v>
      </c>
      <c r="B379" t="s">
        <v>957</v>
      </c>
      <c r="C379" t="s">
        <v>8</v>
      </c>
      <c r="D379">
        <v>12.457000000000001</v>
      </c>
      <c r="E379" s="4">
        <v>3986</v>
      </c>
      <c r="F379" t="str">
        <f>HYPERLINK("https://www.google.com/maps/search/?api=1&amp;query=24.75964203,46.78409231", "View Map")</f>
        <v>View Map</v>
      </c>
      <c r="G379" s="2">
        <v>0.54865293470343235</v>
      </c>
    </row>
    <row r="380" spans="1:7" x14ac:dyDescent="0.3">
      <c r="A380" t="s">
        <v>780</v>
      </c>
      <c r="B380" t="s">
        <v>781</v>
      </c>
      <c r="C380" t="s">
        <v>8</v>
      </c>
      <c r="D380">
        <v>12.416</v>
      </c>
      <c r="E380" s="4">
        <v>3973</v>
      </c>
      <c r="F380" t="str">
        <f>HYPERLINK("https://www.google.com/maps/search/?api=1&amp;query=24.67481433,46.64755393", "View Map")</f>
        <v>View Map</v>
      </c>
      <c r="G380" s="2">
        <v>0.92598984995324374</v>
      </c>
    </row>
    <row r="381" spans="1:7" x14ac:dyDescent="0.3">
      <c r="A381" t="s">
        <v>259</v>
      </c>
      <c r="B381" t="s">
        <v>1004</v>
      </c>
      <c r="C381" t="s">
        <v>8</v>
      </c>
      <c r="D381">
        <v>12.358000000000001</v>
      </c>
      <c r="E381" s="4">
        <v>3954</v>
      </c>
      <c r="F381" t="str">
        <f>HYPERLINK("https://www.google.com/maps/search/?api=1&amp;query=24.70510695,46.66334575", "View Map")</f>
        <v>View Map</v>
      </c>
      <c r="G381" s="2">
        <v>0.74955861807072877</v>
      </c>
    </row>
    <row r="382" spans="1:7" x14ac:dyDescent="0.3">
      <c r="A382" t="s">
        <v>647</v>
      </c>
      <c r="B382" t="s">
        <v>648</v>
      </c>
      <c r="C382" t="s">
        <v>8</v>
      </c>
      <c r="D382">
        <v>12.326000000000001</v>
      </c>
      <c r="E382" s="4">
        <v>3944</v>
      </c>
      <c r="F382" t="str">
        <f>HYPERLINK("https://www.google.com/maps/search/?api=1&amp;query=24.75627161,46.79285684", "View Map")</f>
        <v>View Map</v>
      </c>
      <c r="G382" s="2">
        <v>0.45551125768099682</v>
      </c>
    </row>
    <row r="383" spans="1:7" x14ac:dyDescent="0.3">
      <c r="A383" t="s">
        <v>858</v>
      </c>
      <c r="B383" t="s">
        <v>859</v>
      </c>
      <c r="C383" t="s">
        <v>8</v>
      </c>
      <c r="D383">
        <v>12.321</v>
      </c>
      <c r="E383" s="4">
        <v>3943</v>
      </c>
      <c r="F383" t="str">
        <f>HYPERLINK("https://www.google.com/maps/search/?api=1&amp;query=24.7432809,46.78827508", "View Map")</f>
        <v>View Map</v>
      </c>
      <c r="G383" s="2">
        <v>0.50567789391484153</v>
      </c>
    </row>
    <row r="384" spans="1:7" x14ac:dyDescent="0.3">
      <c r="A384" t="s">
        <v>971</v>
      </c>
      <c r="B384" t="s">
        <v>972</v>
      </c>
      <c r="C384" t="s">
        <v>8</v>
      </c>
      <c r="D384">
        <v>12.292</v>
      </c>
      <c r="E384" s="4">
        <v>3934</v>
      </c>
      <c r="F384" t="str">
        <f>HYPERLINK("https://www.google.com/maps/search/?api=1&amp;query=24.79599263,46.62389353", "View Map")</f>
        <v>View Map</v>
      </c>
    </row>
    <row r="385" spans="1:7" x14ac:dyDescent="0.3">
      <c r="A385" t="s">
        <v>678</v>
      </c>
      <c r="B385" t="s">
        <v>979</v>
      </c>
      <c r="C385" t="s">
        <v>21</v>
      </c>
      <c r="D385">
        <v>12.282999999999999</v>
      </c>
      <c r="E385" s="4">
        <v>3930</v>
      </c>
      <c r="F385" t="str">
        <f>HYPERLINK("https://www.google.com/maps/search/?api=1&amp;query=26.23762735,44.80722975", "View Map")</f>
        <v>View Map</v>
      </c>
      <c r="G385" s="2">
        <v>0.80576716842911733</v>
      </c>
    </row>
    <row r="386" spans="1:7" x14ac:dyDescent="0.3">
      <c r="A386" t="s">
        <v>46</v>
      </c>
      <c r="B386" t="s">
        <v>2693</v>
      </c>
      <c r="C386" t="s">
        <v>8</v>
      </c>
      <c r="D386">
        <v>12.257</v>
      </c>
      <c r="E386" s="4">
        <v>3922</v>
      </c>
      <c r="F386" t="str">
        <f>HYPERLINK("https://www.google.com/maps/search/?api=1&amp;query=24.81315951,46.79012088", "View Map")</f>
        <v>View Map</v>
      </c>
    </row>
    <row r="387" spans="1:7" x14ac:dyDescent="0.3">
      <c r="A387" t="s">
        <v>724</v>
      </c>
      <c r="B387" t="s">
        <v>725</v>
      </c>
      <c r="C387" t="s">
        <v>8</v>
      </c>
      <c r="D387">
        <v>12.224</v>
      </c>
      <c r="E387" s="4">
        <v>3912</v>
      </c>
      <c r="F387" t="str">
        <f>HYPERLINK("https://www.google.com/maps/search/?api=1&amp;query=24.791792,46.65668941", "View Map")</f>
        <v>View Map</v>
      </c>
    </row>
    <row r="388" spans="1:7" x14ac:dyDescent="0.3">
      <c r="A388" t="s">
        <v>943</v>
      </c>
      <c r="B388" t="s">
        <v>944</v>
      </c>
      <c r="C388" t="s">
        <v>8</v>
      </c>
      <c r="D388">
        <v>12.217000000000001</v>
      </c>
      <c r="E388" s="4">
        <v>3910</v>
      </c>
      <c r="F388" t="str">
        <f>HYPERLINK("https://www.google.com/maps/search/?api=1&amp;query=24.78109607,46.68228071", "View Map")</f>
        <v>View Map</v>
      </c>
    </row>
    <row r="389" spans="1:7" x14ac:dyDescent="0.3">
      <c r="A389" t="s">
        <v>1009</v>
      </c>
      <c r="B389" t="s">
        <v>1010</v>
      </c>
      <c r="C389" t="s">
        <v>8</v>
      </c>
      <c r="D389">
        <v>12.212</v>
      </c>
      <c r="E389" s="4">
        <v>3908</v>
      </c>
      <c r="F389" t="str">
        <f>HYPERLINK("https://www.google.com/maps/search/?api=1&amp;query=24.56869511,46.69673166", "View Map")</f>
        <v>View Map</v>
      </c>
      <c r="G389" s="2">
        <v>0.55872967021542119</v>
      </c>
    </row>
    <row r="390" spans="1:7" x14ac:dyDescent="0.3">
      <c r="A390" t="s">
        <v>958</v>
      </c>
      <c r="B390" t="s">
        <v>959</v>
      </c>
      <c r="C390" t="s">
        <v>8</v>
      </c>
      <c r="D390">
        <v>12.196999999999999</v>
      </c>
      <c r="E390" s="4">
        <v>3903</v>
      </c>
      <c r="F390" t="str">
        <f>HYPERLINK("https://www.google.com/maps/search/?api=1&amp;query=24.55324627,46.68157371", "View Map")</f>
        <v>View Map</v>
      </c>
      <c r="G390" s="2">
        <v>0.73414895414136017</v>
      </c>
    </row>
    <row r="391" spans="1:7" x14ac:dyDescent="0.3">
      <c r="A391" t="s">
        <v>625</v>
      </c>
      <c r="B391" t="s">
        <v>626</v>
      </c>
      <c r="C391" t="s">
        <v>55</v>
      </c>
      <c r="D391">
        <v>12.192</v>
      </c>
      <c r="E391" s="4">
        <v>3902</v>
      </c>
      <c r="F391" t="str">
        <f>HYPERLINK("https://www.google.com/maps/search/?api=1&amp;query=24.77574319,46.58338538", "View Map")</f>
        <v>View Map</v>
      </c>
      <c r="G391" s="2">
        <v>0.50752068333780642</v>
      </c>
    </row>
    <row r="392" spans="1:7" x14ac:dyDescent="0.3">
      <c r="A392" t="s">
        <v>621</v>
      </c>
      <c r="B392" t="s">
        <v>622</v>
      </c>
      <c r="C392" t="s">
        <v>8</v>
      </c>
      <c r="D392">
        <v>12.173999999999999</v>
      </c>
      <c r="E392" s="4">
        <v>3896</v>
      </c>
      <c r="F392" t="str">
        <f>HYPERLINK("https://www.google.com/maps/search/?api=1&amp;query=24.71378224,46.66415674", "View Map")</f>
        <v>View Map</v>
      </c>
      <c r="G392" s="2">
        <v>0.48728468975580042</v>
      </c>
    </row>
    <row r="393" spans="1:7" x14ac:dyDescent="0.3">
      <c r="A393" t="s">
        <v>1135</v>
      </c>
      <c r="B393" t="s">
        <v>1136</v>
      </c>
      <c r="C393" t="s">
        <v>8</v>
      </c>
      <c r="D393">
        <v>12.164</v>
      </c>
      <c r="E393" s="4">
        <v>3892</v>
      </c>
      <c r="F393" t="str">
        <f>HYPERLINK("https://www.google.com/maps/search/?api=1&amp;query=24.73280569,46.66256694", "View Map")</f>
        <v>View Map</v>
      </c>
    </row>
    <row r="394" spans="1:7" x14ac:dyDescent="0.3">
      <c r="A394" t="s">
        <v>46</v>
      </c>
      <c r="B394" t="s">
        <v>1033</v>
      </c>
      <c r="C394" t="s">
        <v>820</v>
      </c>
      <c r="D394">
        <v>12.156000000000001</v>
      </c>
      <c r="E394" s="4">
        <v>3890</v>
      </c>
      <c r="F394" t="str">
        <f>HYPERLINK("https://www.google.com/maps/search/?api=1&amp;query=0.0,0.0", "View Map")</f>
        <v>View Map</v>
      </c>
      <c r="G394" s="2">
        <v>0.64225186475967244</v>
      </c>
    </row>
    <row r="395" spans="1:7" x14ac:dyDescent="0.3">
      <c r="A395" t="s">
        <v>832</v>
      </c>
      <c r="B395" t="s">
        <v>833</v>
      </c>
      <c r="C395" t="s">
        <v>8</v>
      </c>
      <c r="D395">
        <v>12.068</v>
      </c>
      <c r="E395" s="4">
        <v>3862</v>
      </c>
      <c r="F395" t="str">
        <f>HYPERLINK("https://www.google.com/maps/search/?api=1&amp;query=24.73787535,46.75838404", "View Map")</f>
        <v>View Map</v>
      </c>
      <c r="G395" s="2">
        <v>0.53640955737047202</v>
      </c>
    </row>
    <row r="396" spans="1:7" x14ac:dyDescent="0.3">
      <c r="A396" t="s">
        <v>146</v>
      </c>
      <c r="B396" t="s">
        <v>653</v>
      </c>
      <c r="C396" t="s">
        <v>8</v>
      </c>
      <c r="D396">
        <v>12.042</v>
      </c>
      <c r="E396" s="4">
        <v>3853</v>
      </c>
      <c r="F396" t="str">
        <f>HYPERLINK("https://www.google.com/maps/search/?api=1&amp;query=24.51901915,46.6729652", "View Map")</f>
        <v>View Map</v>
      </c>
      <c r="G396" s="2">
        <v>0.48492905113973112</v>
      </c>
    </row>
    <row r="397" spans="1:7" x14ac:dyDescent="0.3">
      <c r="A397" t="s">
        <v>1172</v>
      </c>
      <c r="B397" t="s">
        <v>1173</v>
      </c>
      <c r="C397" t="s">
        <v>8</v>
      </c>
      <c r="D397">
        <v>11.994</v>
      </c>
      <c r="E397" s="4">
        <v>3838</v>
      </c>
      <c r="F397" t="str">
        <f>HYPERLINK("https://www.google.com/maps/search/?api=1&amp;query=24.7089,46.7492", "View Map")</f>
        <v>View Map</v>
      </c>
      <c r="G397" s="2">
        <v>0.51746393206713082</v>
      </c>
    </row>
    <row r="398" spans="1:7" x14ac:dyDescent="0.3">
      <c r="A398" t="s">
        <v>46</v>
      </c>
      <c r="B398" t="s">
        <v>639</v>
      </c>
      <c r="C398" t="s">
        <v>8</v>
      </c>
      <c r="D398">
        <v>11.975</v>
      </c>
      <c r="E398" s="4">
        <v>3832</v>
      </c>
      <c r="F398" t="str">
        <f>HYPERLINK("https://www.google.com/maps/search/?api=1&amp;query=24.81908134,46.6605319", "View Map")</f>
        <v>View Map</v>
      </c>
      <c r="G398" s="2">
        <v>0.32986225568503852</v>
      </c>
    </row>
    <row r="399" spans="1:7" x14ac:dyDescent="0.3">
      <c r="A399" t="s">
        <v>1273</v>
      </c>
      <c r="B399" t="s">
        <v>1383</v>
      </c>
      <c r="C399" t="s">
        <v>241</v>
      </c>
      <c r="D399">
        <v>11.96</v>
      </c>
      <c r="E399" s="4">
        <v>3827</v>
      </c>
      <c r="F399" t="str">
        <f>HYPERLINK("https://www.google.com/maps/search/?api=1&amp;query=20.4521667,44.77183392", "View Map")</f>
        <v>View Map</v>
      </c>
      <c r="G399" s="2">
        <v>0.67931827273249579</v>
      </c>
    </row>
    <row r="400" spans="1:7" x14ac:dyDescent="0.3">
      <c r="A400" t="s">
        <v>210</v>
      </c>
      <c r="B400" t="s">
        <v>282</v>
      </c>
      <c r="C400" t="s">
        <v>8</v>
      </c>
      <c r="D400">
        <v>11.933</v>
      </c>
      <c r="E400" s="4">
        <v>3819</v>
      </c>
      <c r="F400" t="str">
        <f>HYPERLINK("https://www.google.com/maps/search/?api=1&amp;query=24.6528115,46.75738867", "View Map")</f>
        <v>View Map</v>
      </c>
      <c r="G400" s="2">
        <v>0.29679052646990928</v>
      </c>
    </row>
    <row r="401" spans="1:7" x14ac:dyDescent="0.3">
      <c r="A401" t="s">
        <v>46</v>
      </c>
      <c r="B401" t="s">
        <v>1095</v>
      </c>
      <c r="C401" t="s">
        <v>8</v>
      </c>
      <c r="D401">
        <v>11.912000000000001</v>
      </c>
      <c r="E401" s="4">
        <v>3812</v>
      </c>
      <c r="F401" t="str">
        <f>HYPERLINK("https://www.google.com/maps/search/?api=1&amp;query=24.6137815,46.75777171", "View Map")</f>
        <v>View Map</v>
      </c>
    </row>
    <row r="402" spans="1:7" x14ac:dyDescent="0.3">
      <c r="A402" t="s">
        <v>889</v>
      </c>
      <c r="B402" t="s">
        <v>890</v>
      </c>
      <c r="C402" t="s">
        <v>8</v>
      </c>
      <c r="D402">
        <v>11.894</v>
      </c>
      <c r="E402" s="4">
        <v>3806</v>
      </c>
      <c r="F402" t="str">
        <f>HYPERLINK("https://www.google.com/maps/search/?api=1&amp;query=24.77926497,46.62438618", "View Map")</f>
        <v>View Map</v>
      </c>
      <c r="G402" s="2">
        <v>0.72732191926885492</v>
      </c>
    </row>
    <row r="403" spans="1:7" x14ac:dyDescent="0.3">
      <c r="A403" t="s">
        <v>744</v>
      </c>
      <c r="B403" t="s">
        <v>745</v>
      </c>
      <c r="C403" t="s">
        <v>8</v>
      </c>
      <c r="D403">
        <v>11.864000000000001</v>
      </c>
      <c r="E403" s="4">
        <v>3796</v>
      </c>
      <c r="F403" t="str">
        <f>HYPERLINK("https://www.google.com/maps/search/?api=1&amp;query=24.76349582,46.73857398", "View Map")</f>
        <v>View Map</v>
      </c>
      <c r="G403" s="2">
        <v>0.34291913587128969</v>
      </c>
    </row>
    <row r="404" spans="1:7" x14ac:dyDescent="0.3">
      <c r="A404" t="s">
        <v>901</v>
      </c>
      <c r="B404" t="s">
        <v>902</v>
      </c>
      <c r="C404" t="s">
        <v>21</v>
      </c>
      <c r="D404">
        <v>11.862</v>
      </c>
      <c r="E404" s="4">
        <v>3796</v>
      </c>
      <c r="F404" t="str">
        <f>HYPERLINK("https://www.google.com/maps/search/?api=1&amp;query=26.34080743,44.78830225", "View Map")</f>
        <v>View Map</v>
      </c>
      <c r="G404" s="2">
        <v>0.85389940716272617</v>
      </c>
    </row>
    <row r="405" spans="1:7" x14ac:dyDescent="0.3">
      <c r="A405" t="s">
        <v>789</v>
      </c>
      <c r="B405" t="s">
        <v>790</v>
      </c>
      <c r="C405" t="s">
        <v>8</v>
      </c>
      <c r="D405">
        <v>11.839</v>
      </c>
      <c r="E405" s="4">
        <v>3788</v>
      </c>
      <c r="F405" t="str">
        <f>HYPERLINK("https://www.google.com/maps/search/?api=1&amp;query=24.79239853,46.77130603", "View Map")</f>
        <v>View Map</v>
      </c>
      <c r="G405" s="2">
        <v>0.48179756889594988</v>
      </c>
    </row>
    <row r="406" spans="1:7" x14ac:dyDescent="0.3">
      <c r="A406" t="s">
        <v>843</v>
      </c>
      <c r="B406" t="s">
        <v>844</v>
      </c>
      <c r="C406" t="s">
        <v>8</v>
      </c>
      <c r="D406">
        <v>11.827999999999999</v>
      </c>
      <c r="E406" s="4">
        <v>3785</v>
      </c>
      <c r="F406" t="str">
        <f>HYPERLINK("https://www.google.com/maps/search/?api=1&amp;query=24.6348789,46.72995099", "View Map")</f>
        <v>View Map</v>
      </c>
      <c r="G406" s="2">
        <v>0.35265956754590949</v>
      </c>
    </row>
    <row r="407" spans="1:7" x14ac:dyDescent="0.3">
      <c r="A407" t="s">
        <v>411</v>
      </c>
      <c r="B407" t="s">
        <v>1312</v>
      </c>
      <c r="C407" t="s">
        <v>77</v>
      </c>
      <c r="D407">
        <v>11.789</v>
      </c>
      <c r="E407" s="4">
        <v>3772</v>
      </c>
      <c r="F407" t="str">
        <f>HYPERLINK("https://www.google.com/maps/search/?api=1&amp;query=22.28373137,46.7221944", "View Map")</f>
        <v>View Map</v>
      </c>
      <c r="G407" s="2">
        <v>0.46705676809689028</v>
      </c>
    </row>
    <row r="408" spans="1:7" x14ac:dyDescent="0.3">
      <c r="A408" t="s">
        <v>864</v>
      </c>
      <c r="B408" t="s">
        <v>865</v>
      </c>
      <c r="C408" t="s">
        <v>8</v>
      </c>
      <c r="D408">
        <v>11.776</v>
      </c>
      <c r="E408" s="4">
        <v>3768</v>
      </c>
      <c r="F408" t="str">
        <f>HYPERLINK("https://www.google.com/maps/search/?api=1&amp;query=24.58650894,46.56472162", "View Map")</f>
        <v>View Map</v>
      </c>
      <c r="G408" s="2">
        <v>0.4113144389438943</v>
      </c>
    </row>
    <row r="409" spans="1:7" x14ac:dyDescent="0.3">
      <c r="A409" t="s">
        <v>46</v>
      </c>
      <c r="B409" t="s">
        <v>486</v>
      </c>
      <c r="C409" t="s">
        <v>8</v>
      </c>
      <c r="D409">
        <v>11.749000000000001</v>
      </c>
      <c r="E409" s="4">
        <v>3760</v>
      </c>
      <c r="F409" t="str">
        <f>HYPERLINK("https://www.google.com/maps/search/?api=1&amp;query=24.61947042,46.83782531", "View Map")</f>
        <v>View Map</v>
      </c>
      <c r="G409" s="2">
        <v>0.45208973646021988</v>
      </c>
    </row>
    <row r="410" spans="1:7" x14ac:dyDescent="0.3">
      <c r="A410" t="s">
        <v>1345</v>
      </c>
      <c r="B410" t="s">
        <v>1346</v>
      </c>
      <c r="C410" t="s">
        <v>214</v>
      </c>
      <c r="D410">
        <v>11.747999999999999</v>
      </c>
      <c r="E410" s="4">
        <v>3759</v>
      </c>
      <c r="F410" t="str">
        <f>HYPERLINK("https://www.google.com/maps/search/?api=1&amp;query=25.90665398,45.36986552", "View Map")</f>
        <v>View Map</v>
      </c>
      <c r="G410" s="2">
        <v>0.61195521068149017</v>
      </c>
    </row>
    <row r="411" spans="1:7" x14ac:dyDescent="0.3">
      <c r="A411" t="s">
        <v>920</v>
      </c>
      <c r="B411" t="s">
        <v>921</v>
      </c>
      <c r="C411" t="s">
        <v>30</v>
      </c>
      <c r="D411">
        <v>11.743</v>
      </c>
      <c r="E411" s="4">
        <v>3758</v>
      </c>
      <c r="F411" t="str">
        <f>HYPERLINK("https://www.google.com/maps/search/?api=1&amp;query=24.1446886,47.35863788", "View Map")</f>
        <v>View Map</v>
      </c>
      <c r="G411" s="2">
        <v>0.57847226363086601</v>
      </c>
    </row>
    <row r="412" spans="1:7" x14ac:dyDescent="0.3">
      <c r="A412" t="s">
        <v>994</v>
      </c>
      <c r="B412" t="s">
        <v>995</v>
      </c>
      <c r="C412" t="s">
        <v>8</v>
      </c>
      <c r="D412">
        <v>11.708</v>
      </c>
      <c r="E412" s="4">
        <v>3747</v>
      </c>
      <c r="F412" t="str">
        <f>HYPERLINK("https://www.google.com/maps/search/?api=1&amp;query=24.58436535,46.76394362", "View Map")</f>
        <v>View Map</v>
      </c>
      <c r="G412" s="2">
        <v>0.52718884633938978</v>
      </c>
    </row>
    <row r="413" spans="1:7" x14ac:dyDescent="0.3">
      <c r="A413" t="s">
        <v>569</v>
      </c>
      <c r="B413" t="s">
        <v>570</v>
      </c>
      <c r="C413" t="s">
        <v>30</v>
      </c>
      <c r="D413">
        <v>11.702</v>
      </c>
      <c r="E413" s="4">
        <v>3745</v>
      </c>
      <c r="F413" t="str">
        <f>HYPERLINK("https://www.google.com/maps/search/?api=1&amp;query=24.12679216,47.27874723", "View Map")</f>
        <v>View Map</v>
      </c>
      <c r="G413" s="2">
        <v>0.54408129973146602</v>
      </c>
    </row>
    <row r="414" spans="1:7" x14ac:dyDescent="0.3">
      <c r="A414" t="s">
        <v>116</v>
      </c>
      <c r="B414" t="s">
        <v>504</v>
      </c>
      <c r="C414" t="s">
        <v>77</v>
      </c>
      <c r="D414">
        <v>11.692</v>
      </c>
      <c r="E414" s="4">
        <v>3742</v>
      </c>
      <c r="F414" t="str">
        <f>HYPERLINK("https://www.google.com/maps/search/?api=1&amp;query=22.28827317,46.72144073", "View Map")</f>
        <v>View Map</v>
      </c>
    </row>
    <row r="415" spans="1:7" x14ac:dyDescent="0.3">
      <c r="A415" t="s">
        <v>385</v>
      </c>
      <c r="B415" t="s">
        <v>849</v>
      </c>
      <c r="C415" t="s">
        <v>255</v>
      </c>
      <c r="D415">
        <v>11.682</v>
      </c>
      <c r="E415" s="4">
        <v>3738</v>
      </c>
      <c r="F415" t="str">
        <f>HYPERLINK("https://www.google.com/maps/search/?api=1&amp;query=24.92980305,44.713495", "View Map")</f>
        <v>View Map</v>
      </c>
      <c r="G415" s="2">
        <v>0.66540171106426016</v>
      </c>
    </row>
    <row r="416" spans="1:7" x14ac:dyDescent="0.3">
      <c r="A416" t="s">
        <v>860</v>
      </c>
      <c r="B416" t="s">
        <v>861</v>
      </c>
      <c r="C416" t="s">
        <v>8</v>
      </c>
      <c r="D416">
        <v>11.679</v>
      </c>
      <c r="E416" s="4">
        <v>3737</v>
      </c>
      <c r="F416" t="str">
        <f>HYPERLINK("https://www.google.com/maps/search/?api=1&amp;query=24.69569309,46.86418031", "View Map")</f>
        <v>View Map</v>
      </c>
      <c r="G416" s="2">
        <v>0.83434911311124116</v>
      </c>
    </row>
    <row r="417" spans="1:7" x14ac:dyDescent="0.3">
      <c r="A417" t="s">
        <v>924</v>
      </c>
      <c r="B417" t="s">
        <v>925</v>
      </c>
      <c r="C417" t="s">
        <v>30</v>
      </c>
      <c r="D417">
        <v>11.647</v>
      </c>
      <c r="E417" s="4">
        <v>3727</v>
      </c>
      <c r="F417" t="str">
        <f>HYPERLINK("https://www.google.com/maps/search/?api=1&amp;query=24.18819948,47.26896588", "View Map")</f>
        <v>View Map</v>
      </c>
      <c r="G417" s="2">
        <v>0.71818856138303833</v>
      </c>
    </row>
    <row r="418" spans="1:7" x14ac:dyDescent="0.3">
      <c r="A418" t="s">
        <v>893</v>
      </c>
      <c r="B418" t="s">
        <v>894</v>
      </c>
      <c r="C418" t="s">
        <v>8</v>
      </c>
      <c r="D418">
        <v>11.646000000000001</v>
      </c>
      <c r="E418" s="4">
        <v>3727</v>
      </c>
      <c r="F418" t="str">
        <f>HYPERLINK("https://www.google.com/maps/search/?api=1&amp;query=24.7016225,46.6596974", "View Map")</f>
        <v>View Map</v>
      </c>
      <c r="G418" s="2">
        <v>0.65349506115389377</v>
      </c>
    </row>
    <row r="419" spans="1:7" x14ac:dyDescent="0.3">
      <c r="A419" t="s">
        <v>146</v>
      </c>
      <c r="B419" t="s">
        <v>1561</v>
      </c>
      <c r="C419" t="s">
        <v>8</v>
      </c>
      <c r="D419">
        <v>11.638</v>
      </c>
      <c r="E419" s="4">
        <v>3724</v>
      </c>
      <c r="F419" t="str">
        <f>HYPERLINK("https://www.google.com/maps/search/?api=1&amp;query=24.58203389,46.59985164", "View Map")</f>
        <v>View Map</v>
      </c>
      <c r="G419" s="2">
        <v>0.48961826775218892</v>
      </c>
    </row>
    <row r="420" spans="1:7" x14ac:dyDescent="0.3">
      <c r="A420" t="s">
        <v>1479</v>
      </c>
      <c r="B420" t="s">
        <v>1480</v>
      </c>
      <c r="C420" t="s">
        <v>8</v>
      </c>
      <c r="D420">
        <v>11.62</v>
      </c>
      <c r="E420" s="4">
        <v>3719</v>
      </c>
      <c r="F420" t="str">
        <f>HYPERLINK("https://www.google.com/maps/search/?api=1&amp;query=24.80299941,46.71617693", "View Map")</f>
        <v>View Map</v>
      </c>
    </row>
    <row r="421" spans="1:7" x14ac:dyDescent="0.3">
      <c r="A421" t="s">
        <v>693</v>
      </c>
      <c r="B421" t="s">
        <v>694</v>
      </c>
      <c r="C421" t="s">
        <v>55</v>
      </c>
      <c r="D421">
        <v>11.618</v>
      </c>
      <c r="E421" s="4">
        <v>3718</v>
      </c>
      <c r="F421" t="str">
        <f>HYPERLINK("https://www.google.com/maps/search/?api=1&amp;query=24.74393078,46.59568889", "View Map")</f>
        <v>View Map</v>
      </c>
      <c r="G421" s="2">
        <v>0.47329731380269591</v>
      </c>
    </row>
    <row r="422" spans="1:7" x14ac:dyDescent="0.3">
      <c r="A422" t="s">
        <v>146</v>
      </c>
      <c r="B422" t="s">
        <v>866</v>
      </c>
      <c r="C422" t="s">
        <v>8</v>
      </c>
      <c r="D422">
        <v>11.579000000000001</v>
      </c>
      <c r="E422" s="4">
        <v>3705</v>
      </c>
      <c r="F422" t="str">
        <f>HYPERLINK("https://www.google.com/maps/search/?api=1&amp;query=24.55322867,46.62017845", "View Map")</f>
        <v>View Map</v>
      </c>
    </row>
    <row r="423" spans="1:7" x14ac:dyDescent="0.3">
      <c r="A423" t="s">
        <v>793</v>
      </c>
      <c r="B423" t="s">
        <v>794</v>
      </c>
      <c r="C423" t="s">
        <v>8</v>
      </c>
      <c r="D423">
        <v>11.574</v>
      </c>
      <c r="E423" s="4">
        <v>3704</v>
      </c>
      <c r="F423" t="str">
        <f>HYPERLINK("https://www.google.com/maps/search/?api=1&amp;query=24.8161,46.6872", "View Map")</f>
        <v>View Map</v>
      </c>
      <c r="G423" s="2">
        <v>0.39949589823173942</v>
      </c>
    </row>
    <row r="424" spans="1:7" x14ac:dyDescent="0.3">
      <c r="A424" t="s">
        <v>980</v>
      </c>
      <c r="B424" t="s">
        <v>981</v>
      </c>
      <c r="C424" t="s">
        <v>393</v>
      </c>
      <c r="D424">
        <v>11.529</v>
      </c>
      <c r="E424" s="4">
        <v>3689</v>
      </c>
      <c r="F424" t="str">
        <f>HYPERLINK("https://www.google.com/maps/search/?api=1&amp;query=23.54735269,45.48600393", "View Map")</f>
        <v>View Map</v>
      </c>
      <c r="G424" s="2">
        <v>0.71289139804616997</v>
      </c>
    </row>
    <row r="425" spans="1:7" x14ac:dyDescent="0.3">
      <c r="A425" t="s">
        <v>1366</v>
      </c>
      <c r="B425" t="s">
        <v>1367</v>
      </c>
      <c r="C425" t="s">
        <v>8</v>
      </c>
      <c r="D425">
        <v>11.526</v>
      </c>
      <c r="E425" s="4">
        <v>3688</v>
      </c>
      <c r="F425" t="str">
        <f>HYPERLINK("https://www.google.com/maps/search/?api=1&amp;query=24.71435212,46.66846967", "View Map")</f>
        <v>View Map</v>
      </c>
      <c r="G425" s="2">
        <v>0.74306402360511214</v>
      </c>
    </row>
    <row r="426" spans="1:7" x14ac:dyDescent="0.3">
      <c r="A426" t="s">
        <v>926</v>
      </c>
      <c r="B426" t="s">
        <v>927</v>
      </c>
      <c r="C426" t="s">
        <v>30</v>
      </c>
      <c r="D426">
        <v>11.503</v>
      </c>
      <c r="E426" s="4">
        <v>3681</v>
      </c>
      <c r="F426" t="str">
        <f>HYPERLINK("https://www.google.com/maps/search/?api=1&amp;query=24.08650327,47.22018749", "View Map")</f>
        <v>View Map</v>
      </c>
      <c r="G426" s="2">
        <v>0.75716673850032601</v>
      </c>
    </row>
    <row r="427" spans="1:7" x14ac:dyDescent="0.3">
      <c r="A427" t="s">
        <v>46</v>
      </c>
      <c r="B427" t="s">
        <v>1068</v>
      </c>
      <c r="C427" t="s">
        <v>8</v>
      </c>
      <c r="D427">
        <v>11.500999999999999</v>
      </c>
      <c r="E427" s="4">
        <v>3680</v>
      </c>
      <c r="F427" t="str">
        <f>HYPERLINK("https://www.google.com/maps/search/?api=1&amp;query=24.84047586,46.632355", "View Map")</f>
        <v>View Map</v>
      </c>
    </row>
    <row r="428" spans="1:7" x14ac:dyDescent="0.3">
      <c r="A428" t="s">
        <v>545</v>
      </c>
      <c r="B428" t="s">
        <v>546</v>
      </c>
      <c r="C428" t="s">
        <v>8</v>
      </c>
      <c r="D428">
        <v>11.500999999999999</v>
      </c>
      <c r="E428" s="4">
        <v>3680</v>
      </c>
      <c r="F428" t="str">
        <f>HYPERLINK("https://www.google.com/maps/search/?api=1&amp;query=24.66706887,46.74262083", "View Map")</f>
        <v>View Map</v>
      </c>
    </row>
    <row r="429" spans="1:7" x14ac:dyDescent="0.3">
      <c r="A429" t="s">
        <v>1083</v>
      </c>
      <c r="B429" t="s">
        <v>1084</v>
      </c>
      <c r="C429" t="s">
        <v>8</v>
      </c>
      <c r="D429">
        <v>11.5</v>
      </c>
      <c r="E429" s="4">
        <v>3680</v>
      </c>
      <c r="F429" t="str">
        <f>HYPERLINK("https://www.google.com/maps/search/?api=1&amp;query=24.75112788,46.65064676", "View Map")</f>
        <v>View Map</v>
      </c>
      <c r="G429" s="2">
        <v>0.66368442860271071</v>
      </c>
    </row>
    <row r="430" spans="1:7" x14ac:dyDescent="0.3">
      <c r="A430" t="s">
        <v>1347</v>
      </c>
      <c r="B430" t="s">
        <v>1348</v>
      </c>
      <c r="C430" t="s">
        <v>8</v>
      </c>
      <c r="D430">
        <v>11.499000000000001</v>
      </c>
      <c r="E430" s="4">
        <v>3680</v>
      </c>
      <c r="F430" t="str">
        <f>HYPERLINK("https://www.google.com/maps/search/?api=1&amp;query=24.61106184,46.74747155", "View Map")</f>
        <v>View Map</v>
      </c>
    </row>
    <row r="431" spans="1:7" x14ac:dyDescent="0.3">
      <c r="A431" t="s">
        <v>311</v>
      </c>
      <c r="B431" t="s">
        <v>312</v>
      </c>
      <c r="C431" t="s">
        <v>8</v>
      </c>
      <c r="D431">
        <v>11.493</v>
      </c>
      <c r="E431" s="4">
        <v>3678</v>
      </c>
      <c r="F431" t="str">
        <f>HYPERLINK("https://www.google.com/maps/search/?api=1&amp;query=24.63105049,46.7143999", "View Map")</f>
        <v>View Map</v>
      </c>
      <c r="G431" s="2">
        <v>0.18794425960268621</v>
      </c>
    </row>
    <row r="432" spans="1:7" x14ac:dyDescent="0.3">
      <c r="A432" t="s">
        <v>530</v>
      </c>
      <c r="B432" t="s">
        <v>1327</v>
      </c>
      <c r="C432" t="s">
        <v>8</v>
      </c>
      <c r="D432">
        <v>11.46</v>
      </c>
      <c r="E432" s="4">
        <v>3667</v>
      </c>
      <c r="F432" t="str">
        <f>HYPERLINK("https://www.google.com/maps/search/?api=1&amp;query=24.75215275,46.74779009", "View Map")</f>
        <v>View Map</v>
      </c>
      <c r="G432" s="2">
        <v>0.68200628498738458</v>
      </c>
    </row>
    <row r="433" spans="1:7" x14ac:dyDescent="0.3">
      <c r="A433" t="s">
        <v>1077</v>
      </c>
      <c r="B433" t="s">
        <v>1078</v>
      </c>
      <c r="C433" t="s">
        <v>8</v>
      </c>
      <c r="D433">
        <v>11.452</v>
      </c>
      <c r="E433" s="4">
        <v>3665</v>
      </c>
      <c r="F433" t="str">
        <f>HYPERLINK("https://www.google.com/maps/search/?api=1&amp;query=24.71732238,46.77786977", "View Map")</f>
        <v>View Map</v>
      </c>
      <c r="G433" s="2">
        <v>0.52504168244362015</v>
      </c>
    </row>
    <row r="434" spans="1:7" x14ac:dyDescent="0.3">
      <c r="A434" t="s">
        <v>1804</v>
      </c>
      <c r="B434" t="s">
        <v>1805</v>
      </c>
      <c r="C434" t="s">
        <v>286</v>
      </c>
      <c r="D434">
        <v>11.430999999999999</v>
      </c>
      <c r="E434" s="4">
        <v>3658</v>
      </c>
      <c r="F434" t="str">
        <f>HYPERLINK("https://www.google.com/maps/search/?api=1&amp;query=25.2430541,45.25760012", "View Map")</f>
        <v>View Map</v>
      </c>
    </row>
    <row r="435" spans="1:7" x14ac:dyDescent="0.3">
      <c r="A435" t="s">
        <v>146</v>
      </c>
      <c r="B435" t="s">
        <v>1356</v>
      </c>
      <c r="C435" t="s">
        <v>8</v>
      </c>
      <c r="D435">
        <v>11.425000000000001</v>
      </c>
      <c r="E435" s="4">
        <v>3656</v>
      </c>
      <c r="F435" t="str">
        <f>HYPERLINK("https://www.google.com/maps/search/?api=1&amp;query=24.56314833,46.59821793", "View Map")</f>
        <v>View Map</v>
      </c>
    </row>
    <row r="436" spans="1:7" x14ac:dyDescent="0.3">
      <c r="A436" t="s">
        <v>215</v>
      </c>
      <c r="B436" t="s">
        <v>216</v>
      </c>
      <c r="C436" t="s">
        <v>21</v>
      </c>
      <c r="D436">
        <v>11.385999999999999</v>
      </c>
      <c r="E436" s="4">
        <v>3644</v>
      </c>
      <c r="F436" t="str">
        <f>HYPERLINK("https://www.google.com/maps/search/?api=1&amp;query=26.29771037,44.80181185", "View Map")</f>
        <v>View Map</v>
      </c>
    </row>
    <row r="437" spans="1:7" x14ac:dyDescent="0.3">
      <c r="A437" t="s">
        <v>1192</v>
      </c>
      <c r="B437" t="s">
        <v>1193</v>
      </c>
      <c r="C437" t="s">
        <v>8</v>
      </c>
      <c r="D437">
        <v>11.353</v>
      </c>
      <c r="E437" s="4">
        <v>3633</v>
      </c>
      <c r="F437" t="str">
        <f>HYPERLINK("https://www.google.com/maps/search/?api=1&amp;query=24.75329868,46.79574182", "View Map")</f>
        <v>View Map</v>
      </c>
      <c r="G437" s="2">
        <v>0.69821150052191061</v>
      </c>
    </row>
    <row r="438" spans="1:7" x14ac:dyDescent="0.3">
      <c r="A438" t="s">
        <v>1183</v>
      </c>
      <c r="B438" t="s">
        <v>1184</v>
      </c>
      <c r="C438" t="s">
        <v>255</v>
      </c>
      <c r="D438">
        <v>11.337</v>
      </c>
      <c r="E438" s="4">
        <v>3628</v>
      </c>
      <c r="F438" t="str">
        <f>HYPERLINK("https://www.google.com/maps/search/?api=1&amp;query=25.14664767,44.64067248", "View Map")</f>
        <v>View Map</v>
      </c>
      <c r="G438" s="2">
        <v>0.64781908055126536</v>
      </c>
    </row>
    <row r="439" spans="1:7" x14ac:dyDescent="0.3">
      <c r="A439" t="s">
        <v>146</v>
      </c>
      <c r="B439" t="s">
        <v>1328</v>
      </c>
      <c r="C439" t="s">
        <v>8</v>
      </c>
      <c r="D439">
        <v>11.321999999999999</v>
      </c>
      <c r="E439" s="4">
        <v>3623</v>
      </c>
      <c r="F439" t="str">
        <f>HYPERLINK("https://www.google.com/maps/search/?api=1&amp;query=24.56339244,46.59136083", "View Map")</f>
        <v>View Map</v>
      </c>
      <c r="G439" s="2">
        <v>0.46628826369270421</v>
      </c>
    </row>
    <row r="440" spans="1:7" x14ac:dyDescent="0.3">
      <c r="A440" t="s">
        <v>975</v>
      </c>
      <c r="B440" t="s">
        <v>976</v>
      </c>
      <c r="C440" t="s">
        <v>8</v>
      </c>
      <c r="D440">
        <v>11.311999999999999</v>
      </c>
      <c r="E440" s="4">
        <v>3620</v>
      </c>
      <c r="F440" t="str">
        <f>HYPERLINK("https://www.google.com/maps/search/?api=1&amp;query=24.76235781,46.70546629", "View Map")</f>
        <v>View Map</v>
      </c>
      <c r="G440" s="2">
        <v>0.81466882451230793</v>
      </c>
    </row>
    <row r="441" spans="1:7" x14ac:dyDescent="0.3">
      <c r="A441" t="s">
        <v>346</v>
      </c>
      <c r="B441" t="s">
        <v>347</v>
      </c>
      <c r="C441" t="s">
        <v>8</v>
      </c>
      <c r="D441">
        <v>11.308</v>
      </c>
      <c r="E441" s="4">
        <v>3619</v>
      </c>
      <c r="F441" t="str">
        <f>HYPERLINK("https://www.google.com/maps/search/?api=1&amp;query=24.76056813,46.60082157", "View Map")</f>
        <v>View Map</v>
      </c>
      <c r="G441" s="2">
        <v>0.43280814881406282</v>
      </c>
    </row>
    <row r="442" spans="1:7" x14ac:dyDescent="0.3">
      <c r="A442" t="s">
        <v>150</v>
      </c>
      <c r="B442" t="s">
        <v>965</v>
      </c>
      <c r="C442" t="s">
        <v>8</v>
      </c>
      <c r="D442">
        <v>11.307</v>
      </c>
      <c r="E442" s="4">
        <v>3618</v>
      </c>
      <c r="F442" t="str">
        <f>HYPERLINK("https://www.google.com/maps/search/?api=1&amp;query=24.70789208,46.83324805", "View Map")</f>
        <v>View Map</v>
      </c>
      <c r="G442" s="2">
        <v>0.39405885762746479</v>
      </c>
    </row>
    <row r="443" spans="1:7" x14ac:dyDescent="0.3">
      <c r="A443" t="s">
        <v>1185</v>
      </c>
      <c r="B443" t="s">
        <v>1186</v>
      </c>
      <c r="C443" t="s">
        <v>8</v>
      </c>
      <c r="D443">
        <v>11.266</v>
      </c>
      <c r="E443" s="4">
        <v>3605</v>
      </c>
      <c r="F443" t="str">
        <f>HYPERLINK("https://www.google.com/maps/search/?api=1&amp;query=24.68401806,46.67712572", "View Map")</f>
        <v>View Map</v>
      </c>
      <c r="G443" s="2">
        <v>0.53332197195633446</v>
      </c>
    </row>
    <row r="444" spans="1:7" x14ac:dyDescent="0.3">
      <c r="A444" t="s">
        <v>2120</v>
      </c>
      <c r="B444" t="s">
        <v>2121</v>
      </c>
      <c r="C444" t="s">
        <v>8</v>
      </c>
      <c r="D444">
        <v>11.263999999999999</v>
      </c>
      <c r="E444" s="4">
        <v>3604</v>
      </c>
      <c r="F444" t="str">
        <f>HYPERLINK("https://www.google.com/maps/search/?api=1&amp;query=24.58584592,46.66717194", "View Map")</f>
        <v>View Map</v>
      </c>
    </row>
    <row r="445" spans="1:7" x14ac:dyDescent="0.3">
      <c r="A445" t="s">
        <v>1088</v>
      </c>
      <c r="B445" t="s">
        <v>1089</v>
      </c>
      <c r="C445" t="s">
        <v>255</v>
      </c>
      <c r="D445">
        <v>11.244</v>
      </c>
      <c r="E445" s="4">
        <v>3598</v>
      </c>
      <c r="F445" t="str">
        <f>HYPERLINK("https://www.google.com/maps/search/?api=1&amp;query=25.20257864,44.59703068", "View Map")</f>
        <v>View Map</v>
      </c>
      <c r="G445" s="2">
        <v>0.75552003853578098</v>
      </c>
    </row>
    <row r="446" spans="1:7" x14ac:dyDescent="0.3">
      <c r="A446" t="s">
        <v>1535</v>
      </c>
      <c r="B446" t="s">
        <v>1536</v>
      </c>
      <c r="C446" t="s">
        <v>255</v>
      </c>
      <c r="D446">
        <v>11.233000000000001</v>
      </c>
      <c r="E446" s="4">
        <v>3595</v>
      </c>
      <c r="F446" t="str">
        <f>HYPERLINK("https://www.google.com/maps/search/?api=1&amp;query=24.20045799,43.84274351", "View Map")</f>
        <v>View Map</v>
      </c>
      <c r="G446" s="2">
        <v>0.73782585415124613</v>
      </c>
    </row>
    <row r="447" spans="1:7" x14ac:dyDescent="0.3">
      <c r="A447" t="s">
        <v>800</v>
      </c>
      <c r="B447" t="s">
        <v>801</v>
      </c>
      <c r="C447" t="s">
        <v>21</v>
      </c>
      <c r="D447">
        <v>11.23</v>
      </c>
      <c r="E447" s="4">
        <v>3593</v>
      </c>
      <c r="F447" t="str">
        <f>HYPERLINK("https://www.google.com/maps/search/?api=1&amp;query=26.29568917,44.80257633", "View Map")</f>
        <v>View Map</v>
      </c>
      <c r="G447" s="2">
        <v>0.58881353068843478</v>
      </c>
    </row>
    <row r="448" spans="1:7" x14ac:dyDescent="0.3">
      <c r="A448" t="s">
        <v>2489</v>
      </c>
      <c r="B448" t="s">
        <v>2490</v>
      </c>
      <c r="C448" t="s">
        <v>8</v>
      </c>
      <c r="D448">
        <v>11.228</v>
      </c>
      <c r="E448" s="4">
        <v>3593</v>
      </c>
      <c r="F448" t="str">
        <f>HYPERLINK("https://www.google.com/maps/search/?api=1&amp;query=24.75000313,46.74563075", "View Map")</f>
        <v>View Map</v>
      </c>
      <c r="G448" s="2">
        <v>0.71695871307251891</v>
      </c>
    </row>
    <row r="449" spans="1:7" x14ac:dyDescent="0.3">
      <c r="A449" t="s">
        <v>1441</v>
      </c>
      <c r="B449" t="s">
        <v>1442</v>
      </c>
      <c r="C449" t="s">
        <v>241</v>
      </c>
      <c r="D449">
        <v>11.227</v>
      </c>
      <c r="E449" s="4">
        <v>3593</v>
      </c>
      <c r="F449" t="str">
        <f>HYPERLINK("https://www.google.com/maps/search/?api=1&amp;query=20.4337845,44.77963537", "View Map")</f>
        <v>View Map</v>
      </c>
      <c r="G449" s="2">
        <v>0.71148030418357155</v>
      </c>
    </row>
    <row r="450" spans="1:7" x14ac:dyDescent="0.3">
      <c r="A450" t="s">
        <v>1433</v>
      </c>
      <c r="B450" t="s">
        <v>1434</v>
      </c>
      <c r="C450" t="s">
        <v>8</v>
      </c>
      <c r="D450">
        <v>11.22</v>
      </c>
      <c r="E450" s="4">
        <v>3590</v>
      </c>
      <c r="F450" t="str">
        <f>HYPERLINK("https://www.google.com/maps/search/?api=1&amp;query=24.79937955,46.69492821", "View Map")</f>
        <v>View Map</v>
      </c>
      <c r="G450" s="2">
        <v>0.71530394709142275</v>
      </c>
    </row>
    <row r="451" spans="1:7" x14ac:dyDescent="0.3">
      <c r="A451" t="s">
        <v>1850</v>
      </c>
      <c r="B451" t="s">
        <v>1851</v>
      </c>
      <c r="C451" t="s">
        <v>466</v>
      </c>
      <c r="D451">
        <v>11.179</v>
      </c>
      <c r="E451" s="4">
        <v>3577</v>
      </c>
      <c r="F451" t="str">
        <f>HYPERLINK("https://www.google.com/maps/search/?api=1&amp;query=24.49430456,46.15889781", "View Map")</f>
        <v>View Map</v>
      </c>
      <c r="G451" s="2">
        <v>0.72832476838557003</v>
      </c>
    </row>
    <row r="452" spans="1:7" x14ac:dyDescent="0.3">
      <c r="A452" t="s">
        <v>1085</v>
      </c>
      <c r="B452" t="s">
        <v>1086</v>
      </c>
      <c r="C452" t="s">
        <v>291</v>
      </c>
      <c r="D452">
        <v>11.154</v>
      </c>
      <c r="E452" s="4">
        <v>3569</v>
      </c>
      <c r="F452" t="str">
        <f>HYPERLINK("https://www.google.com/maps/search/?api=1&amp;query=23.66352275,44.72388227", "View Map")</f>
        <v>View Map</v>
      </c>
      <c r="G452" s="2">
        <v>0.73135725332423396</v>
      </c>
    </row>
    <row r="453" spans="1:7" x14ac:dyDescent="0.3">
      <c r="A453" t="s">
        <v>985</v>
      </c>
      <c r="B453" t="s">
        <v>986</v>
      </c>
      <c r="C453" t="s">
        <v>8</v>
      </c>
      <c r="D453">
        <v>11.151999999999999</v>
      </c>
      <c r="E453" s="4">
        <v>3569</v>
      </c>
      <c r="F453" t="str">
        <f>HYPERLINK("https://www.google.com/maps/search/?api=1&amp;query=24.73936669,46.60787857", "View Map")</f>
        <v>View Map</v>
      </c>
      <c r="G453" s="2">
        <v>0.3715227620614342</v>
      </c>
    </row>
    <row r="454" spans="1:7" x14ac:dyDescent="0.3">
      <c r="A454" t="s">
        <v>479</v>
      </c>
      <c r="B454" t="s">
        <v>480</v>
      </c>
      <c r="C454" t="s">
        <v>364</v>
      </c>
      <c r="D454">
        <v>11.15</v>
      </c>
      <c r="E454" s="4">
        <v>3568</v>
      </c>
      <c r="F454" t="str">
        <f>HYPERLINK("https://www.google.com/maps/search/?api=1&amp;query=25.16284177,45.79747487", "View Map")</f>
        <v>View Map</v>
      </c>
      <c r="G454" s="2">
        <v>0.40411370335807079</v>
      </c>
    </row>
    <row r="455" spans="1:7" x14ac:dyDescent="0.3">
      <c r="A455" t="s">
        <v>2406</v>
      </c>
      <c r="B455" t="s">
        <v>2407</v>
      </c>
      <c r="C455" t="s">
        <v>8</v>
      </c>
      <c r="D455">
        <v>11.135</v>
      </c>
      <c r="E455" s="4">
        <v>3563</v>
      </c>
      <c r="F455" t="str">
        <f>HYPERLINK("https://www.google.com/maps/search/?api=1&amp;query=24.7786849,46.77117956", "View Map")</f>
        <v>View Map</v>
      </c>
      <c r="G455" s="2">
        <v>0.42150872967094011</v>
      </c>
    </row>
    <row r="456" spans="1:7" x14ac:dyDescent="0.3">
      <c r="A456" t="s">
        <v>1066</v>
      </c>
      <c r="B456" t="s">
        <v>1067</v>
      </c>
      <c r="C456" t="s">
        <v>8</v>
      </c>
      <c r="D456">
        <v>11.115</v>
      </c>
      <c r="E456" s="4">
        <v>3557</v>
      </c>
      <c r="F456" t="str">
        <f>HYPERLINK("https://www.google.com/maps/search/?api=1&amp;query=24.80888206,46.62844027", "View Map")</f>
        <v>View Map</v>
      </c>
      <c r="G456" s="2">
        <v>0.64527509257946225</v>
      </c>
    </row>
    <row r="457" spans="1:7" x14ac:dyDescent="0.3">
      <c r="A457" t="s">
        <v>46</v>
      </c>
      <c r="B457" t="s">
        <v>827</v>
      </c>
      <c r="C457" t="s">
        <v>55</v>
      </c>
      <c r="D457">
        <v>11.108000000000001</v>
      </c>
      <c r="E457" s="4">
        <v>3555</v>
      </c>
      <c r="F457" t="str">
        <f>HYPERLINK("https://www.google.com/maps/search/?api=1&amp;query=24.77969,46.56469", "View Map")</f>
        <v>View Map</v>
      </c>
    </row>
    <row r="458" spans="1:7" x14ac:dyDescent="0.3">
      <c r="A458" t="s">
        <v>1343</v>
      </c>
      <c r="B458" t="s">
        <v>1344</v>
      </c>
      <c r="C458" t="s">
        <v>8</v>
      </c>
      <c r="D458">
        <v>11.103</v>
      </c>
      <c r="E458" s="4">
        <v>3553</v>
      </c>
      <c r="F458" t="str">
        <f>HYPERLINK("https://www.google.com/maps/search/?api=1&amp;query=24.65104427,46.81195515", "View Map")</f>
        <v>View Map</v>
      </c>
      <c r="G458" s="2">
        <v>0.52951815264207613</v>
      </c>
    </row>
    <row r="459" spans="1:7" x14ac:dyDescent="0.3">
      <c r="A459" t="s">
        <v>1294</v>
      </c>
      <c r="B459" t="s">
        <v>1295</v>
      </c>
      <c r="C459" t="s">
        <v>8</v>
      </c>
      <c r="D459">
        <v>11.086</v>
      </c>
      <c r="E459" s="4">
        <v>3547</v>
      </c>
      <c r="F459" t="str">
        <f>HYPERLINK("https://www.google.com/maps/search/?api=1&amp;query=24.60057902,46.67514172", "View Map")</f>
        <v>View Map</v>
      </c>
    </row>
    <row r="460" spans="1:7" x14ac:dyDescent="0.3">
      <c r="A460" t="s">
        <v>358</v>
      </c>
      <c r="B460" t="s">
        <v>3034</v>
      </c>
      <c r="C460" t="s">
        <v>8</v>
      </c>
      <c r="D460">
        <v>11.082000000000001</v>
      </c>
      <c r="E460" s="4">
        <v>3546</v>
      </c>
      <c r="F460" t="str">
        <f>HYPERLINK("https://www.google.com/maps/search/?api=1&amp;query=24.79630775,46.7139173", "View Map")</f>
        <v>View Map</v>
      </c>
      <c r="G460" s="2">
        <v>0.55815946916796511</v>
      </c>
    </row>
    <row r="461" spans="1:7" x14ac:dyDescent="0.3">
      <c r="A461" t="s">
        <v>1359</v>
      </c>
      <c r="B461" t="s">
        <v>1360</v>
      </c>
      <c r="C461" t="s">
        <v>8</v>
      </c>
      <c r="D461">
        <v>11.079000000000001</v>
      </c>
      <c r="E461" s="4">
        <v>3545</v>
      </c>
      <c r="F461" t="str">
        <f>HYPERLINK("https://www.google.com/maps/search/?api=1&amp;query=24.79910457,46.76993008", "View Map")</f>
        <v>View Map</v>
      </c>
      <c r="G461" s="2">
        <v>0.52623570771048578</v>
      </c>
    </row>
    <row r="462" spans="1:7" x14ac:dyDescent="0.3">
      <c r="A462" t="s">
        <v>1046</v>
      </c>
      <c r="B462" t="s">
        <v>1047</v>
      </c>
      <c r="C462" t="s">
        <v>8</v>
      </c>
      <c r="D462">
        <v>11.074</v>
      </c>
      <c r="E462" s="4">
        <v>3544</v>
      </c>
      <c r="F462" t="str">
        <f>HYPERLINK("https://www.google.com/maps/search/?api=1&amp;query=24.71303789,46.81407533", "View Map")</f>
        <v>View Map</v>
      </c>
    </row>
    <row r="463" spans="1:7" x14ac:dyDescent="0.3">
      <c r="A463" t="s">
        <v>997</v>
      </c>
      <c r="B463" t="s">
        <v>998</v>
      </c>
      <c r="C463" t="s">
        <v>8</v>
      </c>
      <c r="D463">
        <v>11.071</v>
      </c>
      <c r="E463" s="4">
        <v>3543</v>
      </c>
      <c r="F463" t="str">
        <f>HYPERLINK("https://www.google.com/maps/search/?api=1&amp;query=24.77136132,46.77601617", "View Map")</f>
        <v>View Map</v>
      </c>
      <c r="G463" s="2">
        <v>0.76850191024142911</v>
      </c>
    </row>
    <row r="464" spans="1:7" x14ac:dyDescent="0.3">
      <c r="A464" t="s">
        <v>1038</v>
      </c>
      <c r="B464" t="s">
        <v>1039</v>
      </c>
      <c r="C464" t="s">
        <v>8</v>
      </c>
      <c r="D464">
        <v>11.026</v>
      </c>
      <c r="E464" s="4">
        <v>3528</v>
      </c>
      <c r="F464" t="str">
        <f>HYPERLINK("https://www.google.com/maps/search/?api=1&amp;query=24.77764025,46.70036209", "View Map")</f>
        <v>View Map</v>
      </c>
      <c r="G464" s="2">
        <v>0.71017764044167331</v>
      </c>
    </row>
    <row r="465" spans="1:7" x14ac:dyDescent="0.3">
      <c r="A465" t="s">
        <v>635</v>
      </c>
      <c r="B465" t="s">
        <v>636</v>
      </c>
      <c r="C465" t="s">
        <v>8</v>
      </c>
      <c r="D465">
        <v>11.021000000000001</v>
      </c>
      <c r="E465" s="4">
        <v>3527</v>
      </c>
      <c r="F465" t="str">
        <f>HYPERLINK("https://www.google.com/maps/search/?api=1&amp;query=24.80553186,46.76491938", "View Map")</f>
        <v>View Map</v>
      </c>
    </row>
    <row r="466" spans="1:7" x14ac:dyDescent="0.3">
      <c r="A466" t="s">
        <v>889</v>
      </c>
      <c r="B466" t="s">
        <v>1199</v>
      </c>
      <c r="C466" t="s">
        <v>8</v>
      </c>
      <c r="D466">
        <v>11.005000000000001</v>
      </c>
      <c r="E466" s="4">
        <v>3522</v>
      </c>
      <c r="F466" t="str">
        <f>HYPERLINK("https://www.google.com/maps/search/?api=1&amp;query=24.75797935,46.63136185", "View Map")</f>
        <v>View Map</v>
      </c>
      <c r="G466" s="2">
        <v>0.43133258520035678</v>
      </c>
    </row>
    <row r="467" spans="1:7" x14ac:dyDescent="0.3">
      <c r="A467" t="s">
        <v>3709</v>
      </c>
      <c r="B467" t="s">
        <v>3710</v>
      </c>
      <c r="C467" t="s">
        <v>8</v>
      </c>
      <c r="D467">
        <v>10.999000000000001</v>
      </c>
      <c r="E467" s="4">
        <v>3520</v>
      </c>
      <c r="F467" t="str">
        <f>HYPERLINK("https://www.google.com/maps/search/?api=1&amp;query=24.68783706,46.67492904", "View Map")</f>
        <v>View Map</v>
      </c>
    </row>
    <row r="468" spans="1:7" x14ac:dyDescent="0.3">
      <c r="A468" t="s">
        <v>889</v>
      </c>
      <c r="B468" t="s">
        <v>1283</v>
      </c>
      <c r="C468" t="s">
        <v>8</v>
      </c>
      <c r="D468">
        <v>10.987</v>
      </c>
      <c r="E468" s="4">
        <v>3516</v>
      </c>
      <c r="F468" t="str">
        <f>HYPERLINK("https://www.google.com/maps/search/?api=1&amp;query=24.75870156,46.62421305", "View Map")</f>
        <v>View Map</v>
      </c>
      <c r="G468" s="2">
        <v>0.53942960388310102</v>
      </c>
    </row>
    <row r="469" spans="1:7" x14ac:dyDescent="0.3">
      <c r="A469" t="s">
        <v>997</v>
      </c>
      <c r="B469" t="s">
        <v>1014</v>
      </c>
      <c r="C469" t="s">
        <v>8</v>
      </c>
      <c r="D469">
        <v>10.972</v>
      </c>
      <c r="E469" s="4">
        <v>3511</v>
      </c>
      <c r="F469" t="str">
        <f>HYPERLINK("https://www.google.com/maps/search/?api=1&amp;query=24.77136506,46.77602207", "View Map")</f>
        <v>View Map</v>
      </c>
      <c r="G469" s="2">
        <v>0.74005555399769496</v>
      </c>
    </row>
    <row r="470" spans="1:7" x14ac:dyDescent="0.3">
      <c r="A470" t="s">
        <v>936</v>
      </c>
      <c r="B470" t="s">
        <v>937</v>
      </c>
      <c r="C470" t="s">
        <v>8</v>
      </c>
      <c r="D470">
        <v>10.968999999999999</v>
      </c>
      <c r="E470" s="4">
        <v>3510</v>
      </c>
      <c r="F470" t="str">
        <f>HYPERLINK("https://www.google.com/maps/search/?api=1&amp;query=24.57850436,46.70339837", "View Map")</f>
        <v>View Map</v>
      </c>
      <c r="G470" s="2">
        <v>0.87766116338112976</v>
      </c>
    </row>
    <row r="471" spans="1:7" x14ac:dyDescent="0.3">
      <c r="A471" t="s">
        <v>1073</v>
      </c>
      <c r="B471" t="s">
        <v>1074</v>
      </c>
      <c r="C471" t="s">
        <v>291</v>
      </c>
      <c r="D471">
        <v>10.944000000000001</v>
      </c>
      <c r="E471" s="4">
        <v>3502</v>
      </c>
      <c r="F471" t="str">
        <f>HYPERLINK("https://www.google.com/maps/search/?api=1&amp;query=24.33484622,45.80896281", "View Map")</f>
        <v>View Map</v>
      </c>
      <c r="G471" s="2">
        <v>0.63295315211104697</v>
      </c>
    </row>
    <row r="472" spans="1:7" x14ac:dyDescent="0.3">
      <c r="A472" t="s">
        <v>680</v>
      </c>
      <c r="B472" t="s">
        <v>681</v>
      </c>
      <c r="C472" t="s">
        <v>8</v>
      </c>
      <c r="D472">
        <v>10.901999999999999</v>
      </c>
      <c r="E472" s="4">
        <v>3489</v>
      </c>
      <c r="F472" t="str">
        <f>HYPERLINK("https://www.google.com/maps/search/?api=1&amp;query=24.601876,46.648235", "View Map")</f>
        <v>View Map</v>
      </c>
      <c r="G472" s="2">
        <v>0.43402487176840421</v>
      </c>
    </row>
    <row r="473" spans="1:7" x14ac:dyDescent="0.3">
      <c r="A473" t="s">
        <v>5526</v>
      </c>
      <c r="B473" t="s">
        <v>5527</v>
      </c>
      <c r="C473" t="s">
        <v>8</v>
      </c>
      <c r="D473">
        <v>10.901</v>
      </c>
      <c r="E473" s="4">
        <v>3488</v>
      </c>
      <c r="F473" t="str">
        <f>HYPERLINK("https://www.google.com/maps/search/?api=1&amp;query=24.8092,46.63193", "View Map")</f>
        <v>View Map</v>
      </c>
      <c r="G473" s="2">
        <v>0.44904028523629352</v>
      </c>
    </row>
    <row r="474" spans="1:7" x14ac:dyDescent="0.3">
      <c r="A474" t="s">
        <v>350</v>
      </c>
      <c r="B474" t="s">
        <v>351</v>
      </c>
      <c r="C474" t="s">
        <v>21</v>
      </c>
      <c r="D474">
        <v>10.877000000000001</v>
      </c>
      <c r="E474" s="4">
        <v>3481</v>
      </c>
      <c r="F474" t="str">
        <f>HYPERLINK("https://www.google.com/maps/search/?api=1&amp;query=26.30417011,44.80322836", "View Map")</f>
        <v>View Map</v>
      </c>
      <c r="G474" s="2">
        <v>0.24656825516339409</v>
      </c>
    </row>
    <row r="475" spans="1:7" x14ac:dyDescent="0.3">
      <c r="A475" t="s">
        <v>1284</v>
      </c>
      <c r="B475" t="s">
        <v>1285</v>
      </c>
      <c r="C475" t="s">
        <v>8</v>
      </c>
      <c r="D475">
        <v>10.872999999999999</v>
      </c>
      <c r="E475" s="4">
        <v>3479</v>
      </c>
      <c r="F475" t="str">
        <f>HYPERLINK("https://www.google.com/maps/search/?api=1&amp;query=24.66450296,46.70559509", "View Map")</f>
        <v>View Map</v>
      </c>
    </row>
    <row r="476" spans="1:7" x14ac:dyDescent="0.3">
      <c r="A476" t="s">
        <v>1820</v>
      </c>
      <c r="B476" t="s">
        <v>1821</v>
      </c>
      <c r="C476" t="s">
        <v>8</v>
      </c>
      <c r="D476">
        <v>10.849</v>
      </c>
      <c r="E476" s="4">
        <v>3472</v>
      </c>
      <c r="F476" t="str">
        <f>HYPERLINK("https://www.google.com/maps/search/?api=1&amp;query=24.80815684,46.64779408", "View Map")</f>
        <v>View Map</v>
      </c>
      <c r="G476" s="2">
        <v>0.6503639192140569</v>
      </c>
    </row>
    <row r="477" spans="1:7" x14ac:dyDescent="0.3">
      <c r="A477" t="s">
        <v>895</v>
      </c>
      <c r="B477" t="s">
        <v>896</v>
      </c>
      <c r="C477" t="s">
        <v>8</v>
      </c>
      <c r="D477">
        <v>10.837999999999999</v>
      </c>
      <c r="E477" s="4">
        <v>3468</v>
      </c>
      <c r="F477" t="str">
        <f>HYPERLINK("https://www.google.com/maps/search/?api=1&amp;query=24.75013626,46.71003316", "View Map")</f>
        <v>View Map</v>
      </c>
      <c r="G477" s="2">
        <v>0.52025853269481437</v>
      </c>
    </row>
    <row r="478" spans="1:7" x14ac:dyDescent="0.3">
      <c r="A478" t="s">
        <v>795</v>
      </c>
      <c r="B478" t="s">
        <v>796</v>
      </c>
      <c r="C478" t="s">
        <v>8</v>
      </c>
      <c r="D478">
        <v>10.837</v>
      </c>
      <c r="E478" s="4">
        <v>3468</v>
      </c>
      <c r="F478" t="str">
        <f>HYPERLINK("https://www.google.com/maps/search/?api=1&amp;query=24.70531838,46.76942957", "View Map")</f>
        <v>View Map</v>
      </c>
      <c r="G478" s="2">
        <v>0.47831661434350942</v>
      </c>
    </row>
    <row r="479" spans="1:7" x14ac:dyDescent="0.3">
      <c r="A479" t="s">
        <v>354</v>
      </c>
      <c r="B479" t="s">
        <v>355</v>
      </c>
      <c r="C479" t="s">
        <v>8</v>
      </c>
      <c r="D479">
        <v>10.823</v>
      </c>
      <c r="E479" s="4">
        <v>3463</v>
      </c>
      <c r="F479" t="str">
        <f>HYPERLINK("https://www.google.com/maps/search/?api=1&amp;query=24.7370575,46.71942659", "View Map")</f>
        <v>View Map</v>
      </c>
      <c r="G479" s="2">
        <v>0.2302466856282791</v>
      </c>
    </row>
    <row r="480" spans="1:7" x14ac:dyDescent="0.3">
      <c r="A480" t="s">
        <v>1118</v>
      </c>
      <c r="B480" t="s">
        <v>1119</v>
      </c>
      <c r="C480" t="s">
        <v>8</v>
      </c>
      <c r="D480">
        <v>10.821999999999999</v>
      </c>
      <c r="E480" s="4">
        <v>3463</v>
      </c>
      <c r="F480" t="str">
        <f>HYPERLINK("https://www.google.com/maps/search/?api=1&amp;query=24.80948888,46.63975357", "View Map")</f>
        <v>View Map</v>
      </c>
      <c r="G480" s="2">
        <v>0.76310955263511626</v>
      </c>
    </row>
    <row r="481" spans="1:7" x14ac:dyDescent="0.3">
      <c r="A481" t="s">
        <v>1036</v>
      </c>
      <c r="B481" t="s">
        <v>1037</v>
      </c>
      <c r="C481" t="s">
        <v>8</v>
      </c>
      <c r="D481">
        <v>10.821999999999999</v>
      </c>
      <c r="E481" s="4">
        <v>3463</v>
      </c>
      <c r="F481" t="str">
        <f>HYPERLINK("https://www.google.com/maps/search/?api=1&amp;query=24.69985,46.61384", "View Map")</f>
        <v>View Map</v>
      </c>
      <c r="G481" s="2">
        <v>0.6858499937195307</v>
      </c>
    </row>
    <row r="482" spans="1:7" x14ac:dyDescent="0.3">
      <c r="A482" t="s">
        <v>1472</v>
      </c>
      <c r="B482" t="s">
        <v>1473</v>
      </c>
      <c r="C482" t="s">
        <v>8</v>
      </c>
      <c r="D482">
        <v>10.82</v>
      </c>
      <c r="E482" s="4">
        <v>3462</v>
      </c>
      <c r="F482" t="str">
        <f>HYPERLINK("https://www.google.com/maps/search/?api=1&amp;query=24.62227973,46.52827251", "View Map")</f>
        <v>View Map</v>
      </c>
      <c r="G482" s="2">
        <v>0.74611167986637672</v>
      </c>
    </row>
    <row r="483" spans="1:7" x14ac:dyDescent="0.3">
      <c r="A483" t="s">
        <v>1514</v>
      </c>
      <c r="B483" t="s">
        <v>1515</v>
      </c>
      <c r="C483" t="s">
        <v>291</v>
      </c>
      <c r="D483">
        <v>10.802</v>
      </c>
      <c r="E483" s="4">
        <v>3457</v>
      </c>
      <c r="F483" t="str">
        <f>HYPERLINK("https://www.google.com/maps/search/?api=1&amp;query=23.76516473,44.72807497", "View Map")</f>
        <v>View Map</v>
      </c>
      <c r="G483" s="2">
        <v>0.54518877127601917</v>
      </c>
    </row>
    <row r="484" spans="1:7" x14ac:dyDescent="0.3">
      <c r="A484" t="s">
        <v>6663</v>
      </c>
      <c r="B484" t="s">
        <v>6664</v>
      </c>
      <c r="C484" t="s">
        <v>270</v>
      </c>
      <c r="D484">
        <v>10.795</v>
      </c>
      <c r="E484" s="4">
        <v>3454</v>
      </c>
      <c r="F484" t="str">
        <f>HYPERLINK("https://www.google.com/maps/search/?api=1&amp;query=24.07670621,47.16687189", "View Map")</f>
        <v>View Map</v>
      </c>
    </row>
    <row r="485" spans="1:7" x14ac:dyDescent="0.3">
      <c r="A485" t="s">
        <v>150</v>
      </c>
      <c r="B485" t="s">
        <v>1179</v>
      </c>
      <c r="C485" t="s">
        <v>8</v>
      </c>
      <c r="D485">
        <v>10.77</v>
      </c>
      <c r="E485" s="4">
        <v>3446</v>
      </c>
      <c r="F485" t="str">
        <f>HYPERLINK("https://www.google.com/maps/search/?api=1&amp;query=24.83148734,46.88593313", "View Map")</f>
        <v>View Map</v>
      </c>
      <c r="G485" s="2">
        <v>0.82968647104875015</v>
      </c>
    </row>
    <row r="486" spans="1:7" x14ac:dyDescent="0.3">
      <c r="A486" t="s">
        <v>523</v>
      </c>
      <c r="B486" t="s">
        <v>9004</v>
      </c>
      <c r="C486" t="s">
        <v>8</v>
      </c>
      <c r="D486">
        <v>10.722</v>
      </c>
      <c r="E486" s="4">
        <v>3431</v>
      </c>
      <c r="F486" t="str">
        <f>HYPERLINK("https://www.google.com/maps/search/?api=1&amp;query=24.72942312,46.6485086", "View Map")</f>
        <v>View Map</v>
      </c>
      <c r="G486" s="2">
        <v>0.90114733393264446</v>
      </c>
    </row>
    <row r="487" spans="1:7" x14ac:dyDescent="0.3">
      <c r="A487" t="s">
        <v>4497</v>
      </c>
      <c r="B487" t="s">
        <v>4498</v>
      </c>
      <c r="C487" t="s">
        <v>8</v>
      </c>
      <c r="D487">
        <v>10.72</v>
      </c>
      <c r="E487" s="4">
        <v>3430</v>
      </c>
      <c r="F487" t="str">
        <f>HYPERLINK("https://www.google.com/maps/search/?api=1&amp;query=24.61961669,46.73371283", "View Map")</f>
        <v>View Map</v>
      </c>
      <c r="G487" s="2">
        <v>0.53440391546107124</v>
      </c>
    </row>
    <row r="488" spans="1:7" x14ac:dyDescent="0.3">
      <c r="A488" t="s">
        <v>1156</v>
      </c>
      <c r="B488" t="s">
        <v>1157</v>
      </c>
      <c r="C488" t="s">
        <v>8</v>
      </c>
      <c r="D488">
        <v>10.718</v>
      </c>
      <c r="E488" s="4">
        <v>3430</v>
      </c>
      <c r="F488" t="str">
        <f>HYPERLINK("https://www.google.com/maps/search/?api=1&amp;query=24.7526,46.70686", "View Map")</f>
        <v>View Map</v>
      </c>
      <c r="G488" s="2">
        <v>0.69696973088953673</v>
      </c>
    </row>
    <row r="489" spans="1:7" x14ac:dyDescent="0.3">
      <c r="A489" t="s">
        <v>46</v>
      </c>
      <c r="B489" t="s">
        <v>5326</v>
      </c>
      <c r="C489" t="s">
        <v>8</v>
      </c>
      <c r="D489">
        <v>10.694000000000001</v>
      </c>
      <c r="E489" s="4">
        <v>3422</v>
      </c>
      <c r="F489" t="str">
        <f>HYPERLINK("https://www.google.com/maps/search/?api=1&amp;query=24.8446098,46.76920555", "View Map")</f>
        <v>View Map</v>
      </c>
      <c r="G489" s="2">
        <v>0.41171812537624169</v>
      </c>
    </row>
    <row r="490" spans="1:7" x14ac:dyDescent="0.3">
      <c r="A490" t="s">
        <v>1568</v>
      </c>
      <c r="B490" t="s">
        <v>1569</v>
      </c>
      <c r="C490" t="s">
        <v>8</v>
      </c>
      <c r="D490">
        <v>10.676</v>
      </c>
      <c r="E490" s="4">
        <v>3416</v>
      </c>
      <c r="F490" t="str">
        <f>HYPERLINK("https://www.google.com/maps/search/?api=1&amp;query=24.73790389,46.71423975", "View Map")</f>
        <v>View Map</v>
      </c>
      <c r="G490" s="2">
        <v>0.76175401477852089</v>
      </c>
    </row>
    <row r="491" spans="1:7" x14ac:dyDescent="0.3">
      <c r="A491" t="s">
        <v>1267</v>
      </c>
      <c r="B491" t="s">
        <v>1268</v>
      </c>
      <c r="C491" t="s">
        <v>21</v>
      </c>
      <c r="D491">
        <v>10.663</v>
      </c>
      <c r="E491" s="4">
        <v>3412</v>
      </c>
      <c r="F491" t="str">
        <f>HYPERLINK("https://www.google.com/maps/search/?api=1&amp;query=26.29920334,44.80223512", "View Map")</f>
        <v>View Map</v>
      </c>
      <c r="G491" s="2">
        <v>0.77247851447595695</v>
      </c>
    </row>
    <row r="492" spans="1:7" x14ac:dyDescent="0.3">
      <c r="A492" t="s">
        <v>249</v>
      </c>
      <c r="B492" t="s">
        <v>250</v>
      </c>
      <c r="C492" t="s">
        <v>8</v>
      </c>
      <c r="D492">
        <v>10.632999999999999</v>
      </c>
      <c r="E492" s="4">
        <v>3402</v>
      </c>
      <c r="F492" t="str">
        <f>HYPERLINK("https://www.google.com/maps/search/?api=1&amp;query=24.77467428,46.65619389", "View Map")</f>
        <v>View Map</v>
      </c>
      <c r="G492" s="2">
        <v>0.30549433158163208</v>
      </c>
    </row>
    <row r="493" spans="1:7" x14ac:dyDescent="0.3">
      <c r="A493" t="s">
        <v>369</v>
      </c>
      <c r="B493" t="s">
        <v>370</v>
      </c>
      <c r="C493" t="s">
        <v>8</v>
      </c>
      <c r="D493">
        <v>10.576000000000001</v>
      </c>
      <c r="E493" s="4">
        <v>3384</v>
      </c>
      <c r="F493" t="str">
        <f>HYPERLINK("https://www.google.com/maps/search/?api=1&amp;query=24.76167728,46.65921951", "View Map")</f>
        <v>View Map</v>
      </c>
      <c r="G493" s="2">
        <v>0.45044280840871581</v>
      </c>
    </row>
    <row r="494" spans="1:7" x14ac:dyDescent="0.3">
      <c r="A494" t="s">
        <v>1461</v>
      </c>
      <c r="B494" t="s">
        <v>1462</v>
      </c>
      <c r="C494" t="s">
        <v>8</v>
      </c>
      <c r="D494">
        <v>10.547000000000001</v>
      </c>
      <c r="E494" s="4">
        <v>3375</v>
      </c>
      <c r="F494" t="str">
        <f>HYPERLINK("https://www.google.com/maps/search/?api=1&amp;query=24.87572,46.58971", "View Map")</f>
        <v>View Map</v>
      </c>
      <c r="G494" s="2">
        <v>0.51783511804202054</v>
      </c>
    </row>
    <row r="495" spans="1:7" x14ac:dyDescent="0.3">
      <c r="A495" t="s">
        <v>1241</v>
      </c>
      <c r="B495" t="s">
        <v>1242</v>
      </c>
      <c r="C495" t="s">
        <v>646</v>
      </c>
      <c r="D495">
        <v>10.535</v>
      </c>
      <c r="E495" s="4">
        <v>3371</v>
      </c>
      <c r="F495" t="str">
        <f>HYPERLINK("https://www.google.com/maps/search/?api=1&amp;query=20.46089548,45.54705527", "View Map")</f>
        <v>View Map</v>
      </c>
      <c r="G495" s="2">
        <v>0.93515349337698483</v>
      </c>
    </row>
    <row r="496" spans="1:7" x14ac:dyDescent="0.3">
      <c r="A496" t="s">
        <v>2267</v>
      </c>
      <c r="B496" t="s">
        <v>2268</v>
      </c>
      <c r="C496" t="s">
        <v>8</v>
      </c>
      <c r="D496">
        <v>10.518000000000001</v>
      </c>
      <c r="E496" s="4">
        <v>3366</v>
      </c>
      <c r="F496" t="str">
        <f>HYPERLINK("https://www.google.com/maps/search/?api=1&amp;query=24.72332361,46.79331423", "View Map")</f>
        <v>View Map</v>
      </c>
      <c r="G496" s="2">
        <v>0.42361008010680912</v>
      </c>
    </row>
    <row r="497" spans="1:7" x14ac:dyDescent="0.3">
      <c r="A497" t="s">
        <v>2528</v>
      </c>
      <c r="B497" t="s">
        <v>2529</v>
      </c>
      <c r="C497" t="s">
        <v>8</v>
      </c>
      <c r="D497">
        <v>10.497</v>
      </c>
      <c r="E497" s="4">
        <v>3359</v>
      </c>
      <c r="F497" t="str">
        <f>HYPERLINK("https://www.google.com/maps/search/?api=1&amp;query=24.69966945,46.76617788", "View Map")</f>
        <v>View Map</v>
      </c>
      <c r="G497" s="2">
        <v>0.58265727023238167</v>
      </c>
    </row>
    <row r="498" spans="1:7" x14ac:dyDescent="0.3">
      <c r="A498" t="s">
        <v>1633</v>
      </c>
      <c r="B498" t="s">
        <v>1634</v>
      </c>
      <c r="C498" t="s">
        <v>8</v>
      </c>
      <c r="D498">
        <v>10.49</v>
      </c>
      <c r="E498" s="4">
        <v>3357</v>
      </c>
      <c r="F498" t="str">
        <f>HYPERLINK("https://www.google.com/maps/search/?api=1&amp;query=24.62920244,46.74461055", "View Map")</f>
        <v>View Map</v>
      </c>
    </row>
    <row r="499" spans="1:7" x14ac:dyDescent="0.3">
      <c r="A499" t="s">
        <v>46</v>
      </c>
      <c r="B499" t="s">
        <v>2161</v>
      </c>
      <c r="C499" t="s">
        <v>8</v>
      </c>
      <c r="D499">
        <v>10.46</v>
      </c>
      <c r="E499" s="4">
        <v>3347</v>
      </c>
      <c r="F499" t="str">
        <f>HYPERLINK("https://www.google.com/maps/search/?api=1&amp;query=24.8797477,46.60346858", "View Map")</f>
        <v>View Map</v>
      </c>
    </row>
    <row r="500" spans="1:7" x14ac:dyDescent="0.3">
      <c r="A500" t="s">
        <v>934</v>
      </c>
      <c r="B500" t="s">
        <v>935</v>
      </c>
      <c r="C500" t="s">
        <v>8</v>
      </c>
      <c r="D500">
        <v>10.445</v>
      </c>
      <c r="E500" s="4">
        <v>3343</v>
      </c>
      <c r="F500" t="str">
        <f>HYPERLINK("https://www.google.com/maps/search/?api=1&amp;query=24.64718083,46.81012662", "View Map")</f>
        <v>View Map</v>
      </c>
      <c r="G500" s="2">
        <v>0.73935598814813774</v>
      </c>
    </row>
    <row r="501" spans="1:7" x14ac:dyDescent="0.3">
      <c r="A501" t="s">
        <v>1476</v>
      </c>
      <c r="B501" t="s">
        <v>1477</v>
      </c>
      <c r="C501" t="s">
        <v>30</v>
      </c>
      <c r="D501">
        <v>10.420999999999999</v>
      </c>
      <c r="E501" s="4">
        <v>3335</v>
      </c>
      <c r="F501" t="str">
        <f>HYPERLINK("https://www.google.com/maps/search/?api=1&amp;query=24.13855392,47.28682893", "View Map")</f>
        <v>View Map</v>
      </c>
      <c r="G501" s="2">
        <v>0.74332905207478628</v>
      </c>
    </row>
    <row r="502" spans="1:7" x14ac:dyDescent="0.3">
      <c r="A502" t="s">
        <v>990</v>
      </c>
      <c r="B502" t="s">
        <v>1288</v>
      </c>
      <c r="C502" t="s">
        <v>8</v>
      </c>
      <c r="D502">
        <v>10.411</v>
      </c>
      <c r="E502" s="4">
        <v>3331</v>
      </c>
      <c r="F502" t="str">
        <f>HYPERLINK("https://www.google.com/maps/search/?api=1&amp;query=24.69494106,46.78543914", "View Map")</f>
        <v>View Map</v>
      </c>
      <c r="G502" s="2">
        <v>0.67732387693599494</v>
      </c>
    </row>
    <row r="503" spans="1:7" x14ac:dyDescent="0.3">
      <c r="A503" t="s">
        <v>903</v>
      </c>
      <c r="B503" t="s">
        <v>1316</v>
      </c>
      <c r="C503" t="s">
        <v>8</v>
      </c>
      <c r="D503">
        <v>10.396000000000001</v>
      </c>
      <c r="E503" s="4">
        <v>3327</v>
      </c>
      <c r="F503" t="str">
        <f>HYPERLINK("https://www.google.com/maps/search/?api=1&amp;query=24.74961923,46.70270009", "View Map")</f>
        <v>View Map</v>
      </c>
      <c r="G503" s="2">
        <v>0.84902033082645578</v>
      </c>
    </row>
    <row r="504" spans="1:7" x14ac:dyDescent="0.3">
      <c r="A504" t="s">
        <v>6090</v>
      </c>
      <c r="B504" t="s">
        <v>6091</v>
      </c>
      <c r="C504" t="s">
        <v>8</v>
      </c>
      <c r="D504">
        <v>10.374000000000001</v>
      </c>
      <c r="E504" s="4">
        <v>3320</v>
      </c>
      <c r="F504" t="str">
        <f>HYPERLINK("https://www.google.com/maps/search/?api=1&amp;query=24.8124717,46.63054777", "View Map")</f>
        <v>View Map</v>
      </c>
      <c r="G504" s="2">
        <v>0.64208397094631864</v>
      </c>
    </row>
    <row r="505" spans="1:7" x14ac:dyDescent="0.3">
      <c r="A505" t="s">
        <v>2283</v>
      </c>
      <c r="B505" t="s">
        <v>2284</v>
      </c>
      <c r="C505" t="s">
        <v>8</v>
      </c>
      <c r="D505">
        <v>10.372999999999999</v>
      </c>
      <c r="E505" s="4">
        <v>3319</v>
      </c>
      <c r="F505" t="str">
        <f>HYPERLINK("https://www.google.com/maps/search/?api=1&amp;query=24.63805306,46.75003848", "View Map")</f>
        <v>View Map</v>
      </c>
    </row>
    <row r="506" spans="1:7" x14ac:dyDescent="0.3">
      <c r="A506" t="s">
        <v>1470</v>
      </c>
      <c r="B506" t="s">
        <v>1471</v>
      </c>
      <c r="C506" t="s">
        <v>8</v>
      </c>
      <c r="D506">
        <v>10.364000000000001</v>
      </c>
      <c r="E506" s="4">
        <v>3316</v>
      </c>
      <c r="F506" t="str">
        <f>HYPERLINK("https://www.google.com/maps/search/?api=1&amp;query=24.7226486,46.79984027", "View Map")</f>
        <v>View Map</v>
      </c>
      <c r="G506" s="2">
        <v>0.67307825145751199</v>
      </c>
    </row>
    <row r="507" spans="1:7" x14ac:dyDescent="0.3">
      <c r="A507" t="s">
        <v>867</v>
      </c>
      <c r="B507" t="s">
        <v>868</v>
      </c>
      <c r="C507" t="s">
        <v>30</v>
      </c>
      <c r="D507">
        <v>10.352</v>
      </c>
      <c r="E507" s="4">
        <v>3313</v>
      </c>
      <c r="F507" t="str">
        <f>HYPERLINK("https://www.google.com/maps/search/?api=1&amp;query=24.17494047,47.34780505", "View Map")</f>
        <v>View Map</v>
      </c>
      <c r="G507" s="2">
        <v>0.53848795803670291</v>
      </c>
    </row>
    <row r="508" spans="1:7" x14ac:dyDescent="0.3">
      <c r="A508" t="s">
        <v>46</v>
      </c>
      <c r="B508" t="s">
        <v>1011</v>
      </c>
      <c r="C508" t="s">
        <v>8</v>
      </c>
      <c r="D508">
        <v>10.337999999999999</v>
      </c>
      <c r="E508" s="4">
        <v>3308</v>
      </c>
      <c r="F508" t="str">
        <f>HYPERLINK("https://www.google.com/maps/search/?api=1&amp;query=24.85509467,46.65538219", "View Map")</f>
        <v>View Map</v>
      </c>
      <c r="G508" s="2">
        <v>0.63167382228397817</v>
      </c>
    </row>
    <row r="509" spans="1:7" x14ac:dyDescent="0.3">
      <c r="A509" t="s">
        <v>1290</v>
      </c>
      <c r="B509" t="s">
        <v>1291</v>
      </c>
      <c r="C509" t="s">
        <v>8</v>
      </c>
      <c r="D509">
        <v>10.278</v>
      </c>
      <c r="E509" s="4">
        <v>3289</v>
      </c>
      <c r="F509" t="str">
        <f>HYPERLINK("https://www.google.com/maps/search/?api=1&amp;query=24.6896367,46.76720152", "View Map")</f>
        <v>View Map</v>
      </c>
      <c r="G509" s="2">
        <v>0.46167460923158932</v>
      </c>
    </row>
    <row r="510" spans="1:7" x14ac:dyDescent="0.3">
      <c r="A510" t="s">
        <v>1543</v>
      </c>
      <c r="B510" t="s">
        <v>1544</v>
      </c>
      <c r="C510" t="s">
        <v>255</v>
      </c>
      <c r="D510">
        <v>10.273999999999999</v>
      </c>
      <c r="E510" s="4">
        <v>3288</v>
      </c>
      <c r="F510" t="str">
        <f>HYPERLINK("https://www.google.com/maps/search/?api=1&amp;query=25.48616984,44.41268928", "View Map")</f>
        <v>View Map</v>
      </c>
      <c r="G510" s="2">
        <v>0.98201945729919782</v>
      </c>
    </row>
    <row r="511" spans="1:7" x14ac:dyDescent="0.3">
      <c r="A511" t="s">
        <v>1092</v>
      </c>
      <c r="B511" t="s">
        <v>1093</v>
      </c>
      <c r="C511" t="s">
        <v>8</v>
      </c>
      <c r="D511">
        <v>10.263999999999999</v>
      </c>
      <c r="E511" s="4">
        <v>3284</v>
      </c>
      <c r="F511" t="str">
        <f>HYPERLINK("https://www.google.com/maps/search/?api=1&amp;query=24.74185043,46.792993", "View Map")</f>
        <v>View Map</v>
      </c>
      <c r="G511" s="2">
        <v>0.79561612428389106</v>
      </c>
    </row>
    <row r="512" spans="1:7" x14ac:dyDescent="0.3">
      <c r="A512" t="s">
        <v>73</v>
      </c>
      <c r="B512" t="s">
        <v>1832</v>
      </c>
      <c r="C512" t="s">
        <v>8</v>
      </c>
      <c r="D512">
        <v>10.249000000000001</v>
      </c>
      <c r="E512" s="4">
        <v>3280</v>
      </c>
      <c r="F512" t="str">
        <f>HYPERLINK("https://www.google.com/maps/search/?api=1&amp;query=24.86015672,46.62968782", "View Map")</f>
        <v>View Map</v>
      </c>
      <c r="G512" s="2">
        <v>0.58019298236952332</v>
      </c>
    </row>
    <row r="513" spans="1:7" x14ac:dyDescent="0.3">
      <c r="A513" t="s">
        <v>46</v>
      </c>
      <c r="B513" t="s">
        <v>89</v>
      </c>
      <c r="C513" t="s">
        <v>8</v>
      </c>
      <c r="D513">
        <v>10.215999999999999</v>
      </c>
      <c r="E513" s="4">
        <v>3269</v>
      </c>
      <c r="F513" t="str">
        <f>HYPERLINK("https://www.google.com/maps/search/?api=1&amp;query=24.78495628,46.71657203", "View Map")</f>
        <v>View Map</v>
      </c>
      <c r="G513" s="2">
        <v>0.1434992232890106</v>
      </c>
    </row>
    <row r="514" spans="1:7" x14ac:dyDescent="0.3">
      <c r="A514" t="s">
        <v>811</v>
      </c>
      <c r="B514" t="s">
        <v>812</v>
      </c>
      <c r="C514" t="s">
        <v>8</v>
      </c>
      <c r="D514">
        <v>10.215999999999999</v>
      </c>
      <c r="E514" s="4">
        <v>3269</v>
      </c>
      <c r="F514" t="str">
        <f>HYPERLINK("https://www.google.com/maps/search/?api=1&amp;query=24.79033084,46.70312404", "View Map")</f>
        <v>View Map</v>
      </c>
      <c r="G514" s="2">
        <v>0.32969114568860358</v>
      </c>
    </row>
    <row r="515" spans="1:7" x14ac:dyDescent="0.3">
      <c r="A515" t="s">
        <v>352</v>
      </c>
      <c r="B515" t="s">
        <v>2007</v>
      </c>
      <c r="C515" t="s">
        <v>8</v>
      </c>
      <c r="D515">
        <v>10.17</v>
      </c>
      <c r="E515" s="4">
        <v>3254</v>
      </c>
      <c r="F515" t="str">
        <f>HYPERLINK("https://www.google.com/maps/search/?api=1&amp;query=24.76531804,46.7630721", "View Map")</f>
        <v>View Map</v>
      </c>
    </row>
    <row r="516" spans="1:7" x14ac:dyDescent="0.3">
      <c r="A516" t="s">
        <v>8211</v>
      </c>
      <c r="B516" t="s">
        <v>8212</v>
      </c>
      <c r="C516" t="s">
        <v>8</v>
      </c>
      <c r="D516">
        <v>10.161</v>
      </c>
      <c r="E516" s="4">
        <v>3252</v>
      </c>
      <c r="F516" t="str">
        <f>HYPERLINK("https://www.google.com/maps/search/?api=1&amp;query=24.64017628,46.55544171", "View Map")</f>
        <v>View Map</v>
      </c>
      <c r="G516" s="2">
        <v>0.54413240176751643</v>
      </c>
    </row>
    <row r="517" spans="1:7" x14ac:dyDescent="0.3">
      <c r="A517" t="s">
        <v>46</v>
      </c>
      <c r="B517" t="s">
        <v>1380</v>
      </c>
      <c r="C517" t="s">
        <v>8</v>
      </c>
      <c r="D517">
        <v>10.146000000000001</v>
      </c>
      <c r="E517" s="4">
        <v>3247</v>
      </c>
      <c r="F517" t="str">
        <f>HYPERLINK("https://www.google.com/maps/search/?api=1&amp;query=24.8795,46.6381", "View Map")</f>
        <v>View Map</v>
      </c>
      <c r="G517" s="2">
        <v>0.63227170562341206</v>
      </c>
    </row>
    <row r="518" spans="1:7" x14ac:dyDescent="0.3">
      <c r="A518" t="s">
        <v>46</v>
      </c>
      <c r="B518" t="s">
        <v>1411</v>
      </c>
      <c r="C518" t="s">
        <v>8</v>
      </c>
      <c r="D518">
        <v>10.132999999999999</v>
      </c>
      <c r="E518" s="4">
        <v>3242</v>
      </c>
      <c r="F518" t="str">
        <f>HYPERLINK("https://www.google.com/maps/search/?api=1&amp;query=24.8099882,46.59869175", "View Map")</f>
        <v>View Map</v>
      </c>
    </row>
    <row r="519" spans="1:7" x14ac:dyDescent="0.3">
      <c r="A519" t="s">
        <v>1399</v>
      </c>
      <c r="B519" t="s">
        <v>1400</v>
      </c>
      <c r="C519" t="s">
        <v>255</v>
      </c>
      <c r="D519">
        <v>10.132999999999999</v>
      </c>
      <c r="E519" s="4">
        <v>3243</v>
      </c>
      <c r="F519" t="str">
        <f>HYPERLINK("https://www.google.com/maps/search/?api=1&amp;query=25.01787275,43.82216339", "View Map")</f>
        <v>View Map</v>
      </c>
      <c r="G519" s="2">
        <v>0.7523917199659429</v>
      </c>
    </row>
    <row r="520" spans="1:7" x14ac:dyDescent="0.3">
      <c r="A520" t="s">
        <v>46</v>
      </c>
      <c r="B520" t="s">
        <v>1079</v>
      </c>
      <c r="C520" t="s">
        <v>8</v>
      </c>
      <c r="D520">
        <v>10.129</v>
      </c>
      <c r="E520" s="4">
        <v>3241</v>
      </c>
      <c r="F520" t="str">
        <f>HYPERLINK("https://www.google.com/maps/search/?api=1&amp;query=24.83307,46.68694", "View Map")</f>
        <v>View Map</v>
      </c>
    </row>
    <row r="521" spans="1:7" x14ac:dyDescent="0.3">
      <c r="A521" t="s">
        <v>189</v>
      </c>
      <c r="B521" t="s">
        <v>1289</v>
      </c>
      <c r="C521" t="s">
        <v>8</v>
      </c>
      <c r="D521">
        <v>10.105</v>
      </c>
      <c r="E521" s="4">
        <v>3234</v>
      </c>
      <c r="F521" t="str">
        <f>HYPERLINK("https://www.google.com/maps/search/?api=1&amp;query=24.58332442,46.77322389", "View Map")</f>
        <v>View Map</v>
      </c>
      <c r="G521" s="2">
        <v>0.63643115695432617</v>
      </c>
    </row>
    <row r="522" spans="1:7" x14ac:dyDescent="0.3">
      <c r="A522" t="s">
        <v>1541</v>
      </c>
      <c r="B522" t="s">
        <v>1542</v>
      </c>
      <c r="C522" t="s">
        <v>255</v>
      </c>
      <c r="D522">
        <v>10.095000000000001</v>
      </c>
      <c r="E522" s="4">
        <v>3230</v>
      </c>
      <c r="F522" t="str">
        <f>HYPERLINK("https://www.google.com/maps/search/?api=1&amp;query=24.58888554,43.68600837", "View Map")</f>
        <v>View Map</v>
      </c>
    </row>
    <row r="523" spans="1:7" x14ac:dyDescent="0.3">
      <c r="A523" t="s">
        <v>1780</v>
      </c>
      <c r="B523" t="s">
        <v>1781</v>
      </c>
      <c r="C523" t="s">
        <v>8</v>
      </c>
      <c r="D523">
        <v>10.082000000000001</v>
      </c>
      <c r="E523" s="4">
        <v>3226</v>
      </c>
      <c r="F523" t="str">
        <f>HYPERLINK("https://www.google.com/maps/search/?api=1&amp;query=24.60253779,46.68690294", "View Map")</f>
        <v>View Map</v>
      </c>
    </row>
    <row r="524" spans="1:7" x14ac:dyDescent="0.3">
      <c r="A524" t="s">
        <v>1271</v>
      </c>
      <c r="B524" t="s">
        <v>1272</v>
      </c>
      <c r="C524" t="s">
        <v>241</v>
      </c>
      <c r="D524">
        <v>10.074</v>
      </c>
      <c r="E524" s="4">
        <v>3224</v>
      </c>
      <c r="F524" t="str">
        <f>HYPERLINK("https://www.google.com/maps/search/?api=1&amp;query=20.4503241,44.8405842", "View Map")</f>
        <v>View Map</v>
      </c>
    </row>
    <row r="525" spans="1:7" x14ac:dyDescent="0.3">
      <c r="A525" t="s">
        <v>1349</v>
      </c>
      <c r="B525" t="s">
        <v>1350</v>
      </c>
      <c r="C525" t="s">
        <v>270</v>
      </c>
      <c r="D525">
        <v>10.058</v>
      </c>
      <c r="E525" s="4">
        <v>3219</v>
      </c>
      <c r="F525" t="str">
        <f>HYPERLINK("https://www.google.com/maps/search/?api=1&amp;query=24.01850527,47.16885421", "View Map")</f>
        <v>View Map</v>
      </c>
      <c r="G525" s="2">
        <v>0.65741606181442236</v>
      </c>
    </row>
    <row r="526" spans="1:7" x14ac:dyDescent="0.3">
      <c r="A526" t="s">
        <v>1881</v>
      </c>
      <c r="B526" t="s">
        <v>1882</v>
      </c>
      <c r="C526" t="s">
        <v>8</v>
      </c>
      <c r="D526">
        <v>10.054</v>
      </c>
      <c r="E526" s="4">
        <v>3217</v>
      </c>
      <c r="F526" t="str">
        <f>HYPERLINK("https://www.google.com/maps/search/?api=1&amp;query=24.75029505,46.72127648", "View Map")</f>
        <v>View Map</v>
      </c>
    </row>
    <row r="527" spans="1:7" x14ac:dyDescent="0.3">
      <c r="A527" t="s">
        <v>1139</v>
      </c>
      <c r="B527" t="s">
        <v>1140</v>
      </c>
      <c r="C527" t="s">
        <v>8</v>
      </c>
      <c r="D527">
        <v>10.048999999999999</v>
      </c>
      <c r="E527" s="4">
        <v>3216</v>
      </c>
      <c r="F527" t="str">
        <f>HYPERLINK("https://www.google.com/maps/search/?api=1&amp;query=24.6757,46.63011", "View Map")</f>
        <v>View Map</v>
      </c>
      <c r="G527" s="2">
        <v>0.7042072071513974</v>
      </c>
    </row>
    <row r="528" spans="1:7" x14ac:dyDescent="0.3">
      <c r="A528" t="s">
        <v>1376</v>
      </c>
      <c r="B528" t="s">
        <v>1377</v>
      </c>
      <c r="C528" t="s">
        <v>296</v>
      </c>
      <c r="D528">
        <v>10.029</v>
      </c>
      <c r="E528" s="4">
        <v>3209</v>
      </c>
      <c r="F528" t="str">
        <f>HYPERLINK("https://www.google.com/maps/search/?api=1&amp;query=24.46659987,46.27985445", "View Map")</f>
        <v>View Map</v>
      </c>
      <c r="G528" s="2">
        <v>0.67980014819099321</v>
      </c>
    </row>
    <row r="529" spans="1:7" x14ac:dyDescent="0.3">
      <c r="A529" t="s">
        <v>273</v>
      </c>
      <c r="B529" t="s">
        <v>274</v>
      </c>
      <c r="C529" t="s">
        <v>8</v>
      </c>
      <c r="D529">
        <v>10.02</v>
      </c>
      <c r="E529" s="4">
        <v>3206</v>
      </c>
      <c r="F529" t="str">
        <f>HYPERLINK("https://www.google.com/maps/search/?api=1&amp;query=24.7471122,46.80341236", "View Map")</f>
        <v>View Map</v>
      </c>
    </row>
    <row r="530" spans="1:7" x14ac:dyDescent="0.3">
      <c r="A530" t="s">
        <v>1397</v>
      </c>
      <c r="B530" t="s">
        <v>1398</v>
      </c>
      <c r="C530" t="s">
        <v>8</v>
      </c>
      <c r="D530">
        <v>10.013999999999999</v>
      </c>
      <c r="E530" s="4">
        <v>3204</v>
      </c>
      <c r="F530" t="str">
        <f>HYPERLINK("https://www.google.com/maps/search/?api=1&amp;query=24.77880642,46.64982861", "View Map")</f>
        <v>View Map</v>
      </c>
      <c r="G530" s="2">
        <v>0.41836848961160339</v>
      </c>
    </row>
    <row r="531" spans="1:7" x14ac:dyDescent="0.3">
      <c r="A531" t="s">
        <v>678</v>
      </c>
      <c r="B531" t="s">
        <v>1061</v>
      </c>
      <c r="C531" t="s">
        <v>21</v>
      </c>
      <c r="D531">
        <v>9.9939999999999998</v>
      </c>
      <c r="E531" s="4">
        <v>3198</v>
      </c>
      <c r="F531" t="str">
        <f>HYPERLINK("https://www.google.com/maps/search/?api=1&amp;query=26.33586435,44.80312445", "View Map")</f>
        <v>View Map</v>
      </c>
      <c r="G531" s="2">
        <v>0.58958734594698148</v>
      </c>
    </row>
    <row r="532" spans="1:7" x14ac:dyDescent="0.3">
      <c r="A532" t="s">
        <v>1317</v>
      </c>
      <c r="B532" t="s">
        <v>1318</v>
      </c>
      <c r="C532" t="s">
        <v>8</v>
      </c>
      <c r="D532">
        <v>9.9870000000000001</v>
      </c>
      <c r="E532" s="4">
        <v>3196</v>
      </c>
      <c r="F532" t="str">
        <f>HYPERLINK("https://www.google.com/maps/search/?api=1&amp;query=24.55015781,46.68665308", "View Map")</f>
        <v>View Map</v>
      </c>
      <c r="G532" s="2">
        <v>0.58296897359811151</v>
      </c>
    </row>
    <row r="533" spans="1:7" x14ac:dyDescent="0.3">
      <c r="A533" t="s">
        <v>1148</v>
      </c>
      <c r="B533" t="s">
        <v>1149</v>
      </c>
      <c r="C533" t="s">
        <v>8</v>
      </c>
      <c r="D533">
        <v>9.9719999999999995</v>
      </c>
      <c r="E533" s="4">
        <v>3191</v>
      </c>
      <c r="F533" t="str">
        <f>HYPERLINK("https://www.google.com/maps/search/?api=1&amp;query=24.56681704,46.68363232", "View Map")</f>
        <v>View Map</v>
      </c>
      <c r="G533" s="2">
        <v>0.62285544122425618</v>
      </c>
    </row>
    <row r="534" spans="1:7" x14ac:dyDescent="0.3">
      <c r="A534" t="s">
        <v>1378</v>
      </c>
      <c r="B534" t="s">
        <v>1379</v>
      </c>
      <c r="C534" t="s">
        <v>8</v>
      </c>
      <c r="D534">
        <v>9.9640000000000004</v>
      </c>
      <c r="E534" s="4">
        <v>3188</v>
      </c>
      <c r="F534" t="str">
        <f>HYPERLINK("https://www.google.com/maps/search/?api=1&amp;query=24.5617344,46.63880384", "View Map")</f>
        <v>View Map</v>
      </c>
    </row>
    <row r="535" spans="1:7" x14ac:dyDescent="0.3">
      <c r="A535" t="s">
        <v>1116</v>
      </c>
      <c r="B535" t="s">
        <v>1117</v>
      </c>
      <c r="C535" t="s">
        <v>8</v>
      </c>
      <c r="D535">
        <v>9.9429999999999996</v>
      </c>
      <c r="E535" s="4">
        <v>3182</v>
      </c>
      <c r="F535" t="str">
        <f>HYPERLINK("https://www.google.com/maps/search/?api=1&amp;query=24.76381798,46.66711131", "View Map")</f>
        <v>View Map</v>
      </c>
    </row>
    <row r="536" spans="1:7" x14ac:dyDescent="0.3">
      <c r="A536" t="s">
        <v>1466</v>
      </c>
      <c r="B536" t="s">
        <v>1467</v>
      </c>
      <c r="C536" t="s">
        <v>8</v>
      </c>
      <c r="D536">
        <v>9.9420000000000002</v>
      </c>
      <c r="E536" s="4">
        <v>3181</v>
      </c>
      <c r="F536" t="str">
        <f>HYPERLINK("https://www.google.com/maps/search/?api=1&amp;query=24.81524319,46.62503079", "View Map")</f>
        <v>View Map</v>
      </c>
      <c r="G536" s="2">
        <v>0.53889547436603014</v>
      </c>
    </row>
    <row r="537" spans="1:7" x14ac:dyDescent="0.3">
      <c r="A537" t="s">
        <v>335</v>
      </c>
      <c r="B537" t="s">
        <v>1048</v>
      </c>
      <c r="C537" t="s">
        <v>21</v>
      </c>
      <c r="D537">
        <v>9.9410000000000007</v>
      </c>
      <c r="E537" s="4">
        <v>3181</v>
      </c>
      <c r="F537" t="str">
        <f>HYPERLINK("https://www.google.com/maps/search/?api=1&amp;query=26.30506907,44.80998338", "View Map")</f>
        <v>View Map</v>
      </c>
      <c r="G537" s="2">
        <v>0.42442048794072601</v>
      </c>
    </row>
    <row r="538" spans="1:7" x14ac:dyDescent="0.3">
      <c r="A538" t="s">
        <v>3208</v>
      </c>
      <c r="B538" t="s">
        <v>3209</v>
      </c>
      <c r="C538" t="s">
        <v>8</v>
      </c>
      <c r="D538">
        <v>9.9380000000000006</v>
      </c>
      <c r="E538" s="4">
        <v>3180</v>
      </c>
      <c r="F538" t="str">
        <f>HYPERLINK("https://www.google.com/maps/search/?api=1&amp;query=24.57247204,46.61897024", "View Map")</f>
        <v>View Map</v>
      </c>
      <c r="G538" s="2">
        <v>0.44095038866369529</v>
      </c>
    </row>
    <row r="539" spans="1:7" x14ac:dyDescent="0.3">
      <c r="A539" t="s">
        <v>644</v>
      </c>
      <c r="B539" t="s">
        <v>645</v>
      </c>
      <c r="C539" t="s">
        <v>646</v>
      </c>
      <c r="D539">
        <v>9.9120000000000008</v>
      </c>
      <c r="E539" s="4">
        <v>3172</v>
      </c>
      <c r="F539" t="str">
        <f>HYPERLINK("https://www.google.com/maps/search/?api=1&amp;query=20.45828528,45.60095048", "View Map")</f>
        <v>View Map</v>
      </c>
      <c r="G539" s="2">
        <v>0.2934942415849105</v>
      </c>
    </row>
    <row r="540" spans="1:7" x14ac:dyDescent="0.3">
      <c r="A540" t="s">
        <v>1482</v>
      </c>
      <c r="B540" t="s">
        <v>1483</v>
      </c>
      <c r="C540" t="s">
        <v>214</v>
      </c>
      <c r="D540">
        <v>9.8960000000000008</v>
      </c>
      <c r="E540" s="4">
        <v>3167</v>
      </c>
      <c r="F540" t="str">
        <f>HYPERLINK("https://www.google.com/maps/search/?api=1&amp;query=25.90609461,45.39241928", "View Map")</f>
        <v>View Map</v>
      </c>
      <c r="G540" s="2">
        <v>0.6063940293800163</v>
      </c>
    </row>
    <row r="541" spans="1:7" x14ac:dyDescent="0.3">
      <c r="A541" t="s">
        <v>1189</v>
      </c>
      <c r="B541" t="s">
        <v>1190</v>
      </c>
      <c r="C541" t="s">
        <v>255</v>
      </c>
      <c r="D541">
        <v>9.8889999999999993</v>
      </c>
      <c r="E541" s="4">
        <v>3165</v>
      </c>
      <c r="F541" t="str">
        <f>HYPERLINK("https://www.google.com/maps/search/?api=1&amp;query=24.51158247,44.40098811", "View Map")</f>
        <v>View Map</v>
      </c>
      <c r="G541" s="2">
        <v>0.60333253247876661</v>
      </c>
    </row>
    <row r="542" spans="1:7" x14ac:dyDescent="0.3">
      <c r="A542" t="s">
        <v>46</v>
      </c>
      <c r="B542" t="s">
        <v>836</v>
      </c>
      <c r="C542" t="s">
        <v>8</v>
      </c>
      <c r="D542">
        <v>9.8629999999999995</v>
      </c>
      <c r="E542" s="4">
        <v>3156</v>
      </c>
      <c r="F542" t="str">
        <f>HYPERLINK("https://www.google.com/maps/search/?api=1&amp;query=24.75768663,46.75600076", "View Map")</f>
        <v>View Map</v>
      </c>
      <c r="G542" s="2">
        <v>0.39994680853326842</v>
      </c>
    </row>
    <row r="543" spans="1:7" x14ac:dyDescent="0.3">
      <c r="A543" t="s">
        <v>1213</v>
      </c>
      <c r="B543" t="s">
        <v>1214</v>
      </c>
      <c r="C543" t="s">
        <v>255</v>
      </c>
      <c r="D543">
        <v>9.86</v>
      </c>
      <c r="E543" s="4">
        <v>3155</v>
      </c>
      <c r="F543" t="str">
        <f>HYPERLINK("https://www.google.com/maps/search/?api=1&amp;query=25.18033673,44.59412089", "View Map")</f>
        <v>View Map</v>
      </c>
      <c r="G543" s="2">
        <v>0.54467708056033093</v>
      </c>
    </row>
    <row r="544" spans="1:7" x14ac:dyDescent="0.3">
      <c r="A544" t="s">
        <v>938</v>
      </c>
      <c r="B544" t="s">
        <v>939</v>
      </c>
      <c r="C544" t="s">
        <v>8</v>
      </c>
      <c r="D544">
        <v>9.8379999999999992</v>
      </c>
      <c r="E544" s="4">
        <v>3148</v>
      </c>
      <c r="F544" t="str">
        <f>HYPERLINK("https://www.google.com/maps/search/?api=1&amp;query=24.72266972,46.82456923", "View Map")</f>
        <v>View Map</v>
      </c>
    </row>
    <row r="545" spans="1:7" x14ac:dyDescent="0.3">
      <c r="A545" t="s">
        <v>46</v>
      </c>
      <c r="B545" t="s">
        <v>1001</v>
      </c>
      <c r="C545" t="s">
        <v>8</v>
      </c>
      <c r="D545">
        <v>9.827</v>
      </c>
      <c r="E545" s="4">
        <v>3145</v>
      </c>
      <c r="F545" t="str">
        <f>HYPERLINK("https://www.google.com/maps/search/?api=1&amp;query=24.81598812,46.72746", "View Map")</f>
        <v>View Map</v>
      </c>
    </row>
    <row r="546" spans="1:7" x14ac:dyDescent="0.3">
      <c r="A546" t="s">
        <v>777</v>
      </c>
      <c r="B546" t="s">
        <v>778</v>
      </c>
      <c r="C546" t="s">
        <v>8</v>
      </c>
      <c r="D546">
        <v>9.8070000000000004</v>
      </c>
      <c r="E546" s="4">
        <v>3138</v>
      </c>
      <c r="F546" t="str">
        <f>HYPERLINK("https://www.google.com/maps/search/?api=1&amp;query=24.73579043,46.85265709", "View Map")</f>
        <v>View Map</v>
      </c>
    </row>
    <row r="547" spans="1:7" x14ac:dyDescent="0.3">
      <c r="A547" t="s">
        <v>46</v>
      </c>
      <c r="B547" t="s">
        <v>1333</v>
      </c>
      <c r="C547" t="s">
        <v>55</v>
      </c>
      <c r="D547">
        <v>9.7949999999999999</v>
      </c>
      <c r="E547" s="4">
        <v>3135</v>
      </c>
      <c r="F547" t="str">
        <f>HYPERLINK("https://www.google.com/maps/search/?api=1&amp;query=24.82563064,46.56039825", "View Map")</f>
        <v>View Map</v>
      </c>
      <c r="G547" s="2">
        <v>0.64094213140191447</v>
      </c>
    </row>
    <row r="548" spans="1:7" x14ac:dyDescent="0.3">
      <c r="A548" t="s">
        <v>4965</v>
      </c>
      <c r="B548" t="s">
        <v>4966</v>
      </c>
      <c r="C548" t="s">
        <v>241</v>
      </c>
      <c r="D548">
        <v>9.7579999999999991</v>
      </c>
      <c r="E548" s="4">
        <v>3123</v>
      </c>
      <c r="F548" t="str">
        <f>HYPERLINK("https://www.google.com/maps/search/?api=1&amp;query=20.45321588,44.81211579", "View Map")</f>
        <v>View Map</v>
      </c>
      <c r="G548" s="2">
        <v>0.9482457684588862</v>
      </c>
    </row>
    <row r="549" spans="1:7" x14ac:dyDescent="0.3">
      <c r="A549" t="s">
        <v>1152</v>
      </c>
      <c r="B549" t="s">
        <v>1153</v>
      </c>
      <c r="C549" t="s">
        <v>8</v>
      </c>
      <c r="D549">
        <v>9.7569999999999997</v>
      </c>
      <c r="E549" s="4">
        <v>3122</v>
      </c>
      <c r="F549" t="str">
        <f>HYPERLINK("https://www.google.com/maps/search/?api=1&amp;query=24.76530146,46.62392789", "View Map")</f>
        <v>View Map</v>
      </c>
      <c r="G549" s="2">
        <v>0.58049272072288838</v>
      </c>
    </row>
    <row r="550" spans="1:7" x14ac:dyDescent="0.3">
      <c r="A550" t="s">
        <v>1573</v>
      </c>
      <c r="B550" t="s">
        <v>1574</v>
      </c>
      <c r="C550" t="s">
        <v>8</v>
      </c>
      <c r="D550">
        <v>9.7479999999999993</v>
      </c>
      <c r="E550" s="4">
        <v>3119</v>
      </c>
      <c r="F550" t="str">
        <f>HYPERLINK("https://www.google.com/maps/search/?api=1&amp;query=24.79119023,46.63903953", "View Map")</f>
        <v>View Map</v>
      </c>
      <c r="G550" s="2">
        <v>0.63940314860038638</v>
      </c>
    </row>
    <row r="551" spans="1:7" x14ac:dyDescent="0.3">
      <c r="A551" t="s">
        <v>3455</v>
      </c>
      <c r="B551" t="s">
        <v>3456</v>
      </c>
      <c r="C551" t="s">
        <v>8</v>
      </c>
      <c r="D551">
        <v>9.734</v>
      </c>
      <c r="E551" s="4">
        <v>3115</v>
      </c>
      <c r="F551" t="str">
        <f>HYPERLINK("https://www.google.com/maps/search/?api=1&amp;query=24.57816014,46.64125817", "View Map")</f>
        <v>View Map</v>
      </c>
    </row>
    <row r="552" spans="1:7" x14ac:dyDescent="0.3">
      <c r="A552" t="s">
        <v>1108</v>
      </c>
      <c r="B552" t="s">
        <v>1109</v>
      </c>
      <c r="C552" t="s">
        <v>30</v>
      </c>
      <c r="D552">
        <v>9.7330000000000005</v>
      </c>
      <c r="E552" s="4">
        <v>3114</v>
      </c>
      <c r="F552" t="str">
        <f>HYPERLINK("https://www.google.com/maps/search/?api=1&amp;query=24.16025664,47.31870038", "View Map")</f>
        <v>View Map</v>
      </c>
    </row>
    <row r="553" spans="1:7" x14ac:dyDescent="0.3">
      <c r="A553" t="s">
        <v>1158</v>
      </c>
      <c r="B553" t="s">
        <v>1159</v>
      </c>
      <c r="C553" t="s">
        <v>8</v>
      </c>
      <c r="D553">
        <v>9.7080000000000002</v>
      </c>
      <c r="E553" s="4">
        <v>3107</v>
      </c>
      <c r="F553" t="str">
        <f>HYPERLINK("https://www.google.com/maps/search/?api=1&amp;query=24.73141341,46.81933181", "View Map")</f>
        <v>View Map</v>
      </c>
      <c r="G553" s="2">
        <v>0.37868025339094991</v>
      </c>
    </row>
    <row r="554" spans="1:7" x14ac:dyDescent="0.3">
      <c r="A554" t="s">
        <v>795</v>
      </c>
      <c r="B554" t="s">
        <v>1171</v>
      </c>
      <c r="C554" t="s">
        <v>8</v>
      </c>
      <c r="D554">
        <v>9.6929999999999996</v>
      </c>
      <c r="E554" s="4">
        <v>3102</v>
      </c>
      <c r="F554" t="str">
        <f>HYPERLINK("https://www.google.com/maps/search/?api=1&amp;query=24.70479326,46.77123185", "View Map")</f>
        <v>View Map</v>
      </c>
      <c r="G554" s="2">
        <v>0.39924728580233548</v>
      </c>
    </row>
    <row r="555" spans="1:7" x14ac:dyDescent="0.3">
      <c r="A555" t="s">
        <v>2503</v>
      </c>
      <c r="B555" t="s">
        <v>2504</v>
      </c>
      <c r="C555" t="s">
        <v>30</v>
      </c>
      <c r="D555">
        <v>9.69</v>
      </c>
      <c r="E555" s="4">
        <v>3101</v>
      </c>
      <c r="F555" t="str">
        <f>HYPERLINK("https://www.google.com/maps/search/?api=1&amp;query=24.16037205,47.31689823", "View Map")</f>
        <v>View Map</v>
      </c>
      <c r="G555" s="2">
        <v>0.63098494678999528</v>
      </c>
    </row>
    <row r="556" spans="1:7" x14ac:dyDescent="0.3">
      <c r="A556" t="s">
        <v>46</v>
      </c>
      <c r="B556" t="s">
        <v>1194</v>
      </c>
      <c r="C556" t="s">
        <v>8</v>
      </c>
      <c r="D556">
        <v>9.6869999999999994</v>
      </c>
      <c r="E556" s="4">
        <v>3100</v>
      </c>
      <c r="F556" t="str">
        <f>HYPERLINK("https://www.google.com/maps/search/?api=1&amp;query=24.56362419,46.80326295", "View Map")</f>
        <v>View Map</v>
      </c>
    </row>
    <row r="557" spans="1:7" x14ac:dyDescent="0.3">
      <c r="A557" t="s">
        <v>1243</v>
      </c>
      <c r="B557" t="s">
        <v>1244</v>
      </c>
      <c r="C557" t="s">
        <v>8</v>
      </c>
      <c r="D557">
        <v>9.6790000000000003</v>
      </c>
      <c r="E557" s="4">
        <v>3097</v>
      </c>
      <c r="F557" t="str">
        <f>HYPERLINK("https://www.google.com/maps/search/?api=1&amp;query=24.67828762,46.64568013", "View Map")</f>
        <v>View Map</v>
      </c>
      <c r="G557" s="2">
        <v>0.79393859606539641</v>
      </c>
    </row>
    <row r="558" spans="1:7" x14ac:dyDescent="0.3">
      <c r="A558" t="s">
        <v>1950</v>
      </c>
      <c r="B558" t="s">
        <v>1951</v>
      </c>
      <c r="C558" t="s">
        <v>8</v>
      </c>
      <c r="D558">
        <v>9.6750000000000007</v>
      </c>
      <c r="E558" s="4">
        <v>3096</v>
      </c>
      <c r="F558" t="str">
        <f>HYPERLINK("https://www.google.com/maps/search/?api=1&amp;query=24.57471028,46.70445909", "View Map")</f>
        <v>View Map</v>
      </c>
      <c r="G558" s="2">
        <v>0.68273411776274218</v>
      </c>
    </row>
    <row r="559" spans="1:7" x14ac:dyDescent="0.3">
      <c r="A559" t="s">
        <v>4920</v>
      </c>
      <c r="B559" t="s">
        <v>4921</v>
      </c>
      <c r="C559" t="s">
        <v>8</v>
      </c>
      <c r="D559">
        <v>9.6750000000000007</v>
      </c>
      <c r="E559" s="4">
        <v>3096</v>
      </c>
      <c r="F559" t="str">
        <f>HYPERLINK("https://www.google.com/maps/search/?api=1&amp;query=24.72548506,46.78920127", "View Map")</f>
        <v>View Map</v>
      </c>
    </row>
    <row r="560" spans="1:7" x14ac:dyDescent="0.3">
      <c r="A560" t="s">
        <v>46</v>
      </c>
      <c r="B560" t="s">
        <v>6953</v>
      </c>
      <c r="C560" t="s">
        <v>8</v>
      </c>
      <c r="D560">
        <v>9.6609999999999996</v>
      </c>
      <c r="E560" s="4">
        <v>3091</v>
      </c>
      <c r="F560" t="str">
        <f>HYPERLINK("https://www.google.com/maps/search/?api=1&amp;query=24.82635582,46.60725652", "View Map")</f>
        <v>View Map</v>
      </c>
      <c r="G560" s="2">
        <v>0.42328390813461492</v>
      </c>
    </row>
    <row r="561" spans="1:7" x14ac:dyDescent="0.3">
      <c r="A561" t="s">
        <v>1412</v>
      </c>
      <c r="B561" t="s">
        <v>1413</v>
      </c>
      <c r="C561" t="s">
        <v>8</v>
      </c>
      <c r="D561">
        <v>9.6549999999999994</v>
      </c>
      <c r="E561" s="4">
        <v>3090</v>
      </c>
      <c r="F561" t="str">
        <f>HYPERLINK("https://www.google.com/maps/search/?api=1&amp;query=24.71145632,46.77691234", "View Map")</f>
        <v>View Map</v>
      </c>
      <c r="G561" s="2">
        <v>0.7284751211118683</v>
      </c>
    </row>
    <row r="562" spans="1:7" x14ac:dyDescent="0.3">
      <c r="A562" t="s">
        <v>46</v>
      </c>
      <c r="B562" t="s">
        <v>1045</v>
      </c>
      <c r="C562" t="s">
        <v>8</v>
      </c>
      <c r="D562">
        <v>9.65</v>
      </c>
      <c r="E562" s="4">
        <v>3088</v>
      </c>
      <c r="F562" t="str">
        <f>HYPERLINK("https://www.google.com/maps/search/?api=1&amp;query=24.78699481,46.60725271", "View Map")</f>
        <v>View Map</v>
      </c>
      <c r="G562" s="2">
        <v>0.55345743842892259</v>
      </c>
    </row>
    <row r="563" spans="1:7" x14ac:dyDescent="0.3">
      <c r="A563" t="s">
        <v>1197</v>
      </c>
      <c r="B563" t="s">
        <v>1198</v>
      </c>
      <c r="C563" t="s">
        <v>8</v>
      </c>
      <c r="D563">
        <v>9.6489999999999991</v>
      </c>
      <c r="E563" s="4">
        <v>3088</v>
      </c>
      <c r="F563" t="str">
        <f>HYPERLINK("https://www.google.com/maps/search/?api=1&amp;query=24.73914909,46.82461504", "View Map")</f>
        <v>View Map</v>
      </c>
    </row>
    <row r="564" spans="1:7" x14ac:dyDescent="0.3">
      <c r="A564" t="s">
        <v>407</v>
      </c>
      <c r="B564" t="s">
        <v>408</v>
      </c>
      <c r="C564" t="s">
        <v>214</v>
      </c>
      <c r="D564">
        <v>9.6329999999999991</v>
      </c>
      <c r="E564" s="4">
        <v>3083</v>
      </c>
      <c r="F564" t="str">
        <f>HYPERLINK("https://www.google.com/maps/search/?api=1&amp;query=26.49741951,45.34644563", "View Map")</f>
        <v>View Map</v>
      </c>
      <c r="G564" s="2">
        <v>0.33621012655748111</v>
      </c>
    </row>
    <row r="565" spans="1:7" x14ac:dyDescent="0.3">
      <c r="A565" t="s">
        <v>887</v>
      </c>
      <c r="B565" t="s">
        <v>1336</v>
      </c>
      <c r="C565" t="s">
        <v>8</v>
      </c>
      <c r="D565">
        <v>9.6240000000000006</v>
      </c>
      <c r="E565" s="4">
        <v>3080</v>
      </c>
      <c r="F565" t="str">
        <f>HYPERLINK("https://www.google.com/maps/search/?api=1&amp;query=24.62112977,46.73223297", "View Map")</f>
        <v>View Map</v>
      </c>
    </row>
    <row r="566" spans="1:7" x14ac:dyDescent="0.3">
      <c r="A566" t="s">
        <v>1395</v>
      </c>
      <c r="B566" t="s">
        <v>1396</v>
      </c>
      <c r="C566" t="s">
        <v>8</v>
      </c>
      <c r="D566">
        <v>9.6219999999999999</v>
      </c>
      <c r="E566" s="4">
        <v>3079</v>
      </c>
      <c r="F566" t="str">
        <f>HYPERLINK("https://www.google.com/maps/search/?api=1&amp;query=24.56559255,46.68669281", "View Map")</f>
        <v>View Map</v>
      </c>
      <c r="G566" s="2">
        <v>0.53944489352501379</v>
      </c>
    </row>
    <row r="567" spans="1:7" x14ac:dyDescent="0.3">
      <c r="A567" t="s">
        <v>1420</v>
      </c>
      <c r="B567" t="s">
        <v>1421</v>
      </c>
      <c r="C567" t="s">
        <v>255</v>
      </c>
      <c r="D567">
        <v>9.6210000000000004</v>
      </c>
      <c r="E567" s="4">
        <v>3079</v>
      </c>
      <c r="F567" t="str">
        <f>HYPERLINK("https://www.google.com/maps/search/?api=1&amp;query=24.55632729,44.42937247", "View Map")</f>
        <v>View Map</v>
      </c>
      <c r="G567" s="2">
        <v>0.72064422425428143</v>
      </c>
    </row>
    <row r="568" spans="1:7" x14ac:dyDescent="0.3">
      <c r="A568" t="s">
        <v>813</v>
      </c>
      <c r="B568" t="s">
        <v>814</v>
      </c>
      <c r="C568" t="s">
        <v>8</v>
      </c>
      <c r="D568">
        <v>9.6039999999999992</v>
      </c>
      <c r="E568" s="4">
        <v>3073</v>
      </c>
      <c r="F568" t="str">
        <f>HYPERLINK("https://www.google.com/maps/search/?api=1&amp;query=24.73271,46.65093", "View Map")</f>
        <v>View Map</v>
      </c>
    </row>
    <row r="569" spans="1:7" x14ac:dyDescent="0.3">
      <c r="A569" t="s">
        <v>28</v>
      </c>
      <c r="B569" t="s">
        <v>1302</v>
      </c>
      <c r="C569" t="s">
        <v>30</v>
      </c>
      <c r="D569">
        <v>9.6020000000000003</v>
      </c>
      <c r="E569" s="4">
        <v>3073</v>
      </c>
      <c r="F569" t="str">
        <f>HYPERLINK("https://www.google.com/maps/search/?api=1&amp;query=24.14918635,47.39252381", "View Map")</f>
        <v>View Map</v>
      </c>
      <c r="G569" s="2">
        <v>0.54196558659151717</v>
      </c>
    </row>
    <row r="570" spans="1:7" x14ac:dyDescent="0.3">
      <c r="A570" t="s">
        <v>1251</v>
      </c>
      <c r="B570" t="s">
        <v>1252</v>
      </c>
      <c r="C570" t="s">
        <v>8</v>
      </c>
      <c r="D570">
        <v>9.5890000000000004</v>
      </c>
      <c r="E570" s="4">
        <v>3068</v>
      </c>
      <c r="F570" t="str">
        <f>HYPERLINK("https://www.google.com/maps/search/?api=1&amp;query=24.65144119,46.57818116", "View Map")</f>
        <v>View Map</v>
      </c>
      <c r="G570" s="2">
        <v>0.68863193112107279</v>
      </c>
    </row>
    <row r="571" spans="1:7" x14ac:dyDescent="0.3">
      <c r="A571" t="s">
        <v>1647</v>
      </c>
      <c r="B571" t="s">
        <v>1648</v>
      </c>
      <c r="C571" t="s">
        <v>8</v>
      </c>
      <c r="D571">
        <v>9.5589999999999993</v>
      </c>
      <c r="E571" s="4">
        <v>3059</v>
      </c>
      <c r="F571" t="str">
        <f>HYPERLINK("https://www.google.com/maps/search/?api=1&amp;query=24.63771824,46.68647305", "View Map")</f>
        <v>View Map</v>
      </c>
      <c r="G571" s="2">
        <v>0.75282686314167857</v>
      </c>
    </row>
    <row r="572" spans="1:7" x14ac:dyDescent="0.3">
      <c r="A572" t="s">
        <v>1245</v>
      </c>
      <c r="B572" t="s">
        <v>1246</v>
      </c>
      <c r="C572" t="s">
        <v>8</v>
      </c>
      <c r="D572">
        <v>9.5530000000000008</v>
      </c>
      <c r="E572" s="4">
        <v>3057</v>
      </c>
      <c r="F572" t="str">
        <f>HYPERLINK("https://www.google.com/maps/search/?api=1&amp;query=24.67828205,46.74011348", "View Map")</f>
        <v>View Map</v>
      </c>
      <c r="G572" s="2">
        <v>0.66959565338977034</v>
      </c>
    </row>
    <row r="573" spans="1:7" x14ac:dyDescent="0.3">
      <c r="A573" t="s">
        <v>1354</v>
      </c>
      <c r="B573" t="s">
        <v>1355</v>
      </c>
      <c r="C573" t="s">
        <v>21</v>
      </c>
      <c r="D573">
        <v>9.5380000000000003</v>
      </c>
      <c r="E573" s="4">
        <v>3052</v>
      </c>
      <c r="F573" t="str">
        <f>HYPERLINK("https://www.google.com/maps/search/?api=1&amp;query=26.29833162,44.82278156", "View Map")</f>
        <v>View Map</v>
      </c>
      <c r="G573" s="2">
        <v>0.75432495245110376</v>
      </c>
    </row>
    <row r="574" spans="1:7" x14ac:dyDescent="0.3">
      <c r="A574" t="s">
        <v>146</v>
      </c>
      <c r="B574" t="s">
        <v>1248</v>
      </c>
      <c r="C574" t="s">
        <v>8</v>
      </c>
      <c r="D574">
        <v>9.5039999999999996</v>
      </c>
      <c r="E574" s="4">
        <v>3041</v>
      </c>
      <c r="F574" t="str">
        <f>HYPERLINK("https://www.google.com/maps/search/?api=1&amp;query=24.57820144,46.51800233", "View Map")</f>
        <v>View Map</v>
      </c>
      <c r="G574" s="2">
        <v>0.48662646812045318</v>
      </c>
    </row>
    <row r="575" spans="1:7" x14ac:dyDescent="0.3">
      <c r="A575" t="s">
        <v>1436</v>
      </c>
      <c r="B575" t="s">
        <v>1437</v>
      </c>
      <c r="C575" t="s">
        <v>8</v>
      </c>
      <c r="D575">
        <v>9.4700000000000006</v>
      </c>
      <c r="E575" s="4">
        <v>3030</v>
      </c>
      <c r="F575" t="str">
        <f>HYPERLINK("https://www.google.com/maps/search/?api=1&amp;query=24.8128698,46.65727134", "View Map")</f>
        <v>View Map</v>
      </c>
      <c r="G575" s="2">
        <v>0.49407352831700679</v>
      </c>
    </row>
    <row r="576" spans="1:7" x14ac:dyDescent="0.3">
      <c r="A576" t="s">
        <v>3301</v>
      </c>
      <c r="B576" t="s">
        <v>3302</v>
      </c>
      <c r="C576" t="s">
        <v>8</v>
      </c>
      <c r="D576">
        <v>9.4670000000000005</v>
      </c>
      <c r="E576" s="4">
        <v>3029</v>
      </c>
      <c r="F576" t="str">
        <f>HYPERLINK("https://www.google.com/maps/search/?api=1&amp;query=24.60170897,46.69501853", "View Map")</f>
        <v>View Map</v>
      </c>
    </row>
    <row r="577" spans="1:7" x14ac:dyDescent="0.3">
      <c r="A577" t="s">
        <v>1221</v>
      </c>
      <c r="B577" t="s">
        <v>1222</v>
      </c>
      <c r="C577" t="s">
        <v>8</v>
      </c>
      <c r="D577">
        <v>9.4619999999999997</v>
      </c>
      <c r="E577" s="4">
        <v>3028</v>
      </c>
      <c r="F577" t="str">
        <f>HYPERLINK("https://www.google.com/maps/search/?api=1&amp;query=24.58888553,46.78430336", "View Map")</f>
        <v>View Map</v>
      </c>
      <c r="G577" s="2">
        <v>0.72002814352825173</v>
      </c>
    </row>
    <row r="578" spans="1:7" x14ac:dyDescent="0.3">
      <c r="A578" t="s">
        <v>592</v>
      </c>
      <c r="B578" t="s">
        <v>593</v>
      </c>
      <c r="C578" t="s">
        <v>8</v>
      </c>
      <c r="D578">
        <v>9.4610000000000003</v>
      </c>
      <c r="E578" s="4">
        <v>3028</v>
      </c>
      <c r="F578" t="str">
        <f>HYPERLINK("https://www.google.com/maps/search/?api=1&amp;query=24.63454616,46.68208697", "View Map")</f>
        <v>View Map</v>
      </c>
      <c r="G578" s="2">
        <v>0.41419282887739678</v>
      </c>
    </row>
    <row r="579" spans="1:7" x14ac:dyDescent="0.3">
      <c r="A579" t="s">
        <v>1002</v>
      </c>
      <c r="B579" t="s">
        <v>1003</v>
      </c>
      <c r="C579" t="s">
        <v>214</v>
      </c>
      <c r="D579">
        <v>9.4540000000000006</v>
      </c>
      <c r="E579" s="4">
        <v>3025</v>
      </c>
      <c r="F579" t="str">
        <f>HYPERLINK("https://www.google.com/maps/search/?api=1&amp;query=25.91560952,45.39291536", "View Map")</f>
        <v>View Map</v>
      </c>
      <c r="G579" s="2">
        <v>0.43263538209469399</v>
      </c>
    </row>
    <row r="580" spans="1:7" x14ac:dyDescent="0.3">
      <c r="A580" t="s">
        <v>4001</v>
      </c>
      <c r="B580" t="s">
        <v>4002</v>
      </c>
      <c r="C580" t="s">
        <v>8</v>
      </c>
      <c r="D580">
        <v>9.4540000000000006</v>
      </c>
      <c r="E580" s="4">
        <v>3025</v>
      </c>
      <c r="F580" t="str">
        <f>HYPERLINK("https://www.google.com/maps/search/?api=1&amp;query=24.7772,46.7611", "View Map")</f>
        <v>View Map</v>
      </c>
    </row>
    <row r="581" spans="1:7" x14ac:dyDescent="0.3">
      <c r="A581" t="s">
        <v>156</v>
      </c>
      <c r="B581" t="s">
        <v>1361</v>
      </c>
      <c r="C581" t="s">
        <v>8</v>
      </c>
      <c r="D581">
        <v>9.4529999999999994</v>
      </c>
      <c r="E581" s="4">
        <v>3025</v>
      </c>
      <c r="F581" t="str">
        <f>HYPERLINK("https://www.google.com/maps/search/?api=1&amp;query=24.72356668,46.80803843", "View Map")</f>
        <v>View Map</v>
      </c>
      <c r="G581" s="2">
        <v>0.39999510281963141</v>
      </c>
    </row>
    <row r="582" spans="1:7" x14ac:dyDescent="0.3">
      <c r="A582" t="s">
        <v>1575</v>
      </c>
      <c r="B582" t="s">
        <v>1576</v>
      </c>
      <c r="C582" t="s">
        <v>8</v>
      </c>
      <c r="D582">
        <v>9.4499999999999993</v>
      </c>
      <c r="E582" s="4">
        <v>3024</v>
      </c>
      <c r="F582" t="str">
        <f>HYPERLINK("https://www.google.com/maps/search/?api=1&amp;query=24.67481433,46.64755393", "View Map")</f>
        <v>View Map</v>
      </c>
      <c r="G582" s="2">
        <v>0.7806389669943683</v>
      </c>
    </row>
    <row r="583" spans="1:7" x14ac:dyDescent="0.3">
      <c r="A583" t="s">
        <v>46</v>
      </c>
      <c r="B583" t="s">
        <v>1103</v>
      </c>
      <c r="C583" t="s">
        <v>8</v>
      </c>
      <c r="D583">
        <v>9.4429999999999996</v>
      </c>
      <c r="E583" s="4">
        <v>3022</v>
      </c>
      <c r="F583" t="str">
        <f>HYPERLINK("https://www.google.com/maps/search/?api=1&amp;query=24.67053403,46.54612797", "View Map")</f>
        <v>View Map</v>
      </c>
      <c r="G583" s="2">
        <v>0.52450446184665822</v>
      </c>
    </row>
    <row r="584" spans="1:7" x14ac:dyDescent="0.3">
      <c r="A584" t="s">
        <v>906</v>
      </c>
      <c r="B584" t="s">
        <v>907</v>
      </c>
      <c r="C584" t="s">
        <v>30</v>
      </c>
      <c r="D584">
        <v>9.4320000000000004</v>
      </c>
      <c r="E584" s="4">
        <v>3018</v>
      </c>
      <c r="F584" t="str">
        <f>HYPERLINK("https://www.google.com/maps/search/?api=1&amp;query=24.16634665,47.3552089", "View Map")</f>
        <v>View Map</v>
      </c>
      <c r="G584" s="2">
        <v>0.56006913676537673</v>
      </c>
    </row>
    <row r="585" spans="1:7" x14ac:dyDescent="0.3">
      <c r="A585" t="s">
        <v>1509</v>
      </c>
      <c r="B585" t="s">
        <v>1510</v>
      </c>
      <c r="C585" t="s">
        <v>8</v>
      </c>
      <c r="D585">
        <v>9.4269999999999996</v>
      </c>
      <c r="E585" s="4">
        <v>3017</v>
      </c>
      <c r="F585" t="str">
        <f>HYPERLINK("https://www.google.com/maps/search/?api=1&amp;query=24.74132249,46.78830507", "View Map")</f>
        <v>View Map</v>
      </c>
      <c r="G585" s="2">
        <v>0.5675705497181659</v>
      </c>
    </row>
    <row r="586" spans="1:7" x14ac:dyDescent="0.3">
      <c r="A586" t="s">
        <v>46</v>
      </c>
      <c r="B586" t="s">
        <v>1315</v>
      </c>
      <c r="C586" t="s">
        <v>8</v>
      </c>
      <c r="D586">
        <v>9.4250000000000007</v>
      </c>
      <c r="E586" s="4">
        <v>3016</v>
      </c>
      <c r="F586" t="str">
        <f>HYPERLINK("https://www.google.com/maps/search/?api=1&amp;query=24.6903,46.5869", "View Map")</f>
        <v>View Map</v>
      </c>
      <c r="G586" s="2">
        <v>0.46820921192782811</v>
      </c>
    </row>
    <row r="587" spans="1:7" x14ac:dyDescent="0.3">
      <c r="A587" t="s">
        <v>1206</v>
      </c>
      <c r="B587" t="s">
        <v>1207</v>
      </c>
      <c r="C587" t="s">
        <v>8</v>
      </c>
      <c r="D587">
        <v>9.4079999999999995</v>
      </c>
      <c r="E587" s="4">
        <v>3011</v>
      </c>
      <c r="F587" t="str">
        <f>HYPERLINK("https://www.google.com/maps/search/?api=1&amp;query=24.68909814,46.80700506", "View Map")</f>
        <v>View Map</v>
      </c>
      <c r="G587" s="2">
        <v>0.66718679774845369</v>
      </c>
    </row>
    <row r="588" spans="1:7" x14ac:dyDescent="0.3">
      <c r="A588" t="s">
        <v>1937</v>
      </c>
      <c r="B588" t="s">
        <v>1938</v>
      </c>
      <c r="C588" t="s">
        <v>8</v>
      </c>
      <c r="D588">
        <v>9.4</v>
      </c>
      <c r="E588" s="4">
        <v>3008</v>
      </c>
      <c r="F588" t="str">
        <f>HYPERLINK("https://www.google.com/maps/search/?api=1&amp;query=24.80292605,46.64339475", "View Map")</f>
        <v>View Map</v>
      </c>
      <c r="G588" s="2">
        <v>0.7125305916276331</v>
      </c>
    </row>
    <row r="589" spans="1:7" x14ac:dyDescent="0.3">
      <c r="A589" t="s">
        <v>46</v>
      </c>
      <c r="B589" t="s">
        <v>343</v>
      </c>
      <c r="C589" t="s">
        <v>8</v>
      </c>
      <c r="D589">
        <v>9.3970000000000002</v>
      </c>
      <c r="E589" s="4">
        <v>3007</v>
      </c>
      <c r="F589" t="str">
        <f>HYPERLINK("https://www.google.com/maps/search/?api=1&amp;query=24.78508,46.71632", "View Map")</f>
        <v>View Map</v>
      </c>
      <c r="G589" s="2">
        <v>0.34595232236293683</v>
      </c>
    </row>
    <row r="590" spans="1:7" x14ac:dyDescent="0.3">
      <c r="A590" t="s">
        <v>150</v>
      </c>
      <c r="B590" t="s">
        <v>1504</v>
      </c>
      <c r="C590" t="s">
        <v>8</v>
      </c>
      <c r="D590">
        <v>9.3670000000000009</v>
      </c>
      <c r="E590" s="4">
        <v>2997</v>
      </c>
      <c r="F590" t="str">
        <f>HYPERLINK("https://www.google.com/maps/search/?api=1&amp;query=24.82971391,46.73196701", "View Map")</f>
        <v>View Map</v>
      </c>
      <c r="G590" s="2">
        <v>0.45985094585093839</v>
      </c>
    </row>
    <row r="591" spans="1:7" x14ac:dyDescent="0.3">
      <c r="A591" t="s">
        <v>150</v>
      </c>
      <c r="B591" t="s">
        <v>914</v>
      </c>
      <c r="C591" t="s">
        <v>8</v>
      </c>
      <c r="D591">
        <v>9.3650000000000002</v>
      </c>
      <c r="E591" s="4">
        <v>2997</v>
      </c>
      <c r="F591" t="str">
        <f>HYPERLINK("https://www.google.com/maps/search/?api=1&amp;query=24.81078765,46.74026016", "View Map")</f>
        <v>View Map</v>
      </c>
      <c r="G591" s="2">
        <v>0.4500779583353034</v>
      </c>
    </row>
    <row r="592" spans="1:7" x14ac:dyDescent="0.3">
      <c r="A592" t="s">
        <v>2723</v>
      </c>
      <c r="B592" t="s">
        <v>2724</v>
      </c>
      <c r="C592" t="s">
        <v>270</v>
      </c>
      <c r="D592">
        <v>9.3610000000000007</v>
      </c>
      <c r="E592" s="4">
        <v>2996</v>
      </c>
      <c r="F592" t="str">
        <f>HYPERLINK("https://www.google.com/maps/search/?api=1&amp;query=23.99084306,47.12888933", "View Map")</f>
        <v>View Map</v>
      </c>
    </row>
    <row r="593" spans="1:7" x14ac:dyDescent="0.3">
      <c r="A593" t="s">
        <v>1518</v>
      </c>
      <c r="B593" t="s">
        <v>1519</v>
      </c>
      <c r="C593" t="s">
        <v>8</v>
      </c>
      <c r="D593">
        <v>9.3559999999999999</v>
      </c>
      <c r="E593" s="4">
        <v>2994</v>
      </c>
      <c r="F593" t="str">
        <f>HYPERLINK("https://www.google.com/maps/search/?api=1&amp;query=24.79528635,46.69282761", "View Map")</f>
        <v>View Map</v>
      </c>
      <c r="G593" s="2">
        <v>0.85204720349462748</v>
      </c>
    </row>
    <row r="594" spans="1:7" x14ac:dyDescent="0.3">
      <c r="A594" t="s">
        <v>1782</v>
      </c>
      <c r="B594" t="s">
        <v>1783</v>
      </c>
      <c r="C594" t="s">
        <v>8</v>
      </c>
      <c r="D594">
        <v>9.3520000000000003</v>
      </c>
      <c r="E594" s="4">
        <v>2993</v>
      </c>
      <c r="F594" t="str">
        <f>HYPERLINK("https://www.google.com/maps/search/?api=1&amp;query=24.72993825,46.65608824", "View Map")</f>
        <v>View Map</v>
      </c>
      <c r="G594" s="2">
        <v>0.85769182243263231</v>
      </c>
    </row>
    <row r="595" spans="1:7" x14ac:dyDescent="0.3">
      <c r="A595" t="s">
        <v>1224</v>
      </c>
      <c r="B595" t="s">
        <v>1225</v>
      </c>
      <c r="C595" t="s">
        <v>8</v>
      </c>
      <c r="D595">
        <v>9.343</v>
      </c>
      <c r="E595" s="4">
        <v>2990</v>
      </c>
      <c r="F595" t="str">
        <f>HYPERLINK("https://www.google.com/maps/search/?api=1&amp;query=24.64237849,46.69975979", "View Map")</f>
        <v>View Map</v>
      </c>
      <c r="G595" s="2">
        <v>0.94133626804150605</v>
      </c>
    </row>
    <row r="596" spans="1:7" x14ac:dyDescent="0.3">
      <c r="A596" t="s">
        <v>1187</v>
      </c>
      <c r="B596" t="s">
        <v>1188</v>
      </c>
      <c r="C596" t="s">
        <v>466</v>
      </c>
      <c r="D596">
        <v>9.327</v>
      </c>
      <c r="E596" s="4">
        <v>2985</v>
      </c>
      <c r="F596" t="str">
        <f>HYPERLINK("https://www.google.com/maps/search/?api=1&amp;query=24.60876391,46.10454253", "View Map")</f>
        <v>View Map</v>
      </c>
      <c r="G596" s="2">
        <v>0.77788633652774986</v>
      </c>
    </row>
    <row r="597" spans="1:7" x14ac:dyDescent="0.3">
      <c r="A597" t="s">
        <v>46</v>
      </c>
      <c r="B597" t="s">
        <v>1508</v>
      </c>
      <c r="C597" t="s">
        <v>8</v>
      </c>
      <c r="D597">
        <v>9.2880000000000003</v>
      </c>
      <c r="E597" s="4">
        <v>2972</v>
      </c>
      <c r="F597" t="str">
        <f>HYPERLINK("https://www.google.com/maps/search/?api=1&amp;query=24.84607118,46.6320328", "View Map")</f>
        <v>View Map</v>
      </c>
      <c r="G597" s="2">
        <v>0.68546047825234868</v>
      </c>
    </row>
    <row r="598" spans="1:7" x14ac:dyDescent="0.3">
      <c r="A598" t="s">
        <v>46</v>
      </c>
      <c r="B598" t="s">
        <v>1449</v>
      </c>
      <c r="C598" t="s">
        <v>8</v>
      </c>
      <c r="D598">
        <v>9.2829999999999995</v>
      </c>
      <c r="E598" s="4">
        <v>2971</v>
      </c>
      <c r="F598" t="str">
        <f>HYPERLINK("https://www.google.com/maps/search/?api=1&amp;query=24.87025862,46.61654794", "View Map")</f>
        <v>View Map</v>
      </c>
      <c r="G598" s="2">
        <v>0.86635424392045168</v>
      </c>
    </row>
    <row r="599" spans="1:7" x14ac:dyDescent="0.3">
      <c r="A599" t="s">
        <v>795</v>
      </c>
      <c r="B599" t="s">
        <v>1870</v>
      </c>
      <c r="C599" t="s">
        <v>8</v>
      </c>
      <c r="D599">
        <v>9.282</v>
      </c>
      <c r="E599" s="4">
        <v>2970</v>
      </c>
      <c r="F599" t="str">
        <f>HYPERLINK("https://www.google.com/maps/search/?api=1&amp;query=24.71234783,46.77045046", "View Map")</f>
        <v>View Map</v>
      </c>
      <c r="G599" s="2">
        <v>0.7219898282870294</v>
      </c>
    </row>
    <row r="600" spans="1:7" x14ac:dyDescent="0.3">
      <c r="A600" t="s">
        <v>1257</v>
      </c>
      <c r="B600" t="s">
        <v>1258</v>
      </c>
      <c r="C600" t="s">
        <v>214</v>
      </c>
      <c r="D600">
        <v>9.2799999999999994</v>
      </c>
      <c r="E600" s="4">
        <v>2970</v>
      </c>
      <c r="F600" t="str">
        <f>HYPERLINK("https://www.google.com/maps/search/?api=1&amp;query=25.82694678,45.80144844", "View Map")</f>
        <v>View Map</v>
      </c>
      <c r="G600" s="2">
        <v>0.79521743911963827</v>
      </c>
    </row>
    <row r="601" spans="1:7" x14ac:dyDescent="0.3">
      <c r="A601" t="s">
        <v>1468</v>
      </c>
      <c r="B601" t="s">
        <v>1469</v>
      </c>
      <c r="C601" t="s">
        <v>8</v>
      </c>
      <c r="D601">
        <v>9.2780000000000005</v>
      </c>
      <c r="E601" s="4">
        <v>2969</v>
      </c>
      <c r="F601" t="str">
        <f>HYPERLINK("https://www.google.com/maps/search/?api=1&amp;query=24.58331852,46.61143754", "View Map")</f>
        <v>View Map</v>
      </c>
    </row>
    <row r="602" spans="1:7" x14ac:dyDescent="0.3">
      <c r="A602" t="s">
        <v>4294</v>
      </c>
      <c r="B602" t="s">
        <v>4295</v>
      </c>
      <c r="C602" t="s">
        <v>8</v>
      </c>
      <c r="D602">
        <v>9.2769999999999992</v>
      </c>
      <c r="E602" s="4">
        <v>2969</v>
      </c>
      <c r="F602" t="str">
        <f>HYPERLINK("https://www.google.com/maps/search/?api=1&amp;query=24.73894872,46.78983778", "View Map")</f>
        <v>View Map</v>
      </c>
      <c r="G602" s="2">
        <v>0.55781907666939401</v>
      </c>
    </row>
    <row r="603" spans="1:7" x14ac:dyDescent="0.3">
      <c r="A603" t="s">
        <v>10449</v>
      </c>
      <c r="B603" t="s">
        <v>10450</v>
      </c>
      <c r="C603" t="s">
        <v>16</v>
      </c>
      <c r="D603">
        <v>9.2629999999999999</v>
      </c>
      <c r="E603" s="4">
        <v>2964</v>
      </c>
      <c r="F603" t="str">
        <f>HYPERLINK("https://www.google.com/maps/search/?api=1&amp;query=23.89546359,42.91269593", "View Map")</f>
        <v>View Map</v>
      </c>
      <c r="G603" s="2">
        <v>0.50990065505651072</v>
      </c>
    </row>
    <row r="604" spans="1:7" x14ac:dyDescent="0.3">
      <c r="A604" t="s">
        <v>1330</v>
      </c>
      <c r="B604" t="s">
        <v>1331</v>
      </c>
      <c r="C604" t="s">
        <v>8</v>
      </c>
      <c r="D604">
        <v>9.26</v>
      </c>
      <c r="E604" s="4">
        <v>2963</v>
      </c>
      <c r="F604" t="str">
        <f>HYPERLINK("https://www.google.com/maps/search/?api=1&amp;query=24.79262182,46.62509763", "View Map")</f>
        <v>View Map</v>
      </c>
      <c r="G604" s="2">
        <v>0.68375976332352306</v>
      </c>
    </row>
    <row r="605" spans="1:7" x14ac:dyDescent="0.3">
      <c r="A605" t="s">
        <v>8841</v>
      </c>
      <c r="B605" t="s">
        <v>8842</v>
      </c>
      <c r="C605" t="s">
        <v>8</v>
      </c>
      <c r="D605">
        <v>9.2550000000000008</v>
      </c>
      <c r="E605" s="4">
        <v>2962</v>
      </c>
      <c r="F605" t="str">
        <f>HYPERLINK("https://www.google.com/maps/search/?api=1&amp;query=24.75131436,46.59576032", "View Map")</f>
        <v>View Map</v>
      </c>
    </row>
    <row r="606" spans="1:7" x14ac:dyDescent="0.3">
      <c r="A606" t="s">
        <v>1053</v>
      </c>
      <c r="B606" t="s">
        <v>1054</v>
      </c>
      <c r="C606" t="s">
        <v>8</v>
      </c>
      <c r="D606">
        <v>9.2479999999999993</v>
      </c>
      <c r="E606" s="4">
        <v>2959</v>
      </c>
      <c r="F606" t="str">
        <f>HYPERLINK("https://www.google.com/maps/search/?api=1&amp;query=24.66213054,46.80220782", "View Map")</f>
        <v>View Map</v>
      </c>
      <c r="G606" s="2">
        <v>0.42358453492396808</v>
      </c>
    </row>
    <row r="607" spans="1:7" x14ac:dyDescent="0.3">
      <c r="A607" t="s">
        <v>411</v>
      </c>
      <c r="B607" t="s">
        <v>1438</v>
      </c>
      <c r="C607" t="s">
        <v>77</v>
      </c>
      <c r="D607">
        <v>9.218</v>
      </c>
      <c r="E607" s="4">
        <v>2950</v>
      </c>
      <c r="F607" t="str">
        <f>HYPERLINK("https://www.google.com/maps/search/?api=1&amp;query=22.01179802,46.59672528", "View Map")</f>
        <v>View Map</v>
      </c>
      <c r="G607" s="2">
        <v>0.78493011554607373</v>
      </c>
    </row>
    <row r="608" spans="1:7" x14ac:dyDescent="0.3">
      <c r="A608" t="s">
        <v>150</v>
      </c>
      <c r="B608" t="s">
        <v>723</v>
      </c>
      <c r="C608" t="s">
        <v>8</v>
      </c>
      <c r="D608">
        <v>9.2149999999999999</v>
      </c>
      <c r="E608" s="4">
        <v>2949</v>
      </c>
      <c r="F608" t="str">
        <f>HYPERLINK("https://www.google.com/maps/search/?api=1&amp;query=24.81463592,46.9093383", "View Map")</f>
        <v>View Map</v>
      </c>
      <c r="G608" s="2">
        <v>0.29817638032768018</v>
      </c>
    </row>
    <row r="609" spans="1:7" x14ac:dyDescent="0.3">
      <c r="A609" t="s">
        <v>992</v>
      </c>
      <c r="B609" t="s">
        <v>993</v>
      </c>
      <c r="C609" t="s">
        <v>8</v>
      </c>
      <c r="D609">
        <v>9.2149999999999999</v>
      </c>
      <c r="E609" s="4">
        <v>2949</v>
      </c>
      <c r="F609" t="str">
        <f>HYPERLINK("https://www.google.com/maps/search/?api=1&amp;query=24.73238448,46.7794887", "View Map")</f>
        <v>View Map</v>
      </c>
      <c r="G609" s="2">
        <v>0.60694252525075842</v>
      </c>
    </row>
    <row r="610" spans="1:7" x14ac:dyDescent="0.3">
      <c r="A610" t="s">
        <v>150</v>
      </c>
      <c r="B610" t="s">
        <v>151</v>
      </c>
      <c r="C610" t="s">
        <v>8</v>
      </c>
      <c r="D610">
        <v>9.2089999999999996</v>
      </c>
      <c r="E610" s="4">
        <v>2947</v>
      </c>
      <c r="F610" t="str">
        <f>HYPERLINK("https://www.google.com/maps/search/?api=1&amp;query=24.82399195,46.78630701", "View Map")</f>
        <v>View Map</v>
      </c>
      <c r="G610" s="2">
        <v>0.19556948533785279</v>
      </c>
    </row>
    <row r="611" spans="1:7" x14ac:dyDescent="0.3">
      <c r="A611" t="s">
        <v>977</v>
      </c>
      <c r="B611" t="s">
        <v>978</v>
      </c>
      <c r="C611" t="s">
        <v>8</v>
      </c>
      <c r="D611">
        <v>9.2059999999999995</v>
      </c>
      <c r="E611" s="4">
        <v>2946</v>
      </c>
      <c r="F611" t="str">
        <f>HYPERLINK("https://www.google.com/maps/search/?api=1&amp;query=24.6788181,46.82417938", "View Map")</f>
        <v>View Map</v>
      </c>
      <c r="G611" s="2">
        <v>0.39832214272384109</v>
      </c>
    </row>
    <row r="612" spans="1:7" x14ac:dyDescent="0.3">
      <c r="A612" t="s">
        <v>2034</v>
      </c>
      <c r="B612" t="s">
        <v>2035</v>
      </c>
      <c r="C612" t="s">
        <v>8</v>
      </c>
      <c r="D612">
        <v>9.2040000000000006</v>
      </c>
      <c r="E612" s="4">
        <v>2945</v>
      </c>
      <c r="F612" t="str">
        <f>HYPERLINK("https://www.google.com/maps/search/?api=1&amp;query=24.68348817,46.77779585", "View Map")</f>
        <v>View Map</v>
      </c>
    </row>
    <row r="613" spans="1:7" x14ac:dyDescent="0.3">
      <c r="A613" t="s">
        <v>1431</v>
      </c>
      <c r="B613" t="s">
        <v>1432</v>
      </c>
      <c r="C613" t="s">
        <v>8</v>
      </c>
      <c r="D613">
        <v>9.1880000000000006</v>
      </c>
      <c r="E613" s="4">
        <v>2940</v>
      </c>
      <c r="F613" t="str">
        <f>HYPERLINK("https://www.google.com/maps/search/?api=1&amp;query=24.62156169,46.71424394", "View Map")</f>
        <v>View Map</v>
      </c>
      <c r="G613" s="2">
        <v>0.54820173693396768</v>
      </c>
    </row>
    <row r="614" spans="1:7" x14ac:dyDescent="0.3">
      <c r="A614" t="s">
        <v>1871</v>
      </c>
      <c r="B614" t="s">
        <v>1872</v>
      </c>
      <c r="C614" t="s">
        <v>8</v>
      </c>
      <c r="D614">
        <v>9.1820000000000004</v>
      </c>
      <c r="E614" s="4">
        <v>2938</v>
      </c>
      <c r="F614" t="str">
        <f>HYPERLINK("https://www.google.com/maps/search/?api=1&amp;query=24.63730564,46.73632813", "View Map")</f>
        <v>View Map</v>
      </c>
    </row>
    <row r="615" spans="1:7" x14ac:dyDescent="0.3">
      <c r="A615" t="s">
        <v>46</v>
      </c>
      <c r="B615" t="s">
        <v>5396</v>
      </c>
      <c r="C615" t="s">
        <v>8</v>
      </c>
      <c r="D615">
        <v>9.1809999999999992</v>
      </c>
      <c r="E615" s="4">
        <v>2938</v>
      </c>
      <c r="F615" t="str">
        <f>HYPERLINK("https://www.google.com/maps/search/?api=1&amp;query=24.8034611,46.84307362", "View Map")</f>
        <v>View Map</v>
      </c>
    </row>
    <row r="616" spans="1:7" x14ac:dyDescent="0.3">
      <c r="A616" t="s">
        <v>1323</v>
      </c>
      <c r="B616" t="s">
        <v>1324</v>
      </c>
      <c r="C616" t="s">
        <v>8</v>
      </c>
      <c r="D616">
        <v>9.1750000000000007</v>
      </c>
      <c r="E616" s="4">
        <v>2936</v>
      </c>
      <c r="F616" t="str">
        <f>HYPERLINK("https://www.google.com/maps/search/?api=1&amp;query=24.77542057,46.74452977", "View Map")</f>
        <v>View Map</v>
      </c>
      <c r="G616" s="2">
        <v>0.71626843354300784</v>
      </c>
    </row>
    <row r="617" spans="1:7" x14ac:dyDescent="0.3">
      <c r="A617" t="s">
        <v>1403</v>
      </c>
      <c r="B617" t="s">
        <v>1404</v>
      </c>
      <c r="C617" t="s">
        <v>241</v>
      </c>
      <c r="D617">
        <v>9.1609999999999996</v>
      </c>
      <c r="E617" s="4">
        <v>2931</v>
      </c>
      <c r="F617" t="str">
        <f>HYPERLINK("https://www.google.com/maps/search/?api=1&amp;query=20.47101102,44.79302675", "View Map")</f>
        <v>View Map</v>
      </c>
      <c r="G617" s="2">
        <v>0.4952415173237753</v>
      </c>
    </row>
    <row r="618" spans="1:7" x14ac:dyDescent="0.3">
      <c r="A618" t="s">
        <v>46</v>
      </c>
      <c r="B618" t="s">
        <v>1247</v>
      </c>
      <c r="C618" t="s">
        <v>8</v>
      </c>
      <c r="D618">
        <v>9.16</v>
      </c>
      <c r="E618" s="4">
        <v>2931</v>
      </c>
      <c r="F618" t="str">
        <f>HYPERLINK("https://www.google.com/maps/search/?api=1&amp;query=24.69122129,46.8444315", "View Map")</f>
        <v>View Map</v>
      </c>
      <c r="G618" s="2">
        <v>0.64598279480552645</v>
      </c>
    </row>
    <row r="619" spans="1:7" x14ac:dyDescent="0.3">
      <c r="A619" t="s">
        <v>2008</v>
      </c>
      <c r="B619" t="s">
        <v>2009</v>
      </c>
      <c r="C619" t="s">
        <v>8</v>
      </c>
      <c r="D619">
        <v>9.1489999999999991</v>
      </c>
      <c r="E619" s="4">
        <v>2928</v>
      </c>
      <c r="F619" t="str">
        <f>HYPERLINK("https://www.google.com/maps/search/?api=1&amp;query=24.56970915,46.65257787", "View Map")</f>
        <v>View Map</v>
      </c>
    </row>
    <row r="620" spans="1:7" x14ac:dyDescent="0.3">
      <c r="A620" t="s">
        <v>337</v>
      </c>
      <c r="B620" t="s">
        <v>338</v>
      </c>
      <c r="C620" t="s">
        <v>8</v>
      </c>
      <c r="D620">
        <v>9.1370000000000005</v>
      </c>
      <c r="E620" s="4">
        <v>2924</v>
      </c>
      <c r="F620" t="str">
        <f>HYPERLINK("https://www.google.com/maps/search/?api=1&amp;query=24.77070675,46.71048516", "View Map")</f>
        <v>View Map</v>
      </c>
      <c r="G620" s="2">
        <v>0.3066066725197541</v>
      </c>
    </row>
    <row r="621" spans="1:7" x14ac:dyDescent="0.3">
      <c r="A621" t="s">
        <v>146</v>
      </c>
      <c r="B621" t="s">
        <v>1894</v>
      </c>
      <c r="C621" t="s">
        <v>8</v>
      </c>
      <c r="D621">
        <v>9.0920000000000005</v>
      </c>
      <c r="E621" s="4">
        <v>2909</v>
      </c>
      <c r="F621" t="str">
        <f>HYPERLINK("https://www.google.com/maps/search/?api=1&amp;query=24.56355666,46.57525674", "View Map")</f>
        <v>View Map</v>
      </c>
      <c r="G621" s="2">
        <v>0.52509312343039982</v>
      </c>
    </row>
    <row r="622" spans="1:7" x14ac:dyDescent="0.3">
      <c r="A622" t="s">
        <v>146</v>
      </c>
      <c r="B622" t="s">
        <v>3897</v>
      </c>
      <c r="C622" t="s">
        <v>8</v>
      </c>
      <c r="D622">
        <v>9.0909999999999993</v>
      </c>
      <c r="E622" s="4">
        <v>2909</v>
      </c>
      <c r="F622" t="str">
        <f>HYPERLINK("https://www.google.com/maps/search/?api=1&amp;query=24.52771284,46.6906314", "View Map")</f>
        <v>View Map</v>
      </c>
      <c r="G622" s="2">
        <v>0.65038355444634177</v>
      </c>
    </row>
    <row r="623" spans="1:7" x14ac:dyDescent="0.3">
      <c r="A623" t="s">
        <v>1474</v>
      </c>
      <c r="B623" t="s">
        <v>1475</v>
      </c>
      <c r="C623" t="s">
        <v>8</v>
      </c>
      <c r="D623">
        <v>9.0760000000000005</v>
      </c>
      <c r="E623" s="4">
        <v>2904</v>
      </c>
      <c r="F623" t="str">
        <f>HYPERLINK("https://www.google.com/maps/search/?api=1&amp;query=24.59719193,46.65401444", "View Map")</f>
        <v>View Map</v>
      </c>
    </row>
    <row r="624" spans="1:7" x14ac:dyDescent="0.3">
      <c r="A624" t="s">
        <v>2666</v>
      </c>
      <c r="B624" t="s">
        <v>2667</v>
      </c>
      <c r="C624" t="s">
        <v>8</v>
      </c>
      <c r="D624">
        <v>9.0640000000000001</v>
      </c>
      <c r="E624" s="4">
        <v>2900</v>
      </c>
      <c r="F624" t="str">
        <f>HYPERLINK("https://www.google.com/maps/search/?api=1&amp;query=24.81092439,46.85793814", "View Map")</f>
        <v>View Map</v>
      </c>
    </row>
    <row r="625" spans="1:7" x14ac:dyDescent="0.3">
      <c r="A625" t="s">
        <v>73</v>
      </c>
      <c r="B625" t="s">
        <v>1249</v>
      </c>
      <c r="C625" t="s">
        <v>8</v>
      </c>
      <c r="D625">
        <v>9.0340000000000007</v>
      </c>
      <c r="E625" s="4">
        <v>2891</v>
      </c>
      <c r="F625" t="str">
        <f>HYPERLINK("https://www.google.com/maps/search/?api=1&amp;query=24.81286174,46.68884191", "View Map")</f>
        <v>View Map</v>
      </c>
      <c r="G625" s="2">
        <v>0.51395419771234774</v>
      </c>
    </row>
    <row r="626" spans="1:7" x14ac:dyDescent="0.3">
      <c r="A626" t="s">
        <v>1971</v>
      </c>
      <c r="B626" t="s">
        <v>1972</v>
      </c>
      <c r="C626" t="s">
        <v>8</v>
      </c>
      <c r="D626">
        <v>9.0229999999999997</v>
      </c>
      <c r="E626" s="4">
        <v>2887</v>
      </c>
      <c r="F626" t="str">
        <f>HYPERLINK("https://www.google.com/maps/search/?api=1&amp;query=24.62391126,46.54828732", "View Map")</f>
        <v>View Map</v>
      </c>
    </row>
    <row r="627" spans="1:7" x14ac:dyDescent="0.3">
      <c r="A627" t="s">
        <v>46</v>
      </c>
      <c r="B627" t="s">
        <v>6779</v>
      </c>
      <c r="C627" t="s">
        <v>8</v>
      </c>
      <c r="D627">
        <v>9.0190000000000001</v>
      </c>
      <c r="E627" s="4">
        <v>2886</v>
      </c>
      <c r="F627" t="str">
        <f>HYPERLINK("https://www.google.com/maps/search/?api=1&amp;query=24.84802253,46.78672859", "View Map")</f>
        <v>View Map</v>
      </c>
    </row>
    <row r="628" spans="1:7" x14ac:dyDescent="0.3">
      <c r="A628" t="s">
        <v>830</v>
      </c>
      <c r="B628" t="s">
        <v>831</v>
      </c>
      <c r="C628" t="s">
        <v>8</v>
      </c>
      <c r="D628">
        <v>9.0020000000000007</v>
      </c>
      <c r="E628" s="4">
        <v>2881</v>
      </c>
      <c r="F628" t="str">
        <f>HYPERLINK("https://www.google.com/maps/search/?api=1&amp;query=24.73137056,46.85275576", "View Map")</f>
        <v>View Map</v>
      </c>
    </row>
    <row r="629" spans="1:7" x14ac:dyDescent="0.3">
      <c r="A629" t="s">
        <v>1645</v>
      </c>
      <c r="B629" t="s">
        <v>1646</v>
      </c>
      <c r="C629" t="s">
        <v>8</v>
      </c>
      <c r="D629">
        <v>8.9969999999999999</v>
      </c>
      <c r="E629" s="4">
        <v>2879</v>
      </c>
      <c r="F629" t="str">
        <f>HYPERLINK("https://www.google.com/maps/search/?api=1&amp;query=24.69873387,46.76547353", "View Map")</f>
        <v>View Map</v>
      </c>
    </row>
    <row r="630" spans="1:7" x14ac:dyDescent="0.3">
      <c r="A630" t="s">
        <v>46</v>
      </c>
      <c r="B630" t="s">
        <v>1329</v>
      </c>
      <c r="C630" t="s">
        <v>8</v>
      </c>
      <c r="D630">
        <v>8.9939999999999998</v>
      </c>
      <c r="E630" s="4">
        <v>2878</v>
      </c>
      <c r="F630" t="str">
        <f>HYPERLINK("https://www.google.com/maps/search/?api=1&amp;query=24.83613636,46.60738876", "View Map")</f>
        <v>View Map</v>
      </c>
      <c r="G630" s="2">
        <v>0.54341677451276882</v>
      </c>
    </row>
    <row r="631" spans="1:7" x14ac:dyDescent="0.3">
      <c r="A631" t="s">
        <v>922</v>
      </c>
      <c r="B631" t="s">
        <v>923</v>
      </c>
      <c r="C631" t="s">
        <v>8</v>
      </c>
      <c r="D631">
        <v>8.9770000000000003</v>
      </c>
      <c r="E631" s="4">
        <v>2873</v>
      </c>
      <c r="F631" t="str">
        <f>HYPERLINK("https://www.google.com/maps/search/?api=1&amp;query=24.58820307,46.61441952", "View Map")</f>
        <v>View Map</v>
      </c>
      <c r="G631" s="2">
        <v>0.48194383144926312</v>
      </c>
    </row>
    <row r="632" spans="1:7" x14ac:dyDescent="0.3">
      <c r="A632" t="s">
        <v>46</v>
      </c>
      <c r="B632" t="s">
        <v>2443</v>
      </c>
      <c r="C632" t="s">
        <v>8</v>
      </c>
      <c r="D632">
        <v>8.9740000000000002</v>
      </c>
      <c r="E632" s="4">
        <v>2872</v>
      </c>
      <c r="F632" t="str">
        <f>HYPERLINK("https://www.google.com/maps/search/?api=1&amp;query=24.83797343,46.60331339", "View Map")</f>
        <v>View Map</v>
      </c>
    </row>
    <row r="633" spans="1:7" x14ac:dyDescent="0.3">
      <c r="A633" t="s">
        <v>2017</v>
      </c>
      <c r="B633" t="s">
        <v>2018</v>
      </c>
      <c r="C633" t="s">
        <v>8</v>
      </c>
      <c r="D633">
        <v>8.9710000000000001</v>
      </c>
      <c r="E633" s="4">
        <v>2871</v>
      </c>
      <c r="F633" t="str">
        <f>HYPERLINK("https://www.google.com/maps/search/?api=1&amp;query=24.75667299,46.81252454", "View Map")</f>
        <v>View Map</v>
      </c>
      <c r="G633" s="2">
        <v>0.72293360620387248</v>
      </c>
    </row>
    <row r="634" spans="1:7" x14ac:dyDescent="0.3">
      <c r="A634" t="s">
        <v>549</v>
      </c>
      <c r="B634" t="s">
        <v>550</v>
      </c>
      <c r="C634" t="s">
        <v>8</v>
      </c>
      <c r="D634">
        <v>8.9550000000000001</v>
      </c>
      <c r="E634" s="4">
        <v>2866</v>
      </c>
      <c r="F634" t="str">
        <f>HYPERLINK("https://www.google.com/maps/search/?api=1&amp;query=24.5641861,46.79203736", "View Map")</f>
        <v>View Map</v>
      </c>
    </row>
    <row r="635" spans="1:7" x14ac:dyDescent="0.3">
      <c r="A635" t="s">
        <v>1015</v>
      </c>
      <c r="B635" t="s">
        <v>1016</v>
      </c>
      <c r="C635" t="s">
        <v>8</v>
      </c>
      <c r="D635">
        <v>8.9459999999999997</v>
      </c>
      <c r="E635" s="4">
        <v>2863</v>
      </c>
      <c r="F635" t="str">
        <f>HYPERLINK("https://www.google.com/maps/search/?api=1&amp;query=24.74282844,46.76123553", "View Map")</f>
        <v>View Map</v>
      </c>
      <c r="G635" s="2">
        <v>0.36307471101628203</v>
      </c>
    </row>
    <row r="636" spans="1:7" x14ac:dyDescent="0.3">
      <c r="A636" t="s">
        <v>1300</v>
      </c>
      <c r="B636" t="s">
        <v>1301</v>
      </c>
      <c r="C636" t="s">
        <v>8</v>
      </c>
      <c r="D636">
        <v>8.94</v>
      </c>
      <c r="E636" s="4">
        <v>2861</v>
      </c>
      <c r="F636" t="str">
        <f>HYPERLINK("https://www.google.com/maps/search/?api=1&amp;query=24.6256551,46.69616648", "View Map")</f>
        <v>View Map</v>
      </c>
    </row>
    <row r="637" spans="1:7" x14ac:dyDescent="0.3">
      <c r="A637" t="s">
        <v>1615</v>
      </c>
      <c r="B637" t="s">
        <v>1616</v>
      </c>
      <c r="C637" t="s">
        <v>8</v>
      </c>
      <c r="D637">
        <v>8.9359999999999999</v>
      </c>
      <c r="E637" s="4">
        <v>2860</v>
      </c>
      <c r="F637" t="str">
        <f>HYPERLINK("https://www.google.com/maps/search/?api=1&amp;query=24.63499109,46.69101628", "View Map")</f>
        <v>View Map</v>
      </c>
    </row>
    <row r="638" spans="1:7" x14ac:dyDescent="0.3">
      <c r="A638" t="s">
        <v>2272</v>
      </c>
      <c r="B638" t="s">
        <v>2273</v>
      </c>
      <c r="C638" t="s">
        <v>8</v>
      </c>
      <c r="D638">
        <v>8.9269999999999996</v>
      </c>
      <c r="E638" s="4">
        <v>2857</v>
      </c>
      <c r="F638" t="str">
        <f>HYPERLINK("https://www.google.com/maps/search/?api=1&amp;query=24.71556644,46.6618734", "View Map")</f>
        <v>View Map</v>
      </c>
      <c r="G638" s="2">
        <v>0.46306768198847459</v>
      </c>
    </row>
    <row r="639" spans="1:7" x14ac:dyDescent="0.3">
      <c r="A639" t="s">
        <v>1875</v>
      </c>
      <c r="B639" t="s">
        <v>1876</v>
      </c>
      <c r="C639" t="s">
        <v>393</v>
      </c>
      <c r="D639">
        <v>8.9220000000000006</v>
      </c>
      <c r="E639" s="4">
        <v>2855</v>
      </c>
      <c r="F639" t="str">
        <f>HYPERLINK("https://www.google.com/maps/search/?api=1&amp;query=23.79527298,45.28387584", "View Map")</f>
        <v>View Map</v>
      </c>
      <c r="G639" s="2">
        <v>0.97076938059575302</v>
      </c>
    </row>
    <row r="640" spans="1:7" x14ac:dyDescent="0.3">
      <c r="A640" t="s">
        <v>635</v>
      </c>
      <c r="B640" t="s">
        <v>1511</v>
      </c>
      <c r="C640" t="s">
        <v>8</v>
      </c>
      <c r="D640">
        <v>8.9190000000000005</v>
      </c>
      <c r="E640" s="4">
        <v>2854</v>
      </c>
      <c r="F640" t="str">
        <f>HYPERLINK("https://www.google.com/maps/search/?api=1&amp;query=24.80761151,46.76343591", "View Map")</f>
        <v>View Map</v>
      </c>
      <c r="G640" s="2">
        <v>0.41590887895119061</v>
      </c>
    </row>
    <row r="641" spans="1:7" x14ac:dyDescent="0.3">
      <c r="A641" t="s">
        <v>1204</v>
      </c>
      <c r="B641" t="s">
        <v>1205</v>
      </c>
      <c r="C641" t="s">
        <v>8</v>
      </c>
      <c r="D641">
        <v>8.9009999999999998</v>
      </c>
      <c r="E641" s="4">
        <v>2848</v>
      </c>
      <c r="F641" t="str">
        <f>HYPERLINK("https://www.google.com/maps/search/?api=1&amp;query=24.72287947,46.68626833", "View Map")</f>
        <v>View Map</v>
      </c>
      <c r="G641" s="2">
        <v>0.59363557893359176</v>
      </c>
    </row>
    <row r="642" spans="1:7" x14ac:dyDescent="0.3">
      <c r="A642" t="s">
        <v>969</v>
      </c>
      <c r="B642" t="s">
        <v>970</v>
      </c>
      <c r="C642" t="s">
        <v>8</v>
      </c>
      <c r="D642">
        <v>8.8960000000000008</v>
      </c>
      <c r="E642" s="4">
        <v>2847</v>
      </c>
      <c r="F642" t="str">
        <f>HYPERLINK("https://www.google.com/maps/search/?api=1&amp;query=24.57658581,46.61862011", "View Map")</f>
        <v>View Map</v>
      </c>
      <c r="G642" s="2">
        <v>0.70857309745378383</v>
      </c>
    </row>
    <row r="643" spans="1:7" x14ac:dyDescent="0.3">
      <c r="A643" t="s">
        <v>1077</v>
      </c>
      <c r="B643" t="s">
        <v>1742</v>
      </c>
      <c r="C643" t="s">
        <v>8</v>
      </c>
      <c r="D643">
        <v>8.8960000000000008</v>
      </c>
      <c r="E643" s="4">
        <v>2847</v>
      </c>
      <c r="F643" t="str">
        <f>HYPERLINK("https://www.google.com/maps/search/?api=1&amp;query=24.67815997,46.78595487", "View Map")</f>
        <v>View Map</v>
      </c>
    </row>
    <row r="644" spans="1:7" x14ac:dyDescent="0.3">
      <c r="A644" t="s">
        <v>146</v>
      </c>
      <c r="B644" t="s">
        <v>1098</v>
      </c>
      <c r="C644" t="s">
        <v>8</v>
      </c>
      <c r="D644">
        <v>8.8889999999999993</v>
      </c>
      <c r="E644" s="4">
        <v>2845</v>
      </c>
      <c r="F644" t="str">
        <f>HYPERLINK("https://www.google.com/maps/search/?api=1&amp;query=24.69169,46.57999", "View Map")</f>
        <v>View Map</v>
      </c>
      <c r="G644" s="2">
        <v>0.47616331600405393</v>
      </c>
    </row>
    <row r="645" spans="1:7" x14ac:dyDescent="0.3">
      <c r="A645" t="s">
        <v>1528</v>
      </c>
      <c r="B645" t="s">
        <v>1529</v>
      </c>
      <c r="C645" t="s">
        <v>8</v>
      </c>
      <c r="D645">
        <v>8.8629999999999995</v>
      </c>
      <c r="E645" s="4">
        <v>2836</v>
      </c>
      <c r="F645" t="str">
        <f>HYPERLINK("https://www.google.com/maps/search/?api=1&amp;query=24.59043053,46.64855906", "View Map")</f>
        <v>View Map</v>
      </c>
      <c r="G645" s="2">
        <v>0.57953806230038729</v>
      </c>
    </row>
    <row r="646" spans="1:7" x14ac:dyDescent="0.3">
      <c r="A646" t="s">
        <v>1585</v>
      </c>
      <c r="B646" t="s">
        <v>1586</v>
      </c>
      <c r="C646" t="s">
        <v>8</v>
      </c>
      <c r="D646">
        <v>8.859</v>
      </c>
      <c r="E646" s="4">
        <v>2835</v>
      </c>
      <c r="F646" t="str">
        <f>HYPERLINK("https://www.google.com/maps/search/?api=1&amp;query=24.87258727,46.80882715", "View Map")</f>
        <v>View Map</v>
      </c>
    </row>
    <row r="647" spans="1:7" x14ac:dyDescent="0.3">
      <c r="A647" t="s">
        <v>627</v>
      </c>
      <c r="B647" t="s">
        <v>2105</v>
      </c>
      <c r="C647" t="s">
        <v>8</v>
      </c>
      <c r="D647">
        <v>8.8580000000000005</v>
      </c>
      <c r="E647" s="4">
        <v>2834</v>
      </c>
      <c r="F647" t="str">
        <f>HYPERLINK("https://www.google.com/maps/search/?api=1&amp;query=24.72690278,46.70476956", "View Map")</f>
        <v>View Map</v>
      </c>
    </row>
    <row r="648" spans="1:7" x14ac:dyDescent="0.3">
      <c r="A648" t="s">
        <v>28</v>
      </c>
      <c r="B648" t="s">
        <v>1768</v>
      </c>
      <c r="C648" t="s">
        <v>30</v>
      </c>
      <c r="D648">
        <v>8.8480000000000008</v>
      </c>
      <c r="E648" s="4">
        <v>2831</v>
      </c>
      <c r="F648" t="str">
        <f>HYPERLINK("https://www.google.com/maps/search/?api=1&amp;query=24.08391463,47.2566621", "View Map")</f>
        <v>View Map</v>
      </c>
      <c r="G648" s="2">
        <v>0.47677426308131698</v>
      </c>
    </row>
    <row r="649" spans="1:7" x14ac:dyDescent="0.3">
      <c r="A649" t="s">
        <v>146</v>
      </c>
      <c r="B649" t="s">
        <v>1649</v>
      </c>
      <c r="C649" t="s">
        <v>8</v>
      </c>
      <c r="D649">
        <v>8.8369999999999997</v>
      </c>
      <c r="E649" s="4">
        <v>2828</v>
      </c>
      <c r="F649" t="str">
        <f>HYPERLINK("https://www.google.com/maps/search/?api=1&amp;query=24.54953302,46.51187358", "View Map")</f>
        <v>View Map</v>
      </c>
      <c r="G649" s="2">
        <v>0.44647394112729172</v>
      </c>
    </row>
    <row r="650" spans="1:7" x14ac:dyDescent="0.3">
      <c r="A650" t="s">
        <v>1368</v>
      </c>
      <c r="B650" t="s">
        <v>1369</v>
      </c>
      <c r="C650" t="s">
        <v>30</v>
      </c>
      <c r="D650">
        <v>8.83</v>
      </c>
      <c r="E650" s="4">
        <v>2826</v>
      </c>
      <c r="F650" t="str">
        <f>HYPERLINK("https://www.google.com/maps/search/?api=1&amp;query=24.15426279,47.33110943", "View Map")</f>
        <v>View Map</v>
      </c>
    </row>
    <row r="651" spans="1:7" x14ac:dyDescent="0.3">
      <c r="A651" t="s">
        <v>1381</v>
      </c>
      <c r="B651" t="s">
        <v>1382</v>
      </c>
      <c r="C651" t="s">
        <v>30</v>
      </c>
      <c r="D651">
        <v>8.81</v>
      </c>
      <c r="E651" s="4">
        <v>2819</v>
      </c>
      <c r="F651" t="str">
        <f>HYPERLINK("https://www.google.com/maps/search/?api=1&amp;query=24.1259483,47.27599942", "View Map")</f>
        <v>View Map</v>
      </c>
    </row>
    <row r="652" spans="1:7" x14ac:dyDescent="0.3">
      <c r="A652" t="s">
        <v>3030</v>
      </c>
      <c r="B652" t="s">
        <v>3031</v>
      </c>
      <c r="C652" t="s">
        <v>8</v>
      </c>
      <c r="D652">
        <v>8.8019999999999996</v>
      </c>
      <c r="E652" s="4">
        <v>2817</v>
      </c>
      <c r="F652" t="str">
        <f>HYPERLINK("https://www.google.com/maps/search/?api=1&amp;query=24.57107711,46.85112133", "View Map")</f>
        <v>View Map</v>
      </c>
    </row>
    <row r="653" spans="1:7" x14ac:dyDescent="0.3">
      <c r="A653" t="s">
        <v>1828</v>
      </c>
      <c r="B653" t="s">
        <v>1829</v>
      </c>
      <c r="C653" t="s">
        <v>8</v>
      </c>
      <c r="D653">
        <v>8.7910000000000004</v>
      </c>
      <c r="E653" s="4">
        <v>2813</v>
      </c>
      <c r="F653" t="str">
        <f>HYPERLINK("https://www.google.com/maps/search/?api=1&amp;query=24.76882229,46.70801249", "View Map")</f>
        <v>View Map</v>
      </c>
      <c r="G653" s="2">
        <v>0.50226747217968037</v>
      </c>
    </row>
    <row r="654" spans="1:7" x14ac:dyDescent="0.3">
      <c r="A654" t="s">
        <v>1606</v>
      </c>
      <c r="B654" t="s">
        <v>1607</v>
      </c>
      <c r="C654" t="s">
        <v>255</v>
      </c>
      <c r="D654">
        <v>8.7859999999999996</v>
      </c>
      <c r="E654" s="4">
        <v>2812</v>
      </c>
      <c r="F654" t="str">
        <f>HYPERLINK("https://www.google.com/maps/search/?api=1&amp;query=25.38546094,44.50846931", "View Map")</f>
        <v>View Map</v>
      </c>
      <c r="G654" s="2">
        <v>0.84178283636946361</v>
      </c>
    </row>
    <row r="655" spans="1:7" x14ac:dyDescent="0.3">
      <c r="A655" t="s">
        <v>176</v>
      </c>
      <c r="B655" t="s">
        <v>1492</v>
      </c>
      <c r="C655" t="s">
        <v>8</v>
      </c>
      <c r="D655">
        <v>8.7850000000000001</v>
      </c>
      <c r="E655" s="4">
        <v>2811</v>
      </c>
      <c r="F655" t="str">
        <f>HYPERLINK("https://www.google.com/maps/search/?api=1&amp;query=24.7861178,46.79299834", "View Map")</f>
        <v>View Map</v>
      </c>
      <c r="G655" s="2">
        <v>0.64633995906606956</v>
      </c>
    </row>
    <row r="656" spans="1:7" x14ac:dyDescent="0.3">
      <c r="A656" t="s">
        <v>3108</v>
      </c>
      <c r="B656" t="s">
        <v>3109</v>
      </c>
      <c r="C656" t="s">
        <v>8</v>
      </c>
      <c r="D656">
        <v>8.782</v>
      </c>
      <c r="E656" s="4">
        <v>2810</v>
      </c>
      <c r="F656" t="str">
        <f>HYPERLINK("https://www.google.com/maps/search/?api=1&amp;query=24.72666641,46.85361565", "View Map")</f>
        <v>View Map</v>
      </c>
    </row>
    <row r="657" spans="1:7" x14ac:dyDescent="0.3">
      <c r="A657" t="s">
        <v>828</v>
      </c>
      <c r="B657" t="s">
        <v>829</v>
      </c>
      <c r="C657" t="s">
        <v>8</v>
      </c>
      <c r="D657">
        <v>8.782</v>
      </c>
      <c r="E657" s="4">
        <v>2810</v>
      </c>
      <c r="F657" t="str">
        <f>HYPERLINK("https://www.google.com/maps/search/?api=1&amp;query=24.68048832,46.75019139", "View Map")</f>
        <v>View Map</v>
      </c>
      <c r="G657" s="2">
        <v>0.27099688934972599</v>
      </c>
    </row>
    <row r="658" spans="1:7" x14ac:dyDescent="0.3">
      <c r="A658" t="s">
        <v>1275</v>
      </c>
      <c r="B658" t="s">
        <v>1584</v>
      </c>
      <c r="C658" t="s">
        <v>8</v>
      </c>
      <c r="D658">
        <v>8.7769999999999992</v>
      </c>
      <c r="E658" s="4">
        <v>2809</v>
      </c>
      <c r="F658" t="str">
        <f>HYPERLINK("https://www.google.com/maps/search/?api=1&amp;query=24.72898024,46.8039213", "View Map")</f>
        <v>View Map</v>
      </c>
      <c r="G658" s="2">
        <v>0.53734786719754679</v>
      </c>
    </row>
    <row r="659" spans="1:7" x14ac:dyDescent="0.3">
      <c r="A659" t="s">
        <v>1526</v>
      </c>
      <c r="B659" t="s">
        <v>1527</v>
      </c>
      <c r="C659" t="s">
        <v>8</v>
      </c>
      <c r="D659">
        <v>8.7769999999999992</v>
      </c>
      <c r="E659" s="4">
        <v>2809</v>
      </c>
      <c r="F659" t="str">
        <f>HYPERLINK("https://www.google.com/maps/search/?api=1&amp;query=24.77201105,46.71580526", "View Map")</f>
        <v>View Map</v>
      </c>
      <c r="G659" s="2">
        <v>0.63425538534967385</v>
      </c>
    </row>
    <row r="660" spans="1:7" x14ac:dyDescent="0.3">
      <c r="A660" t="s">
        <v>3326</v>
      </c>
      <c r="B660" t="s">
        <v>3327</v>
      </c>
      <c r="C660" t="s">
        <v>8</v>
      </c>
      <c r="D660">
        <v>8.7579999999999991</v>
      </c>
      <c r="E660" s="4">
        <v>2803</v>
      </c>
      <c r="F660" t="str">
        <f>HYPERLINK("https://www.google.com/maps/search/?api=1&amp;query=24.58322524,46.52242644", "View Map")</f>
        <v>View Map</v>
      </c>
      <c r="G660" s="2">
        <v>0.49690965178440127</v>
      </c>
    </row>
    <row r="661" spans="1:7" x14ac:dyDescent="0.3">
      <c r="A661" t="s">
        <v>2363</v>
      </c>
      <c r="B661" t="s">
        <v>2364</v>
      </c>
      <c r="C661" t="s">
        <v>8</v>
      </c>
      <c r="D661">
        <v>8.7560000000000002</v>
      </c>
      <c r="E661" s="4">
        <v>2802</v>
      </c>
      <c r="F661" t="str">
        <f>HYPERLINK("https://www.google.com/maps/search/?api=1&amp;query=24.75578177,46.74512079", "View Map")</f>
        <v>View Map</v>
      </c>
      <c r="G661" s="2">
        <v>0.52790119827252902</v>
      </c>
    </row>
    <row r="662" spans="1:7" x14ac:dyDescent="0.3">
      <c r="A662" t="s">
        <v>1952</v>
      </c>
      <c r="B662" t="s">
        <v>1953</v>
      </c>
      <c r="C662" t="s">
        <v>8</v>
      </c>
      <c r="D662">
        <v>8.7539999999999996</v>
      </c>
      <c r="E662" s="4">
        <v>2801</v>
      </c>
      <c r="F662" t="str">
        <f>HYPERLINK("https://www.google.com/maps/search/?api=1&amp;query=24.54554628,46.7036859", "View Map")</f>
        <v>View Map</v>
      </c>
      <c r="G662" s="2">
        <v>0.83552037673623791</v>
      </c>
    </row>
    <row r="663" spans="1:7" x14ac:dyDescent="0.3">
      <c r="A663" t="s">
        <v>1414</v>
      </c>
      <c r="B663" t="s">
        <v>1415</v>
      </c>
      <c r="C663" t="s">
        <v>8</v>
      </c>
      <c r="D663">
        <v>8.734</v>
      </c>
      <c r="E663" s="4">
        <v>2795</v>
      </c>
      <c r="F663" t="str">
        <f>HYPERLINK("https://www.google.com/maps/search/?api=1&amp;query=24.78265071,46.58388412", "View Map")</f>
        <v>View Map</v>
      </c>
    </row>
    <row r="664" spans="1:7" x14ac:dyDescent="0.3">
      <c r="A664" t="s">
        <v>46</v>
      </c>
      <c r="B664" t="s">
        <v>1839</v>
      </c>
      <c r="C664" t="s">
        <v>8</v>
      </c>
      <c r="D664">
        <v>8.7170000000000005</v>
      </c>
      <c r="E664" s="4">
        <v>2789</v>
      </c>
      <c r="F664" t="str">
        <f>HYPERLINK("https://www.google.com/maps/search/?api=1&amp;query=24.84817858,46.82772415", "View Map")</f>
        <v>View Map</v>
      </c>
      <c r="G664" s="2">
        <v>0.9425608398020181</v>
      </c>
    </row>
    <row r="665" spans="1:7" x14ac:dyDescent="0.3">
      <c r="A665" t="s">
        <v>1232</v>
      </c>
      <c r="B665" t="s">
        <v>1233</v>
      </c>
      <c r="C665" t="s">
        <v>8</v>
      </c>
      <c r="D665">
        <v>8.6839999999999993</v>
      </c>
      <c r="E665" s="4">
        <v>2779</v>
      </c>
      <c r="F665" t="str">
        <f>HYPERLINK("https://www.google.com/maps/search/?api=1&amp;query=24.73929471,46.7187042", "View Map")</f>
        <v>View Map</v>
      </c>
      <c r="G665" s="2">
        <v>0.45031293148299528</v>
      </c>
    </row>
    <row r="666" spans="1:7" x14ac:dyDescent="0.3">
      <c r="A666" t="s">
        <v>1277</v>
      </c>
      <c r="B666" t="s">
        <v>1390</v>
      </c>
      <c r="C666" t="s">
        <v>8</v>
      </c>
      <c r="D666">
        <v>8.6560000000000006</v>
      </c>
      <c r="E666" s="4">
        <v>2770</v>
      </c>
      <c r="F666" t="str">
        <f>HYPERLINK("https://www.google.com/maps/search/?api=1&amp;query=24.60894509,46.74114648", "View Map")</f>
        <v>View Map</v>
      </c>
    </row>
    <row r="667" spans="1:7" x14ac:dyDescent="0.3">
      <c r="A667" t="s">
        <v>2467</v>
      </c>
      <c r="B667" t="s">
        <v>6420</v>
      </c>
      <c r="C667" t="s">
        <v>8</v>
      </c>
      <c r="D667">
        <v>8.6509999999999998</v>
      </c>
      <c r="E667" s="4">
        <v>2768</v>
      </c>
      <c r="F667" t="str">
        <f>HYPERLINK("https://www.google.com/maps/search/?api=1&amp;query=24.78364555,46.74349542", "View Map")</f>
        <v>View Map</v>
      </c>
    </row>
    <row r="668" spans="1:7" x14ac:dyDescent="0.3">
      <c r="A668" t="s">
        <v>1341</v>
      </c>
      <c r="B668" t="s">
        <v>1342</v>
      </c>
      <c r="C668" t="s">
        <v>8</v>
      </c>
      <c r="D668">
        <v>8.6180000000000003</v>
      </c>
      <c r="E668" s="4">
        <v>2758</v>
      </c>
      <c r="F668" t="str">
        <f>HYPERLINK("https://www.google.com/maps/search/?api=1&amp;query=24.7204502,46.84371582", "View Map")</f>
        <v>View Map</v>
      </c>
      <c r="G668" s="2">
        <v>0.49520097104354549</v>
      </c>
    </row>
    <row r="669" spans="1:7" x14ac:dyDescent="0.3">
      <c r="A669" t="s">
        <v>1524</v>
      </c>
      <c r="B669" t="s">
        <v>1525</v>
      </c>
      <c r="C669" t="s">
        <v>241</v>
      </c>
      <c r="D669">
        <v>8.6120000000000001</v>
      </c>
      <c r="E669" s="4">
        <v>2756</v>
      </c>
      <c r="F669" t="str">
        <f>HYPERLINK("https://www.google.com/maps/search/?api=1&amp;query=20.4602661,44.79577631", "View Map")</f>
        <v>View Map</v>
      </c>
      <c r="G669" s="2">
        <v>0.49170129808678098</v>
      </c>
    </row>
    <row r="670" spans="1:7" x14ac:dyDescent="0.3">
      <c r="A670" t="s">
        <v>512</v>
      </c>
      <c r="B670" t="s">
        <v>3750</v>
      </c>
      <c r="C670" t="s">
        <v>8</v>
      </c>
      <c r="D670">
        <v>8.61</v>
      </c>
      <c r="E670" s="4">
        <v>2755</v>
      </c>
      <c r="F670" t="str">
        <f>HYPERLINK("https://www.google.com/maps/search/?api=1&amp;query=24.80712,46.74323", "View Map")</f>
        <v>View Map</v>
      </c>
    </row>
    <row r="671" spans="1:7" x14ac:dyDescent="0.3">
      <c r="A671" t="s">
        <v>360</v>
      </c>
      <c r="B671" t="s">
        <v>361</v>
      </c>
      <c r="C671" t="s">
        <v>8</v>
      </c>
      <c r="D671">
        <v>8.5980000000000008</v>
      </c>
      <c r="E671" s="4">
        <v>2751</v>
      </c>
      <c r="F671" t="str">
        <f>HYPERLINK("https://www.google.com/maps/search/?api=1&amp;query=24.5419,46.7028", "View Map")</f>
        <v>View Map</v>
      </c>
      <c r="G671" s="2">
        <v>0.1964670741553467</v>
      </c>
    </row>
    <row r="672" spans="1:7" x14ac:dyDescent="0.3">
      <c r="A672" t="s">
        <v>46</v>
      </c>
      <c r="B672" t="s">
        <v>1643</v>
      </c>
      <c r="C672" t="s">
        <v>820</v>
      </c>
      <c r="D672">
        <v>8.5890000000000004</v>
      </c>
      <c r="E672" s="4">
        <v>2749</v>
      </c>
      <c r="F672" t="str">
        <f>HYPERLINK("https://www.google.com/maps/search/?api=1&amp;query=0.0,0.0", "View Map")</f>
        <v>View Map</v>
      </c>
      <c r="G672" s="2">
        <v>1.6309629103004351</v>
      </c>
    </row>
    <row r="673" spans="1:7" x14ac:dyDescent="0.3">
      <c r="A673" t="s">
        <v>46</v>
      </c>
      <c r="B673" t="s">
        <v>2647</v>
      </c>
      <c r="C673" t="s">
        <v>55</v>
      </c>
      <c r="D673">
        <v>8.5890000000000004</v>
      </c>
      <c r="E673" s="4">
        <v>2748</v>
      </c>
      <c r="F673" t="str">
        <f>HYPERLINK("https://www.google.com/maps/search/?api=1&amp;query=24.775971,46.56946824", "View Map")</f>
        <v>View Map</v>
      </c>
      <c r="G673" s="2">
        <v>0.78955556296026008</v>
      </c>
    </row>
    <row r="674" spans="1:7" x14ac:dyDescent="0.3">
      <c r="A674" t="s">
        <v>46</v>
      </c>
      <c r="B674" t="s">
        <v>1505</v>
      </c>
      <c r="C674" t="s">
        <v>8</v>
      </c>
      <c r="D674">
        <v>8.5830000000000002</v>
      </c>
      <c r="E674" s="4">
        <v>2746</v>
      </c>
      <c r="F674" t="str">
        <f>HYPERLINK("https://www.google.com/maps/search/?api=1&amp;query=24.55998194,46.80414634", "View Map")</f>
        <v>View Map</v>
      </c>
      <c r="G674" s="2">
        <v>0.41661720461754798</v>
      </c>
    </row>
    <row r="675" spans="1:7" x14ac:dyDescent="0.3">
      <c r="A675" t="s">
        <v>146</v>
      </c>
      <c r="B675" t="s">
        <v>905</v>
      </c>
      <c r="C675" t="s">
        <v>8</v>
      </c>
      <c r="D675">
        <v>8.5670000000000002</v>
      </c>
      <c r="E675" s="4">
        <v>2742</v>
      </c>
      <c r="F675" t="str">
        <f>HYPERLINK("https://www.google.com/maps/search/?api=1&amp;query=24.55574042,46.53210576", "View Map")</f>
        <v>View Map</v>
      </c>
      <c r="G675" s="2">
        <v>0.43424752798441257</v>
      </c>
    </row>
    <row r="676" spans="1:7" x14ac:dyDescent="0.3">
      <c r="A676" t="s">
        <v>1539</v>
      </c>
      <c r="B676" t="s">
        <v>1540</v>
      </c>
      <c r="C676" t="s">
        <v>214</v>
      </c>
      <c r="D676">
        <v>8.5559999999999992</v>
      </c>
      <c r="E676" s="4">
        <v>2738</v>
      </c>
      <c r="F676" t="str">
        <f>HYPERLINK("https://www.google.com/maps/search/?api=1&amp;query=26.5090677,45.34735978", "View Map")</f>
        <v>View Map</v>
      </c>
      <c r="G676" s="2">
        <v>0.69339973745397154</v>
      </c>
    </row>
    <row r="677" spans="1:7" x14ac:dyDescent="0.3">
      <c r="A677" t="s">
        <v>1588</v>
      </c>
      <c r="B677" t="s">
        <v>1589</v>
      </c>
      <c r="C677" t="s">
        <v>8</v>
      </c>
      <c r="D677">
        <v>8.5440000000000005</v>
      </c>
      <c r="E677" s="4">
        <v>2734</v>
      </c>
      <c r="F677" t="str">
        <f>HYPERLINK("https://www.google.com/maps/search/?api=1&amp;query=24.68549506,46.82876099", "View Map")</f>
        <v>View Map</v>
      </c>
      <c r="G677" s="2">
        <v>0.93909061562503515</v>
      </c>
    </row>
    <row r="678" spans="1:7" x14ac:dyDescent="0.3">
      <c r="A678" t="s">
        <v>1500</v>
      </c>
      <c r="B678" t="s">
        <v>1501</v>
      </c>
      <c r="C678" t="s">
        <v>8</v>
      </c>
      <c r="D678">
        <v>8.5410000000000004</v>
      </c>
      <c r="E678" s="4">
        <v>2733</v>
      </c>
      <c r="F678" t="str">
        <f>HYPERLINK("https://www.google.com/maps/search/?api=1&amp;query=24.59675519,46.77607832", "View Map")</f>
        <v>View Map</v>
      </c>
      <c r="G678" s="2">
        <v>0.72633496484289106</v>
      </c>
    </row>
    <row r="679" spans="1:7" x14ac:dyDescent="0.3">
      <c r="A679" t="s">
        <v>46</v>
      </c>
      <c r="B679" t="s">
        <v>1358</v>
      </c>
      <c r="C679" t="s">
        <v>8</v>
      </c>
      <c r="D679">
        <v>8.5250000000000004</v>
      </c>
      <c r="E679" s="4">
        <v>2728</v>
      </c>
      <c r="F679" t="str">
        <f>HYPERLINK("https://www.google.com/maps/search/?api=1&amp;query=24.81079056,46.74341364", "View Map")</f>
        <v>View Map</v>
      </c>
      <c r="G679" s="2">
        <v>0.44912900565066222</v>
      </c>
    </row>
    <row r="680" spans="1:7" x14ac:dyDescent="0.3">
      <c r="A680" t="s">
        <v>1570</v>
      </c>
      <c r="B680" t="s">
        <v>1571</v>
      </c>
      <c r="C680" t="s">
        <v>21</v>
      </c>
      <c r="D680">
        <v>8.52</v>
      </c>
      <c r="E680" s="4">
        <v>2727</v>
      </c>
      <c r="F680" t="str">
        <f>HYPERLINK("https://www.google.com/maps/search/?api=1&amp;query=26.30829519,44.81851259", "View Map")</f>
        <v>View Map</v>
      </c>
      <c r="G680" s="2">
        <v>0.77721666733478389</v>
      </c>
    </row>
    <row r="681" spans="1:7" x14ac:dyDescent="0.3">
      <c r="A681" t="s">
        <v>1986</v>
      </c>
      <c r="B681" t="s">
        <v>1987</v>
      </c>
      <c r="C681" t="s">
        <v>8</v>
      </c>
      <c r="D681">
        <v>8.49</v>
      </c>
      <c r="E681" s="4">
        <v>2717</v>
      </c>
      <c r="F681" t="str">
        <f>HYPERLINK("https://www.google.com/maps/search/?api=1&amp;query=24.81973682,46.77088875", "View Map")</f>
        <v>View Map</v>
      </c>
    </row>
    <row r="682" spans="1:7" x14ac:dyDescent="0.3">
      <c r="A682" t="s">
        <v>352</v>
      </c>
      <c r="B682" t="s">
        <v>1581</v>
      </c>
      <c r="C682" t="s">
        <v>8</v>
      </c>
      <c r="D682">
        <v>8.49</v>
      </c>
      <c r="E682" s="4">
        <v>2717</v>
      </c>
      <c r="F682" t="str">
        <f>HYPERLINK("https://www.google.com/maps/search/?api=1&amp;query=24.76956795,46.77294623", "View Map")</f>
        <v>View Map</v>
      </c>
      <c r="G682" s="2">
        <v>0.68315151852852052</v>
      </c>
    </row>
    <row r="683" spans="1:7" x14ac:dyDescent="0.3">
      <c r="A683" t="s">
        <v>881</v>
      </c>
      <c r="B683" t="s">
        <v>1835</v>
      </c>
      <c r="C683" t="s">
        <v>883</v>
      </c>
      <c r="D683">
        <v>8.4760000000000009</v>
      </c>
      <c r="E683" s="4">
        <v>2712</v>
      </c>
      <c r="F683" t="str">
        <f>HYPERLINK("https://www.google.com/maps/search/?api=1&amp;query=25.56065672,47.17776235", "View Map")</f>
        <v>View Map</v>
      </c>
      <c r="G683" s="2">
        <v>0.62647132083576484</v>
      </c>
    </row>
    <row r="684" spans="1:7" x14ac:dyDescent="0.3">
      <c r="A684" t="s">
        <v>2604</v>
      </c>
      <c r="B684" t="s">
        <v>2605</v>
      </c>
      <c r="C684" t="s">
        <v>8</v>
      </c>
      <c r="D684">
        <v>8.468</v>
      </c>
      <c r="E684" s="4">
        <v>2710</v>
      </c>
      <c r="F684" t="str">
        <f>HYPERLINK("https://www.google.com/maps/search/?api=1&amp;query=24.72963194,46.75550089", "View Map")</f>
        <v>View Map</v>
      </c>
    </row>
    <row r="685" spans="1:7" x14ac:dyDescent="0.3">
      <c r="A685" t="s">
        <v>9433</v>
      </c>
      <c r="B685" t="s">
        <v>9434</v>
      </c>
      <c r="C685" t="s">
        <v>8</v>
      </c>
      <c r="D685">
        <v>8.4670000000000005</v>
      </c>
      <c r="E685" s="4">
        <v>2709</v>
      </c>
      <c r="F685" t="str">
        <f>HYPERLINK("https://www.google.com/maps/search/?api=1&amp;query=24.81758851,46.62703273", "View Map")</f>
        <v>View Map</v>
      </c>
      <c r="G685" s="2">
        <v>0.43487485416043559</v>
      </c>
    </row>
    <row r="686" spans="1:7" x14ac:dyDescent="0.3">
      <c r="A686" t="s">
        <v>433</v>
      </c>
      <c r="B686" t="s">
        <v>434</v>
      </c>
      <c r="C686" t="s">
        <v>137</v>
      </c>
      <c r="D686">
        <v>8.4450000000000003</v>
      </c>
      <c r="E686" s="4">
        <v>2703</v>
      </c>
      <c r="F686" t="str">
        <f>HYPERLINK("https://www.google.com/maps/search/?api=1&amp;query=23.49517311,46.88341394", "View Map")</f>
        <v>View Map</v>
      </c>
      <c r="G686" s="2">
        <v>0.2102283656677934</v>
      </c>
    </row>
    <row r="687" spans="1:7" x14ac:dyDescent="0.3">
      <c r="A687" t="s">
        <v>1464</v>
      </c>
      <c r="B687" t="s">
        <v>1465</v>
      </c>
      <c r="C687" t="s">
        <v>8</v>
      </c>
      <c r="D687">
        <v>8.4380000000000006</v>
      </c>
      <c r="E687" s="4">
        <v>2700</v>
      </c>
      <c r="F687" t="str">
        <f>HYPERLINK("https://www.google.com/maps/search/?api=1&amp;query=24.67754261,46.5914872", "View Map")</f>
        <v>View Map</v>
      </c>
      <c r="G687" s="2">
        <v>0.7523224783563377</v>
      </c>
    </row>
    <row r="688" spans="1:7" x14ac:dyDescent="0.3">
      <c r="A688" t="s">
        <v>1490</v>
      </c>
      <c r="B688" t="s">
        <v>1491</v>
      </c>
      <c r="C688" t="s">
        <v>8</v>
      </c>
      <c r="D688">
        <v>8.4369999999999994</v>
      </c>
      <c r="E688" s="4">
        <v>2700</v>
      </c>
      <c r="F688" t="str">
        <f>HYPERLINK("https://www.google.com/maps/search/?api=1&amp;query=24.77325101,46.62159992", "View Map")</f>
        <v>View Map</v>
      </c>
      <c r="G688" s="2">
        <v>0.52520707880297368</v>
      </c>
    </row>
    <row r="689" spans="1:7" x14ac:dyDescent="0.3">
      <c r="A689" t="s">
        <v>1623</v>
      </c>
      <c r="B689" t="s">
        <v>1624</v>
      </c>
      <c r="C689" t="s">
        <v>8</v>
      </c>
      <c r="D689">
        <v>8.4160000000000004</v>
      </c>
      <c r="E689" s="4">
        <v>2693</v>
      </c>
      <c r="F689" t="str">
        <f>HYPERLINK("https://www.google.com/maps/search/?api=1&amp;query=24.60389191,46.68976118", "View Map")</f>
        <v>View Map</v>
      </c>
      <c r="G689" s="2">
        <v>0.40148140071676791</v>
      </c>
    </row>
    <row r="690" spans="1:7" x14ac:dyDescent="0.3">
      <c r="A690" t="s">
        <v>46</v>
      </c>
      <c r="B690" t="s">
        <v>596</v>
      </c>
      <c r="C690" t="s">
        <v>55</v>
      </c>
      <c r="D690">
        <v>8.4130000000000003</v>
      </c>
      <c r="E690" s="4">
        <v>2692</v>
      </c>
      <c r="F690" t="str">
        <f>HYPERLINK("https://www.google.com/maps/search/?api=1&amp;query=24.77072396,46.58629832", "View Map")</f>
        <v>View Map</v>
      </c>
    </row>
    <row r="691" spans="1:7" x14ac:dyDescent="0.3">
      <c r="A691" t="s">
        <v>1729</v>
      </c>
      <c r="B691" t="s">
        <v>1730</v>
      </c>
      <c r="C691" t="s">
        <v>21</v>
      </c>
      <c r="D691">
        <v>8.4109999999999996</v>
      </c>
      <c r="E691" s="4">
        <v>2691</v>
      </c>
      <c r="F691" t="str">
        <f>HYPERLINK("https://www.google.com/maps/search/?api=1&amp;query=26.29497184,44.82990714", "View Map")</f>
        <v>View Map</v>
      </c>
      <c r="G691" s="2">
        <v>0.73575823544811736</v>
      </c>
    </row>
    <row r="692" spans="1:7" x14ac:dyDescent="0.3">
      <c r="A692" t="s">
        <v>150</v>
      </c>
      <c r="B692" t="s">
        <v>7027</v>
      </c>
      <c r="C692" t="s">
        <v>8</v>
      </c>
      <c r="D692">
        <v>8.4079999999999995</v>
      </c>
      <c r="E692" s="4">
        <v>2690</v>
      </c>
      <c r="F692" t="str">
        <f>HYPERLINK("https://www.google.com/maps/search/?api=1&amp;query=24.77805939,46.7745381", "View Map")</f>
        <v>View Map</v>
      </c>
    </row>
    <row r="693" spans="1:7" x14ac:dyDescent="0.3">
      <c r="A693" t="s">
        <v>1590</v>
      </c>
      <c r="B693" t="s">
        <v>1591</v>
      </c>
      <c r="C693" t="s">
        <v>255</v>
      </c>
      <c r="D693">
        <v>8.4030000000000005</v>
      </c>
      <c r="E693" s="4">
        <v>2689</v>
      </c>
      <c r="F693" t="str">
        <f>HYPERLINK("https://www.google.com/maps/search/?api=1&amp;query=24.54456886,44.43271592", "View Map")</f>
        <v>View Map</v>
      </c>
      <c r="G693" s="2">
        <v>0.64640524066888294</v>
      </c>
    </row>
    <row r="694" spans="1:7" x14ac:dyDescent="0.3">
      <c r="A694" t="s">
        <v>150</v>
      </c>
      <c r="B694" t="s">
        <v>401</v>
      </c>
      <c r="C694" t="s">
        <v>8</v>
      </c>
      <c r="D694">
        <v>8.3970000000000002</v>
      </c>
      <c r="E694" s="4">
        <v>2687</v>
      </c>
      <c r="F694" t="str">
        <f>HYPERLINK("https://www.google.com/maps/search/?api=1&amp;query=24.63361025,46.53735388", "View Map")</f>
        <v>View Map</v>
      </c>
      <c r="G694" s="2">
        <v>0.24753830735066051</v>
      </c>
    </row>
    <row r="695" spans="1:7" x14ac:dyDescent="0.3">
      <c r="A695" t="s">
        <v>10833</v>
      </c>
      <c r="B695" t="s">
        <v>10834</v>
      </c>
      <c r="C695" t="s">
        <v>16</v>
      </c>
      <c r="D695">
        <v>8.3940000000000001</v>
      </c>
      <c r="E695" s="4">
        <v>2686</v>
      </c>
      <c r="F695" t="str">
        <f>HYPERLINK("https://www.google.com/maps/search/?api=1&amp;query=23.87908037,42.9073452", "View Map")</f>
        <v>View Map</v>
      </c>
      <c r="G695" s="2">
        <v>0.4187621995982036</v>
      </c>
    </row>
    <row r="696" spans="1:7" x14ac:dyDescent="0.3">
      <c r="A696" t="s">
        <v>1766</v>
      </c>
      <c r="B696" t="s">
        <v>1767</v>
      </c>
      <c r="C696" t="s">
        <v>30</v>
      </c>
      <c r="D696">
        <v>8.3770000000000007</v>
      </c>
      <c r="E696" s="4">
        <v>2681</v>
      </c>
      <c r="F696" t="str">
        <f>HYPERLINK("https://www.google.com/maps/search/?api=1&amp;query=24.14171973,47.35121878", "View Map")</f>
        <v>View Map</v>
      </c>
      <c r="G696" s="2">
        <v>0.47829961827802753</v>
      </c>
    </row>
    <row r="697" spans="1:7" x14ac:dyDescent="0.3">
      <c r="A697" t="s">
        <v>46</v>
      </c>
      <c r="B697" t="s">
        <v>1325</v>
      </c>
      <c r="C697" t="s">
        <v>8</v>
      </c>
      <c r="D697">
        <v>8.359</v>
      </c>
      <c r="E697" s="4">
        <v>2675</v>
      </c>
      <c r="F697" t="str">
        <f>HYPERLINK("https://www.google.com/maps/search/?api=1&amp;query=24.6192,46.5272", "View Map")</f>
        <v>View Map</v>
      </c>
      <c r="G697" s="2">
        <v>0.40959961183828952</v>
      </c>
    </row>
    <row r="698" spans="1:7" x14ac:dyDescent="0.3">
      <c r="A698" t="s">
        <v>807</v>
      </c>
      <c r="B698" t="s">
        <v>808</v>
      </c>
      <c r="C698" t="s">
        <v>8</v>
      </c>
      <c r="D698">
        <v>8.3520000000000003</v>
      </c>
      <c r="E698" s="4">
        <v>2673</v>
      </c>
      <c r="F698" t="str">
        <f>HYPERLINK("https://www.google.com/maps/search/?api=1&amp;query=24.75528654,46.80413415", "View Map")</f>
        <v>View Map</v>
      </c>
    </row>
    <row r="699" spans="1:7" x14ac:dyDescent="0.3">
      <c r="A699" t="s">
        <v>1055</v>
      </c>
      <c r="B699" t="s">
        <v>1056</v>
      </c>
      <c r="C699" t="s">
        <v>8</v>
      </c>
      <c r="D699">
        <v>8.3450000000000006</v>
      </c>
      <c r="E699" s="4">
        <v>2670</v>
      </c>
      <c r="F699" t="str">
        <f>HYPERLINK("https://www.google.com/maps/search/?api=1&amp;query=24.55460023,46.70358808", "View Map")</f>
        <v>View Map</v>
      </c>
      <c r="G699" s="2">
        <v>0.33376812190026278</v>
      </c>
    </row>
    <row r="700" spans="1:7" x14ac:dyDescent="0.3">
      <c r="A700" t="s">
        <v>1840</v>
      </c>
      <c r="B700" t="s">
        <v>1841</v>
      </c>
      <c r="C700" t="s">
        <v>8</v>
      </c>
      <c r="D700">
        <v>8.3439999999999994</v>
      </c>
      <c r="E700" s="4">
        <v>2670</v>
      </c>
      <c r="F700" t="str">
        <f>HYPERLINK("https://www.google.com/maps/search/?api=1&amp;query=24.67514376,46.80769179", "View Map")</f>
        <v>View Map</v>
      </c>
      <c r="G700" s="2">
        <v>0.44461331537957421</v>
      </c>
    </row>
    <row r="701" spans="1:7" x14ac:dyDescent="0.3">
      <c r="A701" t="s">
        <v>150</v>
      </c>
      <c r="B701" t="s">
        <v>1481</v>
      </c>
      <c r="C701" t="s">
        <v>8</v>
      </c>
      <c r="D701">
        <v>8.3360000000000003</v>
      </c>
      <c r="E701" s="4">
        <v>2668</v>
      </c>
      <c r="F701" t="str">
        <f>HYPERLINK("https://www.google.com/maps/search/?api=1&amp;query=24.92253463,46.82486407", "View Map")</f>
        <v>View Map</v>
      </c>
      <c r="G701" s="2">
        <v>0.4321636879117749</v>
      </c>
    </row>
    <row r="702" spans="1:7" x14ac:dyDescent="0.3">
      <c r="A702" t="s">
        <v>2129</v>
      </c>
      <c r="B702" t="s">
        <v>2130</v>
      </c>
      <c r="C702" t="s">
        <v>8</v>
      </c>
      <c r="D702">
        <v>8.3339999999999996</v>
      </c>
      <c r="E702" s="4">
        <v>2667</v>
      </c>
      <c r="F702" t="str">
        <f>HYPERLINK("https://www.google.com/maps/search/?api=1&amp;query=24.73725396,46.80359199", "View Map")</f>
        <v>View Map</v>
      </c>
    </row>
    <row r="703" spans="1:7" x14ac:dyDescent="0.3">
      <c r="A703" t="s">
        <v>1752</v>
      </c>
      <c r="B703" t="s">
        <v>1753</v>
      </c>
      <c r="C703" t="s">
        <v>8</v>
      </c>
      <c r="D703">
        <v>8.3309999999999995</v>
      </c>
      <c r="E703" s="4">
        <v>2666</v>
      </c>
      <c r="F703" t="str">
        <f>HYPERLINK("https://www.google.com/maps/search/?api=1&amp;query=24.68278566,46.81484869", "View Map")</f>
        <v>View Map</v>
      </c>
    </row>
    <row r="704" spans="1:7" x14ac:dyDescent="0.3">
      <c r="A704" t="s">
        <v>1416</v>
      </c>
      <c r="B704" t="s">
        <v>1417</v>
      </c>
      <c r="C704" t="s">
        <v>8</v>
      </c>
      <c r="D704">
        <v>8.3140000000000001</v>
      </c>
      <c r="E704" s="4">
        <v>2660</v>
      </c>
      <c r="F704" t="str">
        <f>HYPERLINK("https://www.google.com/maps/search/?api=1&amp;query=24.68847054,46.82598437", "View Map")</f>
        <v>View Map</v>
      </c>
    </row>
    <row r="705" spans="1:7" x14ac:dyDescent="0.3">
      <c r="A705" t="s">
        <v>1418</v>
      </c>
      <c r="B705" t="s">
        <v>1419</v>
      </c>
      <c r="C705" t="s">
        <v>8</v>
      </c>
      <c r="D705">
        <v>8.3000000000000007</v>
      </c>
      <c r="E705" s="4">
        <v>2656</v>
      </c>
      <c r="F705" t="str">
        <f>HYPERLINK("https://www.google.com/maps/search/?api=1&amp;query=24.77451704,46.71654556", "View Map")</f>
        <v>View Map</v>
      </c>
    </row>
    <row r="706" spans="1:7" x14ac:dyDescent="0.3">
      <c r="A706" t="s">
        <v>1698</v>
      </c>
      <c r="B706" t="s">
        <v>1699</v>
      </c>
      <c r="C706" t="s">
        <v>255</v>
      </c>
      <c r="D706">
        <v>8.2799999999999994</v>
      </c>
      <c r="E706" s="4">
        <v>2650</v>
      </c>
      <c r="F706" t="str">
        <f>HYPERLINK("https://www.google.com/maps/search/?api=1&amp;query=24.512779,44.39554229", "View Map")</f>
        <v>View Map</v>
      </c>
      <c r="G706" s="2">
        <v>0.79992879686470519</v>
      </c>
    </row>
    <row r="707" spans="1:7" x14ac:dyDescent="0.3">
      <c r="A707" t="s">
        <v>1553</v>
      </c>
      <c r="B707" t="s">
        <v>1554</v>
      </c>
      <c r="C707" t="s">
        <v>8</v>
      </c>
      <c r="D707">
        <v>8.27</v>
      </c>
      <c r="E707" s="4">
        <v>2646</v>
      </c>
      <c r="F707" t="str">
        <f>HYPERLINK("https://www.google.com/maps/search/?api=1&amp;query=24.57767904,46.77713849", "View Map")</f>
        <v>View Map</v>
      </c>
      <c r="G707" s="2">
        <v>0.40993320494380919</v>
      </c>
    </row>
    <row r="708" spans="1:7" x14ac:dyDescent="0.3">
      <c r="A708" t="s">
        <v>46</v>
      </c>
      <c r="B708" t="s">
        <v>1956</v>
      </c>
      <c r="C708" t="s">
        <v>8</v>
      </c>
      <c r="D708">
        <v>8.2680000000000007</v>
      </c>
      <c r="E708" s="4">
        <v>2646</v>
      </c>
      <c r="F708" t="str">
        <f>HYPERLINK("https://www.google.com/maps/search/?api=1&amp;query=24.81538117,46.8052495", "View Map")</f>
        <v>View Map</v>
      </c>
    </row>
    <row r="709" spans="1:7" x14ac:dyDescent="0.3">
      <c r="A709" t="s">
        <v>1800</v>
      </c>
      <c r="B709" t="s">
        <v>1801</v>
      </c>
      <c r="C709" t="s">
        <v>8</v>
      </c>
      <c r="D709">
        <v>8.2430000000000003</v>
      </c>
      <c r="E709" s="4">
        <v>2638</v>
      </c>
      <c r="F709" t="str">
        <f>HYPERLINK("https://www.google.com/maps/search/?api=1&amp;query=24.57921983,46.66917462", "View Map")</f>
        <v>View Map</v>
      </c>
      <c r="G709" s="2">
        <v>0.56579336738940988</v>
      </c>
    </row>
    <row r="710" spans="1:7" x14ac:dyDescent="0.3">
      <c r="A710" t="s">
        <v>46</v>
      </c>
      <c r="B710" t="s">
        <v>1689</v>
      </c>
      <c r="C710" t="s">
        <v>8</v>
      </c>
      <c r="D710">
        <v>8.24</v>
      </c>
      <c r="E710" s="4">
        <v>2637</v>
      </c>
      <c r="F710" t="str">
        <f>HYPERLINK("https://www.google.com/maps/search/?api=1&amp;query=24.8808,46.6236", "View Map")</f>
        <v>View Map</v>
      </c>
      <c r="G710" s="2">
        <v>0.76137813502996565</v>
      </c>
    </row>
    <row r="711" spans="1:7" x14ac:dyDescent="0.3">
      <c r="A711" t="s">
        <v>3595</v>
      </c>
      <c r="B711" t="s">
        <v>3596</v>
      </c>
      <c r="C711" t="s">
        <v>241</v>
      </c>
      <c r="D711">
        <v>8.24</v>
      </c>
      <c r="E711" s="4">
        <v>2637</v>
      </c>
      <c r="F711" t="str">
        <f>HYPERLINK("https://www.google.com/maps/search/?api=1&amp;query=20.46875995,44.76747325", "View Map")</f>
        <v>View Map</v>
      </c>
    </row>
    <row r="712" spans="1:7" x14ac:dyDescent="0.3">
      <c r="A712" t="s">
        <v>1887</v>
      </c>
      <c r="B712" t="s">
        <v>1888</v>
      </c>
      <c r="C712" t="s">
        <v>8</v>
      </c>
      <c r="D712">
        <v>8.2270000000000003</v>
      </c>
      <c r="E712" s="4">
        <v>2633</v>
      </c>
      <c r="F712" t="str">
        <f>HYPERLINK("https://www.google.com/maps/search/?api=1&amp;query=24.6122,46.7019", "View Map")</f>
        <v>View Map</v>
      </c>
      <c r="G712" s="2">
        <v>0.67285622685457813</v>
      </c>
    </row>
    <row r="713" spans="1:7" x14ac:dyDescent="0.3">
      <c r="A713" t="s">
        <v>748</v>
      </c>
      <c r="B713" t="s">
        <v>749</v>
      </c>
      <c r="C713" t="s">
        <v>8</v>
      </c>
      <c r="D713">
        <v>8.2260000000000009</v>
      </c>
      <c r="E713" s="4">
        <v>2632</v>
      </c>
      <c r="F713" t="str">
        <f>HYPERLINK("https://www.google.com/maps/search/?api=1&amp;query=24.67259,46.71596", "View Map")</f>
        <v>View Map</v>
      </c>
      <c r="G713" s="2">
        <v>0.44959305253819692</v>
      </c>
    </row>
    <row r="714" spans="1:7" x14ac:dyDescent="0.3">
      <c r="A714" t="s">
        <v>1621</v>
      </c>
      <c r="B714" t="s">
        <v>1622</v>
      </c>
      <c r="C714" t="s">
        <v>8</v>
      </c>
      <c r="D714">
        <v>8.2140000000000004</v>
      </c>
      <c r="E714" s="4">
        <v>2628</v>
      </c>
      <c r="F714" t="str">
        <f>HYPERLINK("https://www.google.com/maps/search/?api=1&amp;query=24.697,46.68687", "View Map")</f>
        <v>View Map</v>
      </c>
      <c r="G714" s="2">
        <v>0.44586775848267318</v>
      </c>
    </row>
    <row r="715" spans="1:7" x14ac:dyDescent="0.3">
      <c r="A715" t="s">
        <v>1484</v>
      </c>
      <c r="B715" t="s">
        <v>1485</v>
      </c>
      <c r="C715" t="s">
        <v>30</v>
      </c>
      <c r="D715">
        <v>8.2119999999999997</v>
      </c>
      <c r="E715" s="4">
        <v>2628</v>
      </c>
      <c r="F715" t="str">
        <f>HYPERLINK("https://www.google.com/maps/search/?api=1&amp;query=24.14283231,47.33389687", "View Map")</f>
        <v>View Map</v>
      </c>
      <c r="G715" s="2">
        <v>0.43938785138826503</v>
      </c>
    </row>
    <row r="716" spans="1:7" x14ac:dyDescent="0.3">
      <c r="A716" t="s">
        <v>665</v>
      </c>
      <c r="B716" t="s">
        <v>1599</v>
      </c>
      <c r="C716" t="s">
        <v>8</v>
      </c>
      <c r="D716">
        <v>8.1929999999999996</v>
      </c>
      <c r="E716" s="4">
        <v>2622</v>
      </c>
      <c r="F716" t="str">
        <f>HYPERLINK("https://www.google.com/maps/search/?api=1&amp;query=24.71878225,46.7552068", "View Map")</f>
        <v>View Map</v>
      </c>
      <c r="G716" s="2">
        <v>0.69551125898242527</v>
      </c>
    </row>
    <row r="717" spans="1:7" x14ac:dyDescent="0.3">
      <c r="A717" t="s">
        <v>387</v>
      </c>
      <c r="B717" t="s">
        <v>388</v>
      </c>
      <c r="C717" t="s">
        <v>8</v>
      </c>
      <c r="D717">
        <v>8.1590000000000007</v>
      </c>
      <c r="E717" s="4">
        <v>2611</v>
      </c>
      <c r="F717" t="str">
        <f>HYPERLINK("https://www.google.com/maps/search/?api=1&amp;query=24.67628728,46.77676379", "View Map")</f>
        <v>View Map</v>
      </c>
      <c r="G717" s="2">
        <v>0.19341143842557201</v>
      </c>
    </row>
    <row r="718" spans="1:7" x14ac:dyDescent="0.3">
      <c r="A718" t="s">
        <v>2071</v>
      </c>
      <c r="B718" t="s">
        <v>2072</v>
      </c>
      <c r="C718" t="s">
        <v>8</v>
      </c>
      <c r="D718">
        <v>8.1590000000000007</v>
      </c>
      <c r="E718" s="4">
        <v>2611</v>
      </c>
      <c r="F718" t="str">
        <f>HYPERLINK("https://www.google.com/maps/search/?api=1&amp;query=24.79958821,46.63371581", "View Map")</f>
        <v>View Map</v>
      </c>
    </row>
    <row r="719" spans="1:7" x14ac:dyDescent="0.3">
      <c r="A719" t="s">
        <v>1031</v>
      </c>
      <c r="B719" t="s">
        <v>1032</v>
      </c>
      <c r="C719" t="s">
        <v>8</v>
      </c>
      <c r="D719">
        <v>8.1560000000000006</v>
      </c>
      <c r="E719" s="4">
        <v>2610</v>
      </c>
      <c r="F719" t="str">
        <f>HYPERLINK("https://www.google.com/maps/search/?api=1&amp;query=24.63539422,46.72565958", "View Map")</f>
        <v>View Map</v>
      </c>
      <c r="G719" s="2">
        <v>0.29476631393945191</v>
      </c>
    </row>
    <row r="720" spans="1:7" x14ac:dyDescent="0.3">
      <c r="A720" t="s">
        <v>2073</v>
      </c>
      <c r="B720" t="s">
        <v>2074</v>
      </c>
      <c r="C720" t="s">
        <v>8</v>
      </c>
      <c r="D720">
        <v>8.141</v>
      </c>
      <c r="E720" s="4">
        <v>2605</v>
      </c>
      <c r="F720" t="str">
        <f>HYPERLINK("https://www.google.com/maps/search/?api=1&amp;query=24.8213314,46.62972164", "View Map")</f>
        <v>View Map</v>
      </c>
      <c r="G720" s="2">
        <v>0.46070682969436699</v>
      </c>
    </row>
    <row r="721" spans="1:7" x14ac:dyDescent="0.3">
      <c r="A721" t="s">
        <v>3835</v>
      </c>
      <c r="B721" t="s">
        <v>3836</v>
      </c>
      <c r="C721" t="s">
        <v>8</v>
      </c>
      <c r="D721">
        <v>8.1370000000000005</v>
      </c>
      <c r="E721" s="4">
        <v>2604</v>
      </c>
      <c r="F721" t="str">
        <f>HYPERLINK("https://www.google.com/maps/search/?api=1&amp;query=24.80012464,46.79699528", "View Map")</f>
        <v>View Map</v>
      </c>
      <c r="G721" s="2">
        <v>0.69881407933725537</v>
      </c>
    </row>
    <row r="722" spans="1:7" x14ac:dyDescent="0.3">
      <c r="A722" t="s">
        <v>1506</v>
      </c>
      <c r="B722" t="s">
        <v>1507</v>
      </c>
      <c r="C722" t="s">
        <v>8</v>
      </c>
      <c r="D722">
        <v>8.1289999999999996</v>
      </c>
      <c r="E722" s="4">
        <v>2601</v>
      </c>
      <c r="F722" t="str">
        <f>HYPERLINK("https://www.google.com/maps/search/?api=1&amp;query=24.720383,46.767455", "View Map")</f>
        <v>View Map</v>
      </c>
      <c r="G722" s="2">
        <v>0.45470408174354021</v>
      </c>
    </row>
    <row r="723" spans="1:7" x14ac:dyDescent="0.3">
      <c r="A723" t="s">
        <v>46</v>
      </c>
      <c r="B723" t="s">
        <v>514</v>
      </c>
      <c r="C723" t="s">
        <v>8</v>
      </c>
      <c r="D723">
        <v>8.1199999999999992</v>
      </c>
      <c r="E723" s="4">
        <v>2599</v>
      </c>
      <c r="F723" t="str">
        <f>HYPERLINK("https://www.google.com/maps/search/?api=1&amp;query=24.78706105,46.87565385", "View Map")</f>
        <v>View Map</v>
      </c>
      <c r="G723" s="2">
        <v>0.1872824853268148</v>
      </c>
    </row>
    <row r="724" spans="1:7" x14ac:dyDescent="0.3">
      <c r="A724" t="s">
        <v>146</v>
      </c>
      <c r="B724" t="s">
        <v>2041</v>
      </c>
      <c r="C724" t="s">
        <v>8</v>
      </c>
      <c r="D724">
        <v>8.1039999999999992</v>
      </c>
      <c r="E724" s="4">
        <v>2593</v>
      </c>
      <c r="F724" t="str">
        <f>HYPERLINK("https://www.google.com/maps/search/?api=1&amp;query=24.9207114,46.8107448", "View Map")</f>
        <v>View Map</v>
      </c>
    </row>
    <row r="725" spans="1:7" x14ac:dyDescent="0.3">
      <c r="A725" t="s">
        <v>1339</v>
      </c>
      <c r="B725" t="s">
        <v>1340</v>
      </c>
      <c r="C725" t="s">
        <v>8</v>
      </c>
      <c r="D725">
        <v>8.0850000000000009</v>
      </c>
      <c r="E725" s="4">
        <v>2587</v>
      </c>
      <c r="F725" t="str">
        <f>HYPERLINK("https://www.google.com/maps/search/?api=1&amp;query=24.5727769,46.84791767", "View Map")</f>
        <v>View Map</v>
      </c>
      <c r="G725" s="2">
        <v>0.85926348195292102</v>
      </c>
    </row>
    <row r="726" spans="1:7" x14ac:dyDescent="0.3">
      <c r="A726" t="s">
        <v>1007</v>
      </c>
      <c r="B726" t="s">
        <v>1008</v>
      </c>
      <c r="C726" t="s">
        <v>8</v>
      </c>
      <c r="D726">
        <v>8.0709999999999997</v>
      </c>
      <c r="E726" s="4">
        <v>2583</v>
      </c>
      <c r="F726" t="str">
        <f>HYPERLINK("https://www.google.com/maps/search/?api=1&amp;query=24.58650463,46.68320732", "View Map")</f>
        <v>View Map</v>
      </c>
      <c r="G726" s="2">
        <v>0.38666649031892608</v>
      </c>
    </row>
    <row r="727" spans="1:7" x14ac:dyDescent="0.3">
      <c r="A727" t="s">
        <v>73</v>
      </c>
      <c r="B727" t="s">
        <v>1695</v>
      </c>
      <c r="C727" t="s">
        <v>8</v>
      </c>
      <c r="D727">
        <v>8.07</v>
      </c>
      <c r="E727" s="4">
        <v>2583</v>
      </c>
      <c r="F727" t="str">
        <f>HYPERLINK("https://www.google.com/maps/search/?api=1&amp;query=24.60974482,46.75899631", "View Map")</f>
        <v>View Map</v>
      </c>
      <c r="G727" s="2">
        <v>0.8170361338513259</v>
      </c>
    </row>
    <row r="728" spans="1:7" x14ac:dyDescent="0.3">
      <c r="A728" t="s">
        <v>1659</v>
      </c>
      <c r="B728" t="s">
        <v>1660</v>
      </c>
      <c r="C728" t="s">
        <v>8</v>
      </c>
      <c r="D728">
        <v>8.0530000000000008</v>
      </c>
      <c r="E728" s="4">
        <v>2577</v>
      </c>
      <c r="F728" t="str">
        <f>HYPERLINK("https://www.google.com/maps/search/?api=1&amp;query=24.70087307,46.79353336", "View Map")</f>
        <v>View Map</v>
      </c>
      <c r="G728" s="2">
        <v>0.77520195222422794</v>
      </c>
    </row>
    <row r="729" spans="1:7" x14ac:dyDescent="0.3">
      <c r="A729" t="s">
        <v>1022</v>
      </c>
      <c r="B729" t="s">
        <v>1023</v>
      </c>
      <c r="C729" t="s">
        <v>8</v>
      </c>
      <c r="D729">
        <v>8.0449999999999999</v>
      </c>
      <c r="E729" s="4">
        <v>2574</v>
      </c>
      <c r="F729" t="str">
        <f>HYPERLINK("https://www.google.com/maps/search/?api=1&amp;query=24.76045268,46.66736514", "View Map")</f>
        <v>View Map</v>
      </c>
      <c r="G729" s="2">
        <v>0.39561253289595621</v>
      </c>
    </row>
    <row r="730" spans="1:7" x14ac:dyDescent="0.3">
      <c r="A730" t="s">
        <v>3106</v>
      </c>
      <c r="B730" t="s">
        <v>3107</v>
      </c>
      <c r="C730" t="s">
        <v>291</v>
      </c>
      <c r="D730">
        <v>8.0399999999999991</v>
      </c>
      <c r="E730" s="4">
        <v>2573</v>
      </c>
      <c r="F730" t="str">
        <f>HYPERLINK("https://www.google.com/maps/search/?api=1&amp;query=24.39246912,45.30707111", "View Map")</f>
        <v>View Map</v>
      </c>
      <c r="G730" s="2">
        <v>0.58322878327516192</v>
      </c>
    </row>
    <row r="731" spans="1:7" x14ac:dyDescent="0.3">
      <c r="A731" t="s">
        <v>1900</v>
      </c>
      <c r="B731" t="s">
        <v>1901</v>
      </c>
      <c r="C731" t="s">
        <v>8</v>
      </c>
      <c r="D731">
        <v>8.0259999999999998</v>
      </c>
      <c r="E731" s="4">
        <v>2568</v>
      </c>
      <c r="F731" t="str">
        <f>HYPERLINK("https://www.google.com/maps/search/?api=1&amp;query=24.80796988,46.85509319", "View Map")</f>
        <v>View Map</v>
      </c>
      <c r="G731" s="2">
        <v>0.59620834265089473</v>
      </c>
    </row>
    <row r="732" spans="1:7" x14ac:dyDescent="0.3">
      <c r="A732" t="s">
        <v>8580</v>
      </c>
      <c r="B732" t="s">
        <v>8581</v>
      </c>
      <c r="C732" t="s">
        <v>270</v>
      </c>
      <c r="D732">
        <v>8.0220000000000002</v>
      </c>
      <c r="E732" s="4">
        <v>2567</v>
      </c>
      <c r="F732" t="str">
        <f>HYPERLINK("https://www.google.com/maps/search/?api=1&amp;query=23.9892122,47.18022657", "View Map")</f>
        <v>View Map</v>
      </c>
      <c r="G732" s="2">
        <v>0.69900335173209749</v>
      </c>
    </row>
    <row r="733" spans="1:7" x14ac:dyDescent="0.3">
      <c r="A733" t="s">
        <v>1562</v>
      </c>
      <c r="B733" t="s">
        <v>1563</v>
      </c>
      <c r="C733" t="s">
        <v>8</v>
      </c>
      <c r="D733">
        <v>8.02</v>
      </c>
      <c r="E733" s="4">
        <v>2566</v>
      </c>
      <c r="F733" t="str">
        <f>HYPERLINK("https://www.google.com/maps/search/?api=1&amp;query=24.8140633,46.80113044", "View Map")</f>
        <v>View Map</v>
      </c>
    </row>
    <row r="734" spans="1:7" x14ac:dyDescent="0.3">
      <c r="A734" t="s">
        <v>1892</v>
      </c>
      <c r="B734" t="s">
        <v>1893</v>
      </c>
      <c r="C734" t="s">
        <v>8</v>
      </c>
      <c r="D734">
        <v>8.0120000000000005</v>
      </c>
      <c r="E734" s="4">
        <v>2564</v>
      </c>
      <c r="F734" t="str">
        <f>HYPERLINK("https://www.google.com/maps/search/?api=1&amp;query=24.78875116,46.70551882", "View Map")</f>
        <v>View Map</v>
      </c>
      <c r="G734" s="2">
        <v>0.62009964981799914</v>
      </c>
    </row>
    <row r="735" spans="1:7" x14ac:dyDescent="0.3">
      <c r="A735" t="s">
        <v>46</v>
      </c>
      <c r="B735" t="s">
        <v>1644</v>
      </c>
      <c r="C735" t="s">
        <v>8</v>
      </c>
      <c r="D735">
        <v>8.01</v>
      </c>
      <c r="E735" s="4">
        <v>2563</v>
      </c>
      <c r="F735" t="str">
        <f>HYPERLINK("https://www.google.com/maps/search/?api=1&amp;query=24.79635053,46.76679333", "View Map")</f>
        <v>View Map</v>
      </c>
      <c r="G735" s="2">
        <v>0.65386075622569539</v>
      </c>
    </row>
    <row r="736" spans="1:7" x14ac:dyDescent="0.3">
      <c r="A736" t="s">
        <v>2172</v>
      </c>
      <c r="B736" t="s">
        <v>2173</v>
      </c>
      <c r="C736" t="s">
        <v>8</v>
      </c>
      <c r="D736">
        <v>8.0050000000000008</v>
      </c>
      <c r="E736" s="4">
        <v>2562</v>
      </c>
      <c r="F736" t="str">
        <f>HYPERLINK("https://www.google.com/maps/search/?api=1&amp;query=24.39528917,46.83902328", "View Map")</f>
        <v>View Map</v>
      </c>
    </row>
    <row r="737" spans="1:7" x14ac:dyDescent="0.3">
      <c r="A737" t="s">
        <v>988</v>
      </c>
      <c r="B737" t="s">
        <v>989</v>
      </c>
      <c r="C737" t="s">
        <v>8</v>
      </c>
      <c r="D737">
        <v>7.9960000000000004</v>
      </c>
      <c r="E737" s="4">
        <v>2559</v>
      </c>
      <c r="F737" t="str">
        <f>HYPERLINK("https://www.google.com/maps/search/?api=1&amp;query=24.63351133,46.75650956", "View Map")</f>
        <v>View Map</v>
      </c>
      <c r="G737" s="2">
        <v>0.28532419772157802</v>
      </c>
    </row>
    <row r="738" spans="1:7" x14ac:dyDescent="0.3">
      <c r="A738" t="s">
        <v>1425</v>
      </c>
      <c r="B738" t="s">
        <v>1426</v>
      </c>
      <c r="C738" t="s">
        <v>8</v>
      </c>
      <c r="D738">
        <v>7.9950000000000001</v>
      </c>
      <c r="E738" s="4">
        <v>2558</v>
      </c>
      <c r="F738" t="str">
        <f>HYPERLINK("https://www.google.com/maps/search/?api=1&amp;query=24.67468812,46.81850128", "View Map")</f>
        <v>View Map</v>
      </c>
      <c r="G738" s="2">
        <v>0.41921709583594929</v>
      </c>
    </row>
    <row r="739" spans="1:7" x14ac:dyDescent="0.3">
      <c r="A739" t="s">
        <v>1786</v>
      </c>
      <c r="B739" t="s">
        <v>1787</v>
      </c>
      <c r="C739" t="s">
        <v>364</v>
      </c>
      <c r="D739">
        <v>7.9909999999999997</v>
      </c>
      <c r="E739" s="4">
        <v>2557</v>
      </c>
      <c r="F739" t="str">
        <f>HYPERLINK("https://www.google.com/maps/search/?api=1&amp;query=25.21291199,45.74798068", "View Map")</f>
        <v>View Map</v>
      </c>
      <c r="G739" s="2">
        <v>0.85020628089638217</v>
      </c>
    </row>
    <row r="740" spans="1:7" x14ac:dyDescent="0.3">
      <c r="A740" t="s">
        <v>150</v>
      </c>
      <c r="B740" t="s">
        <v>1166</v>
      </c>
      <c r="C740" t="s">
        <v>8</v>
      </c>
      <c r="D740">
        <v>7.99</v>
      </c>
      <c r="E740" s="4">
        <v>2557</v>
      </c>
      <c r="F740" t="str">
        <f>HYPERLINK("https://www.google.com/maps/search/?api=1&amp;query=24.82038687,46.60498046", "View Map")</f>
        <v>View Map</v>
      </c>
      <c r="G740" s="2">
        <v>0.42697852687369231</v>
      </c>
    </row>
    <row r="741" spans="1:7" x14ac:dyDescent="0.3">
      <c r="A741" t="s">
        <v>11304</v>
      </c>
      <c r="B741" t="s">
        <v>11305</v>
      </c>
      <c r="C741" t="s">
        <v>255</v>
      </c>
      <c r="D741">
        <v>7.9870000000000001</v>
      </c>
      <c r="E741" s="4">
        <v>2556</v>
      </c>
      <c r="F741" t="str">
        <f>HYPERLINK("https://www.google.com/maps/search/?api=1&amp;query=25.17998354,44.59820068", "View Map")</f>
        <v>View Map</v>
      </c>
      <c r="G741" s="2">
        <v>0.79328203752723392</v>
      </c>
    </row>
    <row r="742" spans="1:7" x14ac:dyDescent="0.3">
      <c r="A742" t="s">
        <v>1671</v>
      </c>
      <c r="B742" t="s">
        <v>1672</v>
      </c>
      <c r="C742" t="s">
        <v>8</v>
      </c>
      <c r="D742">
        <v>7.9790000000000001</v>
      </c>
      <c r="E742" s="4">
        <v>2553</v>
      </c>
      <c r="F742" t="str">
        <f>HYPERLINK("https://www.google.com/maps/search/?api=1&amp;query=24.63186916,46.68972409", "View Map")</f>
        <v>View Map</v>
      </c>
    </row>
    <row r="743" spans="1:7" x14ac:dyDescent="0.3">
      <c r="A743" t="s">
        <v>1612</v>
      </c>
      <c r="B743" t="s">
        <v>1613</v>
      </c>
      <c r="C743" t="s">
        <v>8</v>
      </c>
      <c r="D743">
        <v>7.976</v>
      </c>
      <c r="E743" s="4">
        <v>2552</v>
      </c>
      <c r="F743" t="str">
        <f>HYPERLINK("https://www.google.com/maps/search/?api=1&amp;query=24.58295174,46.69785351", "View Map")</f>
        <v>View Map</v>
      </c>
      <c r="G743" s="2">
        <v>0.7266689680860039</v>
      </c>
    </row>
    <row r="744" spans="1:7" x14ac:dyDescent="0.3">
      <c r="A744" t="s">
        <v>146</v>
      </c>
      <c r="B744" t="s">
        <v>615</v>
      </c>
      <c r="C744" t="s">
        <v>8</v>
      </c>
      <c r="D744">
        <v>7.9749999999999996</v>
      </c>
      <c r="E744" s="4">
        <v>2552</v>
      </c>
      <c r="F744" t="str">
        <f>HYPERLINK("https://www.google.com/maps/search/?api=1&amp;query=24.5411,46.5192", "View Map")</f>
        <v>View Map</v>
      </c>
      <c r="G744" s="2">
        <v>0.32826325907393439</v>
      </c>
    </row>
    <row r="745" spans="1:7" x14ac:dyDescent="0.3">
      <c r="A745" t="s">
        <v>627</v>
      </c>
      <c r="B745" t="s">
        <v>1264</v>
      </c>
      <c r="C745" t="s">
        <v>8</v>
      </c>
      <c r="D745">
        <v>7.97</v>
      </c>
      <c r="E745" s="4">
        <v>2550</v>
      </c>
      <c r="F745" t="str">
        <f>HYPERLINK("https://www.google.com/maps/search/?api=1&amp;query=24.76186,46.71891", "View Map")</f>
        <v>View Map</v>
      </c>
      <c r="G745" s="2">
        <v>0.3387547113802698</v>
      </c>
    </row>
    <row r="746" spans="1:7" x14ac:dyDescent="0.3">
      <c r="A746" t="s">
        <v>1703</v>
      </c>
      <c r="B746" t="s">
        <v>1704</v>
      </c>
      <c r="C746" t="s">
        <v>8</v>
      </c>
      <c r="D746">
        <v>7.9619999999999997</v>
      </c>
      <c r="E746" s="4">
        <v>2548</v>
      </c>
      <c r="F746" t="str">
        <f>HYPERLINK("https://www.google.com/maps/search/?api=1&amp;query=24.6036,46.7025", "View Map")</f>
        <v>View Map</v>
      </c>
    </row>
    <row r="747" spans="1:7" x14ac:dyDescent="0.3">
      <c r="A747" t="s">
        <v>374</v>
      </c>
      <c r="B747" t="s">
        <v>375</v>
      </c>
      <c r="C747" t="s">
        <v>8</v>
      </c>
      <c r="D747">
        <v>7.96</v>
      </c>
      <c r="E747" s="4">
        <v>2547</v>
      </c>
      <c r="F747" t="str">
        <f>HYPERLINK("https://www.google.com/maps/search/?api=1&amp;query=24.63143668,46.55845555", "View Map")</f>
        <v>View Map</v>
      </c>
      <c r="G747" s="2">
        <v>0.16872705345663019</v>
      </c>
    </row>
    <row r="748" spans="1:7" x14ac:dyDescent="0.3">
      <c r="A748" t="s">
        <v>678</v>
      </c>
      <c r="B748" t="s">
        <v>2367</v>
      </c>
      <c r="C748" t="s">
        <v>820</v>
      </c>
      <c r="D748">
        <v>7.952</v>
      </c>
      <c r="E748" s="4">
        <v>2545</v>
      </c>
      <c r="F748" t="str">
        <f>HYPERLINK("https://www.google.com/maps/search/?api=1&amp;query=0.0,0.0", "View Map")</f>
        <v>View Map</v>
      </c>
      <c r="G748" s="2">
        <v>0.64465944270799147</v>
      </c>
    </row>
    <row r="749" spans="1:7" x14ac:dyDescent="0.3">
      <c r="A749" t="s">
        <v>1393</v>
      </c>
      <c r="B749" t="s">
        <v>1394</v>
      </c>
      <c r="C749" t="s">
        <v>8</v>
      </c>
      <c r="D749">
        <v>7.9420000000000002</v>
      </c>
      <c r="E749" s="4">
        <v>2542</v>
      </c>
      <c r="F749" t="str">
        <f>HYPERLINK("https://www.google.com/maps/search/?api=1&amp;query=24.7573069,46.76949974", "View Map")</f>
        <v>View Map</v>
      </c>
    </row>
    <row r="750" spans="1:7" x14ac:dyDescent="0.3">
      <c r="A750" t="s">
        <v>684</v>
      </c>
      <c r="B750" t="s">
        <v>685</v>
      </c>
      <c r="C750" t="s">
        <v>8</v>
      </c>
      <c r="D750">
        <v>7.9409999999999998</v>
      </c>
      <c r="E750" s="4">
        <v>2541</v>
      </c>
      <c r="F750" t="str">
        <f>HYPERLINK("https://www.google.com/maps/search/?api=1&amp;query=24.78612007,46.71853143", "View Map")</f>
        <v>View Map</v>
      </c>
    </row>
    <row r="751" spans="1:7" x14ac:dyDescent="0.3">
      <c r="A751" t="s">
        <v>2939</v>
      </c>
      <c r="B751" t="s">
        <v>2940</v>
      </c>
      <c r="C751" t="s">
        <v>8</v>
      </c>
      <c r="D751">
        <v>7.9379999999999997</v>
      </c>
      <c r="E751" s="4">
        <v>2540</v>
      </c>
      <c r="F751" t="str">
        <f>HYPERLINK("https://www.google.com/maps/search/?api=1&amp;query=24.67519209,46.79597774", "View Map")</f>
        <v>View Map</v>
      </c>
      <c r="G751" s="2">
        <v>0.60286516289019243</v>
      </c>
    </row>
    <row r="752" spans="1:7" x14ac:dyDescent="0.3">
      <c r="A752" t="s">
        <v>2300</v>
      </c>
      <c r="B752" t="s">
        <v>2301</v>
      </c>
      <c r="C752" t="s">
        <v>8</v>
      </c>
      <c r="D752">
        <v>7.9279999999999999</v>
      </c>
      <c r="E752" s="4">
        <v>2537</v>
      </c>
      <c r="F752" t="str">
        <f>HYPERLINK("https://www.google.com/maps/search/?api=1&amp;query=24.78143019,46.77591533", "View Map")</f>
        <v>View Map</v>
      </c>
      <c r="G752" s="2">
        <v>0.41263154885818631</v>
      </c>
    </row>
    <row r="753" spans="1:7" x14ac:dyDescent="0.3">
      <c r="A753" t="s">
        <v>1279</v>
      </c>
      <c r="B753" t="s">
        <v>1280</v>
      </c>
      <c r="C753" t="s">
        <v>255</v>
      </c>
      <c r="D753">
        <v>7.9249999999999998</v>
      </c>
      <c r="E753" s="4">
        <v>2536</v>
      </c>
      <c r="F753" t="str">
        <f>HYPERLINK("https://www.google.com/maps/search/?api=1&amp;query=24.52016323,44.38060519", "View Map")</f>
        <v>View Map</v>
      </c>
      <c r="G753" s="2">
        <v>0.52680044299713036</v>
      </c>
    </row>
    <row r="754" spans="1:7" x14ac:dyDescent="0.3">
      <c r="A754" t="s">
        <v>7829</v>
      </c>
      <c r="B754" t="s">
        <v>7830</v>
      </c>
      <c r="C754" t="s">
        <v>214</v>
      </c>
      <c r="D754">
        <v>7.9180000000000001</v>
      </c>
      <c r="E754" s="4">
        <v>2534</v>
      </c>
      <c r="F754" t="str">
        <f>HYPERLINK("https://www.google.com/maps/search/?api=1&amp;query=25.91527794,45.36735315", "View Map")</f>
        <v>View Map</v>
      </c>
    </row>
    <row r="755" spans="1:7" x14ac:dyDescent="0.3">
      <c r="A755" t="s">
        <v>46</v>
      </c>
      <c r="B755" t="s">
        <v>1725</v>
      </c>
      <c r="C755" t="s">
        <v>8</v>
      </c>
      <c r="D755">
        <v>7.9180000000000001</v>
      </c>
      <c r="E755" s="4">
        <v>2534</v>
      </c>
      <c r="F755" t="str">
        <f>HYPERLINK("https://www.google.com/maps/search/?api=1&amp;query=24.85091661,46.57664797", "View Map")</f>
        <v>View Map</v>
      </c>
    </row>
    <row r="756" spans="1:7" x14ac:dyDescent="0.3">
      <c r="A756" t="s">
        <v>22</v>
      </c>
      <c r="B756" t="s">
        <v>634</v>
      </c>
      <c r="C756" t="s">
        <v>8</v>
      </c>
      <c r="D756">
        <v>7.915</v>
      </c>
      <c r="E756" s="4">
        <v>2533</v>
      </c>
      <c r="F756" t="str">
        <f>HYPERLINK("https://www.google.com/maps/search/?api=1&amp;query=24.72351589,46.64698108", "View Map")</f>
        <v>View Map</v>
      </c>
      <c r="G756" s="2">
        <v>0.38587478932627212</v>
      </c>
    </row>
    <row r="757" spans="1:7" x14ac:dyDescent="0.3">
      <c r="A757" t="s">
        <v>1296</v>
      </c>
      <c r="B757" t="s">
        <v>1297</v>
      </c>
      <c r="C757" t="s">
        <v>8</v>
      </c>
      <c r="D757">
        <v>7.9119999999999999</v>
      </c>
      <c r="E757" s="4">
        <v>2532</v>
      </c>
      <c r="F757" t="str">
        <f>HYPERLINK("https://www.google.com/maps/search/?api=1&amp;query=24.71685665,46.6936742", "View Map")</f>
        <v>View Map</v>
      </c>
    </row>
    <row r="758" spans="1:7" x14ac:dyDescent="0.3">
      <c r="A758" t="s">
        <v>46</v>
      </c>
      <c r="B758" t="s">
        <v>1552</v>
      </c>
      <c r="C758" t="s">
        <v>8</v>
      </c>
      <c r="D758">
        <v>7.907</v>
      </c>
      <c r="E758" s="4">
        <v>2530</v>
      </c>
      <c r="F758" t="str">
        <f>HYPERLINK("https://www.google.com/maps/search/?api=1&amp;query=24.74688546,46.75833224", "View Map")</f>
        <v>View Map</v>
      </c>
    </row>
    <row r="759" spans="1:7" x14ac:dyDescent="0.3">
      <c r="A759" t="s">
        <v>1200</v>
      </c>
      <c r="B759" t="s">
        <v>1201</v>
      </c>
      <c r="C759" t="s">
        <v>21</v>
      </c>
      <c r="D759">
        <v>7.8970000000000002</v>
      </c>
      <c r="E759" s="4">
        <v>2527</v>
      </c>
      <c r="F759" t="str">
        <f>HYPERLINK("https://www.google.com/maps/search/?api=1&amp;query=26.29793091,44.81972532", "View Map")</f>
        <v>View Map</v>
      </c>
      <c r="G759" s="2">
        <v>0.62598182999275409</v>
      </c>
    </row>
    <row r="760" spans="1:7" x14ac:dyDescent="0.3">
      <c r="A760" t="s">
        <v>6212</v>
      </c>
      <c r="B760" t="s">
        <v>6213</v>
      </c>
      <c r="C760" t="s">
        <v>8</v>
      </c>
      <c r="D760">
        <v>7.8819999999999997</v>
      </c>
      <c r="E760" s="4">
        <v>2522</v>
      </c>
      <c r="F760" t="str">
        <f>HYPERLINK("https://www.google.com/maps/search/?api=1&amp;query=24.69849762,46.686346", "View Map")</f>
        <v>View Map</v>
      </c>
    </row>
    <row r="761" spans="1:7" x14ac:dyDescent="0.3">
      <c r="A761" t="s">
        <v>1597</v>
      </c>
      <c r="B761" t="s">
        <v>1598</v>
      </c>
      <c r="C761" t="s">
        <v>8</v>
      </c>
      <c r="D761">
        <v>7.8810000000000002</v>
      </c>
      <c r="E761" s="4">
        <v>2522</v>
      </c>
      <c r="F761" t="str">
        <f>HYPERLINK("https://www.google.com/maps/search/?api=1&amp;query=24.68959898,46.78564211", "View Map")</f>
        <v>View Map</v>
      </c>
      <c r="G761" s="2">
        <v>0.45023216419377771</v>
      </c>
    </row>
    <row r="762" spans="1:7" x14ac:dyDescent="0.3">
      <c r="A762" t="s">
        <v>242</v>
      </c>
      <c r="B762" t="s">
        <v>1842</v>
      </c>
      <c r="C762" t="s">
        <v>8</v>
      </c>
      <c r="D762">
        <v>7.88</v>
      </c>
      <c r="E762" s="4">
        <v>2522</v>
      </c>
      <c r="F762" t="str">
        <f>HYPERLINK("https://www.google.com/maps/search/?api=1&amp;query=24.77426357,46.79551526", "View Map")</f>
        <v>View Map</v>
      </c>
    </row>
    <row r="763" spans="1:7" x14ac:dyDescent="0.3">
      <c r="A763" t="s">
        <v>4905</v>
      </c>
      <c r="B763" t="s">
        <v>4906</v>
      </c>
      <c r="C763" t="s">
        <v>8</v>
      </c>
      <c r="D763">
        <v>7.8719999999999999</v>
      </c>
      <c r="E763" s="4">
        <v>2519</v>
      </c>
      <c r="F763" t="str">
        <f>HYPERLINK("https://www.google.com/maps/search/?api=1&amp;query=24.77573178,46.75846052", "View Map")</f>
        <v>View Map</v>
      </c>
      <c r="G763" s="2">
        <v>0.51760014109883357</v>
      </c>
    </row>
    <row r="764" spans="1:7" x14ac:dyDescent="0.3">
      <c r="A764" t="s">
        <v>1522</v>
      </c>
      <c r="B764" t="s">
        <v>1523</v>
      </c>
      <c r="C764" t="s">
        <v>364</v>
      </c>
      <c r="D764">
        <v>7.8650000000000002</v>
      </c>
      <c r="E764" s="4">
        <v>2517</v>
      </c>
      <c r="F764" t="str">
        <f>HYPERLINK("https://www.google.com/maps/search/?api=1&amp;query=25.28549154,45.86457047", "View Map")</f>
        <v>View Map</v>
      </c>
      <c r="G764" s="2">
        <v>0.53652080821244785</v>
      </c>
    </row>
    <row r="765" spans="1:7" x14ac:dyDescent="0.3">
      <c r="A765" t="s">
        <v>46</v>
      </c>
      <c r="B765" t="s">
        <v>1710</v>
      </c>
      <c r="C765" t="s">
        <v>8</v>
      </c>
      <c r="D765">
        <v>7.8639999999999999</v>
      </c>
      <c r="E765" s="4">
        <v>2517</v>
      </c>
      <c r="F765" t="str">
        <f>HYPERLINK("https://www.google.com/maps/search/?api=1&amp;query=24.65903778,46.81158118", "View Map")</f>
        <v>View Map</v>
      </c>
      <c r="G765" s="2">
        <v>0.41702708402642691</v>
      </c>
    </row>
    <row r="766" spans="1:7" x14ac:dyDescent="0.3">
      <c r="A766" t="s">
        <v>158</v>
      </c>
      <c r="B766" t="s">
        <v>1533</v>
      </c>
      <c r="C766" t="s">
        <v>8</v>
      </c>
      <c r="D766">
        <v>7.8579999999999997</v>
      </c>
      <c r="E766" s="4">
        <v>2515</v>
      </c>
      <c r="F766" t="str">
        <f>HYPERLINK("https://www.google.com/maps/search/?api=1&amp;query=24.77350353,46.73638469", "View Map")</f>
        <v>View Map</v>
      </c>
      <c r="G766" s="2">
        <v>0.46952357597408018</v>
      </c>
    </row>
    <row r="767" spans="1:7" x14ac:dyDescent="0.3">
      <c r="A767" t="s">
        <v>46</v>
      </c>
      <c r="B767" t="s">
        <v>132</v>
      </c>
      <c r="C767" t="s">
        <v>8</v>
      </c>
      <c r="D767">
        <v>7.8419999999999996</v>
      </c>
      <c r="E767" s="4">
        <v>2509</v>
      </c>
      <c r="F767" t="str">
        <f>HYPERLINK("https://www.google.com/maps/search/?api=1&amp;query=24.88638,46.60249", "View Map")</f>
        <v>View Map</v>
      </c>
      <c r="G767" s="2">
        <v>0.11349707907718649</v>
      </c>
    </row>
    <row r="768" spans="1:7" x14ac:dyDescent="0.3">
      <c r="A768" t="s">
        <v>2194</v>
      </c>
      <c r="B768" t="s">
        <v>2195</v>
      </c>
      <c r="C768" t="s">
        <v>214</v>
      </c>
      <c r="D768">
        <v>7.84</v>
      </c>
      <c r="E768" s="4">
        <v>2509</v>
      </c>
      <c r="F768" t="str">
        <f>HYPERLINK("https://www.google.com/maps/search/?api=1&amp;query=25.6197703,45.55420143", "View Map")</f>
        <v>View Map</v>
      </c>
      <c r="G768" s="2">
        <v>0.77208129068720954</v>
      </c>
    </row>
    <row r="769" spans="1:7" x14ac:dyDescent="0.3">
      <c r="A769" t="s">
        <v>2144</v>
      </c>
      <c r="B769" t="s">
        <v>2145</v>
      </c>
      <c r="C769" t="s">
        <v>8</v>
      </c>
      <c r="D769">
        <v>7.84</v>
      </c>
      <c r="E769" s="4">
        <v>2509</v>
      </c>
      <c r="F769" t="str">
        <f>HYPERLINK("https://www.google.com/maps/search/?api=1&amp;query=24.61841604,46.72202659", "View Map")</f>
        <v>View Map</v>
      </c>
    </row>
    <row r="770" spans="1:7" x14ac:dyDescent="0.3">
      <c r="A770" t="s">
        <v>1549</v>
      </c>
      <c r="B770" t="s">
        <v>1550</v>
      </c>
      <c r="C770" t="s">
        <v>8</v>
      </c>
      <c r="D770">
        <v>7.8380000000000001</v>
      </c>
      <c r="E770" s="4">
        <v>2508</v>
      </c>
      <c r="F770" t="str">
        <f>HYPERLINK("https://www.google.com/maps/search/?api=1&amp;query=24.67914182,46.67245604", "View Map")</f>
        <v>View Map</v>
      </c>
      <c r="G770" s="2">
        <v>0.66238947782322599</v>
      </c>
    </row>
    <row r="771" spans="1:7" x14ac:dyDescent="0.3">
      <c r="A771" t="s">
        <v>5105</v>
      </c>
      <c r="B771" t="s">
        <v>5106</v>
      </c>
      <c r="C771" t="s">
        <v>8</v>
      </c>
      <c r="D771">
        <v>7.83</v>
      </c>
      <c r="E771" s="4">
        <v>2505</v>
      </c>
      <c r="F771" t="str">
        <f>HYPERLINK("https://www.google.com/maps/search/?api=1&amp;query=24.5683,46.6019", "View Map")</f>
        <v>View Map</v>
      </c>
    </row>
    <row r="772" spans="1:7" x14ac:dyDescent="0.3">
      <c r="A772" t="s">
        <v>46</v>
      </c>
      <c r="B772" t="s">
        <v>6877</v>
      </c>
      <c r="C772" t="s">
        <v>8</v>
      </c>
      <c r="D772">
        <v>7.8289999999999997</v>
      </c>
      <c r="E772" s="4">
        <v>2505</v>
      </c>
      <c r="F772" t="str">
        <f>HYPERLINK("https://www.google.com/maps/search/?api=1&amp;query=24.84429942,46.82623565", "View Map")</f>
        <v>View Map</v>
      </c>
    </row>
    <row r="773" spans="1:7" x14ac:dyDescent="0.3">
      <c r="A773" t="s">
        <v>1940</v>
      </c>
      <c r="B773" t="s">
        <v>1941</v>
      </c>
      <c r="C773" t="s">
        <v>77</v>
      </c>
      <c r="D773">
        <v>7.8250000000000002</v>
      </c>
      <c r="E773" s="4">
        <v>2504</v>
      </c>
      <c r="F773" t="str">
        <f>HYPERLINK("https://www.google.com/maps/search/?api=1&amp;query=22.22870053,46.69283442", "View Map")</f>
        <v>View Map</v>
      </c>
      <c r="G773" s="2">
        <v>0.72262299431835531</v>
      </c>
    </row>
    <row r="774" spans="1:7" x14ac:dyDescent="0.3">
      <c r="A774" t="s">
        <v>1687</v>
      </c>
      <c r="B774" t="s">
        <v>1688</v>
      </c>
      <c r="C774" t="s">
        <v>8</v>
      </c>
      <c r="D774">
        <v>7.8209999999999997</v>
      </c>
      <c r="E774" s="4">
        <v>2503</v>
      </c>
      <c r="F774" t="str">
        <f>HYPERLINK("https://www.google.com/maps/search/?api=1&amp;query=24.57766606,46.67910207", "View Map")</f>
        <v>View Map</v>
      </c>
      <c r="G774" s="2">
        <v>0.61092220763209493</v>
      </c>
    </row>
    <row r="775" spans="1:7" x14ac:dyDescent="0.3">
      <c r="A775" t="s">
        <v>1017</v>
      </c>
      <c r="B775" t="s">
        <v>1817</v>
      </c>
      <c r="C775" t="s">
        <v>8</v>
      </c>
      <c r="D775">
        <v>7.8150000000000004</v>
      </c>
      <c r="E775" s="4">
        <v>2501</v>
      </c>
      <c r="F775" t="str">
        <f>HYPERLINK("https://www.google.com/maps/search/?api=1&amp;query=24.56821711,46.64846579", "View Map")</f>
        <v>View Map</v>
      </c>
    </row>
    <row r="776" spans="1:7" x14ac:dyDescent="0.3">
      <c r="A776" t="s">
        <v>2108</v>
      </c>
      <c r="B776" t="s">
        <v>2109</v>
      </c>
      <c r="C776" t="s">
        <v>8</v>
      </c>
      <c r="D776">
        <v>7.81</v>
      </c>
      <c r="E776" s="4">
        <v>2499</v>
      </c>
      <c r="F776" t="str">
        <f>HYPERLINK("https://www.google.com/maps/search/?api=1&amp;query=24.70092834,46.67108849", "View Map")</f>
        <v>View Map</v>
      </c>
    </row>
    <row r="777" spans="1:7" x14ac:dyDescent="0.3">
      <c r="A777" t="s">
        <v>46</v>
      </c>
      <c r="B777" t="s">
        <v>747</v>
      </c>
      <c r="C777" t="s">
        <v>8</v>
      </c>
      <c r="D777">
        <v>7.81</v>
      </c>
      <c r="E777" s="4">
        <v>2499</v>
      </c>
      <c r="F777" t="str">
        <f>HYPERLINK("https://www.google.com/maps/search/?api=1&amp;query=24.81563896,46.76323527", "View Map")</f>
        <v>View Map</v>
      </c>
      <c r="G777" s="2">
        <v>0.33874271023489949</v>
      </c>
    </row>
    <row r="778" spans="1:7" x14ac:dyDescent="0.3">
      <c r="A778" t="s">
        <v>3515</v>
      </c>
      <c r="B778" t="s">
        <v>3516</v>
      </c>
      <c r="C778" t="s">
        <v>699</v>
      </c>
      <c r="D778">
        <v>7.798</v>
      </c>
      <c r="E778" s="4">
        <v>2495</v>
      </c>
      <c r="F778" t="str">
        <f>HYPERLINK("https://www.google.com/maps/search/?api=1&amp;query=25.06959309,45.46355554", "View Map")</f>
        <v>View Map</v>
      </c>
      <c r="G778" s="2">
        <v>0.55072753552299047</v>
      </c>
    </row>
    <row r="779" spans="1:7" x14ac:dyDescent="0.3">
      <c r="A779" t="s">
        <v>1577</v>
      </c>
      <c r="B779" t="s">
        <v>1578</v>
      </c>
      <c r="C779" t="s">
        <v>8</v>
      </c>
      <c r="D779">
        <v>7.7939999999999996</v>
      </c>
      <c r="E779" s="4">
        <v>2494</v>
      </c>
      <c r="F779" t="str">
        <f>HYPERLINK("https://www.google.com/maps/search/?api=1&amp;query=24.6819685,46.82093711", "View Map")</f>
        <v>View Map</v>
      </c>
      <c r="G779" s="2">
        <v>0.56067716513866384</v>
      </c>
    </row>
    <row r="780" spans="1:7" x14ac:dyDescent="0.3">
      <c r="A780" t="s">
        <v>46</v>
      </c>
      <c r="B780" t="s">
        <v>1178</v>
      </c>
      <c r="C780" t="s">
        <v>8</v>
      </c>
      <c r="D780">
        <v>7.7919999999999998</v>
      </c>
      <c r="E780" s="4">
        <v>2494</v>
      </c>
      <c r="F780" t="str">
        <f>HYPERLINK("https://www.google.com/maps/search/?api=1&amp;query=24.79032223,46.59870231", "View Map")</f>
        <v>View Map</v>
      </c>
    </row>
    <row r="781" spans="1:7" x14ac:dyDescent="0.3">
      <c r="A781" t="s">
        <v>1113</v>
      </c>
      <c r="B781" t="s">
        <v>1114</v>
      </c>
      <c r="C781" t="s">
        <v>8</v>
      </c>
      <c r="D781">
        <v>7.7690000000000001</v>
      </c>
      <c r="E781" s="4">
        <v>2486</v>
      </c>
      <c r="F781" t="str">
        <f>HYPERLINK("https://www.google.com/maps/search/?api=1&amp;query=24.7129834,46.79048354", "View Map")</f>
        <v>View Map</v>
      </c>
    </row>
    <row r="782" spans="1:7" x14ac:dyDescent="0.3">
      <c r="A782" t="s">
        <v>1564</v>
      </c>
      <c r="B782" t="s">
        <v>1565</v>
      </c>
      <c r="C782" t="s">
        <v>77</v>
      </c>
      <c r="D782">
        <v>7.7679999999999998</v>
      </c>
      <c r="E782" s="4">
        <v>2486</v>
      </c>
      <c r="F782" t="str">
        <f>HYPERLINK("https://www.google.com/maps/search/?api=1&amp;query=22.0036128,46.56628379", "View Map")</f>
        <v>View Map</v>
      </c>
      <c r="G782" s="2">
        <v>0.64701007080963502</v>
      </c>
    </row>
    <row r="783" spans="1:7" x14ac:dyDescent="0.3">
      <c r="A783" t="s">
        <v>46</v>
      </c>
      <c r="B783" t="s">
        <v>6616</v>
      </c>
      <c r="C783" t="s">
        <v>8</v>
      </c>
      <c r="D783">
        <v>7.766</v>
      </c>
      <c r="E783" s="4">
        <v>2485</v>
      </c>
      <c r="F783" t="str">
        <f>HYPERLINK("https://www.google.com/maps/search/?api=1&amp;query=24.83657073,46.74370043", "View Map")</f>
        <v>View Map</v>
      </c>
    </row>
    <row r="784" spans="1:7" x14ac:dyDescent="0.3">
      <c r="A784" t="s">
        <v>1451</v>
      </c>
      <c r="B784" t="s">
        <v>1452</v>
      </c>
      <c r="C784" t="s">
        <v>8</v>
      </c>
      <c r="D784">
        <v>7.7619999999999996</v>
      </c>
      <c r="E784" s="4">
        <v>2484</v>
      </c>
      <c r="F784" t="str">
        <f>HYPERLINK("https://www.google.com/maps/search/?api=1&amp;query=24.72529694,46.66042227", "View Map")</f>
        <v>View Map</v>
      </c>
      <c r="G784" s="2">
        <v>0.68291155809118309</v>
      </c>
    </row>
    <row r="785" spans="1:7" x14ac:dyDescent="0.3">
      <c r="A785" t="s">
        <v>2318</v>
      </c>
      <c r="B785" t="s">
        <v>2319</v>
      </c>
      <c r="C785" t="s">
        <v>8</v>
      </c>
      <c r="D785">
        <v>7.76</v>
      </c>
      <c r="E785" s="4">
        <v>2483</v>
      </c>
      <c r="F785" t="str">
        <f>HYPERLINK("https://www.google.com/maps/search/?api=1&amp;query=24.7014662,46.64439781", "View Map")</f>
        <v>View Map</v>
      </c>
    </row>
    <row r="786" spans="1:7" x14ac:dyDescent="0.3">
      <c r="A786" t="s">
        <v>73</v>
      </c>
      <c r="B786" t="s">
        <v>1784</v>
      </c>
      <c r="C786" t="s">
        <v>8</v>
      </c>
      <c r="D786">
        <v>7.7380000000000004</v>
      </c>
      <c r="E786" s="4">
        <v>2476</v>
      </c>
      <c r="F786" t="str">
        <f>HYPERLINK("https://www.google.com/maps/search/?api=1&amp;query=24.62463958,46.52681672", "View Map")</f>
        <v>View Map</v>
      </c>
    </row>
    <row r="787" spans="1:7" x14ac:dyDescent="0.3">
      <c r="A787" t="s">
        <v>1721</v>
      </c>
      <c r="B787" t="s">
        <v>1722</v>
      </c>
      <c r="C787" t="s">
        <v>8</v>
      </c>
      <c r="D787">
        <v>7.7350000000000003</v>
      </c>
      <c r="E787" s="4">
        <v>2475</v>
      </c>
      <c r="F787" t="str">
        <f>HYPERLINK("https://www.google.com/maps/search/?api=1&amp;query=24.5755028,46.83939399", "View Map")</f>
        <v>View Map</v>
      </c>
    </row>
    <row r="788" spans="1:7" x14ac:dyDescent="0.3">
      <c r="A788" t="s">
        <v>1673</v>
      </c>
      <c r="B788" t="s">
        <v>1674</v>
      </c>
      <c r="C788" t="s">
        <v>8</v>
      </c>
      <c r="D788">
        <v>7.734</v>
      </c>
      <c r="E788" s="4">
        <v>2475</v>
      </c>
      <c r="F788" t="str">
        <f>HYPERLINK("https://www.google.com/maps/search/?api=1&amp;query=24.69040432,46.60629368", "View Map")</f>
        <v>View Map</v>
      </c>
    </row>
    <row r="789" spans="1:7" x14ac:dyDescent="0.3">
      <c r="A789" t="s">
        <v>1994</v>
      </c>
      <c r="B789" t="s">
        <v>1995</v>
      </c>
      <c r="C789" t="s">
        <v>8</v>
      </c>
      <c r="D789">
        <v>7.7329999999999997</v>
      </c>
      <c r="E789" s="4">
        <v>2474</v>
      </c>
      <c r="F789" t="str">
        <f>HYPERLINK("https://www.google.com/maps/search/?api=1&amp;query=24.65659264,46.74825675", "View Map")</f>
        <v>View Map</v>
      </c>
      <c r="G789" s="2">
        <v>0.46102888886195642</v>
      </c>
    </row>
    <row r="790" spans="1:7" x14ac:dyDescent="0.3">
      <c r="A790" t="s">
        <v>1982</v>
      </c>
      <c r="B790" t="s">
        <v>1983</v>
      </c>
      <c r="C790" t="s">
        <v>286</v>
      </c>
      <c r="D790">
        <v>7.73</v>
      </c>
      <c r="E790" s="4">
        <v>2474</v>
      </c>
      <c r="F790" t="str">
        <f>HYPERLINK("https://www.google.com/maps/search/?api=1&amp;query=25.29597092,45.53238578", "View Map")</f>
        <v>View Map</v>
      </c>
      <c r="G790" s="2">
        <v>0.75311277949992128</v>
      </c>
    </row>
    <row r="791" spans="1:7" x14ac:dyDescent="0.3">
      <c r="A791" t="s">
        <v>1906</v>
      </c>
      <c r="B791" t="s">
        <v>1907</v>
      </c>
      <c r="C791" t="s">
        <v>393</v>
      </c>
      <c r="D791">
        <v>7.7160000000000002</v>
      </c>
      <c r="E791" s="4">
        <v>2469</v>
      </c>
      <c r="F791" t="str">
        <f>HYPERLINK("https://www.google.com/maps/search/?api=1&amp;query=23.55439241,45.49377372", "View Map")</f>
        <v>View Map</v>
      </c>
      <c r="G791" s="2">
        <v>0.92919068002217531</v>
      </c>
    </row>
    <row r="792" spans="1:7" x14ac:dyDescent="0.3">
      <c r="A792" t="s">
        <v>1793</v>
      </c>
      <c r="B792" t="s">
        <v>1794</v>
      </c>
      <c r="C792" t="s">
        <v>16</v>
      </c>
      <c r="D792">
        <v>7.7039999999999997</v>
      </c>
      <c r="E792" s="4">
        <v>2465</v>
      </c>
      <c r="F792" t="str">
        <f>HYPERLINK("https://www.google.com/maps/search/?api=1&amp;query=23.87864433,42.89488242", "View Map")</f>
        <v>View Map</v>
      </c>
    </row>
    <row r="793" spans="1:7" x14ac:dyDescent="0.3">
      <c r="A793" t="s">
        <v>1239</v>
      </c>
      <c r="B793" t="s">
        <v>1240</v>
      </c>
      <c r="C793" t="s">
        <v>8</v>
      </c>
      <c r="D793">
        <v>7.681</v>
      </c>
      <c r="E793" s="4">
        <v>2458</v>
      </c>
      <c r="F793" t="str">
        <f>HYPERLINK("https://www.google.com/maps/search/?api=1&amp;query=24.57960877,46.77533728", "View Map")</f>
        <v>View Map</v>
      </c>
    </row>
    <row r="794" spans="1:7" x14ac:dyDescent="0.3">
      <c r="A794" t="s">
        <v>2388</v>
      </c>
      <c r="B794" t="s">
        <v>2389</v>
      </c>
      <c r="C794" t="s">
        <v>255</v>
      </c>
      <c r="D794">
        <v>7.6689999999999996</v>
      </c>
      <c r="E794" s="4">
        <v>2454</v>
      </c>
      <c r="F794" t="str">
        <f>HYPERLINK("https://www.google.com/maps/search/?api=1&amp;query=24.68233726,44.95639094", "View Map")</f>
        <v>View Map</v>
      </c>
      <c r="G794" s="2">
        <v>0.71099856176789888</v>
      </c>
    </row>
    <row r="795" spans="1:7" x14ac:dyDescent="0.3">
      <c r="A795" t="s">
        <v>3358</v>
      </c>
      <c r="B795" t="s">
        <v>3359</v>
      </c>
      <c r="C795" t="s">
        <v>8</v>
      </c>
      <c r="D795">
        <v>7.6559999999999997</v>
      </c>
      <c r="E795" s="4">
        <v>2450</v>
      </c>
      <c r="F795" t="str">
        <f>HYPERLINK("https://www.google.com/maps/search/?api=1&amp;query=24.710044,46.61807074", "View Map")</f>
        <v>View Map</v>
      </c>
      <c r="G795" s="2">
        <v>0.47144351220528502</v>
      </c>
    </row>
    <row r="796" spans="1:7" x14ac:dyDescent="0.3">
      <c r="A796" t="s">
        <v>2344</v>
      </c>
      <c r="B796" t="s">
        <v>2345</v>
      </c>
      <c r="C796" t="s">
        <v>296</v>
      </c>
      <c r="D796">
        <v>7.6470000000000002</v>
      </c>
      <c r="E796" s="4">
        <v>2447</v>
      </c>
      <c r="F796" t="str">
        <f>HYPERLINK("https://www.google.com/maps/search/?api=1&amp;query=24.48258968,46.05494477", "View Map")</f>
        <v>View Map</v>
      </c>
      <c r="G796" s="2">
        <v>0.71202112914230975</v>
      </c>
    </row>
    <row r="797" spans="1:7" x14ac:dyDescent="0.3">
      <c r="A797" t="s">
        <v>46</v>
      </c>
      <c r="B797" t="s">
        <v>1939</v>
      </c>
      <c r="C797" t="s">
        <v>8</v>
      </c>
      <c r="D797">
        <v>7.6440000000000001</v>
      </c>
      <c r="E797" s="4">
        <v>2446</v>
      </c>
      <c r="F797" t="str">
        <f>HYPERLINK("https://www.google.com/maps/search/?api=1&amp;query=24.69772,46.67663", "View Map")</f>
        <v>View Map</v>
      </c>
      <c r="G797" s="2">
        <v>0.63533061077317843</v>
      </c>
    </row>
    <row r="798" spans="1:7" x14ac:dyDescent="0.3">
      <c r="A798" t="s">
        <v>2150</v>
      </c>
      <c r="B798" t="s">
        <v>2151</v>
      </c>
      <c r="C798" t="s">
        <v>291</v>
      </c>
      <c r="D798">
        <v>7.62</v>
      </c>
      <c r="E798" s="4">
        <v>2438</v>
      </c>
      <c r="F798" t="str">
        <f>HYPERLINK("https://www.google.com/maps/search/?api=1&amp;query=23.47946687,44.37419879", "View Map")</f>
        <v>View Map</v>
      </c>
      <c r="G798" s="2">
        <v>0.72214636729032611</v>
      </c>
    </row>
    <row r="799" spans="1:7" x14ac:dyDescent="0.3">
      <c r="A799" t="s">
        <v>869</v>
      </c>
      <c r="B799" t="s">
        <v>870</v>
      </c>
      <c r="C799" t="s">
        <v>8</v>
      </c>
      <c r="D799">
        <v>7.6150000000000002</v>
      </c>
      <c r="E799" s="4">
        <v>2437</v>
      </c>
      <c r="F799" t="str">
        <f>HYPERLINK("https://www.google.com/maps/search/?api=1&amp;query=24.55822512,46.78889101", "View Map")</f>
        <v>View Map</v>
      </c>
      <c r="G799" s="2">
        <v>0.41099660956459672</v>
      </c>
    </row>
    <row r="800" spans="1:7" x14ac:dyDescent="0.3">
      <c r="A800" t="s">
        <v>46</v>
      </c>
      <c r="B800" t="s">
        <v>1865</v>
      </c>
      <c r="C800" t="s">
        <v>8</v>
      </c>
      <c r="D800">
        <v>7.6079999999999997</v>
      </c>
      <c r="E800" s="4">
        <v>2434</v>
      </c>
      <c r="F800" t="str">
        <f>HYPERLINK("https://www.google.com/maps/search/?api=1&amp;query=24.80220958,46.74242305", "View Map")</f>
        <v>View Map</v>
      </c>
      <c r="G800" s="2">
        <v>0.41075240642840599</v>
      </c>
    </row>
    <row r="801" spans="1:7" x14ac:dyDescent="0.3">
      <c r="A801" t="s">
        <v>146</v>
      </c>
      <c r="B801" t="s">
        <v>2143</v>
      </c>
      <c r="C801" t="s">
        <v>8</v>
      </c>
      <c r="D801">
        <v>7.5890000000000004</v>
      </c>
      <c r="E801" s="4">
        <v>2428</v>
      </c>
      <c r="F801" t="str">
        <f>HYPERLINK("https://www.google.com/maps/search/?api=1&amp;query=24.54279455,46.52099155", "View Map")</f>
        <v>View Map</v>
      </c>
    </row>
    <row r="802" spans="1:7" x14ac:dyDescent="0.3">
      <c r="A802" t="s">
        <v>2001</v>
      </c>
      <c r="B802" t="s">
        <v>2002</v>
      </c>
      <c r="C802" t="s">
        <v>241</v>
      </c>
      <c r="D802">
        <v>7.5880000000000001</v>
      </c>
      <c r="E802" s="4">
        <v>2428</v>
      </c>
      <c r="F802" t="str">
        <f>HYPERLINK("https://www.google.com/maps/search/?api=1&amp;query=20.44453598,44.74161437", "View Map")</f>
        <v>View Map</v>
      </c>
      <c r="G802" s="2">
        <v>0.60302798231262578</v>
      </c>
    </row>
    <row r="803" spans="1:7" x14ac:dyDescent="0.3">
      <c r="A803" t="s">
        <v>1418</v>
      </c>
      <c r="B803" t="s">
        <v>1661</v>
      </c>
      <c r="C803" t="s">
        <v>8</v>
      </c>
      <c r="D803">
        <v>7.5759999999999996</v>
      </c>
      <c r="E803" s="4">
        <v>2424</v>
      </c>
      <c r="F803" t="str">
        <f>HYPERLINK("https://www.google.com/maps/search/?api=1&amp;query=24.77869471,46.72186221", "View Map")</f>
        <v>View Map</v>
      </c>
    </row>
    <row r="804" spans="1:7" x14ac:dyDescent="0.3">
      <c r="A804" t="s">
        <v>717</v>
      </c>
      <c r="B804" t="s">
        <v>1309</v>
      </c>
      <c r="C804" t="s">
        <v>255</v>
      </c>
      <c r="D804">
        <v>7.5679999999999996</v>
      </c>
      <c r="E804" s="4">
        <v>2422</v>
      </c>
      <c r="F804" t="str">
        <f>HYPERLINK("https://www.google.com/maps/search/?api=1&amp;query=24.54648276,44.43771395", "View Map")</f>
        <v>View Map</v>
      </c>
      <c r="G804" s="2">
        <v>0.43251479501589468</v>
      </c>
    </row>
    <row r="805" spans="1:7" x14ac:dyDescent="0.3">
      <c r="A805" t="s">
        <v>1619</v>
      </c>
      <c r="B805" t="s">
        <v>1620</v>
      </c>
      <c r="C805" t="s">
        <v>21</v>
      </c>
      <c r="D805">
        <v>7.5670000000000002</v>
      </c>
      <c r="E805" s="4">
        <v>2421</v>
      </c>
      <c r="F805" t="str">
        <f>HYPERLINK("https://www.google.com/maps/search/?api=1&amp;query=26.27690958,44.83010086", "View Map")</f>
        <v>View Map</v>
      </c>
      <c r="G805" s="2">
        <v>0.61722068251539164</v>
      </c>
    </row>
    <row r="806" spans="1:7" x14ac:dyDescent="0.3">
      <c r="A806" t="s">
        <v>2289</v>
      </c>
      <c r="B806" t="s">
        <v>2290</v>
      </c>
      <c r="C806" t="s">
        <v>8</v>
      </c>
      <c r="D806">
        <v>7.5609999999999999</v>
      </c>
      <c r="E806" s="4">
        <v>2420</v>
      </c>
      <c r="F806" t="str">
        <f>HYPERLINK("https://www.google.com/maps/search/?api=1&amp;query=24.57716248,46.52478901", "View Map")</f>
        <v>View Map</v>
      </c>
      <c r="G806" s="2">
        <v>0.74801019125634316</v>
      </c>
    </row>
    <row r="807" spans="1:7" x14ac:dyDescent="0.3">
      <c r="A807" t="s">
        <v>1273</v>
      </c>
      <c r="B807" t="s">
        <v>2050</v>
      </c>
      <c r="C807" t="s">
        <v>241</v>
      </c>
      <c r="D807">
        <v>7.5419999999999998</v>
      </c>
      <c r="E807" s="4">
        <v>2413</v>
      </c>
      <c r="F807" t="str">
        <f>HYPERLINK("https://www.google.com/maps/search/?api=1&amp;query=20.44729749,44.78795038", "View Map")</f>
        <v>View Map</v>
      </c>
      <c r="G807" s="2">
        <v>0.88164714669766753</v>
      </c>
    </row>
    <row r="808" spans="1:7" x14ac:dyDescent="0.3">
      <c r="A808" t="s">
        <v>1948</v>
      </c>
      <c r="B808" t="s">
        <v>1949</v>
      </c>
      <c r="C808" t="s">
        <v>21</v>
      </c>
      <c r="D808">
        <v>7.5369999999999999</v>
      </c>
      <c r="E808" s="4">
        <v>2412</v>
      </c>
      <c r="F808" t="str">
        <f>HYPERLINK("https://www.google.com/maps/search/?api=1&amp;query=26.2966343,44.82333655", "View Map")</f>
        <v>View Map</v>
      </c>
      <c r="G808" s="2">
        <v>0.80394079338098268</v>
      </c>
    </row>
    <row r="809" spans="1:7" x14ac:dyDescent="0.3">
      <c r="A809" t="s">
        <v>46</v>
      </c>
      <c r="B809" t="s">
        <v>5930</v>
      </c>
      <c r="C809" t="s">
        <v>8</v>
      </c>
      <c r="D809">
        <v>7.5359999999999996</v>
      </c>
      <c r="E809" s="4">
        <v>2412</v>
      </c>
      <c r="F809" t="str">
        <f>HYPERLINK("https://www.google.com/maps/search/?api=1&amp;query=24.85989178,46.65345324", "View Map")</f>
        <v>View Map</v>
      </c>
      <c r="G809" s="2">
        <v>0.55026044935929275</v>
      </c>
    </row>
    <row r="810" spans="1:7" x14ac:dyDescent="0.3">
      <c r="A810" t="s">
        <v>73</v>
      </c>
      <c r="B810" t="s">
        <v>1628</v>
      </c>
      <c r="C810" t="s">
        <v>55</v>
      </c>
      <c r="D810">
        <v>7.5289999999999999</v>
      </c>
      <c r="E810" s="4">
        <v>2409</v>
      </c>
      <c r="F810" t="str">
        <f>HYPERLINK("https://www.google.com/maps/search/?api=1&amp;query=24.7453,46.5272", "View Map")</f>
        <v>View Map</v>
      </c>
    </row>
    <row r="811" spans="1:7" x14ac:dyDescent="0.3">
      <c r="A811" t="s">
        <v>642</v>
      </c>
      <c r="B811" t="s">
        <v>643</v>
      </c>
      <c r="C811" t="s">
        <v>8</v>
      </c>
      <c r="D811">
        <v>7.5279999999999996</v>
      </c>
      <c r="E811" s="4">
        <v>2409</v>
      </c>
      <c r="F811" t="str">
        <f>HYPERLINK("https://www.google.com/maps/search/?api=1&amp;query=24.68022,46.62634", "View Map")</f>
        <v>View Map</v>
      </c>
      <c r="G811" s="2">
        <v>0.36517927473036232</v>
      </c>
    </row>
    <row r="812" spans="1:7" x14ac:dyDescent="0.3">
      <c r="A812" t="s">
        <v>3184</v>
      </c>
      <c r="B812" t="s">
        <v>3185</v>
      </c>
      <c r="C812" t="s">
        <v>8</v>
      </c>
      <c r="D812">
        <v>7.5250000000000004</v>
      </c>
      <c r="E812" s="4">
        <v>2408</v>
      </c>
      <c r="F812" t="str">
        <f>HYPERLINK("https://www.google.com/maps/search/?api=1&amp;query=24.57945465,46.60578049", "View Map")</f>
        <v>View Map</v>
      </c>
    </row>
    <row r="813" spans="1:7" x14ac:dyDescent="0.3">
      <c r="A813" t="s">
        <v>1667</v>
      </c>
      <c r="B813" t="s">
        <v>1668</v>
      </c>
      <c r="C813" t="s">
        <v>21</v>
      </c>
      <c r="D813">
        <v>7.5190000000000001</v>
      </c>
      <c r="E813" s="4">
        <v>2406</v>
      </c>
      <c r="F813" t="str">
        <f>HYPERLINK("https://www.google.com/maps/search/?api=1&amp;query=26.30718392,44.81526069", "View Map")</f>
        <v>View Map</v>
      </c>
      <c r="G813" s="2">
        <v>0.54358856324282057</v>
      </c>
    </row>
    <row r="814" spans="1:7" x14ac:dyDescent="0.3">
      <c r="A814" t="s">
        <v>2189</v>
      </c>
      <c r="B814" t="s">
        <v>2190</v>
      </c>
      <c r="C814" t="s">
        <v>8</v>
      </c>
      <c r="D814">
        <v>7.5030000000000001</v>
      </c>
      <c r="E814" s="4">
        <v>2401</v>
      </c>
      <c r="F814" t="str">
        <f>HYPERLINK("https://www.google.com/maps/search/?api=1&amp;query=24.82343327,46.66038619", "View Map")</f>
        <v>View Map</v>
      </c>
      <c r="G814" s="2">
        <v>0.701847818091902</v>
      </c>
    </row>
    <row r="815" spans="1:7" x14ac:dyDescent="0.3">
      <c r="A815" t="s">
        <v>1795</v>
      </c>
      <c r="B815" t="s">
        <v>1796</v>
      </c>
      <c r="C815" t="s">
        <v>8</v>
      </c>
      <c r="D815">
        <v>7.492</v>
      </c>
      <c r="E815" s="4">
        <v>2398</v>
      </c>
      <c r="F815" t="str">
        <f>HYPERLINK("https://www.google.com/maps/search/?api=1&amp;query=24.79288283,46.64229655", "View Map")</f>
        <v>View Map</v>
      </c>
    </row>
    <row r="816" spans="1:7" x14ac:dyDescent="0.3">
      <c r="A816" t="s">
        <v>28</v>
      </c>
      <c r="B816" t="s">
        <v>2119</v>
      </c>
      <c r="C816" t="s">
        <v>30</v>
      </c>
      <c r="D816">
        <v>7.4909999999999997</v>
      </c>
      <c r="E816" s="4">
        <v>2397</v>
      </c>
      <c r="F816" t="str">
        <f>HYPERLINK("https://www.google.com/maps/search/?api=1&amp;query=24.0945035,47.27503035", "View Map")</f>
        <v>View Map</v>
      </c>
      <c r="G816" s="2">
        <v>0.75516850962987714</v>
      </c>
    </row>
    <row r="817" spans="1:7" x14ac:dyDescent="0.3">
      <c r="A817" t="s">
        <v>1859</v>
      </c>
      <c r="B817" t="s">
        <v>4603</v>
      </c>
      <c r="C817" t="s">
        <v>8</v>
      </c>
      <c r="D817">
        <v>7.4710000000000001</v>
      </c>
      <c r="E817" s="4">
        <v>2391</v>
      </c>
      <c r="F817" t="str">
        <f>HYPERLINK("https://www.google.com/maps/search/?api=1&amp;query=24.74580397,46.66669321", "View Map")</f>
        <v>View Map</v>
      </c>
    </row>
    <row r="818" spans="1:7" x14ac:dyDescent="0.3">
      <c r="A818" t="s">
        <v>1857</v>
      </c>
      <c r="B818" t="s">
        <v>1858</v>
      </c>
      <c r="C818" t="s">
        <v>8</v>
      </c>
      <c r="D818">
        <v>7.4710000000000001</v>
      </c>
      <c r="E818" s="4">
        <v>2391</v>
      </c>
      <c r="F818" t="str">
        <f>HYPERLINK("https://www.google.com/maps/search/?api=1&amp;query=24.54508074,46.6916449", "View Map")</f>
        <v>View Map</v>
      </c>
      <c r="G818" s="2">
        <v>0.51707966558789964</v>
      </c>
    </row>
    <row r="819" spans="1:7" x14ac:dyDescent="0.3">
      <c r="A819" t="s">
        <v>3288</v>
      </c>
      <c r="B819" t="s">
        <v>7882</v>
      </c>
      <c r="C819" t="s">
        <v>55</v>
      </c>
      <c r="D819">
        <v>7.4660000000000002</v>
      </c>
      <c r="E819" s="4">
        <v>2389</v>
      </c>
      <c r="F819" t="str">
        <f>HYPERLINK("https://www.google.com/maps/search/?api=1&amp;query=24.75535609,46.54448737", "View Map")</f>
        <v>View Map</v>
      </c>
      <c r="G819" s="2">
        <v>0.48643556306095009</v>
      </c>
    </row>
    <row r="820" spans="1:7" x14ac:dyDescent="0.3">
      <c r="A820" t="s">
        <v>1096</v>
      </c>
      <c r="B820" t="s">
        <v>1097</v>
      </c>
      <c r="C820" t="s">
        <v>241</v>
      </c>
      <c r="D820">
        <v>7.4660000000000002</v>
      </c>
      <c r="E820" s="4">
        <v>2389</v>
      </c>
      <c r="F820" t="str">
        <f>HYPERLINK("https://www.google.com/maps/search/?api=1&amp;query=20.48200068,44.77792373", "View Map")</f>
        <v>View Map</v>
      </c>
      <c r="G820" s="2">
        <v>0.27938881024209222</v>
      </c>
    </row>
    <row r="821" spans="1:7" x14ac:dyDescent="0.3">
      <c r="A821" t="s">
        <v>46</v>
      </c>
      <c r="B821" t="s">
        <v>1666</v>
      </c>
      <c r="C821" t="s">
        <v>8</v>
      </c>
      <c r="D821">
        <v>7.4660000000000002</v>
      </c>
      <c r="E821" s="4">
        <v>2389</v>
      </c>
      <c r="F821" t="str">
        <f>HYPERLINK("https://www.google.com/maps/search/?api=1&amp;query=24.79224368,46.59500959", "View Map")</f>
        <v>View Map</v>
      </c>
      <c r="G821" s="2">
        <v>0.4571309481229171</v>
      </c>
    </row>
    <row r="822" spans="1:7" x14ac:dyDescent="0.3">
      <c r="A822" t="s">
        <v>1681</v>
      </c>
      <c r="B822" t="s">
        <v>1682</v>
      </c>
      <c r="C822" t="s">
        <v>8</v>
      </c>
      <c r="D822">
        <v>7.4619999999999997</v>
      </c>
      <c r="E822" s="4">
        <v>2388</v>
      </c>
      <c r="F822" t="str">
        <f>HYPERLINK("https://www.google.com/maps/search/?api=1&amp;query=24.78812478,46.66134629", "View Map")</f>
        <v>View Map</v>
      </c>
    </row>
    <row r="823" spans="1:7" x14ac:dyDescent="0.3">
      <c r="A823" t="s">
        <v>46</v>
      </c>
      <c r="B823" t="s">
        <v>1478</v>
      </c>
      <c r="C823" t="s">
        <v>8</v>
      </c>
      <c r="D823">
        <v>7.4569999999999999</v>
      </c>
      <c r="E823" s="4">
        <v>2386</v>
      </c>
      <c r="F823" t="str">
        <f>HYPERLINK("https://www.google.com/maps/search/?api=1&amp;query=24.88673753,46.63400258", "View Map")</f>
        <v>View Map</v>
      </c>
      <c r="G823" s="2">
        <v>0.66031855904464831</v>
      </c>
    </row>
    <row r="824" spans="1:7" x14ac:dyDescent="0.3">
      <c r="A824" t="s">
        <v>1625</v>
      </c>
      <c r="B824" t="s">
        <v>1626</v>
      </c>
      <c r="C824" t="s">
        <v>8</v>
      </c>
      <c r="D824">
        <v>7.4539999999999997</v>
      </c>
      <c r="E824" s="4">
        <v>2385</v>
      </c>
      <c r="F824" t="str">
        <f>HYPERLINK("https://www.google.com/maps/search/?api=1&amp;query=24.82671916,46.65332571", "View Map")</f>
        <v>View Map</v>
      </c>
      <c r="G824" s="2">
        <v>0.42800433380053787</v>
      </c>
    </row>
    <row r="825" spans="1:7" x14ac:dyDescent="0.3">
      <c r="A825" t="s">
        <v>2125</v>
      </c>
      <c r="B825" t="s">
        <v>2126</v>
      </c>
      <c r="C825" t="s">
        <v>8</v>
      </c>
      <c r="D825">
        <v>7.4530000000000003</v>
      </c>
      <c r="E825" s="4">
        <v>2385</v>
      </c>
      <c r="F825" t="str">
        <f>HYPERLINK("https://www.google.com/maps/search/?api=1&amp;query=24.6834691,46.7412753", "View Map")</f>
        <v>View Map</v>
      </c>
      <c r="G825" s="2">
        <v>0.58819265382227814</v>
      </c>
    </row>
    <row r="826" spans="1:7" x14ac:dyDescent="0.3">
      <c r="A826" t="s">
        <v>2402</v>
      </c>
      <c r="B826" t="s">
        <v>2403</v>
      </c>
      <c r="C826" t="s">
        <v>30</v>
      </c>
      <c r="D826">
        <v>7.452</v>
      </c>
      <c r="E826" s="4">
        <v>2385</v>
      </c>
      <c r="F826" t="str">
        <f>HYPERLINK("https://www.google.com/maps/search/?api=1&amp;query=24.20163064,47.26514614", "View Map")</f>
        <v>View Map</v>
      </c>
      <c r="G826" s="2">
        <v>0.62506030688366376</v>
      </c>
    </row>
    <row r="827" spans="1:7" x14ac:dyDescent="0.3">
      <c r="A827" t="s">
        <v>457</v>
      </c>
      <c r="B827" t="s">
        <v>458</v>
      </c>
      <c r="C827" t="s">
        <v>8</v>
      </c>
      <c r="D827">
        <v>7.452</v>
      </c>
      <c r="E827" s="4">
        <v>2385</v>
      </c>
      <c r="F827" t="str">
        <f>HYPERLINK("https://www.google.com/maps/search/?api=1&amp;query=24.77025071,46.66617964", "View Map")</f>
        <v>View Map</v>
      </c>
      <c r="G827" s="2">
        <v>0.18493816898666471</v>
      </c>
    </row>
    <row r="828" spans="1:7" x14ac:dyDescent="0.3">
      <c r="A828" t="s">
        <v>1996</v>
      </c>
      <c r="B828" t="s">
        <v>1997</v>
      </c>
      <c r="C828" t="s">
        <v>8</v>
      </c>
      <c r="D828">
        <v>7.4420000000000002</v>
      </c>
      <c r="E828" s="4">
        <v>2381</v>
      </c>
      <c r="F828" t="str">
        <f>HYPERLINK("https://www.google.com/maps/search/?api=1&amp;query=24.77013796,46.82593766", "View Map")</f>
        <v>View Map</v>
      </c>
    </row>
    <row r="829" spans="1:7" x14ac:dyDescent="0.3">
      <c r="A829" t="s">
        <v>1885</v>
      </c>
      <c r="B829" t="s">
        <v>1886</v>
      </c>
      <c r="C829" t="s">
        <v>8</v>
      </c>
      <c r="D829">
        <v>7.44</v>
      </c>
      <c r="E829" s="4">
        <v>2381</v>
      </c>
      <c r="F829" t="str">
        <f>HYPERLINK("https://www.google.com/maps/search/?api=1&amp;query=24.6325,46.7156", "View Map")</f>
        <v>View Map</v>
      </c>
    </row>
    <row r="830" spans="1:7" x14ac:dyDescent="0.3">
      <c r="A830" t="s">
        <v>1735</v>
      </c>
      <c r="B830" t="s">
        <v>1736</v>
      </c>
      <c r="C830" t="s">
        <v>8</v>
      </c>
      <c r="D830">
        <v>7.4379999999999997</v>
      </c>
      <c r="E830" s="4">
        <v>2380</v>
      </c>
      <c r="F830" t="str">
        <f>HYPERLINK("https://www.google.com/maps/search/?api=1&amp;query=24.69604829,46.76894689", "View Map")</f>
        <v>View Map</v>
      </c>
      <c r="G830" s="2">
        <v>0.41330579327031269</v>
      </c>
    </row>
    <row r="831" spans="1:7" x14ac:dyDescent="0.3">
      <c r="A831" t="s">
        <v>11306</v>
      </c>
      <c r="B831" t="s">
        <v>11307</v>
      </c>
      <c r="C831" t="s">
        <v>883</v>
      </c>
      <c r="D831">
        <v>7.43</v>
      </c>
      <c r="E831" s="4">
        <v>2377</v>
      </c>
      <c r="F831" t="str">
        <f>HYPERLINK("https://www.google.com/maps/search/?api=1&amp;query=25.55779382,47.17842445", "View Map")</f>
        <v>View Map</v>
      </c>
      <c r="G831" s="2">
        <v>0.65683301264835192</v>
      </c>
    </row>
    <row r="832" spans="1:7" x14ac:dyDescent="0.3">
      <c r="A832" t="s">
        <v>1195</v>
      </c>
      <c r="B832" t="s">
        <v>1196</v>
      </c>
      <c r="C832" t="s">
        <v>8</v>
      </c>
      <c r="D832">
        <v>7.4279999999999999</v>
      </c>
      <c r="E832" s="4">
        <v>2377</v>
      </c>
      <c r="F832" t="str">
        <f>HYPERLINK("https://www.google.com/maps/search/?api=1&amp;query=24.70025958,46.63927743", "View Map")</f>
        <v>View Map</v>
      </c>
      <c r="G832" s="2">
        <v>0.36097489226412161</v>
      </c>
    </row>
    <row r="833" spans="1:7" x14ac:dyDescent="0.3">
      <c r="A833" t="s">
        <v>1758</v>
      </c>
      <c r="B833" t="s">
        <v>1759</v>
      </c>
      <c r="C833" t="s">
        <v>55</v>
      </c>
      <c r="D833">
        <v>7.42</v>
      </c>
      <c r="E833" s="4">
        <v>2374</v>
      </c>
      <c r="F833" t="str">
        <f>HYPERLINK("https://www.google.com/maps/search/?api=1&amp;query=24.77658931,46.57349104", "View Map")</f>
        <v>View Map</v>
      </c>
    </row>
    <row r="834" spans="1:7" x14ac:dyDescent="0.3">
      <c r="A834" t="s">
        <v>1230</v>
      </c>
      <c r="B834" t="s">
        <v>1231</v>
      </c>
      <c r="C834" t="s">
        <v>466</v>
      </c>
      <c r="D834">
        <v>7.4109999999999996</v>
      </c>
      <c r="E834" s="4">
        <v>2371</v>
      </c>
      <c r="F834" t="str">
        <f>HYPERLINK("https://www.google.com/maps/search/?api=1&amp;query=24.59424125,46.12436657", "View Map")</f>
        <v>View Map</v>
      </c>
      <c r="G834" s="2">
        <v>0.37336358692083649</v>
      </c>
    </row>
    <row r="835" spans="1:7" x14ac:dyDescent="0.3">
      <c r="A835" t="s">
        <v>1374</v>
      </c>
      <c r="B835" t="s">
        <v>1375</v>
      </c>
      <c r="C835" t="s">
        <v>8</v>
      </c>
      <c r="D835">
        <v>7.4</v>
      </c>
      <c r="E835" s="4">
        <v>2368</v>
      </c>
      <c r="F835" t="str">
        <f>HYPERLINK("https://www.google.com/maps/search/?api=1&amp;query=24.69711241,46.78146253", "View Map")</f>
        <v>View Map</v>
      </c>
    </row>
    <row r="836" spans="1:7" x14ac:dyDescent="0.3">
      <c r="A836" t="s">
        <v>1277</v>
      </c>
      <c r="B836" t="s">
        <v>2068</v>
      </c>
      <c r="C836" t="s">
        <v>8</v>
      </c>
      <c r="D836">
        <v>7.3979999999999997</v>
      </c>
      <c r="E836" s="4">
        <v>2367</v>
      </c>
      <c r="F836" t="str">
        <f>HYPERLINK("https://www.google.com/maps/search/?api=1&amp;query=24.61213759,46.74080914", "View Map")</f>
        <v>View Map</v>
      </c>
      <c r="G836" s="2">
        <v>0.50023809554053378</v>
      </c>
    </row>
    <row r="837" spans="1:7" x14ac:dyDescent="0.3">
      <c r="A837" t="s">
        <v>46</v>
      </c>
      <c r="B837" t="s">
        <v>3647</v>
      </c>
      <c r="C837" t="s">
        <v>8</v>
      </c>
      <c r="D837">
        <v>7.3959999999999999</v>
      </c>
      <c r="E837" s="4">
        <v>2367</v>
      </c>
      <c r="F837" t="str">
        <f>HYPERLINK("https://www.google.com/maps/search/?api=1&amp;query=24.82519516,46.57665367", "View Map")</f>
        <v>View Map</v>
      </c>
    </row>
    <row r="838" spans="1:7" x14ac:dyDescent="0.3">
      <c r="A838" t="s">
        <v>1920</v>
      </c>
      <c r="B838" t="s">
        <v>1921</v>
      </c>
      <c r="C838" t="s">
        <v>214</v>
      </c>
      <c r="D838">
        <v>7.3730000000000002</v>
      </c>
      <c r="E838" s="4">
        <v>2359</v>
      </c>
      <c r="F838" t="str">
        <f>HYPERLINK("https://www.google.com/maps/search/?api=1&amp;query=25.67925646,45.44917603", "View Map")</f>
        <v>View Map</v>
      </c>
      <c r="G838" s="2">
        <v>0.67573468393883307</v>
      </c>
    </row>
    <row r="839" spans="1:7" x14ac:dyDescent="0.3">
      <c r="A839" t="s">
        <v>2530</v>
      </c>
      <c r="B839" t="s">
        <v>2531</v>
      </c>
      <c r="C839" t="s">
        <v>8</v>
      </c>
      <c r="D839">
        <v>7.3710000000000004</v>
      </c>
      <c r="E839" s="4">
        <v>2359</v>
      </c>
      <c r="F839" t="str">
        <f>HYPERLINK("https://www.google.com/maps/search/?api=1&amp;query=24.57764299,46.54183285", "View Map")</f>
        <v>View Map</v>
      </c>
    </row>
    <row r="840" spans="1:7" x14ac:dyDescent="0.3">
      <c r="A840" t="s">
        <v>73</v>
      </c>
      <c r="B840" t="s">
        <v>5092</v>
      </c>
      <c r="C840" t="s">
        <v>8</v>
      </c>
      <c r="D840">
        <v>7.3689999999999998</v>
      </c>
      <c r="E840" s="4">
        <v>2358</v>
      </c>
      <c r="F840" t="str">
        <f>HYPERLINK("https://www.google.com/maps/search/?api=1&amp;query=24.63850329,46.58642776", "View Map")</f>
        <v>View Map</v>
      </c>
    </row>
    <row r="841" spans="1:7" x14ac:dyDescent="0.3">
      <c r="A841" t="s">
        <v>46</v>
      </c>
      <c r="B841" t="s">
        <v>1720</v>
      </c>
      <c r="C841" t="s">
        <v>8</v>
      </c>
      <c r="D841">
        <v>7.3659999999999997</v>
      </c>
      <c r="E841" s="4">
        <v>2357</v>
      </c>
      <c r="F841" t="str">
        <f>HYPERLINK("https://www.google.com/maps/search/?api=1&amp;query=24.8700423,46.6474301", "View Map")</f>
        <v>View Map</v>
      </c>
      <c r="G841" s="2">
        <v>0.63180844951897586</v>
      </c>
    </row>
    <row r="842" spans="1:7" x14ac:dyDescent="0.3">
      <c r="A842" t="s">
        <v>1679</v>
      </c>
      <c r="B842" t="s">
        <v>1680</v>
      </c>
      <c r="C842" t="s">
        <v>8</v>
      </c>
      <c r="D842">
        <v>7.3650000000000002</v>
      </c>
      <c r="E842" s="4">
        <v>2357</v>
      </c>
      <c r="F842" t="str">
        <f>HYPERLINK("https://www.google.com/maps/search/?api=1&amp;query=24.66250716,46.72494639", "View Map")</f>
        <v>View Map</v>
      </c>
      <c r="G842" s="2">
        <v>0.78801730589228047</v>
      </c>
    </row>
    <row r="843" spans="1:7" x14ac:dyDescent="0.3">
      <c r="A843" t="s">
        <v>46</v>
      </c>
      <c r="B843" t="s">
        <v>1838</v>
      </c>
      <c r="C843" t="s">
        <v>8</v>
      </c>
      <c r="D843">
        <v>7.3639999999999999</v>
      </c>
      <c r="E843" s="4">
        <v>2356</v>
      </c>
      <c r="F843" t="str">
        <f>HYPERLINK("https://www.google.com/maps/search/?api=1&amp;query=24.84074605,46.75160164", "View Map")</f>
        <v>View Map</v>
      </c>
      <c r="G843" s="2">
        <v>0.59166332856055182</v>
      </c>
    </row>
    <row r="844" spans="1:7" x14ac:dyDescent="0.3">
      <c r="A844" t="s">
        <v>1559</v>
      </c>
      <c r="B844" t="s">
        <v>1560</v>
      </c>
      <c r="C844" t="s">
        <v>8</v>
      </c>
      <c r="D844">
        <v>7.3550000000000004</v>
      </c>
      <c r="E844" s="4">
        <v>2354</v>
      </c>
      <c r="F844" t="str">
        <f>HYPERLINK("https://www.google.com/maps/search/?api=1&amp;query=24.78347449,46.75415077", "View Map")</f>
        <v>View Map</v>
      </c>
      <c r="G844" s="2">
        <v>0.46980993785557568</v>
      </c>
    </row>
    <row r="845" spans="1:7" x14ac:dyDescent="0.3">
      <c r="A845" t="s">
        <v>1852</v>
      </c>
      <c r="B845" t="s">
        <v>1853</v>
      </c>
      <c r="C845" t="s">
        <v>8</v>
      </c>
      <c r="D845">
        <v>7.3490000000000002</v>
      </c>
      <c r="E845" s="4">
        <v>2352</v>
      </c>
      <c r="F845" t="str">
        <f>HYPERLINK("https://www.google.com/maps/search/?api=1&amp;query=24.7376352,46.67489319", "View Map")</f>
        <v>View Map</v>
      </c>
      <c r="G845" s="2">
        <v>0.68889355861204715</v>
      </c>
    </row>
    <row r="846" spans="1:7" x14ac:dyDescent="0.3">
      <c r="A846" t="s">
        <v>1984</v>
      </c>
      <c r="B846" t="s">
        <v>1985</v>
      </c>
      <c r="C846" t="s">
        <v>77</v>
      </c>
      <c r="D846">
        <v>7.3460000000000001</v>
      </c>
      <c r="E846" s="4">
        <v>2351</v>
      </c>
      <c r="F846" t="str">
        <f>HYPERLINK("https://www.google.com/maps/search/?api=1&amp;query=22.09077207,46.70497469", "View Map")</f>
        <v>View Map</v>
      </c>
      <c r="G846" s="2">
        <v>0.70869872234912834</v>
      </c>
    </row>
    <row r="847" spans="1:7" x14ac:dyDescent="0.3">
      <c r="A847" t="s">
        <v>1918</v>
      </c>
      <c r="B847" t="s">
        <v>1919</v>
      </c>
      <c r="C847" t="s">
        <v>30</v>
      </c>
      <c r="D847">
        <v>7.3239999999999998</v>
      </c>
      <c r="E847" s="4">
        <v>2344</v>
      </c>
      <c r="F847" t="str">
        <f>HYPERLINK("https://www.google.com/maps/search/?api=1&amp;query=24.10328439,47.28413852", "View Map")</f>
        <v>View Map</v>
      </c>
      <c r="G847" s="2">
        <v>0.57632893826419351</v>
      </c>
    </row>
    <row r="848" spans="1:7" x14ac:dyDescent="0.3">
      <c r="A848" t="s">
        <v>146</v>
      </c>
      <c r="B848" t="s">
        <v>1087</v>
      </c>
      <c r="C848" t="s">
        <v>8</v>
      </c>
      <c r="D848">
        <v>7.3230000000000004</v>
      </c>
      <c r="E848" s="4">
        <v>2343</v>
      </c>
      <c r="F848" t="str">
        <f>HYPERLINK("https://www.google.com/maps/search/?api=1&amp;query=24.6125,46.7017", "View Map")</f>
        <v>View Map</v>
      </c>
    </row>
    <row r="849" spans="1:7" x14ac:dyDescent="0.3">
      <c r="A849" t="s">
        <v>28</v>
      </c>
      <c r="B849" t="s">
        <v>1773</v>
      </c>
      <c r="C849" t="s">
        <v>270</v>
      </c>
      <c r="D849">
        <v>7.3220000000000001</v>
      </c>
      <c r="E849" s="4">
        <v>2343</v>
      </c>
      <c r="F849" t="str">
        <f>HYPERLINK("https://www.google.com/maps/search/?api=1&amp;query=24.09777746,47.16895294", "View Map")</f>
        <v>View Map</v>
      </c>
    </row>
    <row r="850" spans="1:7" x14ac:dyDescent="0.3">
      <c r="A850" t="s">
        <v>3645</v>
      </c>
      <c r="B850" t="s">
        <v>3646</v>
      </c>
      <c r="C850" t="s">
        <v>699</v>
      </c>
      <c r="D850">
        <v>7.3079999999999998</v>
      </c>
      <c r="E850" s="4">
        <v>2338</v>
      </c>
      <c r="F850" t="str">
        <f>HYPERLINK("https://www.google.com/maps/search/?api=1&amp;query=24.45302377,45.37580045", "View Map")</f>
        <v>View Map</v>
      </c>
      <c r="G850" s="2">
        <v>0.700972725106913</v>
      </c>
    </row>
    <row r="851" spans="1:7" x14ac:dyDescent="0.3">
      <c r="A851" t="s">
        <v>1992</v>
      </c>
      <c r="B851" t="s">
        <v>1993</v>
      </c>
      <c r="C851" t="s">
        <v>8</v>
      </c>
      <c r="D851">
        <v>7.3049999999999997</v>
      </c>
      <c r="E851" s="4">
        <v>2337</v>
      </c>
      <c r="F851" t="str">
        <f>HYPERLINK("https://www.google.com/maps/search/?api=1&amp;query=24.62055276,46.7475548", "View Map")</f>
        <v>View Map</v>
      </c>
      <c r="G851" s="2">
        <v>0.52467069253130827</v>
      </c>
    </row>
    <row r="852" spans="1:7" x14ac:dyDescent="0.3">
      <c r="A852" t="s">
        <v>2059</v>
      </c>
      <c r="B852" t="s">
        <v>2060</v>
      </c>
      <c r="C852" t="s">
        <v>8</v>
      </c>
      <c r="D852">
        <v>7.3029999999999999</v>
      </c>
      <c r="E852" s="4">
        <v>2337</v>
      </c>
      <c r="F852" t="str">
        <f>HYPERLINK("https://www.google.com/maps/search/?api=1&amp;query=24.7016169,46.7738958", "View Map")</f>
        <v>View Map</v>
      </c>
    </row>
    <row r="853" spans="1:7" x14ac:dyDescent="0.3">
      <c r="A853" t="s">
        <v>8168</v>
      </c>
      <c r="B853" t="s">
        <v>8169</v>
      </c>
      <c r="C853" t="s">
        <v>8</v>
      </c>
      <c r="D853">
        <v>7.2969999999999997</v>
      </c>
      <c r="E853" s="4">
        <v>2335</v>
      </c>
      <c r="F853" t="str">
        <f>HYPERLINK("https://www.google.com/maps/search/?api=1&amp;query=24.79262448,46.74572087", "View Map")</f>
        <v>View Map</v>
      </c>
    </row>
    <row r="854" spans="1:7" x14ac:dyDescent="0.3">
      <c r="A854" t="s">
        <v>1790</v>
      </c>
      <c r="B854" t="s">
        <v>1791</v>
      </c>
      <c r="C854" t="s">
        <v>8</v>
      </c>
      <c r="D854">
        <v>7.2919999999999998</v>
      </c>
      <c r="E854" s="4">
        <v>2333</v>
      </c>
      <c r="F854" t="str">
        <f>HYPERLINK("https://www.google.com/maps/search/?api=1&amp;query=24.78422683,46.77884073", "View Map")</f>
        <v>View Map</v>
      </c>
      <c r="G854" s="2">
        <v>0.60032735312931351</v>
      </c>
    </row>
    <row r="855" spans="1:7" x14ac:dyDescent="0.3">
      <c r="A855" t="s">
        <v>2103</v>
      </c>
      <c r="B855" t="s">
        <v>2104</v>
      </c>
      <c r="C855" t="s">
        <v>8</v>
      </c>
      <c r="D855">
        <v>7.2889999999999997</v>
      </c>
      <c r="E855" s="4">
        <v>2332</v>
      </c>
      <c r="F855" t="str">
        <f>HYPERLINK("https://www.google.com/maps/search/?api=1&amp;query=24.58894586,46.57478517", "View Map")</f>
        <v>View Map</v>
      </c>
    </row>
    <row r="856" spans="1:7" x14ac:dyDescent="0.3">
      <c r="A856" t="s">
        <v>46</v>
      </c>
      <c r="B856" t="s">
        <v>2124</v>
      </c>
      <c r="C856" t="s">
        <v>8</v>
      </c>
      <c r="D856">
        <v>7.2859999999999996</v>
      </c>
      <c r="E856" s="4">
        <v>2332</v>
      </c>
      <c r="F856" t="str">
        <f>HYPERLINK("https://www.google.com/maps/search/?api=1&amp;query=24.83270518,46.75637819", "View Map")</f>
        <v>View Map</v>
      </c>
    </row>
    <row r="857" spans="1:7" x14ac:dyDescent="0.3">
      <c r="A857" t="s">
        <v>1604</v>
      </c>
      <c r="B857" t="s">
        <v>1605</v>
      </c>
      <c r="C857" t="s">
        <v>8</v>
      </c>
      <c r="D857">
        <v>7.2839999999999998</v>
      </c>
      <c r="E857" s="4">
        <v>2331</v>
      </c>
      <c r="F857" t="str">
        <f>HYPERLINK("https://www.google.com/maps/search/?api=1&amp;query=24.57478232,46.54426344", "View Map")</f>
        <v>View Map</v>
      </c>
    </row>
    <row r="858" spans="1:7" x14ac:dyDescent="0.3">
      <c r="A858" t="s">
        <v>46</v>
      </c>
      <c r="B858" t="s">
        <v>2527</v>
      </c>
      <c r="C858" t="s">
        <v>8</v>
      </c>
      <c r="D858">
        <v>7.28</v>
      </c>
      <c r="E858" s="4">
        <v>2330</v>
      </c>
      <c r="F858" t="str">
        <f>HYPERLINK("https://www.google.com/maps/search/?api=1&amp;query=24.92651732,46.81035049", "View Map")</f>
        <v>View Map</v>
      </c>
      <c r="G858" s="2">
        <v>0.50921376194819656</v>
      </c>
    </row>
    <row r="859" spans="1:7" x14ac:dyDescent="0.3">
      <c r="A859" t="s">
        <v>3013</v>
      </c>
      <c r="B859" t="s">
        <v>3014</v>
      </c>
      <c r="C859" t="s">
        <v>8</v>
      </c>
      <c r="D859">
        <v>7.2729999999999997</v>
      </c>
      <c r="E859" s="4">
        <v>2327</v>
      </c>
      <c r="F859" t="str">
        <f>HYPERLINK("https://www.google.com/maps/search/?api=1&amp;query=24.62685783,46.6557251", "View Map")</f>
        <v>View Map</v>
      </c>
      <c r="G859" s="2">
        <v>0.5800726225355739</v>
      </c>
    </row>
    <row r="860" spans="1:7" x14ac:dyDescent="0.3">
      <c r="A860" t="s">
        <v>663</v>
      </c>
      <c r="B860" t="s">
        <v>2062</v>
      </c>
      <c r="C860" t="s">
        <v>77</v>
      </c>
      <c r="D860">
        <v>7.27</v>
      </c>
      <c r="E860" s="4">
        <v>2326</v>
      </c>
      <c r="F860" t="str">
        <f>HYPERLINK("https://www.google.com/maps/search/?api=1&amp;query=22.2249776,46.77494447", "View Map")</f>
        <v>View Map</v>
      </c>
      <c r="G860" s="2">
        <v>0.81437051910812452</v>
      </c>
    </row>
    <row r="861" spans="1:7" x14ac:dyDescent="0.3">
      <c r="A861" t="s">
        <v>28</v>
      </c>
      <c r="B861" t="s">
        <v>2991</v>
      </c>
      <c r="C861" t="s">
        <v>820</v>
      </c>
      <c r="D861">
        <v>7.2690000000000001</v>
      </c>
      <c r="E861" s="4">
        <v>2326</v>
      </c>
      <c r="F861" t="str">
        <f>HYPERLINK("https://www.google.com/maps/search/?api=1&amp;query=0.0,0.0", "View Map")</f>
        <v>View Map</v>
      </c>
      <c r="G861" s="2">
        <v>0.73317717267981086</v>
      </c>
    </row>
    <row r="862" spans="1:7" x14ac:dyDescent="0.3">
      <c r="A862" t="s">
        <v>1848</v>
      </c>
      <c r="B862" t="s">
        <v>1849</v>
      </c>
      <c r="C862" t="s">
        <v>214</v>
      </c>
      <c r="D862">
        <v>7.26</v>
      </c>
      <c r="E862" s="4">
        <v>2323</v>
      </c>
      <c r="F862" t="str">
        <f>HYPERLINK("https://www.google.com/maps/search/?api=1&amp;query=25.69664192,45.88027634", "View Map")</f>
        <v>View Map</v>
      </c>
      <c r="G862" s="2">
        <v>0.53916191440082506</v>
      </c>
    </row>
    <row r="863" spans="1:7" x14ac:dyDescent="0.3">
      <c r="A863" t="s">
        <v>2159</v>
      </c>
      <c r="B863" t="s">
        <v>2160</v>
      </c>
      <c r="C863" t="s">
        <v>21</v>
      </c>
      <c r="D863">
        <v>7.2489999999999997</v>
      </c>
      <c r="E863" s="4">
        <v>2320</v>
      </c>
      <c r="F863" t="str">
        <f>HYPERLINK("https://www.google.com/maps/search/?api=1&amp;query=26.29956574,44.82622912", "View Map")</f>
        <v>View Map</v>
      </c>
      <c r="G863" s="2">
        <v>0.70740222191571922</v>
      </c>
    </row>
    <row r="864" spans="1:7" x14ac:dyDescent="0.3">
      <c r="A864" t="s">
        <v>150</v>
      </c>
      <c r="B864" t="s">
        <v>2556</v>
      </c>
      <c r="C864" t="s">
        <v>8</v>
      </c>
      <c r="D864">
        <v>7.2350000000000003</v>
      </c>
      <c r="E864" s="4">
        <v>2315</v>
      </c>
      <c r="F864" t="str">
        <f>HYPERLINK("https://www.google.com/maps/search/?api=1&amp;query=24.80272639,46.87163955", "View Map")</f>
        <v>View Map</v>
      </c>
      <c r="G864" s="2">
        <v>0.45775343643781918</v>
      </c>
    </row>
    <row r="865" spans="1:7" x14ac:dyDescent="0.3">
      <c r="A865" t="s">
        <v>2679</v>
      </c>
      <c r="B865" t="s">
        <v>2680</v>
      </c>
      <c r="C865" t="s">
        <v>8</v>
      </c>
      <c r="D865">
        <v>7.2290000000000001</v>
      </c>
      <c r="E865" s="4">
        <v>2313</v>
      </c>
      <c r="F865" t="str">
        <f>HYPERLINK("https://www.google.com/maps/search/?api=1&amp;query=24.78202877,46.76196356", "View Map")</f>
        <v>View Map</v>
      </c>
      <c r="G865" s="2">
        <v>0.42240910690145278</v>
      </c>
    </row>
    <row r="866" spans="1:7" x14ac:dyDescent="0.3">
      <c r="A866" t="s">
        <v>594</v>
      </c>
      <c r="B866" t="s">
        <v>595</v>
      </c>
      <c r="C866" t="s">
        <v>8</v>
      </c>
      <c r="D866">
        <v>7.2290000000000001</v>
      </c>
      <c r="E866" s="4">
        <v>2313</v>
      </c>
      <c r="F866" t="str">
        <f>HYPERLINK("https://www.google.com/maps/search/?api=1&amp;query=24.73636058,46.78950131", "View Map")</f>
        <v>View Map</v>
      </c>
    </row>
    <row r="867" spans="1:7" x14ac:dyDescent="0.3">
      <c r="A867" t="s">
        <v>2287</v>
      </c>
      <c r="B867" t="s">
        <v>2288</v>
      </c>
      <c r="C867" t="s">
        <v>8</v>
      </c>
      <c r="D867">
        <v>7.226</v>
      </c>
      <c r="E867" s="4">
        <v>2312</v>
      </c>
      <c r="F867" t="str">
        <f>HYPERLINK("https://www.google.com/maps/search/?api=1&amp;query=24.76800114,46.65045529", "View Map")</f>
        <v>View Map</v>
      </c>
    </row>
    <row r="868" spans="1:7" x14ac:dyDescent="0.3">
      <c r="A868" t="s">
        <v>4368</v>
      </c>
      <c r="B868" t="s">
        <v>4369</v>
      </c>
      <c r="C868" t="s">
        <v>8</v>
      </c>
      <c r="D868">
        <v>7.226</v>
      </c>
      <c r="E868" s="4">
        <v>2312</v>
      </c>
      <c r="F868" t="str">
        <f>HYPERLINK("https://www.google.com/maps/search/?api=1&amp;query=24.55658705,46.78032038", "View Map")</f>
        <v>View Map</v>
      </c>
    </row>
    <row r="869" spans="1:7" x14ac:dyDescent="0.3">
      <c r="A869" t="s">
        <v>2148</v>
      </c>
      <c r="B869" t="s">
        <v>2149</v>
      </c>
      <c r="C869" t="s">
        <v>364</v>
      </c>
      <c r="D869">
        <v>7.2249999999999996</v>
      </c>
      <c r="E869" s="4">
        <v>2312</v>
      </c>
      <c r="F869" t="str">
        <f>HYPERLINK("https://www.google.com/maps/search/?api=1&amp;query=25.29098964,45.7875043", "View Map")</f>
        <v>View Map</v>
      </c>
      <c r="G869" s="2">
        <v>0.79529790367165409</v>
      </c>
    </row>
    <row r="870" spans="1:7" x14ac:dyDescent="0.3">
      <c r="A870" t="s">
        <v>73</v>
      </c>
      <c r="B870" t="s">
        <v>2482</v>
      </c>
      <c r="C870" t="s">
        <v>55</v>
      </c>
      <c r="D870">
        <v>7.21</v>
      </c>
      <c r="E870" s="4">
        <v>2307</v>
      </c>
      <c r="F870" t="str">
        <f>HYPERLINK("https://www.google.com/maps/search/?api=1&amp;query=24.74604704,46.53269361", "View Map")</f>
        <v>View Map</v>
      </c>
      <c r="G870" s="2">
        <v>0.45019652417583178</v>
      </c>
    </row>
    <row r="871" spans="1:7" x14ac:dyDescent="0.3">
      <c r="A871" t="s">
        <v>46</v>
      </c>
      <c r="B871" t="s">
        <v>3275</v>
      </c>
      <c r="C871" t="s">
        <v>8</v>
      </c>
      <c r="D871">
        <v>7.2089999999999996</v>
      </c>
      <c r="E871" s="4">
        <v>2307</v>
      </c>
      <c r="F871" t="str">
        <f>HYPERLINK("https://www.google.com/maps/search/?api=1&amp;query=24.86500454,46.64300251", "View Map")</f>
        <v>View Map</v>
      </c>
    </row>
    <row r="872" spans="1:7" x14ac:dyDescent="0.3">
      <c r="A872" t="s">
        <v>2152</v>
      </c>
      <c r="B872" t="s">
        <v>2153</v>
      </c>
      <c r="C872" t="s">
        <v>291</v>
      </c>
      <c r="D872">
        <v>7.2060000000000004</v>
      </c>
      <c r="E872" s="4">
        <v>2306</v>
      </c>
      <c r="F872" t="str">
        <f>HYPERLINK("https://www.google.com/maps/search/?api=1&amp;query=24.10969803,45.4951596", "View Map")</f>
        <v>View Map</v>
      </c>
      <c r="G872" s="2">
        <v>0.98103075941061202</v>
      </c>
    </row>
    <row r="873" spans="1:7" x14ac:dyDescent="0.3">
      <c r="A873" t="s">
        <v>46</v>
      </c>
      <c r="B873" t="s">
        <v>2923</v>
      </c>
      <c r="C873" t="s">
        <v>8</v>
      </c>
      <c r="D873">
        <v>7.202</v>
      </c>
      <c r="E873" s="4">
        <v>2305</v>
      </c>
      <c r="F873" t="str">
        <f>HYPERLINK("https://www.google.com/maps/search/?api=1&amp;query=24.60640589,46.52185655", "View Map")</f>
        <v>View Map</v>
      </c>
    </row>
    <row r="874" spans="1:7" x14ac:dyDescent="0.3">
      <c r="A874" t="s">
        <v>3022</v>
      </c>
      <c r="B874" t="s">
        <v>3023</v>
      </c>
      <c r="C874" t="s">
        <v>8</v>
      </c>
      <c r="D874">
        <v>7.1929999999999996</v>
      </c>
      <c r="E874" s="4">
        <v>2302</v>
      </c>
      <c r="F874" t="str">
        <f>HYPERLINK("https://www.google.com/maps/search/?api=1&amp;query=24.69414993,46.59166411", "View Map")</f>
        <v>View Map</v>
      </c>
    </row>
    <row r="875" spans="1:7" x14ac:dyDescent="0.3">
      <c r="A875" t="s">
        <v>803</v>
      </c>
      <c r="B875" t="s">
        <v>804</v>
      </c>
      <c r="C875" t="s">
        <v>291</v>
      </c>
      <c r="D875">
        <v>7.1920000000000002</v>
      </c>
      <c r="E875" s="4">
        <v>2301</v>
      </c>
      <c r="F875" t="str">
        <f>HYPERLINK("https://www.google.com/maps/search/?api=1&amp;query=24.34412284,45.81146383", "View Map")</f>
        <v>View Map</v>
      </c>
      <c r="G875" s="2">
        <v>0.31570866772792539</v>
      </c>
    </row>
    <row r="876" spans="1:7" x14ac:dyDescent="0.3">
      <c r="A876" t="s">
        <v>7000</v>
      </c>
      <c r="B876" t="s">
        <v>7001</v>
      </c>
      <c r="C876" t="s">
        <v>8</v>
      </c>
      <c r="D876">
        <v>7.1779999999999999</v>
      </c>
      <c r="E876" s="4">
        <v>2297</v>
      </c>
      <c r="F876" t="str">
        <f>HYPERLINK("https://www.google.com/maps/search/?api=1&amp;query=24.65014502,46.55361744", "View Map")</f>
        <v>View Map</v>
      </c>
    </row>
    <row r="877" spans="1:7" x14ac:dyDescent="0.3">
      <c r="A877" t="s">
        <v>2091</v>
      </c>
      <c r="B877" t="s">
        <v>2092</v>
      </c>
      <c r="C877" t="s">
        <v>8</v>
      </c>
      <c r="D877">
        <v>7.1680000000000001</v>
      </c>
      <c r="E877" s="4">
        <v>2294</v>
      </c>
      <c r="F877" t="str">
        <f>HYPERLINK("https://www.google.com/maps/search/?api=1&amp;query=24.67257506,46.78733377", "View Map")</f>
        <v>View Map</v>
      </c>
      <c r="G877" s="2">
        <v>0.70210120743627813</v>
      </c>
    </row>
    <row r="878" spans="1:7" x14ac:dyDescent="0.3">
      <c r="A878" t="s">
        <v>3002</v>
      </c>
      <c r="B878" t="s">
        <v>3003</v>
      </c>
      <c r="C878" t="s">
        <v>8</v>
      </c>
      <c r="D878">
        <v>7.165</v>
      </c>
      <c r="E878" s="4">
        <v>2293</v>
      </c>
      <c r="F878" t="str">
        <f>HYPERLINK("https://www.google.com/maps/search/?api=1&amp;query=24.7339594,46.74493408", "View Map")</f>
        <v>View Map</v>
      </c>
    </row>
    <row r="879" spans="1:7" x14ac:dyDescent="0.3">
      <c r="A879" t="s">
        <v>1275</v>
      </c>
      <c r="B879" t="s">
        <v>5128</v>
      </c>
      <c r="C879" t="s">
        <v>8</v>
      </c>
      <c r="D879">
        <v>7.1589999999999998</v>
      </c>
      <c r="E879" s="4">
        <v>2291</v>
      </c>
      <c r="F879" t="str">
        <f>HYPERLINK("https://www.google.com/maps/search/?api=1&amp;query=24.73095434,46.79152552", "View Map")</f>
        <v>View Map</v>
      </c>
    </row>
    <row r="880" spans="1:7" x14ac:dyDescent="0.3">
      <c r="A880" t="s">
        <v>2046</v>
      </c>
      <c r="B880" t="s">
        <v>2047</v>
      </c>
      <c r="C880" t="s">
        <v>8</v>
      </c>
      <c r="D880">
        <v>7.1509999999999998</v>
      </c>
      <c r="E880" s="4">
        <v>2288</v>
      </c>
      <c r="F880" t="str">
        <f>HYPERLINK("https://www.google.com/maps/search/?api=1&amp;query=24.5950431,46.5771202", "View Map")</f>
        <v>View Map</v>
      </c>
    </row>
    <row r="881" spans="1:7" x14ac:dyDescent="0.3">
      <c r="A881" t="s">
        <v>2954</v>
      </c>
      <c r="B881" t="s">
        <v>2955</v>
      </c>
      <c r="C881" t="s">
        <v>883</v>
      </c>
      <c r="D881">
        <v>7.15</v>
      </c>
      <c r="E881" s="4">
        <v>2288</v>
      </c>
      <c r="F881" t="str">
        <f>HYPERLINK("https://www.google.com/maps/search/?api=1&amp;query=25.57467605,47.16449081", "View Map")</f>
        <v>View Map</v>
      </c>
      <c r="G881" s="2">
        <v>0.76131320717417039</v>
      </c>
    </row>
    <row r="882" spans="1:7" x14ac:dyDescent="0.3">
      <c r="A882" t="s">
        <v>6298</v>
      </c>
      <c r="B882" t="s">
        <v>6299</v>
      </c>
      <c r="C882" t="s">
        <v>8</v>
      </c>
      <c r="D882">
        <v>7.1429999999999998</v>
      </c>
      <c r="E882" s="4">
        <v>2286</v>
      </c>
      <c r="F882" t="str">
        <f>HYPERLINK("https://www.google.com/maps/search/?api=1&amp;query=24.81905692,46.61572325", "View Map")</f>
        <v>View Map</v>
      </c>
      <c r="G882" s="2">
        <v>0.45267827848199438</v>
      </c>
    </row>
    <row r="883" spans="1:7" x14ac:dyDescent="0.3">
      <c r="A883" t="s">
        <v>1729</v>
      </c>
      <c r="B883" t="s">
        <v>3362</v>
      </c>
      <c r="C883" t="s">
        <v>8</v>
      </c>
      <c r="D883">
        <v>7.1420000000000003</v>
      </c>
      <c r="E883" s="4">
        <v>2286</v>
      </c>
      <c r="F883" t="str">
        <f>HYPERLINK("https://www.google.com/maps/search/?api=1&amp;query=24.76315013,46.62212029", "View Map")</f>
        <v>View Map</v>
      </c>
      <c r="G883" s="2">
        <v>0.45008570420286692</v>
      </c>
    </row>
    <row r="884" spans="1:7" x14ac:dyDescent="0.3">
      <c r="A884" t="s">
        <v>1406</v>
      </c>
      <c r="B884" t="s">
        <v>1407</v>
      </c>
      <c r="C884" t="s">
        <v>442</v>
      </c>
      <c r="D884">
        <v>7.141</v>
      </c>
      <c r="E884" s="4">
        <v>2285</v>
      </c>
      <c r="F884" t="str">
        <f>HYPERLINK("https://www.google.com/maps/search/?api=1&amp;query=23.63209551,46.51225013", "View Map")</f>
        <v>View Map</v>
      </c>
      <c r="G884" s="2">
        <v>0.57939890310220288</v>
      </c>
    </row>
    <row r="885" spans="1:7" x14ac:dyDescent="0.3">
      <c r="A885" t="s">
        <v>1778</v>
      </c>
      <c r="B885" t="s">
        <v>1779</v>
      </c>
      <c r="C885" t="s">
        <v>8</v>
      </c>
      <c r="D885">
        <v>7.1369999999999996</v>
      </c>
      <c r="E885" s="4">
        <v>2284</v>
      </c>
      <c r="F885" t="str">
        <f>HYPERLINK("https://www.google.com/maps/search/?api=1&amp;query=24.6755305,46.73820465", "View Map")</f>
        <v>View Map</v>
      </c>
      <c r="G885" s="2">
        <v>0.50919469302792653</v>
      </c>
    </row>
    <row r="886" spans="1:7" x14ac:dyDescent="0.3">
      <c r="A886" t="s">
        <v>3918</v>
      </c>
      <c r="B886" t="s">
        <v>3919</v>
      </c>
      <c r="C886" t="s">
        <v>241</v>
      </c>
      <c r="D886">
        <v>7.1289999999999996</v>
      </c>
      <c r="E886" s="4">
        <v>2281</v>
      </c>
      <c r="F886" t="str">
        <f>HYPERLINK("https://www.google.com/maps/search/?api=1&amp;query=20.46526271,44.78159819", "View Map")</f>
        <v>View Map</v>
      </c>
      <c r="G886" s="2">
        <v>0.56825788610786587</v>
      </c>
    </row>
    <row r="887" spans="1:7" x14ac:dyDescent="0.3">
      <c r="A887" t="s">
        <v>46</v>
      </c>
      <c r="B887" t="s">
        <v>2612</v>
      </c>
      <c r="C887" t="s">
        <v>8</v>
      </c>
      <c r="D887">
        <v>7.1239999999999997</v>
      </c>
      <c r="E887" s="4">
        <v>2280</v>
      </c>
      <c r="F887" t="str">
        <f>HYPERLINK("https://www.google.com/maps/search/?api=1&amp;query=24.66616227,46.68107825", "View Map")</f>
        <v>View Map</v>
      </c>
      <c r="G887" s="2">
        <v>0.75208212554534326</v>
      </c>
    </row>
    <row r="888" spans="1:7" x14ac:dyDescent="0.3">
      <c r="A888" t="s">
        <v>2771</v>
      </c>
      <c r="B888" t="s">
        <v>2772</v>
      </c>
      <c r="C888" t="s">
        <v>8</v>
      </c>
      <c r="D888">
        <v>7.1130000000000004</v>
      </c>
      <c r="E888" s="4">
        <v>2276</v>
      </c>
      <c r="F888" t="str">
        <f>HYPERLINK("https://www.google.com/maps/search/?api=1&amp;query=24.69832435,46.67139115", "View Map")</f>
        <v>View Map</v>
      </c>
    </row>
    <row r="889" spans="1:7" x14ac:dyDescent="0.3">
      <c r="A889" t="s">
        <v>464</v>
      </c>
      <c r="B889" t="s">
        <v>1072</v>
      </c>
      <c r="C889" t="s">
        <v>466</v>
      </c>
      <c r="D889">
        <v>7.11</v>
      </c>
      <c r="E889" s="4">
        <v>2275</v>
      </c>
      <c r="F889" t="str">
        <f>HYPERLINK("https://www.google.com/maps/search/?api=1&amp;query=24.59521066,46.10587349", "View Map")</f>
        <v>View Map</v>
      </c>
      <c r="G889" s="2">
        <v>0.4774377667587108</v>
      </c>
    </row>
    <row r="890" spans="1:7" x14ac:dyDescent="0.3">
      <c r="A890" t="s">
        <v>46</v>
      </c>
      <c r="B890" t="s">
        <v>1957</v>
      </c>
      <c r="C890" t="s">
        <v>8</v>
      </c>
      <c r="D890">
        <v>7.1</v>
      </c>
      <c r="E890" s="4">
        <v>2272</v>
      </c>
      <c r="F890" t="str">
        <f>HYPERLINK("https://www.google.com/maps/search/?api=1&amp;query=24.6061,46.4833", "View Map")</f>
        <v>View Map</v>
      </c>
      <c r="G890" s="2">
        <v>0.56200066349371114</v>
      </c>
    </row>
    <row r="891" spans="1:7" x14ac:dyDescent="0.3">
      <c r="A891" t="s">
        <v>3138</v>
      </c>
      <c r="B891" t="s">
        <v>3139</v>
      </c>
      <c r="C891" t="s">
        <v>291</v>
      </c>
      <c r="D891">
        <v>7.0970000000000004</v>
      </c>
      <c r="E891" s="4">
        <v>2271</v>
      </c>
      <c r="F891" t="str">
        <f>HYPERLINK("https://www.google.com/maps/search/?api=1&amp;query=24.34309655,45.82040363", "View Map")</f>
        <v>View Map</v>
      </c>
      <c r="G891" s="2">
        <v>0.70786618310917748</v>
      </c>
    </row>
    <row r="892" spans="1:7" x14ac:dyDescent="0.3">
      <c r="A892" t="s">
        <v>46</v>
      </c>
      <c r="B892" t="s">
        <v>746</v>
      </c>
      <c r="C892" t="s">
        <v>8</v>
      </c>
      <c r="D892">
        <v>7.0919999999999996</v>
      </c>
      <c r="E892" s="4">
        <v>2270</v>
      </c>
      <c r="F892" t="str">
        <f>HYPERLINK("https://www.google.com/maps/search/?api=1&amp;query=24.83112837,46.6431487", "View Map")</f>
        <v>View Map</v>
      </c>
      <c r="G892" s="2">
        <v>0.26229564153499502</v>
      </c>
    </row>
    <row r="893" spans="1:7" x14ac:dyDescent="0.3">
      <c r="A893" t="s">
        <v>6054</v>
      </c>
      <c r="B893" t="s">
        <v>6055</v>
      </c>
      <c r="C893" t="s">
        <v>8</v>
      </c>
      <c r="D893">
        <v>7.0869999999999997</v>
      </c>
      <c r="E893" s="4">
        <v>2268</v>
      </c>
      <c r="F893" t="str">
        <f>HYPERLINK("https://www.google.com/maps/search/?api=1&amp;query=24.57357787,46.75189298", "View Map")</f>
        <v>View Map</v>
      </c>
    </row>
    <row r="894" spans="1:7" x14ac:dyDescent="0.3">
      <c r="A894" t="s">
        <v>2882</v>
      </c>
      <c r="B894" t="s">
        <v>2883</v>
      </c>
      <c r="C894" t="s">
        <v>8</v>
      </c>
      <c r="D894">
        <v>7.0780000000000003</v>
      </c>
      <c r="E894" s="4">
        <v>2265</v>
      </c>
      <c r="F894" t="str">
        <f>HYPERLINK("https://www.google.com/maps/search/?api=1&amp;query=24.57384886,46.71337917", "View Map")</f>
        <v>View Map</v>
      </c>
    </row>
    <row r="895" spans="1:7" x14ac:dyDescent="0.3">
      <c r="A895" t="s">
        <v>1516</v>
      </c>
      <c r="B895" t="s">
        <v>1517</v>
      </c>
      <c r="C895" t="s">
        <v>291</v>
      </c>
      <c r="D895">
        <v>7.077</v>
      </c>
      <c r="E895" s="4">
        <v>2265</v>
      </c>
      <c r="F895" t="str">
        <f>HYPERLINK("https://www.google.com/maps/search/?api=1&amp;query=24.00711148,45.19665975", "View Map")</f>
        <v>View Map</v>
      </c>
      <c r="G895" s="2">
        <v>0.33649483009264131</v>
      </c>
    </row>
    <row r="896" spans="1:7" x14ac:dyDescent="0.3">
      <c r="A896" t="s">
        <v>305</v>
      </c>
      <c r="B896" t="s">
        <v>1614</v>
      </c>
      <c r="C896" t="s">
        <v>8</v>
      </c>
      <c r="D896">
        <v>7.0609999999999999</v>
      </c>
      <c r="E896" s="4">
        <v>2259</v>
      </c>
      <c r="F896" t="str">
        <f>HYPERLINK("https://www.google.com/maps/search/?api=1&amp;query=24.80523134,46.79547907", "View Map")</f>
        <v>View Map</v>
      </c>
      <c r="G896" s="2">
        <v>0.4903476937550339</v>
      </c>
    </row>
    <row r="897" spans="1:7" x14ac:dyDescent="0.3">
      <c r="A897" t="s">
        <v>2015</v>
      </c>
      <c r="B897" t="s">
        <v>2016</v>
      </c>
      <c r="C897" t="s">
        <v>77</v>
      </c>
      <c r="D897">
        <v>7.0570000000000004</v>
      </c>
      <c r="E897" s="4">
        <v>2258</v>
      </c>
      <c r="F897" t="str">
        <f>HYPERLINK("https://www.google.com/maps/search/?api=1&amp;query=22.1887528,46.49598408", "View Map")</f>
        <v>View Map</v>
      </c>
      <c r="G897" s="2">
        <v>0.83933017033522583</v>
      </c>
    </row>
    <row r="898" spans="1:7" x14ac:dyDescent="0.3">
      <c r="A898" t="s">
        <v>150</v>
      </c>
      <c r="B898" t="s">
        <v>733</v>
      </c>
      <c r="C898" t="s">
        <v>8</v>
      </c>
      <c r="D898">
        <v>7.056</v>
      </c>
      <c r="E898" s="4">
        <v>2258</v>
      </c>
      <c r="F898" t="str">
        <f>HYPERLINK("https://www.google.com/maps/search/?api=1&amp;query=24.68923446,46.57416266", "View Map")</f>
        <v>View Map</v>
      </c>
      <c r="G898" s="2">
        <v>0.29299940019340698</v>
      </c>
    </row>
    <row r="899" spans="1:7" x14ac:dyDescent="0.3">
      <c r="A899" t="s">
        <v>8032</v>
      </c>
      <c r="B899" t="s">
        <v>8033</v>
      </c>
      <c r="C899" t="s">
        <v>21</v>
      </c>
      <c r="D899">
        <v>7.0549999999999997</v>
      </c>
      <c r="E899" s="4">
        <v>2257</v>
      </c>
      <c r="F899" t="str">
        <f>HYPERLINK("https://www.google.com/maps/search/?api=1&amp;query=26.29433903,44.80953842", "View Map")</f>
        <v>View Map</v>
      </c>
    </row>
    <row r="900" spans="1:7" x14ac:dyDescent="0.3">
      <c r="A900" t="s">
        <v>2892</v>
      </c>
      <c r="B900" t="s">
        <v>2893</v>
      </c>
      <c r="C900" t="s">
        <v>8</v>
      </c>
      <c r="D900">
        <v>7.0490000000000004</v>
      </c>
      <c r="E900" s="4">
        <v>2256</v>
      </c>
      <c r="F900" t="str">
        <f>HYPERLINK("https://www.google.com/maps/search/?api=1&amp;query=24.67887008,46.68110562", "View Map")</f>
        <v>View Map</v>
      </c>
    </row>
    <row r="901" spans="1:7" x14ac:dyDescent="0.3">
      <c r="A901" t="s">
        <v>150</v>
      </c>
      <c r="B901" t="s">
        <v>8461</v>
      </c>
      <c r="C901" t="s">
        <v>8</v>
      </c>
      <c r="D901">
        <v>7.0410000000000004</v>
      </c>
      <c r="E901" s="4">
        <v>2253</v>
      </c>
      <c r="F901" t="str">
        <f>HYPERLINK("https://www.google.com/maps/search/?api=1&amp;query=24.81411014,46.61353973", "View Map")</f>
        <v>View Map</v>
      </c>
    </row>
    <row r="902" spans="1:7" x14ac:dyDescent="0.3">
      <c r="A902" t="s">
        <v>2765</v>
      </c>
      <c r="B902" t="s">
        <v>2766</v>
      </c>
      <c r="C902" t="s">
        <v>8</v>
      </c>
      <c r="D902">
        <v>7.0339999999999998</v>
      </c>
      <c r="E902" s="4">
        <v>2251</v>
      </c>
      <c r="F902" t="str">
        <f>HYPERLINK("https://www.google.com/maps/search/?api=1&amp;query=24.62634393,46.79037156", "View Map")</f>
        <v>View Map</v>
      </c>
    </row>
    <row r="903" spans="1:7" x14ac:dyDescent="0.3">
      <c r="A903" t="s">
        <v>1602</v>
      </c>
      <c r="B903" t="s">
        <v>1603</v>
      </c>
      <c r="C903" t="s">
        <v>8</v>
      </c>
      <c r="D903">
        <v>7.0309999999999997</v>
      </c>
      <c r="E903" s="4">
        <v>2250</v>
      </c>
      <c r="F903" t="str">
        <f>HYPERLINK("https://www.google.com/maps/search/?api=1&amp;query=24.78350463,46.66439239", "View Map")</f>
        <v>View Map</v>
      </c>
    </row>
    <row r="904" spans="1:7" x14ac:dyDescent="0.3">
      <c r="A904" t="s">
        <v>903</v>
      </c>
      <c r="B904" t="s">
        <v>1596</v>
      </c>
      <c r="C904" t="s">
        <v>8</v>
      </c>
      <c r="D904">
        <v>7.03</v>
      </c>
      <c r="E904" s="4">
        <v>2249</v>
      </c>
      <c r="F904" t="str">
        <f>HYPERLINK("https://www.google.com/maps/search/?api=1&amp;query=24.75411,46.71576", "View Map")</f>
        <v>View Map</v>
      </c>
      <c r="G904" s="2">
        <v>0.35117407679938351</v>
      </c>
    </row>
    <row r="905" spans="1:7" x14ac:dyDescent="0.3">
      <c r="A905" t="s">
        <v>6408</v>
      </c>
      <c r="B905" t="s">
        <v>6409</v>
      </c>
      <c r="C905" t="s">
        <v>8</v>
      </c>
      <c r="D905">
        <v>7.0270000000000001</v>
      </c>
      <c r="E905" s="4">
        <v>2249</v>
      </c>
      <c r="F905" t="str">
        <f>HYPERLINK("https://www.google.com/maps/search/?api=1&amp;query=24.79850266,46.7028813", "View Map")</f>
        <v>View Map</v>
      </c>
      <c r="G905" s="2">
        <v>0.6868746750601572</v>
      </c>
    </row>
    <row r="906" spans="1:7" x14ac:dyDescent="0.3">
      <c r="A906" t="s">
        <v>1118</v>
      </c>
      <c r="B906" t="s">
        <v>3298</v>
      </c>
      <c r="C906" t="s">
        <v>8</v>
      </c>
      <c r="D906">
        <v>7.0270000000000001</v>
      </c>
      <c r="E906" s="4">
        <v>2249</v>
      </c>
      <c r="F906" t="str">
        <f>HYPERLINK("https://www.google.com/maps/search/?api=1&amp;query=24.69238976,46.75732329", "View Map")</f>
        <v>View Map</v>
      </c>
      <c r="G906" s="2">
        <v>0.46858051079628787</v>
      </c>
    </row>
    <row r="907" spans="1:7" x14ac:dyDescent="0.3">
      <c r="A907" t="s">
        <v>1788</v>
      </c>
      <c r="B907" t="s">
        <v>1789</v>
      </c>
      <c r="C907" t="s">
        <v>393</v>
      </c>
      <c r="D907">
        <v>7.0229999999999997</v>
      </c>
      <c r="E907" s="4">
        <v>2247</v>
      </c>
      <c r="F907" t="str">
        <f>HYPERLINK("https://www.google.com/maps/search/?api=1&amp;query=23.56710505,45.6145457", "View Map")</f>
        <v>View Map</v>
      </c>
      <c r="G907" s="2">
        <v>0.67901219070891117</v>
      </c>
    </row>
    <row r="908" spans="1:7" x14ac:dyDescent="0.3">
      <c r="A908" t="s">
        <v>2082</v>
      </c>
      <c r="B908" t="s">
        <v>2083</v>
      </c>
      <c r="C908" t="s">
        <v>30</v>
      </c>
      <c r="D908">
        <v>7.0110000000000001</v>
      </c>
      <c r="E908" s="4">
        <v>2243</v>
      </c>
      <c r="F908" t="str">
        <f>HYPERLINK("https://www.google.com/maps/search/?api=1&amp;query=24.15933706,47.30571765", "View Map")</f>
        <v>View Map</v>
      </c>
      <c r="G908" s="2">
        <v>0.57247850235089748</v>
      </c>
    </row>
    <row r="909" spans="1:7" x14ac:dyDescent="0.3">
      <c r="A909" t="s">
        <v>146</v>
      </c>
      <c r="B909" t="s">
        <v>2232</v>
      </c>
      <c r="C909" t="s">
        <v>8</v>
      </c>
      <c r="D909">
        <v>7.0090000000000003</v>
      </c>
      <c r="E909" s="4">
        <v>2243</v>
      </c>
      <c r="F909" t="str">
        <f>HYPERLINK("https://www.google.com/maps/search/?api=1&amp;query=24.54906702,46.57560674", "View Map")</f>
        <v>View Map</v>
      </c>
    </row>
    <row r="910" spans="1:7" x14ac:dyDescent="0.3">
      <c r="A910" t="s">
        <v>2534</v>
      </c>
      <c r="B910" t="s">
        <v>2535</v>
      </c>
      <c r="C910" t="s">
        <v>8</v>
      </c>
      <c r="D910">
        <v>7.0090000000000003</v>
      </c>
      <c r="E910" s="4">
        <v>2243</v>
      </c>
      <c r="F910" t="str">
        <f>HYPERLINK("https://www.google.com/maps/search/?api=1&amp;query=24.81908134,46.6605319", "View Map")</f>
        <v>View Map</v>
      </c>
      <c r="G910" s="2">
        <v>0.49997175143202272</v>
      </c>
    </row>
    <row r="911" spans="1:7" x14ac:dyDescent="0.3">
      <c r="A911" t="s">
        <v>3206</v>
      </c>
      <c r="B911" t="s">
        <v>3207</v>
      </c>
      <c r="C911" t="s">
        <v>8</v>
      </c>
      <c r="D911">
        <v>7.0060000000000002</v>
      </c>
      <c r="E911" s="4">
        <v>2242</v>
      </c>
      <c r="F911" t="str">
        <f>HYPERLINK("https://www.google.com/maps/search/?api=1&amp;query=24.79472957,46.87509731", "View Map")</f>
        <v>View Map</v>
      </c>
    </row>
    <row r="912" spans="1:7" x14ac:dyDescent="0.3">
      <c r="A912" t="s">
        <v>2036</v>
      </c>
      <c r="B912" t="s">
        <v>2037</v>
      </c>
      <c r="C912" t="s">
        <v>8</v>
      </c>
      <c r="D912">
        <v>7.0019999999999998</v>
      </c>
      <c r="E912" s="4">
        <v>2241</v>
      </c>
      <c r="F912" t="str">
        <f>HYPERLINK("https://www.google.com/maps/search/?api=1&amp;query=24.79017132,46.78155278", "View Map")</f>
        <v>View Map</v>
      </c>
    </row>
    <row r="913" spans="1:7" x14ac:dyDescent="0.3">
      <c r="A913" t="s">
        <v>2174</v>
      </c>
      <c r="B913" t="s">
        <v>2175</v>
      </c>
      <c r="C913" t="s">
        <v>8</v>
      </c>
      <c r="D913">
        <v>6.9909999999999997</v>
      </c>
      <c r="E913" s="4">
        <v>2237</v>
      </c>
      <c r="F913" t="str">
        <f>HYPERLINK("https://www.google.com/maps/search/?api=1&amp;query=24.62934081,46.56368136", "View Map")</f>
        <v>View Map</v>
      </c>
      <c r="G913" s="2">
        <v>0.67653020554105259</v>
      </c>
    </row>
    <row r="914" spans="1:7" x14ac:dyDescent="0.3">
      <c r="A914" t="s">
        <v>1713</v>
      </c>
      <c r="B914" t="s">
        <v>1714</v>
      </c>
      <c r="C914" t="s">
        <v>466</v>
      </c>
      <c r="D914">
        <v>6.984</v>
      </c>
      <c r="E914" s="4">
        <v>2235</v>
      </c>
      <c r="F914" t="str">
        <f>HYPERLINK("https://www.google.com/maps/search/?api=1&amp;query=24.60689313,46.12692677", "View Map")</f>
        <v>View Map</v>
      </c>
      <c r="G914" s="2">
        <v>0.58001974902077347</v>
      </c>
    </row>
    <row r="915" spans="1:7" x14ac:dyDescent="0.3">
      <c r="A915" t="s">
        <v>2078</v>
      </c>
      <c r="B915" t="s">
        <v>2079</v>
      </c>
      <c r="C915" t="s">
        <v>8</v>
      </c>
      <c r="D915">
        <v>6.9770000000000003</v>
      </c>
      <c r="E915" s="4">
        <v>2233</v>
      </c>
      <c r="F915" t="str">
        <f>HYPERLINK("https://www.google.com/maps/search/?api=1&amp;query=24.61958038,46.68755354", "View Map")</f>
        <v>View Map</v>
      </c>
      <c r="G915" s="2">
        <v>0.76941295001341214</v>
      </c>
    </row>
    <row r="916" spans="1:7" x14ac:dyDescent="0.3">
      <c r="A916" t="s">
        <v>46</v>
      </c>
      <c r="B916" t="s">
        <v>1797</v>
      </c>
      <c r="C916" t="s">
        <v>8</v>
      </c>
      <c r="D916">
        <v>6.97</v>
      </c>
      <c r="E916" s="4">
        <v>2230</v>
      </c>
      <c r="F916" t="str">
        <f>HYPERLINK("https://www.google.com/maps/search/?api=1&amp;query=24.92241907,46.81864276", "View Map")</f>
        <v>View Map</v>
      </c>
      <c r="G916" s="2">
        <v>0.59439658433355536</v>
      </c>
    </row>
    <row r="917" spans="1:7" x14ac:dyDescent="0.3">
      <c r="A917" t="s">
        <v>697</v>
      </c>
      <c r="B917" t="s">
        <v>698</v>
      </c>
      <c r="C917" t="s">
        <v>699</v>
      </c>
      <c r="D917">
        <v>6.97</v>
      </c>
      <c r="E917" s="4">
        <v>2230</v>
      </c>
      <c r="F917" t="str">
        <f>HYPERLINK("https://www.google.com/maps/search/?api=1&amp;query=25.07028395,45.45310802", "View Map")</f>
        <v>View Map</v>
      </c>
      <c r="G917" s="2">
        <v>0.23602105793429909</v>
      </c>
    </row>
    <row r="918" spans="1:7" x14ac:dyDescent="0.3">
      <c r="A918" t="s">
        <v>3666</v>
      </c>
      <c r="B918" t="s">
        <v>3667</v>
      </c>
      <c r="C918" t="s">
        <v>8</v>
      </c>
      <c r="D918">
        <v>6.9649999999999999</v>
      </c>
      <c r="E918" s="4">
        <v>2229</v>
      </c>
      <c r="F918" t="str">
        <f>HYPERLINK("https://www.google.com/maps/search/?api=1&amp;query=24.5807133,46.63335888", "View Map")</f>
        <v>View Map</v>
      </c>
    </row>
    <row r="919" spans="1:7" x14ac:dyDescent="0.3">
      <c r="A919" t="s">
        <v>2115</v>
      </c>
      <c r="B919" t="s">
        <v>2116</v>
      </c>
      <c r="C919" t="s">
        <v>30</v>
      </c>
      <c r="D919">
        <v>6.96</v>
      </c>
      <c r="E919" s="4">
        <v>2227</v>
      </c>
      <c r="F919" t="str">
        <f>HYPERLINK("https://www.google.com/maps/search/?api=1&amp;query=24.16987251,47.34385565", "View Map")</f>
        <v>View Map</v>
      </c>
      <c r="G919" s="2">
        <v>0.66439904130536709</v>
      </c>
    </row>
    <row r="920" spans="1:7" x14ac:dyDescent="0.3">
      <c r="A920" t="s">
        <v>2057</v>
      </c>
      <c r="B920" t="s">
        <v>2058</v>
      </c>
      <c r="C920" t="s">
        <v>8</v>
      </c>
      <c r="D920">
        <v>6.95</v>
      </c>
      <c r="E920" s="4">
        <v>2224</v>
      </c>
      <c r="F920" t="str">
        <f>HYPERLINK("https://www.google.com/maps/search/?api=1&amp;query=24.77811662,46.66856117", "View Map")</f>
        <v>View Map</v>
      </c>
    </row>
    <row r="921" spans="1:7" x14ac:dyDescent="0.3">
      <c r="A921" t="s">
        <v>881</v>
      </c>
      <c r="B921" t="s">
        <v>4250</v>
      </c>
      <c r="C921" t="s">
        <v>883</v>
      </c>
      <c r="D921">
        <v>6.9359999999999999</v>
      </c>
      <c r="E921" s="4">
        <v>2220</v>
      </c>
      <c r="F921" t="str">
        <f>HYPERLINK("https://www.google.com/maps/search/?api=1&amp;query=25.55042611,47.16719384", "View Map")</f>
        <v>View Map</v>
      </c>
      <c r="G921" s="2">
        <v>0.77584311231817371</v>
      </c>
    </row>
    <row r="922" spans="1:7" x14ac:dyDescent="0.3">
      <c r="A922" t="s">
        <v>46</v>
      </c>
      <c r="B922" t="s">
        <v>2551</v>
      </c>
      <c r="C922" t="s">
        <v>8</v>
      </c>
      <c r="D922">
        <v>6.9240000000000004</v>
      </c>
      <c r="E922" s="4">
        <v>2216</v>
      </c>
      <c r="F922" t="str">
        <f>HYPERLINK("https://www.google.com/maps/search/?api=1&amp;query=24.89167,46.61803", "View Map")</f>
        <v>View Map</v>
      </c>
      <c r="G922" s="2">
        <v>0.77356156672197196</v>
      </c>
    </row>
    <row r="923" spans="1:7" x14ac:dyDescent="0.3">
      <c r="A923" t="s">
        <v>1896</v>
      </c>
      <c r="B923" t="s">
        <v>1897</v>
      </c>
      <c r="C923" t="s">
        <v>8</v>
      </c>
      <c r="D923">
        <v>6.9180000000000001</v>
      </c>
      <c r="E923" s="4">
        <v>2214</v>
      </c>
      <c r="F923" t="str">
        <f>HYPERLINK("https://www.google.com/maps/search/?api=1&amp;query=24.64057863,46.5964005", "View Map")</f>
        <v>View Map</v>
      </c>
      <c r="G923" s="2">
        <v>0.41217452045297992</v>
      </c>
    </row>
    <row r="924" spans="1:7" x14ac:dyDescent="0.3">
      <c r="A924" t="s">
        <v>1771</v>
      </c>
      <c r="B924" t="s">
        <v>1772</v>
      </c>
      <c r="C924" t="s">
        <v>8</v>
      </c>
      <c r="D924">
        <v>6.9139999999999997</v>
      </c>
      <c r="E924" s="4">
        <v>2212</v>
      </c>
      <c r="F924" t="str">
        <f>HYPERLINK("https://www.google.com/maps/search/?api=1&amp;query=24.7280551,46.82088315", "View Map")</f>
        <v>View Map</v>
      </c>
    </row>
    <row r="925" spans="1:7" x14ac:dyDescent="0.3">
      <c r="A925" t="s">
        <v>2334</v>
      </c>
      <c r="B925" t="s">
        <v>2335</v>
      </c>
      <c r="C925" t="s">
        <v>8</v>
      </c>
      <c r="D925">
        <v>6.9139999999999997</v>
      </c>
      <c r="E925" s="4">
        <v>2213</v>
      </c>
      <c r="F925" t="str">
        <f>HYPERLINK("https://www.google.com/maps/search/?api=1&amp;query=24.5520857,46.70207179", "View Map")</f>
        <v>View Map</v>
      </c>
      <c r="G925" s="2">
        <v>0.49254699374624822</v>
      </c>
    </row>
    <row r="926" spans="1:7" x14ac:dyDescent="0.3">
      <c r="A926" t="s">
        <v>46</v>
      </c>
      <c r="B926" t="s">
        <v>2610</v>
      </c>
      <c r="C926" t="s">
        <v>8</v>
      </c>
      <c r="D926">
        <v>6.9109999999999996</v>
      </c>
      <c r="E926" s="4">
        <v>2211</v>
      </c>
      <c r="F926" t="str">
        <f>HYPERLINK("https://www.google.com/maps/search/?api=1&amp;query=24.8482008,46.81758944", "View Map")</f>
        <v>View Map</v>
      </c>
      <c r="G926" s="2">
        <v>0.64160408407331881</v>
      </c>
    </row>
    <row r="927" spans="1:7" x14ac:dyDescent="0.3">
      <c r="A927" t="s">
        <v>215</v>
      </c>
      <c r="B927" t="s">
        <v>1357</v>
      </c>
      <c r="C927" t="s">
        <v>8</v>
      </c>
      <c r="D927">
        <v>6.9</v>
      </c>
      <c r="E927" s="4">
        <v>2208</v>
      </c>
      <c r="F927" t="str">
        <f>HYPERLINK("https://www.google.com/maps/search/?api=1&amp;query=24.68834519,46.68858984", "View Map")</f>
        <v>View Map</v>
      </c>
      <c r="G927" s="2">
        <v>0.45914235001008202</v>
      </c>
    </row>
    <row r="928" spans="1:7" x14ac:dyDescent="0.3">
      <c r="A928" t="s">
        <v>46</v>
      </c>
      <c r="B928" t="s">
        <v>1182</v>
      </c>
      <c r="C928" t="s">
        <v>8</v>
      </c>
      <c r="D928">
        <v>6.8920000000000003</v>
      </c>
      <c r="E928" s="4">
        <v>2206</v>
      </c>
      <c r="F928" t="str">
        <f>HYPERLINK("https://www.google.com/maps/search/?api=1&amp;query=24.83703111,46.77066822", "View Map")</f>
        <v>View Map</v>
      </c>
    </row>
    <row r="929" spans="1:7" x14ac:dyDescent="0.3">
      <c r="A929" t="s">
        <v>2053</v>
      </c>
      <c r="B929" t="s">
        <v>2054</v>
      </c>
      <c r="C929" t="s">
        <v>8</v>
      </c>
      <c r="D929">
        <v>6.8769999999999998</v>
      </c>
      <c r="E929" s="4">
        <v>2201</v>
      </c>
      <c r="F929" t="str">
        <f>HYPERLINK("https://www.google.com/maps/search/?api=1&amp;query=24.68233004,46.8225652", "View Map")</f>
        <v>View Map</v>
      </c>
    </row>
    <row r="930" spans="1:7" x14ac:dyDescent="0.3">
      <c r="A930" t="s">
        <v>150</v>
      </c>
      <c r="B930" t="s">
        <v>1856</v>
      </c>
      <c r="C930" t="s">
        <v>8</v>
      </c>
      <c r="D930">
        <v>6.8719999999999999</v>
      </c>
      <c r="E930" s="4">
        <v>2199</v>
      </c>
      <c r="F930" t="str">
        <f>HYPERLINK("https://www.google.com/maps/search/?api=1&amp;query=24.77494973,46.785964", "View Map")</f>
        <v>View Map</v>
      </c>
    </row>
    <row r="931" spans="1:7" x14ac:dyDescent="0.3">
      <c r="A931" t="s">
        <v>1690</v>
      </c>
      <c r="B931" t="s">
        <v>1691</v>
      </c>
      <c r="C931" t="s">
        <v>21</v>
      </c>
      <c r="D931">
        <v>6.87</v>
      </c>
      <c r="E931" s="4">
        <v>2198</v>
      </c>
      <c r="F931" t="str">
        <f>HYPERLINK("https://www.google.com/maps/search/?api=1&amp;query=26.30147921,44.79722731", "View Map")</f>
        <v>View Map</v>
      </c>
      <c r="G931" s="2">
        <v>0.49449915801637839</v>
      </c>
    </row>
    <row r="932" spans="1:7" x14ac:dyDescent="0.3">
      <c r="A932" t="s">
        <v>28</v>
      </c>
      <c r="B932" t="s">
        <v>5431</v>
      </c>
      <c r="C932" t="s">
        <v>30</v>
      </c>
      <c r="D932">
        <v>6.8620000000000001</v>
      </c>
      <c r="E932" s="4">
        <v>2196</v>
      </c>
      <c r="F932" t="str">
        <f>HYPERLINK("https://www.google.com/maps/search/?api=1&amp;query=24.0945035,47.27503035", "View Map")</f>
        <v>View Map</v>
      </c>
      <c r="G932" s="2">
        <v>0.82602303670893296</v>
      </c>
    </row>
    <row r="933" spans="1:7" x14ac:dyDescent="0.3">
      <c r="A933" t="s">
        <v>523</v>
      </c>
      <c r="B933" t="s">
        <v>524</v>
      </c>
      <c r="C933" t="s">
        <v>8</v>
      </c>
      <c r="D933">
        <v>6.8559999999999999</v>
      </c>
      <c r="E933" s="4">
        <v>2194</v>
      </c>
      <c r="F933" t="str">
        <f>HYPERLINK("https://www.google.com/maps/search/?api=1&amp;query=24.72941517,46.64848986", "View Map")</f>
        <v>View Map</v>
      </c>
      <c r="G933" s="2">
        <v>0.27893618202757009</v>
      </c>
    </row>
    <row r="934" spans="1:7" x14ac:dyDescent="0.3">
      <c r="A934" t="s">
        <v>46</v>
      </c>
      <c r="B934" t="s">
        <v>1741</v>
      </c>
      <c r="C934" t="s">
        <v>8</v>
      </c>
      <c r="D934">
        <v>6.85</v>
      </c>
      <c r="E934" s="4">
        <v>2192</v>
      </c>
      <c r="F934" t="str">
        <f>HYPERLINK("https://www.google.com/maps/search/?api=1&amp;query=24.83516737,46.67086883", "View Map")</f>
        <v>View Map</v>
      </c>
    </row>
    <row r="935" spans="1:7" x14ac:dyDescent="0.3">
      <c r="A935" t="s">
        <v>678</v>
      </c>
      <c r="B935" t="s">
        <v>2061</v>
      </c>
      <c r="C935" t="s">
        <v>21</v>
      </c>
      <c r="D935">
        <v>6.8490000000000002</v>
      </c>
      <c r="E935" s="4">
        <v>2192</v>
      </c>
      <c r="F935" t="str">
        <f>HYPERLINK("https://www.google.com/maps/search/?api=1&amp;query=26.28896711,44.82354316", "View Map")</f>
        <v>View Map</v>
      </c>
      <c r="G935" s="2">
        <v>0.77475952002258364</v>
      </c>
    </row>
    <row r="936" spans="1:7" x14ac:dyDescent="0.3">
      <c r="A936" t="s">
        <v>46</v>
      </c>
      <c r="B936" t="s">
        <v>2127</v>
      </c>
      <c r="C936" t="s">
        <v>8</v>
      </c>
      <c r="D936">
        <v>6.8460000000000001</v>
      </c>
      <c r="E936" s="4">
        <v>2191</v>
      </c>
      <c r="F936" t="str">
        <f>HYPERLINK("https://www.google.com/maps/search/?api=1&amp;query=24.87214561,46.63960209", "View Map")</f>
        <v>View Map</v>
      </c>
    </row>
    <row r="937" spans="1:7" x14ac:dyDescent="0.3">
      <c r="A937" t="s">
        <v>2106</v>
      </c>
      <c r="B937" t="s">
        <v>2107</v>
      </c>
      <c r="C937" t="s">
        <v>8</v>
      </c>
      <c r="D937">
        <v>6.8410000000000002</v>
      </c>
      <c r="E937" s="4">
        <v>2189</v>
      </c>
      <c r="F937" t="str">
        <f>HYPERLINK("https://www.google.com/maps/search/?api=1&amp;query=24.75102533,46.66455953", "View Map")</f>
        <v>View Map</v>
      </c>
    </row>
    <row r="938" spans="1:7" x14ac:dyDescent="0.3">
      <c r="A938" t="s">
        <v>2698</v>
      </c>
      <c r="B938" t="s">
        <v>9058</v>
      </c>
      <c r="C938" t="s">
        <v>8</v>
      </c>
      <c r="D938">
        <v>6.84</v>
      </c>
      <c r="E938" s="4">
        <v>2189</v>
      </c>
      <c r="F938" t="str">
        <f>HYPERLINK("https://www.google.com/maps/search/?api=1&amp;query=24.74161406,46.77668002", "View Map")</f>
        <v>View Map</v>
      </c>
    </row>
    <row r="939" spans="1:7" x14ac:dyDescent="0.3">
      <c r="A939" t="s">
        <v>1769</v>
      </c>
      <c r="B939" t="s">
        <v>1770</v>
      </c>
      <c r="C939" t="s">
        <v>8</v>
      </c>
      <c r="D939">
        <v>6.8390000000000004</v>
      </c>
      <c r="E939" s="4">
        <v>2188</v>
      </c>
      <c r="F939" t="str">
        <f>HYPERLINK("https://www.google.com/maps/search/?api=1&amp;query=24.66192178,46.79476876", "View Map")</f>
        <v>View Map</v>
      </c>
      <c r="G939" s="2">
        <v>0.36464334538048232</v>
      </c>
    </row>
    <row r="940" spans="1:7" x14ac:dyDescent="0.3">
      <c r="A940" t="s">
        <v>3148</v>
      </c>
      <c r="B940" t="s">
        <v>3149</v>
      </c>
      <c r="C940" t="s">
        <v>241</v>
      </c>
      <c r="D940">
        <v>6.8360000000000003</v>
      </c>
      <c r="E940" s="4">
        <v>2187</v>
      </c>
      <c r="F940" t="str">
        <f>HYPERLINK("https://www.google.com/maps/search/?api=1&amp;query=20.46213119,44.79875545", "View Map")</f>
        <v>View Map</v>
      </c>
      <c r="G940" s="2">
        <v>0.6155825002790134</v>
      </c>
    </row>
    <row r="941" spans="1:7" x14ac:dyDescent="0.3">
      <c r="A941" t="s">
        <v>11308</v>
      </c>
      <c r="B941" t="s">
        <v>11309</v>
      </c>
      <c r="C941" t="s">
        <v>214</v>
      </c>
      <c r="D941">
        <v>6.8280000000000003</v>
      </c>
      <c r="E941" s="4">
        <v>2185</v>
      </c>
      <c r="F941" t="str">
        <f>HYPERLINK("https://www.google.com/maps/search/?api=1&amp;query=25.90891683,45.36534775", "View Map")</f>
        <v>View Map</v>
      </c>
      <c r="G941" s="2">
        <v>0.55948813765964711</v>
      </c>
    </row>
    <row r="942" spans="1:7" x14ac:dyDescent="0.3">
      <c r="A942" t="s">
        <v>46</v>
      </c>
      <c r="B942" t="s">
        <v>1558</v>
      </c>
      <c r="C942" t="s">
        <v>8</v>
      </c>
      <c r="D942">
        <v>6.8230000000000004</v>
      </c>
      <c r="E942" s="4">
        <v>2184</v>
      </c>
      <c r="F942" t="str">
        <f>HYPERLINK("https://www.google.com/maps/search/?api=1&amp;query=24.63814347,46.73476715", "View Map")</f>
        <v>View Map</v>
      </c>
      <c r="G942" s="2">
        <v>0.40397305892848651</v>
      </c>
    </row>
    <row r="943" spans="1:7" x14ac:dyDescent="0.3">
      <c r="A943" t="s">
        <v>627</v>
      </c>
      <c r="B943" t="s">
        <v>2244</v>
      </c>
      <c r="C943" t="s">
        <v>8</v>
      </c>
      <c r="D943">
        <v>6.8220000000000001</v>
      </c>
      <c r="E943" s="4">
        <v>2183</v>
      </c>
      <c r="F943" t="str">
        <f>HYPERLINK("https://www.google.com/maps/search/?api=1&amp;query=24.64007616,46.54326218", "View Map")</f>
        <v>View Map</v>
      </c>
      <c r="G943" s="2">
        <v>0.45319178748050448</v>
      </c>
    </row>
    <row r="944" spans="1:7" x14ac:dyDescent="0.3">
      <c r="A944" t="s">
        <v>497</v>
      </c>
      <c r="B944" t="s">
        <v>498</v>
      </c>
      <c r="C944" t="s">
        <v>8</v>
      </c>
      <c r="D944">
        <v>6.81</v>
      </c>
      <c r="E944" s="4">
        <v>2179</v>
      </c>
      <c r="F944" t="str">
        <f>HYPERLINK("https://www.google.com/maps/search/?api=1&amp;query=24.82324652,46.64278055", "View Map")</f>
        <v>View Map</v>
      </c>
      <c r="G944" s="2">
        <v>0.210650122932977</v>
      </c>
    </row>
    <row r="945" spans="1:7" x14ac:dyDescent="0.3">
      <c r="A945" t="s">
        <v>2206</v>
      </c>
      <c r="B945" t="s">
        <v>2207</v>
      </c>
      <c r="C945" t="s">
        <v>8</v>
      </c>
      <c r="D945">
        <v>6.81</v>
      </c>
      <c r="E945" s="4">
        <v>2179</v>
      </c>
      <c r="F945" t="str">
        <f>HYPERLINK("https://www.google.com/maps/search/?api=1&amp;query=24.58361235,46.6761238", "View Map")</f>
        <v>View Map</v>
      </c>
    </row>
    <row r="946" spans="1:7" x14ac:dyDescent="0.3">
      <c r="A946" t="s">
        <v>46</v>
      </c>
      <c r="B946" t="s">
        <v>2142</v>
      </c>
      <c r="C946" t="s">
        <v>8</v>
      </c>
      <c r="D946">
        <v>6.8090000000000002</v>
      </c>
      <c r="E946" s="4">
        <v>2179</v>
      </c>
      <c r="F946" t="str">
        <f>HYPERLINK("https://www.google.com/maps/search/?api=1&amp;query=24.87392999,46.61298512", "View Map")</f>
        <v>View Map</v>
      </c>
    </row>
    <row r="947" spans="1:7" x14ac:dyDescent="0.3">
      <c r="A947" t="s">
        <v>2587</v>
      </c>
      <c r="B947" t="s">
        <v>2588</v>
      </c>
      <c r="C947" t="s">
        <v>241</v>
      </c>
      <c r="D947">
        <v>6.8070000000000004</v>
      </c>
      <c r="E947" s="4">
        <v>2178</v>
      </c>
      <c r="F947" t="str">
        <f>HYPERLINK("https://www.google.com/maps/search/?api=1&amp;query=20.46947157,45.05679971", "View Map")</f>
        <v>View Map</v>
      </c>
      <c r="G947" s="2">
        <v>0.66745642905343738</v>
      </c>
    </row>
    <row r="948" spans="1:7" x14ac:dyDescent="0.3">
      <c r="A948" t="s">
        <v>46</v>
      </c>
      <c r="B948" t="s">
        <v>2220</v>
      </c>
      <c r="C948" t="s">
        <v>8</v>
      </c>
      <c r="D948">
        <v>6.7939999999999996</v>
      </c>
      <c r="E948" s="4">
        <v>2174</v>
      </c>
      <c r="F948" t="str">
        <f>HYPERLINK("https://www.google.com/maps/search/?api=1&amp;query=24.64848249,46.7927488", "View Map")</f>
        <v>View Map</v>
      </c>
      <c r="G948" s="2">
        <v>0.56578903001740399</v>
      </c>
    </row>
    <row r="949" spans="1:7" x14ac:dyDescent="0.3">
      <c r="A949" t="s">
        <v>3697</v>
      </c>
      <c r="B949" t="s">
        <v>3698</v>
      </c>
      <c r="C949" t="s">
        <v>30</v>
      </c>
      <c r="D949">
        <v>6.79</v>
      </c>
      <c r="E949" s="4">
        <v>2173</v>
      </c>
      <c r="F949" t="str">
        <f>HYPERLINK("https://www.google.com/maps/search/?api=1&amp;query=24.14956047,47.31914954", "View Map")</f>
        <v>View Map</v>
      </c>
    </row>
    <row r="950" spans="1:7" x14ac:dyDescent="0.3">
      <c r="A950" t="s">
        <v>4807</v>
      </c>
      <c r="B950" t="s">
        <v>4808</v>
      </c>
      <c r="C950" t="s">
        <v>8</v>
      </c>
      <c r="D950">
        <v>6.7859999999999996</v>
      </c>
      <c r="E950" s="4">
        <v>2171</v>
      </c>
      <c r="F950" t="str">
        <f>HYPERLINK("https://www.google.com/maps/search/?api=1&amp;query=24.73437324,46.75474847", "View Map")</f>
        <v>View Map</v>
      </c>
      <c r="G950" s="2">
        <v>0.46920922113459512</v>
      </c>
    </row>
    <row r="951" spans="1:7" x14ac:dyDescent="0.3">
      <c r="A951" t="s">
        <v>28</v>
      </c>
      <c r="B951" t="s">
        <v>525</v>
      </c>
      <c r="C951" t="s">
        <v>30</v>
      </c>
      <c r="D951">
        <v>6.7859999999999996</v>
      </c>
      <c r="E951" s="4">
        <v>2171</v>
      </c>
      <c r="F951" t="str">
        <f>HYPERLINK("https://www.google.com/maps/search/?api=1&amp;query=24.13955011,47.27518753", "View Map")</f>
        <v>View Map</v>
      </c>
      <c r="G951" s="2">
        <v>0.22594367103178289</v>
      </c>
    </row>
    <row r="952" spans="1:7" x14ac:dyDescent="0.3">
      <c r="A952" t="s">
        <v>2298</v>
      </c>
      <c r="B952" t="s">
        <v>2299</v>
      </c>
      <c r="C952" t="s">
        <v>8</v>
      </c>
      <c r="D952">
        <v>6.7850000000000001</v>
      </c>
      <c r="E952" s="4">
        <v>2171</v>
      </c>
      <c r="F952" t="str">
        <f>HYPERLINK("https://www.google.com/maps/search/?api=1&amp;query=24.69238149,46.78632073", "View Map")</f>
        <v>View Map</v>
      </c>
    </row>
    <row r="953" spans="1:7" x14ac:dyDescent="0.3">
      <c r="A953" t="s">
        <v>46</v>
      </c>
      <c r="B953" t="s">
        <v>9195</v>
      </c>
      <c r="C953" t="s">
        <v>8</v>
      </c>
      <c r="D953">
        <v>6.7759999999999998</v>
      </c>
      <c r="E953" s="4">
        <v>2168</v>
      </c>
      <c r="F953" t="str">
        <f>HYPERLINK("https://www.google.com/maps/search/?api=1&amp;query=24.8855096,46.61893581", "View Map")</f>
        <v>View Map</v>
      </c>
      <c r="G953" s="2">
        <v>0.48833791676920141</v>
      </c>
    </row>
    <row r="954" spans="1:7" x14ac:dyDescent="0.3">
      <c r="A954" t="s">
        <v>2237</v>
      </c>
      <c r="B954" t="s">
        <v>2238</v>
      </c>
      <c r="C954" t="s">
        <v>8</v>
      </c>
      <c r="D954">
        <v>6.7729999999999997</v>
      </c>
      <c r="E954" s="4">
        <v>2167</v>
      </c>
      <c r="F954" t="str">
        <f>HYPERLINK("https://www.google.com/maps/search/?api=1&amp;query=24.63964814,46.78593666", "View Map")</f>
        <v>View Map</v>
      </c>
    </row>
    <row r="955" spans="1:7" x14ac:dyDescent="0.3">
      <c r="A955" t="s">
        <v>1423</v>
      </c>
      <c r="B955" t="s">
        <v>1424</v>
      </c>
      <c r="C955" t="s">
        <v>30</v>
      </c>
      <c r="D955">
        <v>6.77</v>
      </c>
      <c r="E955" s="4">
        <v>2166</v>
      </c>
      <c r="F955" t="str">
        <f>HYPERLINK("https://www.google.com/maps/search/?api=1&amp;query=24.39839527,47.22363499", "View Map")</f>
        <v>View Map</v>
      </c>
      <c r="G955" s="2">
        <v>0.38739964300660029</v>
      </c>
    </row>
    <row r="956" spans="1:7" x14ac:dyDescent="0.3">
      <c r="A956" t="s">
        <v>433</v>
      </c>
      <c r="B956" t="s">
        <v>2297</v>
      </c>
      <c r="C956" t="s">
        <v>137</v>
      </c>
      <c r="D956">
        <v>6.77</v>
      </c>
      <c r="E956" s="4">
        <v>2166</v>
      </c>
      <c r="F956" t="str">
        <f>HYPERLINK("https://www.google.com/maps/search/?api=1&amp;query=23.4925467,46.86371686", "View Map")</f>
        <v>View Map</v>
      </c>
      <c r="G956" s="2">
        <v>0.40172501174872921</v>
      </c>
    </row>
    <row r="957" spans="1:7" x14ac:dyDescent="0.3">
      <c r="A957" t="s">
        <v>3339</v>
      </c>
      <c r="B957" t="s">
        <v>3340</v>
      </c>
      <c r="C957" t="s">
        <v>291</v>
      </c>
      <c r="D957">
        <v>6.76</v>
      </c>
      <c r="E957" s="4">
        <v>2163</v>
      </c>
      <c r="F957" t="str">
        <f>HYPERLINK("https://www.google.com/maps/search/?api=1&amp;query=23.99629295,45.39097411", "View Map")</f>
        <v>View Map</v>
      </c>
      <c r="G957" s="2">
        <v>0.74056108700832013</v>
      </c>
    </row>
    <row r="958" spans="1:7" x14ac:dyDescent="0.3">
      <c r="A958" t="s">
        <v>1262</v>
      </c>
      <c r="B958" t="s">
        <v>1263</v>
      </c>
      <c r="C958" t="s">
        <v>8</v>
      </c>
      <c r="D958">
        <v>6.7569999999999997</v>
      </c>
      <c r="E958" s="4">
        <v>2162</v>
      </c>
      <c r="F958" t="str">
        <f>HYPERLINK("https://www.google.com/maps/search/?api=1&amp;query=24.76372004,46.82905062", "View Map")</f>
        <v>View Map</v>
      </c>
    </row>
    <row r="959" spans="1:7" x14ac:dyDescent="0.3">
      <c r="A959" t="s">
        <v>2274</v>
      </c>
      <c r="B959" t="s">
        <v>2275</v>
      </c>
      <c r="C959" t="s">
        <v>8</v>
      </c>
      <c r="D959">
        <v>6.7279999999999998</v>
      </c>
      <c r="E959" s="4">
        <v>2153</v>
      </c>
      <c r="F959" t="str">
        <f>HYPERLINK("https://www.google.com/maps/search/?api=1&amp;query=24.74067191,46.82436082", "View Map")</f>
        <v>View Map</v>
      </c>
    </row>
    <row r="960" spans="1:7" x14ac:dyDescent="0.3">
      <c r="A960" t="s">
        <v>352</v>
      </c>
      <c r="B960" t="s">
        <v>1587</v>
      </c>
      <c r="C960" t="s">
        <v>8</v>
      </c>
      <c r="D960">
        <v>6.7130000000000001</v>
      </c>
      <c r="E960" s="4">
        <v>2148</v>
      </c>
      <c r="F960" t="str">
        <f>HYPERLINK("https://www.google.com/maps/search/?api=1&amp;query=24.7625263,46.79104833", "View Map")</f>
        <v>View Map</v>
      </c>
    </row>
    <row r="961" spans="1:7" x14ac:dyDescent="0.3">
      <c r="A961" t="s">
        <v>2309</v>
      </c>
      <c r="B961" t="s">
        <v>2310</v>
      </c>
      <c r="C961" t="s">
        <v>255</v>
      </c>
      <c r="D961">
        <v>6.7110000000000003</v>
      </c>
      <c r="E961" s="4">
        <v>2147</v>
      </c>
      <c r="F961" t="str">
        <f>HYPERLINK("https://www.google.com/maps/search/?api=1&amp;query=25.06395253,44.70479986", "View Map")</f>
        <v>View Map</v>
      </c>
      <c r="G961" s="2">
        <v>0.77515866922820109</v>
      </c>
    </row>
    <row r="962" spans="1:7" x14ac:dyDescent="0.3">
      <c r="A962" t="s">
        <v>46</v>
      </c>
      <c r="B962" t="s">
        <v>2574</v>
      </c>
      <c r="C962" t="s">
        <v>8</v>
      </c>
      <c r="D962">
        <v>6.7080000000000002</v>
      </c>
      <c r="E962" s="4">
        <v>2147</v>
      </c>
      <c r="F962" t="str">
        <f>HYPERLINK("https://www.google.com/maps/search/?api=1&amp;query=24.86703855,46.64687671", "View Map")</f>
        <v>View Map</v>
      </c>
    </row>
    <row r="963" spans="1:7" x14ac:dyDescent="0.3">
      <c r="A963" t="s">
        <v>3102</v>
      </c>
      <c r="B963" t="s">
        <v>3103</v>
      </c>
      <c r="C963" t="s">
        <v>255</v>
      </c>
      <c r="D963">
        <v>6.7050000000000001</v>
      </c>
      <c r="E963" s="4">
        <v>2146</v>
      </c>
      <c r="F963" t="str">
        <f>HYPERLINK("https://www.google.com/maps/search/?api=1&amp;query=25.40020482,44.15474261", "View Map")</f>
        <v>View Map</v>
      </c>
      <c r="G963" s="2">
        <v>0.68008959051439832</v>
      </c>
    </row>
    <row r="964" spans="1:7" x14ac:dyDescent="0.3">
      <c r="A964" t="s">
        <v>7857</v>
      </c>
      <c r="B964" t="s">
        <v>7858</v>
      </c>
      <c r="C964" t="s">
        <v>8</v>
      </c>
      <c r="D964">
        <v>6.7050000000000001</v>
      </c>
      <c r="E964" s="4">
        <v>2146</v>
      </c>
      <c r="F964" t="str">
        <f>HYPERLINK("https://www.google.com/maps/search/?api=1&amp;query=24.72550707,46.6765122", "View Map")</f>
        <v>View Map</v>
      </c>
      <c r="G964" s="2">
        <v>0.4152519675494199</v>
      </c>
    </row>
    <row r="965" spans="1:7" x14ac:dyDescent="0.3">
      <c r="A965" t="s">
        <v>1391</v>
      </c>
      <c r="B965" t="s">
        <v>3613</v>
      </c>
      <c r="C965" t="s">
        <v>8</v>
      </c>
      <c r="D965">
        <v>6.7050000000000001</v>
      </c>
      <c r="E965" s="4">
        <v>2145</v>
      </c>
      <c r="F965" t="str">
        <f>HYPERLINK("https://www.google.com/maps/search/?api=1&amp;query=24.7297,46.8486", "View Map")</f>
        <v>View Map</v>
      </c>
    </row>
    <row r="966" spans="1:7" x14ac:dyDescent="0.3">
      <c r="A966" t="s">
        <v>2242</v>
      </c>
      <c r="B966" t="s">
        <v>2243</v>
      </c>
      <c r="C966" t="s">
        <v>8</v>
      </c>
      <c r="D966">
        <v>6.7030000000000003</v>
      </c>
      <c r="E966" s="4">
        <v>2145</v>
      </c>
      <c r="F966" t="str">
        <f>HYPERLINK("https://www.google.com/maps/search/?api=1&amp;query=24.72772256,46.77760433", "View Map")</f>
        <v>View Map</v>
      </c>
      <c r="G966" s="2">
        <v>0.54270685501652338</v>
      </c>
    </row>
    <row r="967" spans="1:7" x14ac:dyDescent="0.3">
      <c r="A967" t="s">
        <v>146</v>
      </c>
      <c r="B967" t="s">
        <v>1808</v>
      </c>
      <c r="C967" t="s">
        <v>8</v>
      </c>
      <c r="D967">
        <v>6.6959999999999997</v>
      </c>
      <c r="E967" s="4">
        <v>2143</v>
      </c>
      <c r="F967" t="str">
        <f>HYPERLINK("https://www.google.com/maps/search/?api=1&amp;query=24.53493221,46.71747365", "View Map")</f>
        <v>View Map</v>
      </c>
    </row>
    <row r="968" spans="1:7" x14ac:dyDescent="0.3">
      <c r="A968" t="s">
        <v>1169</v>
      </c>
      <c r="B968" t="s">
        <v>1170</v>
      </c>
      <c r="C968" t="s">
        <v>8</v>
      </c>
      <c r="D968">
        <v>6.6959999999999997</v>
      </c>
      <c r="E968" s="4">
        <v>2143</v>
      </c>
      <c r="F968" t="str">
        <f>HYPERLINK("https://www.google.com/maps/search/?api=1&amp;query=24.6269,46.6867", "View Map")</f>
        <v>View Map</v>
      </c>
      <c r="G968" s="2">
        <v>0.53097804958695316</v>
      </c>
    </row>
    <row r="969" spans="1:7" x14ac:dyDescent="0.3">
      <c r="A969" t="s">
        <v>1973</v>
      </c>
      <c r="B969" t="s">
        <v>1974</v>
      </c>
      <c r="C969" t="s">
        <v>55</v>
      </c>
      <c r="D969">
        <v>6.6909999999999998</v>
      </c>
      <c r="E969" s="4">
        <v>2141</v>
      </c>
      <c r="F969" t="str">
        <f>HYPERLINK("https://www.google.com/maps/search/?api=1&amp;query=24.90454,46.38851", "View Map")</f>
        <v>View Map</v>
      </c>
      <c r="G969" s="2">
        <v>0.60064724259778379</v>
      </c>
    </row>
    <row r="970" spans="1:7" x14ac:dyDescent="0.3">
      <c r="A970" t="s">
        <v>1600</v>
      </c>
      <c r="B970" t="s">
        <v>1601</v>
      </c>
      <c r="C970" t="s">
        <v>255</v>
      </c>
      <c r="D970">
        <v>6.6879999999999997</v>
      </c>
      <c r="E970" s="4">
        <v>2140</v>
      </c>
      <c r="F970" t="str">
        <f>HYPERLINK("https://www.google.com/maps/search/?api=1&amp;query=25.45096778,44.42772427", "View Map")</f>
        <v>View Map</v>
      </c>
      <c r="G970" s="2">
        <v>0.5381758175660063</v>
      </c>
    </row>
    <row r="971" spans="1:7" x14ac:dyDescent="0.3">
      <c r="A971" t="s">
        <v>858</v>
      </c>
      <c r="B971" t="s">
        <v>1094</v>
      </c>
      <c r="C971" t="s">
        <v>8</v>
      </c>
      <c r="D971">
        <v>6.6870000000000003</v>
      </c>
      <c r="E971" s="4">
        <v>2140</v>
      </c>
      <c r="F971" t="str">
        <f>HYPERLINK("https://www.google.com/maps/search/?api=1&amp;query=24.754226,46.77333975", "View Map")</f>
        <v>View Map</v>
      </c>
    </row>
    <row r="972" spans="1:7" x14ac:dyDescent="0.3">
      <c r="A972" t="s">
        <v>3622</v>
      </c>
      <c r="B972" t="s">
        <v>3623</v>
      </c>
      <c r="C972" t="s">
        <v>8</v>
      </c>
      <c r="D972">
        <v>6.681</v>
      </c>
      <c r="E972" s="4">
        <v>2138</v>
      </c>
      <c r="F972" t="str">
        <f>HYPERLINK("https://www.google.com/maps/search/?api=1&amp;query=24.56090148,46.69284659", "View Map")</f>
        <v>View Map</v>
      </c>
    </row>
    <row r="973" spans="1:7" x14ac:dyDescent="0.3">
      <c r="A973" t="s">
        <v>146</v>
      </c>
      <c r="B973" t="s">
        <v>402</v>
      </c>
      <c r="C973" t="s">
        <v>8</v>
      </c>
      <c r="D973">
        <v>6.6779999999999999</v>
      </c>
      <c r="E973" s="4">
        <v>2137</v>
      </c>
      <c r="F973" t="str">
        <f>HYPERLINK("https://www.google.com/maps/search/?api=1&amp;query=24.57958915,46.61910479", "View Map")</f>
        <v>View Map</v>
      </c>
      <c r="G973" s="2">
        <v>0.2307843712824493</v>
      </c>
    </row>
    <row r="974" spans="1:7" x14ac:dyDescent="0.3">
      <c r="A974" t="s">
        <v>2593</v>
      </c>
      <c r="B974" t="s">
        <v>2594</v>
      </c>
      <c r="C974" t="s">
        <v>21</v>
      </c>
      <c r="D974">
        <v>6.6769999999999996</v>
      </c>
      <c r="E974" s="4">
        <v>2137</v>
      </c>
      <c r="F974" t="str">
        <f>HYPERLINK("https://www.google.com/maps/search/?api=1&amp;query=26.30339905,44.81865632", "View Map")</f>
        <v>View Map</v>
      </c>
      <c r="G974" s="2">
        <v>0.71206423523221118</v>
      </c>
    </row>
    <row r="975" spans="1:7" x14ac:dyDescent="0.3">
      <c r="A975" t="s">
        <v>2246</v>
      </c>
      <c r="B975" t="s">
        <v>2247</v>
      </c>
      <c r="C975" t="s">
        <v>8</v>
      </c>
      <c r="D975">
        <v>6.6760000000000002</v>
      </c>
      <c r="E975" s="4">
        <v>2136</v>
      </c>
      <c r="F975" t="str">
        <f>HYPERLINK("https://www.google.com/maps/search/?api=1&amp;query=24.54825086,46.66671335", "View Map")</f>
        <v>View Map</v>
      </c>
    </row>
    <row r="976" spans="1:7" x14ac:dyDescent="0.3">
      <c r="A976" t="s">
        <v>1639</v>
      </c>
      <c r="B976" t="s">
        <v>4152</v>
      </c>
      <c r="C976" t="s">
        <v>8</v>
      </c>
      <c r="D976">
        <v>6.6749999999999998</v>
      </c>
      <c r="E976" s="4">
        <v>2136</v>
      </c>
      <c r="F976" t="str">
        <f>HYPERLINK("https://www.google.com/maps/search/?api=1&amp;query=24.69104557,46.84474473", "View Map")</f>
        <v>View Map</v>
      </c>
    </row>
    <row r="977" spans="1:7" x14ac:dyDescent="0.3">
      <c r="A977" t="s">
        <v>2552</v>
      </c>
      <c r="B977" t="s">
        <v>2553</v>
      </c>
      <c r="C977" t="s">
        <v>8</v>
      </c>
      <c r="D977">
        <v>6.6719999999999997</v>
      </c>
      <c r="E977" s="4">
        <v>2135</v>
      </c>
      <c r="F977" t="str">
        <f>HYPERLINK("https://www.google.com/maps/search/?api=1&amp;query=24.7488239,46.78776709", "View Map")</f>
        <v>View Map</v>
      </c>
      <c r="G977" s="2">
        <v>0.44815366088926373</v>
      </c>
    </row>
    <row r="978" spans="1:7" x14ac:dyDescent="0.3">
      <c r="A978" t="s">
        <v>146</v>
      </c>
      <c r="B978" t="s">
        <v>2581</v>
      </c>
      <c r="C978" t="s">
        <v>8</v>
      </c>
      <c r="D978">
        <v>6.67</v>
      </c>
      <c r="E978" s="4">
        <v>2134</v>
      </c>
      <c r="F978" t="str">
        <f>HYPERLINK("https://www.google.com/maps/search/?api=1&amp;query=24.55454811,46.63405477", "View Map")</f>
        <v>View Map</v>
      </c>
      <c r="G978" s="2">
        <v>0.51243171823613309</v>
      </c>
    </row>
    <row r="979" spans="1:7" x14ac:dyDescent="0.3">
      <c r="A979" t="s">
        <v>2650</v>
      </c>
      <c r="B979" t="s">
        <v>2651</v>
      </c>
      <c r="C979" t="s">
        <v>8</v>
      </c>
      <c r="D979">
        <v>6.6660000000000004</v>
      </c>
      <c r="E979" s="4">
        <v>2133</v>
      </c>
      <c r="F979" t="str">
        <f>HYPERLINK("https://www.google.com/maps/search/?api=1&amp;query=24.59449782,46.66248612", "View Map")</f>
        <v>View Map</v>
      </c>
    </row>
    <row r="980" spans="1:7" x14ac:dyDescent="0.3">
      <c r="A980" t="s">
        <v>9377</v>
      </c>
      <c r="B980" t="s">
        <v>9378</v>
      </c>
      <c r="C980" t="s">
        <v>30</v>
      </c>
      <c r="D980">
        <v>6.6639999999999997</v>
      </c>
      <c r="E980" s="4">
        <v>2132</v>
      </c>
      <c r="F980" t="str">
        <f>HYPERLINK("https://www.google.com/maps/search/?api=1&amp;query=24.17730881,47.33378147", "View Map")</f>
        <v>View Map</v>
      </c>
      <c r="G980" s="2">
        <v>0.8721057694439327</v>
      </c>
    </row>
    <row r="981" spans="1:7" x14ac:dyDescent="0.3">
      <c r="A981" t="s">
        <v>3875</v>
      </c>
      <c r="B981" t="s">
        <v>3876</v>
      </c>
      <c r="C981" t="s">
        <v>55</v>
      </c>
      <c r="D981">
        <v>6.6609999999999996</v>
      </c>
      <c r="E981" s="4">
        <v>2131</v>
      </c>
      <c r="F981" t="str">
        <f>HYPERLINK("https://www.google.com/maps/search/?api=1&amp;query=24.7510672,46.57207136", "View Map")</f>
        <v>View Map</v>
      </c>
      <c r="G981" s="2">
        <v>0.53269739598265453</v>
      </c>
    </row>
    <row r="982" spans="1:7" x14ac:dyDescent="0.3">
      <c r="A982" t="s">
        <v>1319</v>
      </c>
      <c r="B982" t="s">
        <v>1320</v>
      </c>
      <c r="C982" t="s">
        <v>8</v>
      </c>
      <c r="D982">
        <v>6.6609999999999996</v>
      </c>
      <c r="E982" s="4">
        <v>2131</v>
      </c>
      <c r="F982" t="str">
        <f>HYPERLINK("https://www.google.com/maps/search/?api=1&amp;query=24.61821528,46.68802054", "View Map")</f>
        <v>View Map</v>
      </c>
    </row>
    <row r="983" spans="1:7" x14ac:dyDescent="0.3">
      <c r="A983" t="s">
        <v>1275</v>
      </c>
      <c r="B983" t="s">
        <v>8814</v>
      </c>
      <c r="C983" t="s">
        <v>8</v>
      </c>
      <c r="D983">
        <v>6.6529999999999996</v>
      </c>
      <c r="E983" s="4">
        <v>2129</v>
      </c>
      <c r="F983" t="str">
        <f>HYPERLINK("https://www.google.com/maps/search/?api=1&amp;query=24.71890152,46.79571922", "View Map")</f>
        <v>View Map</v>
      </c>
      <c r="G983" s="2">
        <v>0.48140055749261379</v>
      </c>
    </row>
    <row r="984" spans="1:7" x14ac:dyDescent="0.3">
      <c r="A984" t="s">
        <v>46</v>
      </c>
      <c r="B984" t="s">
        <v>1551</v>
      </c>
      <c r="C984" t="s">
        <v>8</v>
      </c>
      <c r="D984">
        <v>6.6449999999999996</v>
      </c>
      <c r="E984" s="4">
        <v>2126</v>
      </c>
      <c r="F984" t="str">
        <f>HYPERLINK("https://www.google.com/maps/search/?api=1&amp;query=24.83131162,46.58232585", "View Map")</f>
        <v>View Map</v>
      </c>
      <c r="G984" s="2">
        <v>0.48860978411483119</v>
      </c>
    </row>
    <row r="985" spans="1:7" x14ac:dyDescent="0.3">
      <c r="A985" t="s">
        <v>2084</v>
      </c>
      <c r="B985" t="s">
        <v>2085</v>
      </c>
      <c r="C985" t="s">
        <v>8</v>
      </c>
      <c r="D985">
        <v>6.6420000000000003</v>
      </c>
      <c r="E985" s="4">
        <v>2126</v>
      </c>
      <c r="F985" t="str">
        <f>HYPERLINK("https://www.google.com/maps/search/?api=1&amp;query=24.70745158,46.77466296", "View Map")</f>
        <v>View Map</v>
      </c>
      <c r="G985" s="2">
        <v>0.39570050267467322</v>
      </c>
    </row>
    <row r="986" spans="1:7" x14ac:dyDescent="0.3">
      <c r="A986" t="s">
        <v>2521</v>
      </c>
      <c r="B986" t="s">
        <v>2522</v>
      </c>
      <c r="C986" t="s">
        <v>30</v>
      </c>
      <c r="D986">
        <v>6.641</v>
      </c>
      <c r="E986" s="4">
        <v>2125</v>
      </c>
      <c r="F986" t="str">
        <f>HYPERLINK("https://www.google.com/maps/search/?api=1&amp;query=24.13739516,47.35707489", "View Map")</f>
        <v>View Map</v>
      </c>
      <c r="G986" s="2">
        <v>0.43102997118209602</v>
      </c>
    </row>
    <row r="987" spans="1:7" x14ac:dyDescent="0.3">
      <c r="A987" t="s">
        <v>2250</v>
      </c>
      <c r="B987" t="s">
        <v>2251</v>
      </c>
      <c r="C987" t="s">
        <v>8</v>
      </c>
      <c r="D987">
        <v>6.6340000000000003</v>
      </c>
      <c r="E987" s="4">
        <v>2123</v>
      </c>
      <c r="F987" t="str">
        <f>HYPERLINK("https://www.google.com/maps/search/?api=1&amp;query=24.82374455,46.8053947", "View Map")</f>
        <v>View Map</v>
      </c>
      <c r="G987" s="2">
        <v>0.55283321946667319</v>
      </c>
    </row>
    <row r="988" spans="1:7" x14ac:dyDescent="0.3">
      <c r="A988" t="s">
        <v>1846</v>
      </c>
      <c r="B988" t="s">
        <v>1847</v>
      </c>
      <c r="C988" t="s">
        <v>8</v>
      </c>
      <c r="D988">
        <v>6.6310000000000002</v>
      </c>
      <c r="E988" s="4">
        <v>2122</v>
      </c>
      <c r="F988" t="str">
        <f>HYPERLINK("https://www.google.com/maps/search/?api=1&amp;query=24.69234504,46.80164413", "View Map")</f>
        <v>View Map</v>
      </c>
      <c r="G988" s="2">
        <v>0.74496075210313406</v>
      </c>
    </row>
    <row r="989" spans="1:7" x14ac:dyDescent="0.3">
      <c r="A989" t="s">
        <v>2110</v>
      </c>
      <c r="B989" t="s">
        <v>2111</v>
      </c>
      <c r="C989" t="s">
        <v>214</v>
      </c>
      <c r="D989">
        <v>6.63</v>
      </c>
      <c r="E989" s="4">
        <v>2122</v>
      </c>
      <c r="F989" t="str">
        <f>HYPERLINK("https://www.google.com/maps/search/?api=1&amp;query=25.90144723,45.37425095", "View Map")</f>
        <v>View Map</v>
      </c>
      <c r="G989" s="2">
        <v>0.83416359499394799</v>
      </c>
    </row>
    <row r="990" spans="1:7" x14ac:dyDescent="0.3">
      <c r="A990" t="s">
        <v>1041</v>
      </c>
      <c r="B990" t="s">
        <v>1042</v>
      </c>
      <c r="C990" t="s">
        <v>8</v>
      </c>
      <c r="D990">
        <v>6.6280000000000001</v>
      </c>
      <c r="E990" s="4">
        <v>2121</v>
      </c>
      <c r="F990" t="str">
        <f>HYPERLINK("https://www.google.com/maps/search/?api=1&amp;query=24.70161253,46.81505033", "View Map")</f>
        <v>View Map</v>
      </c>
    </row>
    <row r="991" spans="1:7" x14ac:dyDescent="0.3">
      <c r="A991" t="s">
        <v>860</v>
      </c>
      <c r="B991" t="s">
        <v>2910</v>
      </c>
      <c r="C991" t="s">
        <v>8</v>
      </c>
      <c r="D991">
        <v>6.625</v>
      </c>
      <c r="E991" s="4">
        <v>2120</v>
      </c>
      <c r="F991" t="str">
        <f>HYPERLINK("https://www.google.com/maps/search/?api=1&amp;query=24.71807026,46.83111536", "View Map")</f>
        <v>View Map</v>
      </c>
    </row>
    <row r="992" spans="1:7" x14ac:dyDescent="0.3">
      <c r="A992" t="s">
        <v>11310</v>
      </c>
      <c r="B992" t="s">
        <v>11311</v>
      </c>
      <c r="C992" t="s">
        <v>8</v>
      </c>
      <c r="D992">
        <v>6.6230000000000002</v>
      </c>
      <c r="E992" s="4">
        <v>2119</v>
      </c>
      <c r="F992" t="str">
        <f>HYPERLINK("https://www.google.com/maps/search/?api=1&amp;query=24.6742582,46.75742232", "View Map")</f>
        <v>View Map</v>
      </c>
    </row>
    <row r="993" spans="1:7" x14ac:dyDescent="0.3">
      <c r="A993" t="s">
        <v>3082</v>
      </c>
      <c r="B993" t="s">
        <v>3083</v>
      </c>
      <c r="C993" t="s">
        <v>8</v>
      </c>
      <c r="D993">
        <v>6.6189999999999998</v>
      </c>
      <c r="E993" s="4">
        <v>2118</v>
      </c>
      <c r="F993" t="str">
        <f>HYPERLINK("https://www.google.com/maps/search/?api=1&amp;query=24.84015919,46.80501704", "View Map")</f>
        <v>View Map</v>
      </c>
      <c r="G993" s="2">
        <v>0.56551716249143491</v>
      </c>
    </row>
    <row r="994" spans="1:7" x14ac:dyDescent="0.3">
      <c r="A994" t="s">
        <v>1592</v>
      </c>
      <c r="B994" t="s">
        <v>1593</v>
      </c>
      <c r="C994" t="s">
        <v>8</v>
      </c>
      <c r="D994">
        <v>6.601</v>
      </c>
      <c r="E994" s="4">
        <v>2112</v>
      </c>
      <c r="F994" t="str">
        <f>HYPERLINK("https://www.google.com/maps/search/?api=1&amp;query=24.78023049,46.67701325", "View Map")</f>
        <v>View Map</v>
      </c>
    </row>
    <row r="995" spans="1:7" x14ac:dyDescent="0.3">
      <c r="A995" t="s">
        <v>433</v>
      </c>
      <c r="B995" t="s">
        <v>2019</v>
      </c>
      <c r="C995" t="s">
        <v>137</v>
      </c>
      <c r="D995">
        <v>6.593</v>
      </c>
      <c r="E995" s="4">
        <v>2110</v>
      </c>
      <c r="F995" t="str">
        <f>HYPERLINK("https://www.google.com/maps/search/?api=1&amp;query=23.43246151,46.79009905", "View Map")</f>
        <v>View Map</v>
      </c>
      <c r="G995" s="2">
        <v>0.58583857460312028</v>
      </c>
    </row>
    <row r="996" spans="1:7" x14ac:dyDescent="0.3">
      <c r="A996" t="s">
        <v>4105</v>
      </c>
      <c r="B996" t="s">
        <v>4106</v>
      </c>
      <c r="C996" t="s">
        <v>8</v>
      </c>
      <c r="D996">
        <v>6.5919999999999996</v>
      </c>
      <c r="E996" s="4">
        <v>2109</v>
      </c>
      <c r="F996" t="str">
        <f>HYPERLINK("https://www.google.com/maps/search/?api=1&amp;query=24.59797902,46.72360611", "View Map")</f>
        <v>View Map</v>
      </c>
    </row>
    <row r="997" spans="1:7" x14ac:dyDescent="0.3">
      <c r="A997" t="s">
        <v>2038</v>
      </c>
      <c r="B997" t="s">
        <v>2039</v>
      </c>
      <c r="C997" t="s">
        <v>8</v>
      </c>
      <c r="D997">
        <v>6.5910000000000002</v>
      </c>
      <c r="E997" s="4">
        <v>2109</v>
      </c>
      <c r="F997" t="str">
        <f>HYPERLINK("https://www.google.com/maps/search/?api=1&amp;query=24.5947,46.685", "View Map")</f>
        <v>View Map</v>
      </c>
    </row>
    <row r="998" spans="1:7" x14ac:dyDescent="0.3">
      <c r="A998" t="s">
        <v>627</v>
      </c>
      <c r="B998" t="s">
        <v>2375</v>
      </c>
      <c r="C998" t="s">
        <v>8</v>
      </c>
      <c r="D998">
        <v>6.5880000000000001</v>
      </c>
      <c r="E998" s="4">
        <v>2108</v>
      </c>
      <c r="F998" t="str">
        <f>HYPERLINK("https://www.google.com/maps/search/?api=1&amp;query=24.86124226,46.64060644", "View Map")</f>
        <v>View Map</v>
      </c>
    </row>
    <row r="999" spans="1:7" x14ac:dyDescent="0.3">
      <c r="A999" t="s">
        <v>46</v>
      </c>
      <c r="B999" t="s">
        <v>1534</v>
      </c>
      <c r="C999" t="s">
        <v>8</v>
      </c>
      <c r="D999">
        <v>6.5810000000000004</v>
      </c>
      <c r="E999" s="4">
        <v>2106</v>
      </c>
      <c r="F999" t="str">
        <f>HYPERLINK("https://www.google.com/maps/search/?api=1&amp;query=24.8839,46.6358", "View Map")</f>
        <v>View Map</v>
      </c>
    </row>
    <row r="1000" spans="1:7" x14ac:dyDescent="0.3">
      <c r="A1000" t="s">
        <v>2394</v>
      </c>
      <c r="B1000" t="s">
        <v>2395</v>
      </c>
      <c r="C1000" t="s">
        <v>8</v>
      </c>
      <c r="D1000">
        <v>6.5780000000000003</v>
      </c>
      <c r="E1000" s="4">
        <v>2105</v>
      </c>
      <c r="F1000" t="str">
        <f>HYPERLINK("https://www.google.com/maps/search/?api=1&amp;query=24.76467804,46.82075889", "View Map")</f>
        <v>View Map</v>
      </c>
    </row>
    <row r="1001" spans="1:7" x14ac:dyDescent="0.3">
      <c r="A1001" t="s">
        <v>2254</v>
      </c>
      <c r="B1001" t="s">
        <v>2255</v>
      </c>
      <c r="C1001" t="s">
        <v>8</v>
      </c>
      <c r="D1001">
        <v>6.5759999999999996</v>
      </c>
      <c r="E1001" s="4">
        <v>2104</v>
      </c>
      <c r="F1001" t="str">
        <f>HYPERLINK("https://www.google.com/maps/search/?api=1&amp;query=24.62408399,46.7153048", "View Map")</f>
        <v>View Map</v>
      </c>
    </row>
    <row r="1002" spans="1:7" x14ac:dyDescent="0.3">
      <c r="A1002" t="s">
        <v>678</v>
      </c>
      <c r="B1002" t="s">
        <v>2000</v>
      </c>
      <c r="C1002" t="s">
        <v>21</v>
      </c>
      <c r="D1002">
        <v>6.5730000000000004</v>
      </c>
      <c r="E1002" s="4">
        <v>2103</v>
      </c>
      <c r="F1002" t="str">
        <f>HYPERLINK("https://www.google.com/maps/search/?api=1&amp;query=26.31284717,44.88297222", "View Map")</f>
        <v>View Map</v>
      </c>
      <c r="G1002" s="2">
        <v>0.58362923472882666</v>
      </c>
    </row>
    <row r="1003" spans="1:7" x14ac:dyDescent="0.3">
      <c r="A1003" t="s">
        <v>2640</v>
      </c>
      <c r="B1003" t="s">
        <v>2641</v>
      </c>
      <c r="C1003" t="s">
        <v>255</v>
      </c>
      <c r="D1003">
        <v>6.57</v>
      </c>
      <c r="E1003" s="4">
        <v>2102</v>
      </c>
      <c r="F1003" t="str">
        <f>HYPERLINK("https://www.google.com/maps/search/?api=1&amp;query=25.19385663,44.59463217", "View Map")</f>
        <v>View Map</v>
      </c>
      <c r="G1003" s="2">
        <v>0.74403903419349537</v>
      </c>
    </row>
    <row r="1004" spans="1:7" x14ac:dyDescent="0.3">
      <c r="A1004" t="s">
        <v>1677</v>
      </c>
      <c r="B1004" t="s">
        <v>1678</v>
      </c>
      <c r="C1004" t="s">
        <v>255</v>
      </c>
      <c r="D1004">
        <v>6.57</v>
      </c>
      <c r="E1004" s="4">
        <v>2102</v>
      </c>
      <c r="F1004" t="str">
        <f>HYPERLINK("https://www.google.com/maps/search/?api=1&amp;query=25.18203577,44.59809175", "View Map")</f>
        <v>View Map</v>
      </c>
      <c r="G1004" s="2">
        <v>0.61225390895078913</v>
      </c>
    </row>
    <row r="1005" spans="1:7" x14ac:dyDescent="0.3">
      <c r="A1005" t="s">
        <v>1273</v>
      </c>
      <c r="B1005" t="s">
        <v>2137</v>
      </c>
      <c r="C1005" t="s">
        <v>241</v>
      </c>
      <c r="D1005">
        <v>6.5620000000000003</v>
      </c>
      <c r="E1005" s="4">
        <v>2100</v>
      </c>
      <c r="F1005" t="str">
        <f>HYPERLINK("https://www.google.com/maps/search/?api=1&amp;query=20.42893974,44.73145283", "View Map")</f>
        <v>View Map</v>
      </c>
      <c r="G1005" s="2">
        <v>0.50838472476730967</v>
      </c>
    </row>
    <row r="1006" spans="1:7" x14ac:dyDescent="0.3">
      <c r="A1006" t="s">
        <v>2157</v>
      </c>
      <c r="B1006" t="s">
        <v>2158</v>
      </c>
      <c r="C1006" t="s">
        <v>8</v>
      </c>
      <c r="D1006">
        <v>6.5609999999999999</v>
      </c>
      <c r="E1006" s="4">
        <v>2100</v>
      </c>
      <c r="F1006" t="str">
        <f>HYPERLINK("https://www.google.com/maps/search/?api=1&amp;query=24.78899029,46.82223183", "View Map")</f>
        <v>View Map</v>
      </c>
      <c r="G1006" s="2">
        <v>0.41387814872292089</v>
      </c>
    </row>
    <row r="1007" spans="1:7" x14ac:dyDescent="0.3">
      <c r="A1007" t="s">
        <v>7063</v>
      </c>
      <c r="B1007" t="s">
        <v>7064</v>
      </c>
      <c r="C1007" t="s">
        <v>255</v>
      </c>
      <c r="D1007">
        <v>6.55</v>
      </c>
      <c r="E1007" s="4">
        <v>2096</v>
      </c>
      <c r="F1007" t="str">
        <f>HYPERLINK("https://www.google.com/maps/search/?api=1&amp;query=24.53277053,44.4336796", "View Map")</f>
        <v>View Map</v>
      </c>
    </row>
    <row r="1008" spans="1:7" x14ac:dyDescent="0.3">
      <c r="A1008" t="s">
        <v>603</v>
      </c>
      <c r="B1008" t="s">
        <v>604</v>
      </c>
      <c r="C1008" t="s">
        <v>8</v>
      </c>
      <c r="D1008">
        <v>6.5460000000000003</v>
      </c>
      <c r="E1008" s="4">
        <v>2095</v>
      </c>
      <c r="F1008" t="str">
        <f>HYPERLINK("https://www.google.com/maps/search/?api=1&amp;query=24.80083616,46.64942101", "View Map")</f>
        <v>View Map</v>
      </c>
    </row>
    <row r="1009" spans="1:7" x14ac:dyDescent="0.3">
      <c r="A1009" t="s">
        <v>2355</v>
      </c>
      <c r="B1009" t="s">
        <v>2356</v>
      </c>
      <c r="C1009" t="s">
        <v>55</v>
      </c>
      <c r="D1009">
        <v>6.5460000000000003</v>
      </c>
      <c r="E1009" s="4">
        <v>2095</v>
      </c>
      <c r="F1009" t="str">
        <f>HYPERLINK("https://www.google.com/maps/search/?api=1&amp;query=24.75189835,46.57878527", "View Map")</f>
        <v>View Map</v>
      </c>
    </row>
    <row r="1010" spans="1:7" x14ac:dyDescent="0.3">
      <c r="A1010" t="s">
        <v>717</v>
      </c>
      <c r="B1010" t="s">
        <v>4329</v>
      </c>
      <c r="C1010" t="s">
        <v>255</v>
      </c>
      <c r="D1010">
        <v>6.5439999999999996</v>
      </c>
      <c r="E1010" s="4">
        <v>2094</v>
      </c>
      <c r="F1010" t="str">
        <f>HYPERLINK("https://www.google.com/maps/search/?api=1&amp;query=25.46021294,44.37604903", "View Map")</f>
        <v>View Map</v>
      </c>
    </row>
    <row r="1011" spans="1:7" x14ac:dyDescent="0.3">
      <c r="A1011" t="s">
        <v>2168</v>
      </c>
      <c r="B1011" t="s">
        <v>2169</v>
      </c>
      <c r="C1011" t="s">
        <v>393</v>
      </c>
      <c r="D1011">
        <v>6.5439999999999996</v>
      </c>
      <c r="E1011" s="4">
        <v>2094</v>
      </c>
      <c r="F1011" t="str">
        <f>HYPERLINK("https://www.google.com/maps/search/?api=1&amp;query=23.54767163,45.52401349", "View Map")</f>
        <v>View Map</v>
      </c>
      <c r="G1011" s="2">
        <v>0.64526167179510652</v>
      </c>
    </row>
    <row r="1012" spans="1:7" x14ac:dyDescent="0.3">
      <c r="A1012" t="s">
        <v>146</v>
      </c>
      <c r="B1012" t="s">
        <v>3440</v>
      </c>
      <c r="C1012" t="s">
        <v>8</v>
      </c>
      <c r="D1012">
        <v>6.5439999999999996</v>
      </c>
      <c r="E1012" s="4">
        <v>2094</v>
      </c>
      <c r="F1012" t="str">
        <f>HYPERLINK("https://www.google.com/maps/search/?api=1&amp;query=24.5736,46.5356", "View Map")</f>
        <v>View Map</v>
      </c>
    </row>
    <row r="1013" spans="1:7" x14ac:dyDescent="0.3">
      <c r="A1013" t="s">
        <v>3995</v>
      </c>
      <c r="B1013" t="s">
        <v>3996</v>
      </c>
      <c r="C1013" t="s">
        <v>8</v>
      </c>
      <c r="D1013">
        <v>6.5380000000000003</v>
      </c>
      <c r="E1013" s="4">
        <v>2092</v>
      </c>
      <c r="F1013" t="str">
        <f>HYPERLINK("https://www.google.com/maps/search/?api=1&amp;query=24.57131116,46.66407969", "View Map")</f>
        <v>View Map</v>
      </c>
      <c r="G1013" s="2">
        <v>0.57052966046987619</v>
      </c>
    </row>
    <row r="1014" spans="1:7" x14ac:dyDescent="0.3">
      <c r="A1014" t="s">
        <v>765</v>
      </c>
      <c r="B1014" t="s">
        <v>4308</v>
      </c>
      <c r="C1014" t="s">
        <v>8</v>
      </c>
      <c r="D1014">
        <v>6.5289999999999999</v>
      </c>
      <c r="E1014" s="4">
        <v>2089</v>
      </c>
      <c r="F1014" t="str">
        <f>HYPERLINK("https://www.google.com/maps/search/?api=1&amp;query=24.75823602,46.72582692", "View Map")</f>
        <v>View Map</v>
      </c>
    </row>
    <row r="1015" spans="1:7" x14ac:dyDescent="0.3">
      <c r="A1015" t="s">
        <v>881</v>
      </c>
      <c r="B1015" t="s">
        <v>10730</v>
      </c>
      <c r="C1015" t="s">
        <v>883</v>
      </c>
      <c r="D1015">
        <v>6.5270000000000001</v>
      </c>
      <c r="E1015" s="4">
        <v>2089</v>
      </c>
      <c r="F1015" t="str">
        <f>HYPERLINK("https://www.google.com/maps/search/?api=1&amp;query=25.53464809,47.17668441", "View Map")</f>
        <v>View Map</v>
      </c>
      <c r="G1015" s="2">
        <v>1.137959077547372</v>
      </c>
    </row>
    <row r="1016" spans="1:7" x14ac:dyDescent="0.3">
      <c r="A1016" t="s">
        <v>289</v>
      </c>
      <c r="B1016" t="s">
        <v>2629</v>
      </c>
      <c r="C1016" t="s">
        <v>393</v>
      </c>
      <c r="D1016">
        <v>6.5229999999999997</v>
      </c>
      <c r="E1016" s="4">
        <v>2087</v>
      </c>
      <c r="F1016" t="str">
        <f>HYPERLINK("https://www.google.com/maps/search/?api=1&amp;query=22.65511025,45.13754028", "View Map")</f>
        <v>View Map</v>
      </c>
      <c r="G1016" s="2">
        <v>0.83194507806557072</v>
      </c>
    </row>
    <row r="1017" spans="1:7" x14ac:dyDescent="0.3">
      <c r="A1017" t="s">
        <v>150</v>
      </c>
      <c r="B1017" t="s">
        <v>5146</v>
      </c>
      <c r="C1017" t="s">
        <v>8</v>
      </c>
      <c r="D1017">
        <v>6.52</v>
      </c>
      <c r="E1017" s="4">
        <v>2086</v>
      </c>
      <c r="F1017" t="str">
        <f>HYPERLINK("https://www.google.com/maps/search/?api=1&amp;query=24.823577,46.734064", "View Map")</f>
        <v>View Map</v>
      </c>
    </row>
    <row r="1018" spans="1:7" x14ac:dyDescent="0.3">
      <c r="A1018" t="s">
        <v>1141</v>
      </c>
      <c r="B1018" t="s">
        <v>1142</v>
      </c>
      <c r="C1018" t="s">
        <v>8</v>
      </c>
      <c r="D1018">
        <v>6.52</v>
      </c>
      <c r="E1018" s="4">
        <v>2086</v>
      </c>
      <c r="F1018" t="str">
        <f>HYPERLINK("https://www.google.com/maps/search/?api=1&amp;query=24.65289934,46.55807417", "View Map")</f>
        <v>View Map</v>
      </c>
    </row>
    <row r="1019" spans="1:7" x14ac:dyDescent="0.3">
      <c r="A1019" t="s">
        <v>1715</v>
      </c>
      <c r="B1019" t="s">
        <v>1716</v>
      </c>
      <c r="C1019" t="s">
        <v>8</v>
      </c>
      <c r="D1019">
        <v>6.5190000000000001</v>
      </c>
      <c r="E1019" s="4">
        <v>2086</v>
      </c>
      <c r="F1019" t="str">
        <f>HYPERLINK("https://www.google.com/maps/search/?api=1&amp;query=24.7820034,46.63845924", "View Map")</f>
        <v>View Map</v>
      </c>
    </row>
    <row r="1020" spans="1:7" x14ac:dyDescent="0.3">
      <c r="A1020" t="s">
        <v>46</v>
      </c>
      <c r="B1020" t="s">
        <v>1977</v>
      </c>
      <c r="C1020" t="s">
        <v>8</v>
      </c>
      <c r="D1020">
        <v>6.5039999999999996</v>
      </c>
      <c r="E1020" s="4">
        <v>2081</v>
      </c>
      <c r="F1020" t="str">
        <f>HYPERLINK("https://www.google.com/maps/search/?api=1&amp;query=24.84435305,46.80595562", "View Map")</f>
        <v>View Map</v>
      </c>
    </row>
    <row r="1021" spans="1:7" x14ac:dyDescent="0.3">
      <c r="A1021" t="s">
        <v>46</v>
      </c>
      <c r="B1021" t="s">
        <v>1445</v>
      </c>
      <c r="C1021" t="s">
        <v>8</v>
      </c>
      <c r="D1021">
        <v>6.5019999999999998</v>
      </c>
      <c r="E1021" s="4">
        <v>2081</v>
      </c>
      <c r="F1021" t="str">
        <f>HYPERLINK("https://www.google.com/maps/search/?api=1&amp;query=24.79683667,46.7940238", "View Map")</f>
        <v>View Map</v>
      </c>
    </row>
    <row r="1022" spans="1:7" x14ac:dyDescent="0.3">
      <c r="A1022" t="s">
        <v>1774</v>
      </c>
      <c r="B1022" t="s">
        <v>4930</v>
      </c>
      <c r="C1022" t="s">
        <v>8</v>
      </c>
      <c r="D1022">
        <v>6.4969999999999999</v>
      </c>
      <c r="E1022" s="4">
        <v>2079</v>
      </c>
      <c r="F1022" t="str">
        <f>HYPERLINK("https://www.google.com/maps/search/?api=1&amp;query=24.65840714,46.79786341", "View Map")</f>
        <v>View Map</v>
      </c>
    </row>
    <row r="1023" spans="1:7" x14ac:dyDescent="0.3">
      <c r="A1023" t="s">
        <v>46</v>
      </c>
      <c r="B1023" t="s">
        <v>2387</v>
      </c>
      <c r="C1023" t="s">
        <v>8</v>
      </c>
      <c r="D1023">
        <v>6.4930000000000003</v>
      </c>
      <c r="E1023" s="4">
        <v>2078</v>
      </c>
      <c r="F1023" t="str">
        <f>HYPERLINK("https://www.google.com/maps/search/?api=1&amp;query=24.8714,46.6583", "View Map")</f>
        <v>View Map</v>
      </c>
    </row>
    <row r="1024" spans="1:7" x14ac:dyDescent="0.3">
      <c r="A1024" t="s">
        <v>1980</v>
      </c>
      <c r="B1024" t="s">
        <v>1981</v>
      </c>
      <c r="C1024" t="s">
        <v>8</v>
      </c>
      <c r="D1024">
        <v>6.492</v>
      </c>
      <c r="E1024" s="4">
        <v>2078</v>
      </c>
      <c r="F1024" t="str">
        <f>HYPERLINK("https://www.google.com/maps/search/?api=1&amp;query=24.76962761,46.76587473", "View Map")</f>
        <v>View Map</v>
      </c>
      <c r="G1024" s="2">
        <v>0.45222280076014909</v>
      </c>
    </row>
    <row r="1025" spans="1:7" x14ac:dyDescent="0.3">
      <c r="A1025" t="s">
        <v>4657</v>
      </c>
      <c r="B1025" t="s">
        <v>4658</v>
      </c>
      <c r="C1025" t="s">
        <v>8</v>
      </c>
      <c r="D1025">
        <v>6.492</v>
      </c>
      <c r="E1025" s="4">
        <v>2077</v>
      </c>
      <c r="F1025" t="str">
        <f>HYPERLINK("https://www.google.com/maps/search/?api=1&amp;query=24.75177033,46.66900921", "View Map")</f>
        <v>View Map</v>
      </c>
    </row>
    <row r="1026" spans="1:7" x14ac:dyDescent="0.3">
      <c r="A1026" t="s">
        <v>3261</v>
      </c>
      <c r="B1026" t="s">
        <v>3262</v>
      </c>
      <c r="C1026" t="s">
        <v>8</v>
      </c>
      <c r="D1026">
        <v>6.4870000000000001</v>
      </c>
      <c r="E1026" s="4">
        <v>2076</v>
      </c>
      <c r="F1026" t="str">
        <f>HYPERLINK("https://www.google.com/maps/search/?api=1&amp;query=24.72949646,46.77480097", "View Map")</f>
        <v>View Map</v>
      </c>
    </row>
    <row r="1027" spans="1:7" x14ac:dyDescent="0.3">
      <c r="A1027" t="s">
        <v>4983</v>
      </c>
      <c r="B1027" t="s">
        <v>4984</v>
      </c>
      <c r="C1027" t="s">
        <v>8</v>
      </c>
      <c r="D1027">
        <v>6.4859999999999998</v>
      </c>
      <c r="E1027" s="4">
        <v>2076</v>
      </c>
      <c r="F1027" t="str">
        <f>HYPERLINK("https://www.google.com/maps/search/?api=1&amp;query=24.81540608,46.63750237", "View Map")</f>
        <v>View Map</v>
      </c>
      <c r="G1027" s="2">
        <v>0.42067175338615959</v>
      </c>
    </row>
    <row r="1028" spans="1:7" x14ac:dyDescent="0.3">
      <c r="A1028" t="s">
        <v>3973</v>
      </c>
      <c r="B1028" t="s">
        <v>3974</v>
      </c>
      <c r="C1028" t="s">
        <v>8</v>
      </c>
      <c r="D1028">
        <v>6.48</v>
      </c>
      <c r="E1028" s="4">
        <v>2074</v>
      </c>
      <c r="F1028" t="str">
        <f>HYPERLINK("https://www.google.com/maps/search/?api=1&amp;query=24.7006255,46.82128013", "View Map")</f>
        <v>View Map</v>
      </c>
    </row>
    <row r="1029" spans="1:7" x14ac:dyDescent="0.3">
      <c r="A1029" t="s">
        <v>46</v>
      </c>
      <c r="B1029" t="s">
        <v>2012</v>
      </c>
      <c r="C1029" t="s">
        <v>8</v>
      </c>
      <c r="D1029">
        <v>6.4690000000000003</v>
      </c>
      <c r="E1029" s="4">
        <v>2070</v>
      </c>
      <c r="F1029" t="str">
        <f>HYPERLINK("https://www.google.com/maps/search/?api=1&amp;query=24.69686076,46.59503573", "View Map")</f>
        <v>View Map</v>
      </c>
      <c r="G1029" s="2">
        <v>0.58530215565444821</v>
      </c>
    </row>
    <row r="1030" spans="1:7" x14ac:dyDescent="0.3">
      <c r="A1030" t="s">
        <v>46</v>
      </c>
      <c r="B1030" t="s">
        <v>2704</v>
      </c>
      <c r="C1030" t="s">
        <v>8</v>
      </c>
      <c r="D1030">
        <v>6.468</v>
      </c>
      <c r="E1030" s="4">
        <v>2070</v>
      </c>
      <c r="F1030" t="str">
        <f>HYPERLINK("https://www.google.com/maps/search/?api=1&amp;query=24.67755331,46.74678615", "View Map")</f>
        <v>View Map</v>
      </c>
    </row>
    <row r="1031" spans="1:7" x14ac:dyDescent="0.3">
      <c r="A1031" t="s">
        <v>2913</v>
      </c>
      <c r="B1031" t="s">
        <v>2914</v>
      </c>
      <c r="C1031" t="s">
        <v>214</v>
      </c>
      <c r="D1031">
        <v>6.4640000000000004</v>
      </c>
      <c r="E1031" s="4">
        <v>2068</v>
      </c>
      <c r="F1031" t="str">
        <f>HYPERLINK("https://www.google.com/maps/search/?api=1&amp;query=25.69664192,45.88027634", "View Map")</f>
        <v>View Map</v>
      </c>
      <c r="G1031" s="2">
        <v>0.71029728350716526</v>
      </c>
    </row>
    <row r="1032" spans="1:7" x14ac:dyDescent="0.3">
      <c r="A1032" t="s">
        <v>10319</v>
      </c>
      <c r="B1032" t="s">
        <v>10320</v>
      </c>
      <c r="C1032" t="s">
        <v>883</v>
      </c>
      <c r="D1032">
        <v>6.4560000000000004</v>
      </c>
      <c r="E1032" s="4">
        <v>2066</v>
      </c>
      <c r="F1032" t="str">
        <f>HYPERLINK("https://www.google.com/maps/search/?api=1&amp;query=25.54037221,47.17522838", "View Map")</f>
        <v>View Map</v>
      </c>
    </row>
    <row r="1033" spans="1:7" x14ac:dyDescent="0.3">
      <c r="A1033" t="s">
        <v>4437</v>
      </c>
      <c r="B1033" t="s">
        <v>4438</v>
      </c>
      <c r="C1033" t="s">
        <v>8</v>
      </c>
      <c r="D1033">
        <v>6.4509999999999996</v>
      </c>
      <c r="E1033" s="4">
        <v>2064</v>
      </c>
      <c r="F1033" t="str">
        <f>HYPERLINK("https://www.google.com/maps/search/?api=1&amp;query=24.63661924,46.74131099", "View Map")</f>
        <v>View Map</v>
      </c>
    </row>
    <row r="1034" spans="1:7" x14ac:dyDescent="0.3">
      <c r="A1034" t="s">
        <v>1763</v>
      </c>
      <c r="B1034" t="s">
        <v>1764</v>
      </c>
      <c r="C1034" t="s">
        <v>255</v>
      </c>
      <c r="D1034">
        <v>6.45</v>
      </c>
      <c r="E1034" s="4">
        <v>2064</v>
      </c>
      <c r="F1034" t="str">
        <f>HYPERLINK("https://www.google.com/maps/search/?api=1&amp;query=25.16928226,44.57765356", "View Map")</f>
        <v>View Map</v>
      </c>
      <c r="G1034" s="2">
        <v>0.61046239815778247</v>
      </c>
    </row>
    <row r="1035" spans="1:7" x14ac:dyDescent="0.3">
      <c r="A1035" t="s">
        <v>3633</v>
      </c>
      <c r="B1035" t="s">
        <v>3634</v>
      </c>
      <c r="C1035" t="s">
        <v>8</v>
      </c>
      <c r="D1035">
        <v>6.45</v>
      </c>
      <c r="E1035" s="4">
        <v>2064</v>
      </c>
      <c r="F1035" t="str">
        <f>HYPERLINK("https://www.google.com/maps/search/?api=1&amp;query=24.72207968,46.80221719", "View Map")</f>
        <v>View Map</v>
      </c>
    </row>
    <row r="1036" spans="1:7" x14ac:dyDescent="0.3">
      <c r="A1036" t="s">
        <v>852</v>
      </c>
      <c r="B1036" t="s">
        <v>853</v>
      </c>
      <c r="C1036" t="s">
        <v>8</v>
      </c>
      <c r="D1036">
        <v>6.444</v>
      </c>
      <c r="E1036" s="4">
        <v>2062</v>
      </c>
      <c r="F1036" t="str">
        <f>HYPERLINK("https://www.google.com/maps/search/?api=1&amp;query=24.68306407,46.71265569", "View Map")</f>
        <v>View Map</v>
      </c>
    </row>
    <row r="1037" spans="1:7" x14ac:dyDescent="0.3">
      <c r="A1037" t="s">
        <v>2803</v>
      </c>
      <c r="B1037" t="s">
        <v>2804</v>
      </c>
      <c r="C1037" t="s">
        <v>8</v>
      </c>
      <c r="D1037">
        <v>6.444</v>
      </c>
      <c r="E1037" s="4">
        <v>2062</v>
      </c>
      <c r="F1037" t="str">
        <f>HYPERLINK("https://www.google.com/maps/search/?api=1&amp;query=24.69067085,46.81740514", "View Map")</f>
        <v>View Map</v>
      </c>
    </row>
    <row r="1038" spans="1:7" x14ac:dyDescent="0.3">
      <c r="A1038" t="s">
        <v>3639</v>
      </c>
      <c r="B1038" t="s">
        <v>3640</v>
      </c>
      <c r="C1038" t="s">
        <v>8</v>
      </c>
      <c r="D1038">
        <v>6.4370000000000003</v>
      </c>
      <c r="E1038" s="4">
        <v>2060</v>
      </c>
      <c r="F1038" t="str">
        <f>HYPERLINK("https://www.google.com/maps/search/?api=1&amp;query=24.66026452,46.79987258", "View Map")</f>
        <v>View Map</v>
      </c>
      <c r="G1038" s="2">
        <v>0.45769031027880919</v>
      </c>
    </row>
    <row r="1039" spans="1:7" x14ac:dyDescent="0.3">
      <c r="A1039" t="s">
        <v>1930</v>
      </c>
      <c r="B1039" t="s">
        <v>1931</v>
      </c>
      <c r="C1039" t="s">
        <v>21</v>
      </c>
      <c r="D1039">
        <v>6.4340000000000002</v>
      </c>
      <c r="E1039" s="4">
        <v>2059</v>
      </c>
      <c r="F1039" t="str">
        <f>HYPERLINK("https://www.google.com/maps/search/?api=1&amp;query=26.31361791,44.79530911", "View Map")</f>
        <v>View Map</v>
      </c>
      <c r="G1039" s="2">
        <v>0.38450647491293372</v>
      </c>
    </row>
    <row r="1040" spans="1:7" x14ac:dyDescent="0.3">
      <c r="A1040" t="s">
        <v>28</v>
      </c>
      <c r="B1040" t="s">
        <v>1792</v>
      </c>
      <c r="C1040" t="s">
        <v>30</v>
      </c>
      <c r="D1040">
        <v>6.4269999999999996</v>
      </c>
      <c r="E1040" s="4">
        <v>2057</v>
      </c>
      <c r="F1040" t="str">
        <f>HYPERLINK("https://www.google.com/maps/search/?api=1&amp;query=24.15926797,47.37668168", "View Map")</f>
        <v>View Map</v>
      </c>
      <c r="G1040" s="2">
        <v>0.38288012336829241</v>
      </c>
    </row>
    <row r="1041" spans="1:7" x14ac:dyDescent="0.3">
      <c r="A1041" t="s">
        <v>2705</v>
      </c>
      <c r="B1041" t="s">
        <v>2706</v>
      </c>
      <c r="C1041" t="s">
        <v>8</v>
      </c>
      <c r="D1041">
        <v>6.4260000000000002</v>
      </c>
      <c r="E1041" s="4">
        <v>2056</v>
      </c>
      <c r="F1041" t="str">
        <f>HYPERLINK("https://www.google.com/maps/search/?api=1&amp;query=24.58844824,46.68656278", "View Map")</f>
        <v>View Map</v>
      </c>
      <c r="G1041" s="2">
        <v>0.41175648441429558</v>
      </c>
    </row>
    <row r="1042" spans="1:7" x14ac:dyDescent="0.3">
      <c r="A1042" t="s">
        <v>2760</v>
      </c>
      <c r="B1042" t="s">
        <v>2761</v>
      </c>
      <c r="C1042" t="s">
        <v>255</v>
      </c>
      <c r="D1042">
        <v>6.423</v>
      </c>
      <c r="E1042" s="4">
        <v>2055</v>
      </c>
      <c r="F1042" t="str">
        <f>HYPERLINK("https://www.google.com/maps/search/?api=1&amp;query=24.91015823,44.72264797", "View Map")</f>
        <v>View Map</v>
      </c>
      <c r="G1042" s="2">
        <v>0.73061096442280604</v>
      </c>
    </row>
    <row r="1043" spans="1:7" x14ac:dyDescent="0.3">
      <c r="A1043" t="s">
        <v>46</v>
      </c>
      <c r="B1043" t="s">
        <v>3328</v>
      </c>
      <c r="C1043" t="s">
        <v>8</v>
      </c>
      <c r="D1043">
        <v>6.4219999999999997</v>
      </c>
      <c r="E1043" s="4">
        <v>2055</v>
      </c>
      <c r="F1043" t="str">
        <f>HYPERLINK("https://www.google.com/maps/search/?api=1&amp;query=24.85931823,46.82822139", "View Map")</f>
        <v>View Map</v>
      </c>
      <c r="G1043" s="2">
        <v>0.41919058440886198</v>
      </c>
    </row>
    <row r="1044" spans="1:7" x14ac:dyDescent="0.3">
      <c r="A1044" t="s">
        <v>1143</v>
      </c>
      <c r="B1044" t="s">
        <v>1144</v>
      </c>
      <c r="C1044" t="s">
        <v>296</v>
      </c>
      <c r="D1044">
        <v>6.4080000000000004</v>
      </c>
      <c r="E1044" s="4">
        <v>2050</v>
      </c>
      <c r="F1044" t="str">
        <f>HYPERLINK("https://www.google.com/maps/search/?api=1&amp;query=24.4598844,46.2605871", "View Map")</f>
        <v>View Map</v>
      </c>
      <c r="G1044" s="2">
        <v>0.2958042638202088</v>
      </c>
    </row>
    <row r="1045" spans="1:7" x14ac:dyDescent="0.3">
      <c r="A1045" t="s">
        <v>1978</v>
      </c>
      <c r="B1045" t="s">
        <v>1979</v>
      </c>
      <c r="C1045" t="s">
        <v>8</v>
      </c>
      <c r="D1045">
        <v>6.4050000000000002</v>
      </c>
      <c r="E1045" s="4">
        <v>2049</v>
      </c>
      <c r="F1045" t="str">
        <f>HYPERLINK("https://www.google.com/maps/search/?api=1&amp;query=24.62124237,46.67574559", "View Map")</f>
        <v>View Map</v>
      </c>
    </row>
    <row r="1046" spans="1:7" x14ac:dyDescent="0.3">
      <c r="A1046" t="s">
        <v>1822</v>
      </c>
      <c r="B1046" t="s">
        <v>1823</v>
      </c>
      <c r="C1046" t="s">
        <v>8</v>
      </c>
      <c r="D1046">
        <v>6.4009999999999998</v>
      </c>
      <c r="E1046" s="4">
        <v>2048</v>
      </c>
      <c r="F1046" t="str">
        <f>HYPERLINK("https://www.google.com/maps/search/?api=1&amp;query=24.7835667,46.71021498", "View Map")</f>
        <v>View Map</v>
      </c>
    </row>
    <row r="1047" spans="1:7" x14ac:dyDescent="0.3">
      <c r="A1047" t="s">
        <v>73</v>
      </c>
      <c r="B1047" t="s">
        <v>2751</v>
      </c>
      <c r="C1047" t="s">
        <v>8</v>
      </c>
      <c r="D1047">
        <v>6.4009999999999998</v>
      </c>
      <c r="E1047" s="4">
        <v>2048</v>
      </c>
      <c r="F1047" t="str">
        <f>HYPERLINK("https://www.google.com/maps/search/?api=1&amp;query=24.81157258,46.66226254", "View Map")</f>
        <v>View Map</v>
      </c>
    </row>
    <row r="1048" spans="1:7" x14ac:dyDescent="0.3">
      <c r="A1048" t="s">
        <v>887</v>
      </c>
      <c r="B1048" t="s">
        <v>2226</v>
      </c>
      <c r="C1048" t="s">
        <v>8</v>
      </c>
      <c r="D1048">
        <v>6.3970000000000002</v>
      </c>
      <c r="E1048" s="4">
        <v>2047</v>
      </c>
      <c r="F1048" t="str">
        <f>HYPERLINK("https://www.google.com/maps/search/?api=1&amp;query=24.72069939,46.78038202", "View Map")</f>
        <v>View Map</v>
      </c>
    </row>
    <row r="1049" spans="1:7" x14ac:dyDescent="0.3">
      <c r="A1049" t="s">
        <v>990</v>
      </c>
      <c r="B1049" t="s">
        <v>991</v>
      </c>
      <c r="C1049" t="s">
        <v>8</v>
      </c>
      <c r="D1049">
        <v>6.391</v>
      </c>
      <c r="E1049" s="4">
        <v>2045</v>
      </c>
      <c r="F1049" t="str">
        <f>HYPERLINK("https://www.google.com/maps/search/?api=1&amp;query=24.68816397,46.79045601", "View Map")</f>
        <v>View Map</v>
      </c>
    </row>
    <row r="1050" spans="1:7" x14ac:dyDescent="0.3">
      <c r="A1050" t="s">
        <v>3259</v>
      </c>
      <c r="B1050" t="s">
        <v>3260</v>
      </c>
      <c r="C1050" t="s">
        <v>241</v>
      </c>
      <c r="D1050">
        <v>6.3890000000000002</v>
      </c>
      <c r="E1050" s="4">
        <v>2044</v>
      </c>
      <c r="F1050" t="str">
        <f>HYPERLINK("https://www.google.com/maps/search/?api=1&amp;query=20.46044554,44.77590333", "View Map")</f>
        <v>View Map</v>
      </c>
      <c r="G1050" s="2">
        <v>0.6666342911480555</v>
      </c>
    </row>
    <row r="1051" spans="1:7" x14ac:dyDescent="0.3">
      <c r="A1051" t="s">
        <v>2813</v>
      </c>
      <c r="B1051" t="s">
        <v>2814</v>
      </c>
      <c r="C1051" t="s">
        <v>8</v>
      </c>
      <c r="D1051">
        <v>6.383</v>
      </c>
      <c r="E1051" s="4">
        <v>2042</v>
      </c>
      <c r="F1051" t="str">
        <f>HYPERLINK("https://www.google.com/maps/search/?api=1&amp;query=24.63109463,46.69367426", "View Map")</f>
        <v>View Map</v>
      </c>
      <c r="G1051" s="2">
        <v>0.51250482879266568</v>
      </c>
    </row>
    <row r="1052" spans="1:7" x14ac:dyDescent="0.3">
      <c r="A1052" t="s">
        <v>1566</v>
      </c>
      <c r="B1052" t="s">
        <v>1567</v>
      </c>
      <c r="C1052" t="s">
        <v>8</v>
      </c>
      <c r="D1052">
        <v>6.3819999999999997</v>
      </c>
      <c r="E1052" s="4">
        <v>2042</v>
      </c>
      <c r="F1052" t="str">
        <f>HYPERLINK("https://www.google.com/maps/search/?api=1&amp;query=24.78074525,46.79005083", "View Map")</f>
        <v>View Map</v>
      </c>
      <c r="G1052" s="2">
        <v>0.58888313767439449</v>
      </c>
    </row>
    <row r="1053" spans="1:7" x14ac:dyDescent="0.3">
      <c r="A1053" t="s">
        <v>1798</v>
      </c>
      <c r="B1053" t="s">
        <v>1799</v>
      </c>
      <c r="C1053" t="s">
        <v>8</v>
      </c>
      <c r="D1053">
        <v>6.3819999999999997</v>
      </c>
      <c r="E1053" s="4">
        <v>2042</v>
      </c>
      <c r="F1053" t="str">
        <f>HYPERLINK("https://www.google.com/maps/search/?api=1&amp;query=24.68594,46.6705", "View Map")</f>
        <v>View Map</v>
      </c>
    </row>
    <row r="1054" spans="1:7" x14ac:dyDescent="0.3">
      <c r="A1054" t="s">
        <v>1547</v>
      </c>
      <c r="B1054" t="s">
        <v>1548</v>
      </c>
      <c r="C1054" t="s">
        <v>8</v>
      </c>
      <c r="D1054">
        <v>6.38</v>
      </c>
      <c r="E1054" s="4">
        <v>2042</v>
      </c>
      <c r="F1054" t="str">
        <f>HYPERLINK("https://www.google.com/maps/search/?api=1&amp;query=24.78099291,46.7864211", "View Map")</f>
        <v>View Map</v>
      </c>
      <c r="G1054" s="2">
        <v>0.65065408470104069</v>
      </c>
    </row>
    <row r="1055" spans="1:7" x14ac:dyDescent="0.3">
      <c r="A1055" t="s">
        <v>150</v>
      </c>
      <c r="B1055" t="s">
        <v>2980</v>
      </c>
      <c r="C1055" t="s">
        <v>8</v>
      </c>
      <c r="D1055">
        <v>6.3710000000000004</v>
      </c>
      <c r="E1055" s="4">
        <v>2039</v>
      </c>
      <c r="F1055" t="str">
        <f>HYPERLINK("https://www.google.com/maps/search/?api=1&amp;query=24.82137947,46.75631389", "View Map")</f>
        <v>View Map</v>
      </c>
    </row>
    <row r="1056" spans="1:7" x14ac:dyDescent="0.3">
      <c r="A1056" t="s">
        <v>963</v>
      </c>
      <c r="B1056" t="s">
        <v>1040</v>
      </c>
      <c r="C1056" t="s">
        <v>241</v>
      </c>
      <c r="D1056">
        <v>6.3659999999999997</v>
      </c>
      <c r="E1056" s="4">
        <v>2037</v>
      </c>
      <c r="F1056" t="str">
        <f>HYPERLINK("https://www.google.com/maps/search/?api=1&amp;query=20.44978469,44.77434045", "View Map")</f>
        <v>View Map</v>
      </c>
      <c r="G1056" s="2">
        <v>0.32995480270918659</v>
      </c>
    </row>
    <row r="1057" spans="1:7" x14ac:dyDescent="0.3">
      <c r="A1057" t="s">
        <v>3073</v>
      </c>
      <c r="B1057" t="s">
        <v>3074</v>
      </c>
      <c r="C1057" t="s">
        <v>8</v>
      </c>
      <c r="D1057">
        <v>6.3650000000000002</v>
      </c>
      <c r="E1057" s="4">
        <v>2037</v>
      </c>
      <c r="F1057" t="str">
        <f>HYPERLINK("https://www.google.com/maps/search/?api=1&amp;query=24.62958405,46.74681961", "View Map")</f>
        <v>View Map</v>
      </c>
    </row>
    <row r="1058" spans="1:7" x14ac:dyDescent="0.3">
      <c r="A1058" t="s">
        <v>5365</v>
      </c>
      <c r="B1058" t="s">
        <v>6690</v>
      </c>
      <c r="C1058" t="s">
        <v>8</v>
      </c>
      <c r="D1058">
        <v>6.3650000000000002</v>
      </c>
      <c r="E1058" s="4">
        <v>2037</v>
      </c>
      <c r="F1058" t="str">
        <f>HYPERLINK("https://www.google.com/maps/search/?api=1&amp;query=24.71866892,46.78548782", "View Map")</f>
        <v>View Map</v>
      </c>
      <c r="G1058" s="2">
        <v>0.49031120852929289</v>
      </c>
    </row>
    <row r="1059" spans="1:7" x14ac:dyDescent="0.3">
      <c r="A1059" t="s">
        <v>289</v>
      </c>
      <c r="B1059" t="s">
        <v>2512</v>
      </c>
      <c r="C1059" t="s">
        <v>291</v>
      </c>
      <c r="D1059">
        <v>6.3639999999999999</v>
      </c>
      <c r="E1059" s="4">
        <v>2036</v>
      </c>
      <c r="F1059" t="str">
        <f>HYPERLINK("https://www.google.com/maps/search/?api=1&amp;query=24.08009438,45.3132777", "View Map")</f>
        <v>View Map</v>
      </c>
      <c r="G1059" s="2">
        <v>0.57497625488094117</v>
      </c>
    </row>
    <row r="1060" spans="1:7" x14ac:dyDescent="0.3">
      <c r="A1060" t="s">
        <v>3534</v>
      </c>
      <c r="B1060" t="s">
        <v>3535</v>
      </c>
      <c r="C1060" t="s">
        <v>8</v>
      </c>
      <c r="D1060">
        <v>6.3630000000000004</v>
      </c>
      <c r="E1060" s="4">
        <v>2036</v>
      </c>
      <c r="F1060" t="str">
        <f>HYPERLINK("https://www.google.com/maps/search/?api=1&amp;query=24.59065551,46.61463001", "View Map")</f>
        <v>View Map</v>
      </c>
      <c r="G1060" s="2">
        <v>0.59334846154872678</v>
      </c>
    </row>
    <row r="1061" spans="1:7" x14ac:dyDescent="0.3">
      <c r="A1061" t="s">
        <v>1745</v>
      </c>
      <c r="B1061" t="s">
        <v>1746</v>
      </c>
      <c r="C1061" t="s">
        <v>8</v>
      </c>
      <c r="D1061">
        <v>6.3609999999999998</v>
      </c>
      <c r="E1061" s="4">
        <v>2036</v>
      </c>
      <c r="F1061" t="str">
        <f>HYPERLINK("https://www.google.com/maps/search/?api=1&amp;query=24.81112149,46.79641324", "View Map")</f>
        <v>View Map</v>
      </c>
    </row>
    <row r="1062" spans="1:7" x14ac:dyDescent="0.3">
      <c r="A1062" t="s">
        <v>3502</v>
      </c>
      <c r="B1062" t="s">
        <v>3503</v>
      </c>
      <c r="C1062" t="s">
        <v>255</v>
      </c>
      <c r="D1062">
        <v>6.36</v>
      </c>
      <c r="E1062" s="4">
        <v>2035</v>
      </c>
      <c r="F1062" t="str">
        <f>HYPERLINK("https://www.google.com/maps/search/?api=1&amp;query=25.49352568,44.41472497", "View Map")</f>
        <v>View Map</v>
      </c>
      <c r="G1062" s="2">
        <v>0.76538189125145695</v>
      </c>
    </row>
    <row r="1063" spans="1:7" x14ac:dyDescent="0.3">
      <c r="A1063" t="s">
        <v>1959</v>
      </c>
      <c r="B1063" t="s">
        <v>1960</v>
      </c>
      <c r="C1063" t="s">
        <v>8</v>
      </c>
      <c r="D1063">
        <v>6.3579999999999997</v>
      </c>
      <c r="E1063" s="4">
        <v>2035</v>
      </c>
      <c r="F1063" t="str">
        <f>HYPERLINK("https://www.google.com/maps/search/?api=1&amp;query=24.67200042,46.85038169", "View Map")</f>
        <v>View Map</v>
      </c>
      <c r="G1063" s="2">
        <v>0.56536306464668573</v>
      </c>
    </row>
    <row r="1064" spans="1:7" x14ac:dyDescent="0.3">
      <c r="A1064" t="s">
        <v>1914</v>
      </c>
      <c r="B1064" t="s">
        <v>1915</v>
      </c>
      <c r="C1064" t="s">
        <v>55</v>
      </c>
      <c r="D1064">
        <v>6.3449999999999998</v>
      </c>
      <c r="E1064" s="4">
        <v>2030</v>
      </c>
      <c r="F1064" t="str">
        <f>HYPERLINK("https://www.google.com/maps/search/?api=1&amp;query=24.75189426,46.53511499", "View Map")</f>
        <v>View Map</v>
      </c>
      <c r="G1064" s="2">
        <v>0.36549192975657407</v>
      </c>
    </row>
    <row r="1065" spans="1:7" x14ac:dyDescent="0.3">
      <c r="A1065" t="s">
        <v>1046</v>
      </c>
      <c r="B1065" t="s">
        <v>2815</v>
      </c>
      <c r="C1065" t="s">
        <v>8</v>
      </c>
      <c r="D1065">
        <v>6.3419999999999996</v>
      </c>
      <c r="E1065" s="4">
        <v>2030</v>
      </c>
      <c r="F1065" t="str">
        <f>HYPERLINK("https://www.google.com/maps/search/?api=1&amp;query=24.71118916,46.80532115", "View Map")</f>
        <v>View Map</v>
      </c>
      <c r="G1065" s="2">
        <v>0.51697792464041081</v>
      </c>
    </row>
    <row r="1066" spans="1:7" x14ac:dyDescent="0.3">
      <c r="A1066" t="s">
        <v>3241</v>
      </c>
      <c r="B1066" t="s">
        <v>3242</v>
      </c>
      <c r="C1066" t="s">
        <v>8</v>
      </c>
      <c r="D1066">
        <v>6.3339999999999996</v>
      </c>
      <c r="E1066" s="4">
        <v>2027</v>
      </c>
      <c r="F1066" t="str">
        <f>HYPERLINK("https://www.google.com/maps/search/?api=1&amp;query=24.71256,46.74539", "View Map")</f>
        <v>View Map</v>
      </c>
      <c r="G1066" s="2">
        <v>0.91329849468744584</v>
      </c>
    </row>
    <row r="1067" spans="1:7" x14ac:dyDescent="0.3">
      <c r="A1067" t="s">
        <v>146</v>
      </c>
      <c r="B1067" t="s">
        <v>3067</v>
      </c>
      <c r="C1067" t="s">
        <v>8</v>
      </c>
      <c r="D1067">
        <v>6.3339999999999996</v>
      </c>
      <c r="E1067" s="4">
        <v>2027</v>
      </c>
      <c r="F1067" t="str">
        <f>HYPERLINK("https://www.google.com/maps/search/?api=1&amp;query=24.6125,46.7017", "View Map")</f>
        <v>View Map</v>
      </c>
    </row>
    <row r="1068" spans="1:7" x14ac:dyDescent="0.3">
      <c r="A1068" t="s">
        <v>2390</v>
      </c>
      <c r="B1068" t="s">
        <v>2391</v>
      </c>
      <c r="C1068" t="s">
        <v>8</v>
      </c>
      <c r="D1068">
        <v>6.3310000000000004</v>
      </c>
      <c r="E1068" s="4">
        <v>2026</v>
      </c>
      <c r="F1068" t="str">
        <f>HYPERLINK("https://www.google.com/maps/search/?api=1&amp;query=24.81829816,46.63466773", "View Map")</f>
        <v>View Map</v>
      </c>
      <c r="G1068" s="2">
        <v>0.57120554448984373</v>
      </c>
    </row>
    <row r="1069" spans="1:7" x14ac:dyDescent="0.3">
      <c r="A1069" t="s">
        <v>46</v>
      </c>
      <c r="B1069" t="s">
        <v>3459</v>
      </c>
      <c r="C1069" t="s">
        <v>8</v>
      </c>
      <c r="D1069">
        <v>6.3310000000000004</v>
      </c>
      <c r="E1069" s="4">
        <v>2026</v>
      </c>
      <c r="F1069" t="str">
        <f>HYPERLINK("https://www.google.com/maps/search/?api=1&amp;query=24.6494479,46.76635901", "View Map")</f>
        <v>View Map</v>
      </c>
    </row>
    <row r="1070" spans="1:7" x14ac:dyDescent="0.3">
      <c r="A1070" t="s">
        <v>2265</v>
      </c>
      <c r="B1070" t="s">
        <v>2266</v>
      </c>
      <c r="C1070" t="s">
        <v>21</v>
      </c>
      <c r="D1070">
        <v>6.33</v>
      </c>
      <c r="E1070" s="4">
        <v>2026</v>
      </c>
      <c r="F1070" t="str">
        <f>HYPERLINK("https://www.google.com/maps/search/?api=1&amp;query=26.30351179,44.81387729", "View Map")</f>
        <v>View Map</v>
      </c>
      <c r="G1070" s="2">
        <v>0.7699530516431925</v>
      </c>
    </row>
    <row r="1071" spans="1:7" x14ac:dyDescent="0.3">
      <c r="A1071" t="s">
        <v>2871</v>
      </c>
      <c r="B1071" t="s">
        <v>2872</v>
      </c>
      <c r="C1071" t="s">
        <v>21</v>
      </c>
      <c r="D1071">
        <v>6.33</v>
      </c>
      <c r="E1071" s="4">
        <v>2026</v>
      </c>
      <c r="F1071" t="str">
        <f>HYPERLINK("https://www.google.com/maps/search/?api=1&amp;query=26.32825168,44.7907369", "View Map")</f>
        <v>View Map</v>
      </c>
      <c r="G1071" s="2">
        <v>0.55685840281572563</v>
      </c>
    </row>
    <row r="1072" spans="1:7" x14ac:dyDescent="0.3">
      <c r="A1072" t="s">
        <v>73</v>
      </c>
      <c r="B1072" t="s">
        <v>2428</v>
      </c>
      <c r="C1072" t="s">
        <v>8</v>
      </c>
      <c r="D1072">
        <v>6.3280000000000003</v>
      </c>
      <c r="E1072" s="4">
        <v>2025</v>
      </c>
      <c r="F1072" t="str">
        <f>HYPERLINK("https://www.google.com/maps/search/?api=1&amp;query=24.6636443,46.74780097", "View Map")</f>
        <v>View Map</v>
      </c>
      <c r="G1072" s="2">
        <v>0.93246287928564275</v>
      </c>
    </row>
    <row r="1073" spans="1:7" x14ac:dyDescent="0.3">
      <c r="A1073" t="s">
        <v>2346</v>
      </c>
      <c r="B1073" t="s">
        <v>2347</v>
      </c>
      <c r="C1073" t="s">
        <v>8</v>
      </c>
      <c r="D1073">
        <v>6.3259999999999996</v>
      </c>
      <c r="E1073" s="4">
        <v>2024</v>
      </c>
      <c r="F1073" t="str">
        <f>HYPERLINK("https://www.google.com/maps/search/?api=1&amp;query=24.6197,46.59", "View Map")</f>
        <v>View Map</v>
      </c>
      <c r="G1073" s="2">
        <v>0.6689265602681721</v>
      </c>
    </row>
    <row r="1074" spans="1:7" x14ac:dyDescent="0.3">
      <c r="A1074" t="s">
        <v>717</v>
      </c>
      <c r="B1074" t="s">
        <v>3315</v>
      </c>
      <c r="C1074" t="s">
        <v>255</v>
      </c>
      <c r="D1074">
        <v>6.3230000000000004</v>
      </c>
      <c r="E1074" s="4">
        <v>2023</v>
      </c>
      <c r="F1074" t="str">
        <f>HYPERLINK("https://www.google.com/maps/search/?api=1&amp;query=25.00488357,43.82359207", "View Map")</f>
        <v>View Map</v>
      </c>
      <c r="G1074" s="2">
        <v>0.47604189226475901</v>
      </c>
    </row>
    <row r="1075" spans="1:7" x14ac:dyDescent="0.3">
      <c r="A1075" t="s">
        <v>1854</v>
      </c>
      <c r="B1075" t="s">
        <v>1855</v>
      </c>
      <c r="C1075" t="s">
        <v>8</v>
      </c>
      <c r="D1075">
        <v>6.3220000000000001</v>
      </c>
      <c r="E1075" s="4">
        <v>2023</v>
      </c>
      <c r="F1075" t="str">
        <f>HYPERLINK("https://www.google.com/maps/search/?api=1&amp;query=24.69999857,46.80127742", "View Map")</f>
        <v>View Map</v>
      </c>
      <c r="G1075" s="2">
        <v>0.37525860450915183</v>
      </c>
    </row>
    <row r="1076" spans="1:7" x14ac:dyDescent="0.3">
      <c r="A1076" t="s">
        <v>2385</v>
      </c>
      <c r="B1076" t="s">
        <v>2386</v>
      </c>
      <c r="C1076" t="s">
        <v>8</v>
      </c>
      <c r="D1076">
        <v>6.3150000000000004</v>
      </c>
      <c r="E1076" s="4">
        <v>2021</v>
      </c>
      <c r="F1076" t="str">
        <f>HYPERLINK("https://www.google.com/maps/search/?api=1&amp;query=24.56232098,46.69868457", "View Map")</f>
        <v>View Map</v>
      </c>
      <c r="G1076" s="2">
        <v>0.43633631390042471</v>
      </c>
    </row>
    <row r="1077" spans="1:7" x14ac:dyDescent="0.3">
      <c r="A1077" t="s">
        <v>3015</v>
      </c>
      <c r="B1077" t="s">
        <v>3016</v>
      </c>
      <c r="C1077" t="s">
        <v>296</v>
      </c>
      <c r="D1077">
        <v>6.3140000000000001</v>
      </c>
      <c r="E1077" s="4">
        <v>2020</v>
      </c>
      <c r="F1077" t="str">
        <f>HYPERLINK("https://www.google.com/maps/search/?api=1&amp;query=24.49135346,46.23901855", "View Map")</f>
        <v>View Map</v>
      </c>
      <c r="G1077" s="2">
        <v>0.88867786508662006</v>
      </c>
    </row>
    <row r="1078" spans="1:7" x14ac:dyDescent="0.3">
      <c r="A1078" t="s">
        <v>73</v>
      </c>
      <c r="B1078" t="s">
        <v>3035</v>
      </c>
      <c r="C1078" t="s">
        <v>8</v>
      </c>
      <c r="D1078">
        <v>6.3129999999999997</v>
      </c>
      <c r="E1078" s="4">
        <v>2020</v>
      </c>
      <c r="F1078" t="str">
        <f>HYPERLINK("https://www.google.com/maps/search/?api=1&amp;query=24.65968414,46.79532928", "View Map")</f>
        <v>View Map</v>
      </c>
    </row>
    <row r="1079" spans="1:7" x14ac:dyDescent="0.3">
      <c r="A1079" t="s">
        <v>2539</v>
      </c>
      <c r="B1079" t="s">
        <v>2540</v>
      </c>
      <c r="C1079" t="s">
        <v>8</v>
      </c>
      <c r="D1079">
        <v>6.306</v>
      </c>
      <c r="E1079" s="4">
        <v>2018</v>
      </c>
      <c r="F1079" t="str">
        <f>HYPERLINK("https://www.google.com/maps/search/?api=1&amp;query=24.79970292,46.80872302", "View Map")</f>
        <v>View Map</v>
      </c>
    </row>
    <row r="1080" spans="1:7" x14ac:dyDescent="0.3">
      <c r="A1080" t="s">
        <v>6305</v>
      </c>
      <c r="B1080" t="s">
        <v>6306</v>
      </c>
      <c r="C1080" t="s">
        <v>738</v>
      </c>
      <c r="D1080">
        <v>6.3019999999999996</v>
      </c>
      <c r="E1080" s="4">
        <v>2017</v>
      </c>
      <c r="F1080" t="str">
        <f>HYPERLINK("https://www.google.com/maps/search/?api=1&amp;query=25.1772552,46.3362412", "View Map")</f>
        <v>View Map</v>
      </c>
      <c r="G1080" s="2">
        <v>0.59133880722667631</v>
      </c>
    </row>
    <row r="1081" spans="1:7" x14ac:dyDescent="0.3">
      <c r="A1081" t="s">
        <v>1824</v>
      </c>
      <c r="B1081" t="s">
        <v>1825</v>
      </c>
      <c r="C1081" t="s">
        <v>8</v>
      </c>
      <c r="D1081">
        <v>6.2990000000000004</v>
      </c>
      <c r="E1081" s="4">
        <v>2016</v>
      </c>
      <c r="F1081" t="str">
        <f>HYPERLINK("https://www.google.com/maps/search/?api=1&amp;query=24.68310064,46.77263798", "View Map")</f>
        <v>View Map</v>
      </c>
    </row>
    <row r="1082" spans="1:7" x14ac:dyDescent="0.3">
      <c r="A1082" t="s">
        <v>46</v>
      </c>
      <c r="B1082" t="s">
        <v>2154</v>
      </c>
      <c r="C1082" t="s">
        <v>8</v>
      </c>
      <c r="D1082">
        <v>6.298</v>
      </c>
      <c r="E1082" s="4">
        <v>2015</v>
      </c>
      <c r="F1082" t="str">
        <f>HYPERLINK("https://www.google.com/maps/search/?api=1&amp;query=24.76777355,46.74623896", "View Map")</f>
        <v>View Map</v>
      </c>
      <c r="G1082" s="2">
        <v>0.50503544199296946</v>
      </c>
    </row>
    <row r="1083" spans="1:7" x14ac:dyDescent="0.3">
      <c r="A1083" t="s">
        <v>46</v>
      </c>
      <c r="B1083" t="s">
        <v>6769</v>
      </c>
      <c r="C1083" t="s">
        <v>820</v>
      </c>
      <c r="D1083">
        <v>6.2850000000000001</v>
      </c>
      <c r="E1083" s="4">
        <v>2011</v>
      </c>
      <c r="F1083" t="str">
        <f>HYPERLINK("https://www.google.com/maps/search/?api=1&amp;query=0.0,0.0", "View Map")</f>
        <v>View Map</v>
      </c>
    </row>
    <row r="1084" spans="1:7" x14ac:dyDescent="0.3">
      <c r="A1084" t="s">
        <v>2683</v>
      </c>
      <c r="B1084" t="s">
        <v>2684</v>
      </c>
      <c r="C1084" t="s">
        <v>296</v>
      </c>
      <c r="D1084">
        <v>6.2830000000000004</v>
      </c>
      <c r="E1084" s="4">
        <v>2010</v>
      </c>
      <c r="F1084" t="str">
        <f>HYPERLINK("https://www.google.com/maps/search/?api=1&amp;query=24.47099635,46.30449675", "View Map")</f>
        <v>View Map</v>
      </c>
      <c r="G1084" s="2">
        <v>0.59171932772491675</v>
      </c>
    </row>
    <row r="1085" spans="1:7" x14ac:dyDescent="0.3">
      <c r="A1085" t="s">
        <v>46</v>
      </c>
      <c r="B1085" t="s">
        <v>4302</v>
      </c>
      <c r="C1085" t="s">
        <v>8</v>
      </c>
      <c r="D1085">
        <v>6.2789999999999999</v>
      </c>
      <c r="E1085" s="4">
        <v>2009</v>
      </c>
      <c r="F1085" t="str">
        <f>HYPERLINK("https://www.google.com/maps/search/?api=1&amp;query=24.8259204,46.58849274", "View Map")</f>
        <v>View Map</v>
      </c>
    </row>
    <row r="1086" spans="1:7" x14ac:dyDescent="0.3">
      <c r="A1086" t="s">
        <v>3433</v>
      </c>
      <c r="B1086" t="s">
        <v>3434</v>
      </c>
      <c r="C1086" t="s">
        <v>8</v>
      </c>
      <c r="D1086">
        <v>6.2789999999999999</v>
      </c>
      <c r="E1086" s="4">
        <v>2009</v>
      </c>
      <c r="F1086" t="str">
        <f>HYPERLINK("https://www.google.com/maps/search/?api=1&amp;query=24.72898476,46.81507056", "View Map")</f>
        <v>View Map</v>
      </c>
    </row>
    <row r="1087" spans="1:7" x14ac:dyDescent="0.3">
      <c r="A1087" t="s">
        <v>146</v>
      </c>
      <c r="B1087" t="s">
        <v>6636</v>
      </c>
      <c r="C1087" t="s">
        <v>8</v>
      </c>
      <c r="D1087">
        <v>6.2779999999999996</v>
      </c>
      <c r="E1087" s="4">
        <v>2009</v>
      </c>
      <c r="F1087" t="str">
        <f>HYPERLINK("https://www.google.com/maps/search/?api=1&amp;query=24.50511626,46.63291877", "View Map")</f>
        <v>View Map</v>
      </c>
    </row>
    <row r="1088" spans="1:7" x14ac:dyDescent="0.3">
      <c r="A1088" t="s">
        <v>3120</v>
      </c>
      <c r="B1088" t="s">
        <v>3121</v>
      </c>
      <c r="C1088" t="s">
        <v>442</v>
      </c>
      <c r="D1088">
        <v>6.2759999999999998</v>
      </c>
      <c r="E1088" s="4">
        <v>2008</v>
      </c>
      <c r="F1088" t="str">
        <f>HYPERLINK("https://www.google.com/maps/search/?api=1&amp;query=23.63807022,46.50699498", "View Map")</f>
        <v>View Map</v>
      </c>
      <c r="G1088" s="2">
        <v>0.7495514751712129</v>
      </c>
    </row>
    <row r="1089" spans="1:7" x14ac:dyDescent="0.3">
      <c r="A1089" t="s">
        <v>2426</v>
      </c>
      <c r="B1089" t="s">
        <v>2427</v>
      </c>
      <c r="C1089" t="s">
        <v>255</v>
      </c>
      <c r="D1089">
        <v>6.2720000000000002</v>
      </c>
      <c r="E1089" s="4">
        <v>2007</v>
      </c>
      <c r="F1089" t="str">
        <f>HYPERLINK("https://www.google.com/maps/search/?api=1&amp;query=24.50687074,44.39894575", "View Map")</f>
        <v>View Map</v>
      </c>
      <c r="G1089" s="2">
        <v>0.79192338453338385</v>
      </c>
    </row>
    <row r="1090" spans="1:7" x14ac:dyDescent="0.3">
      <c r="A1090" t="s">
        <v>146</v>
      </c>
      <c r="B1090" t="s">
        <v>2278</v>
      </c>
      <c r="C1090" t="s">
        <v>8</v>
      </c>
      <c r="D1090">
        <v>6.2670000000000003</v>
      </c>
      <c r="E1090" s="4">
        <v>2005</v>
      </c>
      <c r="F1090" t="str">
        <f>HYPERLINK("https://www.google.com/maps/search/?api=1&amp;query=24.55634248,46.658621", "View Map")</f>
        <v>View Map</v>
      </c>
      <c r="G1090" s="2">
        <v>0.60382561445630889</v>
      </c>
    </row>
    <row r="1091" spans="1:7" x14ac:dyDescent="0.3">
      <c r="A1091" t="s">
        <v>2642</v>
      </c>
      <c r="B1091" t="s">
        <v>2643</v>
      </c>
      <c r="C1091" t="s">
        <v>8</v>
      </c>
      <c r="D1091">
        <v>6.2629999999999999</v>
      </c>
      <c r="E1091" s="4">
        <v>2004</v>
      </c>
      <c r="F1091" t="str">
        <f>HYPERLINK("https://www.google.com/maps/search/?api=1&amp;query=24.76325194,46.61802798", "View Map")</f>
        <v>View Map</v>
      </c>
    </row>
    <row r="1092" spans="1:7" x14ac:dyDescent="0.3">
      <c r="A1092" t="s">
        <v>1662</v>
      </c>
      <c r="B1092" t="s">
        <v>1663</v>
      </c>
      <c r="C1092" t="s">
        <v>137</v>
      </c>
      <c r="D1092">
        <v>6.2619999999999996</v>
      </c>
      <c r="E1092" s="4">
        <v>2004</v>
      </c>
      <c r="F1092" t="str">
        <f>HYPERLINK("https://www.google.com/maps/search/?api=1&amp;query=23.45017029,46.80428492", "View Map")</f>
        <v>View Map</v>
      </c>
      <c r="G1092" s="2">
        <v>0.38354851784202659</v>
      </c>
    </row>
    <row r="1093" spans="1:7" x14ac:dyDescent="0.3">
      <c r="A1093" t="s">
        <v>1608</v>
      </c>
      <c r="B1093" t="s">
        <v>1609</v>
      </c>
      <c r="C1093" t="s">
        <v>8</v>
      </c>
      <c r="D1093">
        <v>6.258</v>
      </c>
      <c r="E1093" s="4">
        <v>2003</v>
      </c>
      <c r="F1093" t="str">
        <f>HYPERLINK("https://www.google.com/maps/search/?api=1&amp;query=24.71382511,46.61124475", "View Map")</f>
        <v>View Map</v>
      </c>
      <c r="G1093" s="2">
        <v>0.49272665115024039</v>
      </c>
    </row>
    <row r="1094" spans="1:7" x14ac:dyDescent="0.3">
      <c r="A1094" t="s">
        <v>2235</v>
      </c>
      <c r="B1094" t="s">
        <v>2236</v>
      </c>
      <c r="C1094" t="s">
        <v>8</v>
      </c>
      <c r="D1094">
        <v>6.2549999999999999</v>
      </c>
      <c r="E1094" s="4">
        <v>2002</v>
      </c>
      <c r="F1094" t="str">
        <f>HYPERLINK("https://www.google.com/maps/search/?api=1&amp;query=24.70136121,46.68967755", "View Map")</f>
        <v>View Map</v>
      </c>
      <c r="G1094" s="2">
        <v>0.64325089537815605</v>
      </c>
    </row>
    <row r="1095" spans="1:7" x14ac:dyDescent="0.3">
      <c r="A1095" t="s">
        <v>46</v>
      </c>
      <c r="B1095" t="s">
        <v>2523</v>
      </c>
      <c r="C1095" t="s">
        <v>8</v>
      </c>
      <c r="D1095">
        <v>6.2480000000000002</v>
      </c>
      <c r="E1095" s="4">
        <v>1999</v>
      </c>
      <c r="F1095" t="str">
        <f>HYPERLINK("https://www.google.com/maps/search/?api=1&amp;query=24.90322617,46.64243701", "View Map")</f>
        <v>View Map</v>
      </c>
      <c r="G1095" s="2">
        <v>0.42608022346740959</v>
      </c>
    </row>
    <row r="1096" spans="1:7" x14ac:dyDescent="0.3">
      <c r="A1096" t="s">
        <v>46</v>
      </c>
      <c r="B1096" t="s">
        <v>1050</v>
      </c>
      <c r="C1096" t="s">
        <v>8</v>
      </c>
      <c r="D1096">
        <v>6.2389999999999999</v>
      </c>
      <c r="E1096" s="4">
        <v>1997</v>
      </c>
      <c r="F1096" t="str">
        <f>HYPERLINK("https://www.google.com/maps/search/?api=1&amp;query=24.81972881,46.75291477", "View Map")</f>
        <v>View Map</v>
      </c>
    </row>
    <row r="1097" spans="1:7" x14ac:dyDescent="0.3">
      <c r="A1097" t="s">
        <v>1017</v>
      </c>
      <c r="B1097" t="s">
        <v>1018</v>
      </c>
      <c r="C1097" t="s">
        <v>8</v>
      </c>
      <c r="D1097">
        <v>6.2359999999999998</v>
      </c>
      <c r="E1097" s="4">
        <v>1996</v>
      </c>
      <c r="F1097" t="str">
        <f>HYPERLINK("https://www.google.com/maps/search/?api=1&amp;query=24.58311375,46.67311891", "View Map")</f>
        <v>View Map</v>
      </c>
      <c r="G1097" s="2">
        <v>0.30857622576076421</v>
      </c>
    </row>
    <row r="1098" spans="1:7" x14ac:dyDescent="0.3">
      <c r="A1098" t="s">
        <v>3906</v>
      </c>
      <c r="B1098" t="s">
        <v>3907</v>
      </c>
      <c r="C1098" t="s">
        <v>8</v>
      </c>
      <c r="D1098">
        <v>6.2320000000000002</v>
      </c>
      <c r="E1098" s="4">
        <v>1994</v>
      </c>
      <c r="F1098" t="str">
        <f>HYPERLINK("https://www.google.com/maps/search/?api=1&amp;query=24.59978954,46.74152664", "View Map")</f>
        <v>View Map</v>
      </c>
    </row>
    <row r="1099" spans="1:7" x14ac:dyDescent="0.3">
      <c r="A1099" t="s">
        <v>3255</v>
      </c>
      <c r="B1099" t="s">
        <v>3256</v>
      </c>
      <c r="C1099" t="s">
        <v>8</v>
      </c>
      <c r="D1099">
        <v>6.2309999999999999</v>
      </c>
      <c r="E1099" s="4">
        <v>1994</v>
      </c>
      <c r="F1099" t="str">
        <f>HYPERLINK("https://www.google.com/maps/search/?api=1&amp;query=24.76929878,46.83061247", "View Map")</f>
        <v>View Map</v>
      </c>
    </row>
    <row r="1100" spans="1:7" x14ac:dyDescent="0.3">
      <c r="A1100" t="s">
        <v>1926</v>
      </c>
      <c r="B1100" t="s">
        <v>1927</v>
      </c>
      <c r="C1100" t="s">
        <v>214</v>
      </c>
      <c r="D1100">
        <v>6.2290000000000001</v>
      </c>
      <c r="E1100" s="4">
        <v>1993</v>
      </c>
      <c r="F1100" t="str">
        <f>HYPERLINK("https://www.google.com/maps/search/?api=1&amp;query=25.91682055,45.37405376", "View Map")</f>
        <v>View Map</v>
      </c>
      <c r="G1100" s="2">
        <v>0.5873016765525142</v>
      </c>
    </row>
    <row r="1101" spans="1:7" x14ac:dyDescent="0.3">
      <c r="A1101" t="s">
        <v>2690</v>
      </c>
      <c r="B1101" t="s">
        <v>2691</v>
      </c>
      <c r="C1101" t="s">
        <v>255</v>
      </c>
      <c r="D1101">
        <v>6.2290000000000001</v>
      </c>
      <c r="E1101" s="4">
        <v>1993</v>
      </c>
      <c r="F1101" t="str">
        <f>HYPERLINK("https://www.google.com/maps/search/?api=1&amp;query=25.02341321,44.39828746", "View Map")</f>
        <v>View Map</v>
      </c>
      <c r="G1101" s="2">
        <v>0.74155515626792878</v>
      </c>
    </row>
    <row r="1102" spans="1:7" x14ac:dyDescent="0.3">
      <c r="A1102" t="s">
        <v>189</v>
      </c>
      <c r="B1102" t="s">
        <v>779</v>
      </c>
      <c r="C1102" t="s">
        <v>8</v>
      </c>
      <c r="D1102">
        <v>6.2240000000000002</v>
      </c>
      <c r="E1102" s="4">
        <v>1992</v>
      </c>
      <c r="F1102" t="str">
        <f>HYPERLINK("https://www.google.com/maps/search/?api=1&amp;query=24.58333482,46.77321823", "View Map")</f>
        <v>View Map</v>
      </c>
    </row>
    <row r="1103" spans="1:7" x14ac:dyDescent="0.3">
      <c r="A1103" t="s">
        <v>2400</v>
      </c>
      <c r="B1103" t="s">
        <v>2401</v>
      </c>
      <c r="C1103" t="s">
        <v>21</v>
      </c>
      <c r="D1103">
        <v>6.2220000000000004</v>
      </c>
      <c r="E1103" s="4">
        <v>1991</v>
      </c>
      <c r="F1103" t="str">
        <f>HYPERLINK("https://www.google.com/maps/search/?api=1&amp;query=26.28250759,44.83357734", "View Map")</f>
        <v>View Map</v>
      </c>
      <c r="G1103" s="2">
        <v>0.61002192281014911</v>
      </c>
    </row>
    <row r="1104" spans="1:7" x14ac:dyDescent="0.3">
      <c r="A1104" t="s">
        <v>2448</v>
      </c>
      <c r="B1104" t="s">
        <v>2449</v>
      </c>
      <c r="C1104" t="s">
        <v>296</v>
      </c>
      <c r="D1104">
        <v>6.2169999999999996</v>
      </c>
      <c r="E1104" s="4">
        <v>1989</v>
      </c>
      <c r="F1104" t="str">
        <f>HYPERLINK("https://www.google.com/maps/search/?api=1&amp;query=24.48140226,46.28774253", "View Map")</f>
        <v>View Map</v>
      </c>
      <c r="G1104" s="2">
        <v>0.74690154388662866</v>
      </c>
    </row>
    <row r="1105" spans="1:7" x14ac:dyDescent="0.3">
      <c r="A1105" t="s">
        <v>146</v>
      </c>
      <c r="B1105" t="s">
        <v>2953</v>
      </c>
      <c r="C1105" t="s">
        <v>8</v>
      </c>
      <c r="D1105">
        <v>6.2169999999999996</v>
      </c>
      <c r="E1105" s="4">
        <v>1990</v>
      </c>
      <c r="F1105" t="str">
        <f>HYPERLINK("https://www.google.com/maps/search/?api=1&amp;query=24.61499848,46.65565514", "View Map")</f>
        <v>View Map</v>
      </c>
      <c r="G1105" s="2">
        <v>0.47080952534884651</v>
      </c>
    </row>
    <row r="1106" spans="1:7" x14ac:dyDescent="0.3">
      <c r="A1106" t="s">
        <v>46</v>
      </c>
      <c r="B1106" t="s">
        <v>842</v>
      </c>
      <c r="C1106" t="s">
        <v>8</v>
      </c>
      <c r="D1106">
        <v>6.2160000000000002</v>
      </c>
      <c r="E1106" s="4">
        <v>1989</v>
      </c>
      <c r="F1106" t="str">
        <f>HYPERLINK("https://www.google.com/maps/search/?api=1&amp;query=24.61704107,46.72934435", "View Map")</f>
        <v>View Map</v>
      </c>
      <c r="G1106" s="2">
        <v>0.2165561521408132</v>
      </c>
    </row>
    <row r="1107" spans="1:7" x14ac:dyDescent="0.3">
      <c r="A1107" t="s">
        <v>2048</v>
      </c>
      <c r="B1107" t="s">
        <v>2049</v>
      </c>
      <c r="C1107" t="s">
        <v>8</v>
      </c>
      <c r="D1107">
        <v>6.2140000000000004</v>
      </c>
      <c r="E1107" s="4">
        <v>1988</v>
      </c>
      <c r="F1107" t="str">
        <f>HYPERLINK("https://www.google.com/maps/search/?api=1&amp;query=24.79321913,46.62678256", "View Map")</f>
        <v>View Map</v>
      </c>
    </row>
    <row r="1108" spans="1:7" x14ac:dyDescent="0.3">
      <c r="A1108" t="s">
        <v>46</v>
      </c>
      <c r="B1108" t="s">
        <v>2308</v>
      </c>
      <c r="C1108" t="s">
        <v>8</v>
      </c>
      <c r="D1108">
        <v>6.2069999999999999</v>
      </c>
      <c r="E1108" s="4">
        <v>1986</v>
      </c>
      <c r="F1108" t="str">
        <f>HYPERLINK("https://www.google.com/maps/search/?api=1&amp;query=24.8373228,46.59367661", "View Map")</f>
        <v>View Map</v>
      </c>
    </row>
    <row r="1109" spans="1:7" x14ac:dyDescent="0.3">
      <c r="A1109" t="s">
        <v>3616</v>
      </c>
      <c r="B1109" t="s">
        <v>3617</v>
      </c>
      <c r="C1109" t="s">
        <v>8</v>
      </c>
      <c r="D1109">
        <v>6.2039999999999997</v>
      </c>
      <c r="E1109" s="4">
        <v>1985</v>
      </c>
      <c r="F1109" t="str">
        <f>HYPERLINK("https://www.google.com/maps/search/?api=1&amp;query=24.55190546,46.65689037", "View Map")</f>
        <v>View Map</v>
      </c>
      <c r="G1109" s="2">
        <v>0.49077057151680209</v>
      </c>
    </row>
    <row r="1110" spans="1:7" x14ac:dyDescent="0.3">
      <c r="A1110" t="s">
        <v>2630</v>
      </c>
      <c r="B1110" t="s">
        <v>2631</v>
      </c>
      <c r="C1110" t="s">
        <v>55</v>
      </c>
      <c r="D1110">
        <v>6.202</v>
      </c>
      <c r="E1110" s="4">
        <v>1985</v>
      </c>
      <c r="F1110" t="str">
        <f>HYPERLINK("https://www.google.com/maps/search/?api=1&amp;query=24.7567641,46.5746134", "View Map")</f>
        <v>View Map</v>
      </c>
      <c r="G1110" s="2">
        <v>0.46277856804172601</v>
      </c>
    </row>
    <row r="1111" spans="1:7" x14ac:dyDescent="0.3">
      <c r="A1111" t="s">
        <v>2281</v>
      </c>
      <c r="B1111" t="s">
        <v>2785</v>
      </c>
      <c r="C1111" t="s">
        <v>8</v>
      </c>
      <c r="D1111">
        <v>6.1989999999999998</v>
      </c>
      <c r="E1111" s="4">
        <v>1984</v>
      </c>
      <c r="F1111" t="str">
        <f>HYPERLINK("https://www.google.com/maps/search/?api=1&amp;query=24.7160165,46.80830358", "View Map")</f>
        <v>View Map</v>
      </c>
      <c r="G1111" s="2">
        <v>0.52799870192879339</v>
      </c>
    </row>
    <row r="1112" spans="1:7" x14ac:dyDescent="0.3">
      <c r="A1112" t="s">
        <v>46</v>
      </c>
      <c r="B1112" t="s">
        <v>2231</v>
      </c>
      <c r="C1112" t="s">
        <v>8</v>
      </c>
      <c r="D1112">
        <v>6.1980000000000004</v>
      </c>
      <c r="E1112" s="4">
        <v>1983</v>
      </c>
      <c r="F1112" t="str">
        <f>HYPERLINK("https://www.google.com/maps/search/?api=1&amp;query=24.92570141,46.81880472", "View Map")</f>
        <v>View Map</v>
      </c>
      <c r="G1112" s="2">
        <v>0.4065588687554848</v>
      </c>
    </row>
    <row r="1113" spans="1:7" x14ac:dyDescent="0.3">
      <c r="A1113" t="s">
        <v>46</v>
      </c>
      <c r="B1113" t="s">
        <v>3215</v>
      </c>
      <c r="C1113" t="s">
        <v>8</v>
      </c>
      <c r="D1113">
        <v>6.1980000000000004</v>
      </c>
      <c r="E1113" s="4">
        <v>1984</v>
      </c>
      <c r="F1113" t="str">
        <f>HYPERLINK("https://www.google.com/maps/search/?api=1&amp;query=24.80921122,46.67418771", "View Map")</f>
        <v>View Map</v>
      </c>
      <c r="G1113" s="2">
        <v>0.70151482539825127</v>
      </c>
    </row>
    <row r="1114" spans="1:7" x14ac:dyDescent="0.3">
      <c r="A1114" t="s">
        <v>2010</v>
      </c>
      <c r="B1114" t="s">
        <v>2011</v>
      </c>
      <c r="C1114" t="s">
        <v>8</v>
      </c>
      <c r="D1114">
        <v>6.1840000000000002</v>
      </c>
      <c r="E1114" s="4">
        <v>1979</v>
      </c>
      <c r="F1114" t="str">
        <f>HYPERLINK("https://www.google.com/maps/search/?api=1&amp;query=24.79925151,46.75696958", "View Map")</f>
        <v>View Map</v>
      </c>
      <c r="G1114" s="2">
        <v>0.40589065111201511</v>
      </c>
    </row>
    <row r="1115" spans="1:7" x14ac:dyDescent="0.3">
      <c r="A1115" t="s">
        <v>1963</v>
      </c>
      <c r="B1115" t="s">
        <v>1964</v>
      </c>
      <c r="C1115" t="s">
        <v>8</v>
      </c>
      <c r="D1115">
        <v>6.1829999999999998</v>
      </c>
      <c r="E1115" s="4">
        <v>1979</v>
      </c>
      <c r="F1115" t="str">
        <f>HYPERLINK("https://www.google.com/maps/search/?api=1&amp;query=24.63451704,46.59397562", "View Map")</f>
        <v>View Map</v>
      </c>
      <c r="G1115" s="2">
        <v>0.38922684215974013</v>
      </c>
    </row>
    <row r="1116" spans="1:7" x14ac:dyDescent="0.3">
      <c r="A1116" t="s">
        <v>146</v>
      </c>
      <c r="B1116" t="s">
        <v>1030</v>
      </c>
      <c r="C1116" t="s">
        <v>8</v>
      </c>
      <c r="D1116">
        <v>6.1829999999999998</v>
      </c>
      <c r="E1116" s="4">
        <v>1979</v>
      </c>
      <c r="F1116" t="str">
        <f>HYPERLINK("https://www.google.com/maps/search/?api=1&amp;query=24.67075781,46.74287983", "View Map")</f>
        <v>View Map</v>
      </c>
      <c r="G1116" s="2">
        <v>0.2431886997419849</v>
      </c>
    </row>
    <row r="1117" spans="1:7" x14ac:dyDescent="0.3">
      <c r="A1117" t="s">
        <v>46</v>
      </c>
      <c r="B1117" t="s">
        <v>5055</v>
      </c>
      <c r="C1117" t="s">
        <v>8</v>
      </c>
      <c r="D1117">
        <v>6.1820000000000004</v>
      </c>
      <c r="E1117" s="4">
        <v>1978</v>
      </c>
      <c r="F1117" t="str">
        <f>HYPERLINK("https://www.google.com/maps/search/?api=1&amp;query=24.82311751,46.77345016", "View Map")</f>
        <v>View Map</v>
      </c>
    </row>
    <row r="1118" spans="1:7" x14ac:dyDescent="0.3">
      <c r="A1118" t="s">
        <v>2042</v>
      </c>
      <c r="B1118" t="s">
        <v>2043</v>
      </c>
      <c r="C1118" t="s">
        <v>8</v>
      </c>
      <c r="D1118">
        <v>6.1669999999999998</v>
      </c>
      <c r="E1118" s="4">
        <v>1973</v>
      </c>
      <c r="F1118" t="str">
        <f>HYPERLINK("https://www.google.com/maps/search/?api=1&amp;query=24.75799798,46.75921396", "View Map")</f>
        <v>View Map</v>
      </c>
    </row>
    <row r="1119" spans="1:7" x14ac:dyDescent="0.3">
      <c r="A1119" t="s">
        <v>661</v>
      </c>
      <c r="B1119" t="s">
        <v>2350</v>
      </c>
      <c r="C1119" t="s">
        <v>214</v>
      </c>
      <c r="D1119">
        <v>6.1609999999999996</v>
      </c>
      <c r="E1119" s="4">
        <v>1971</v>
      </c>
      <c r="F1119" t="str">
        <f>HYPERLINK("https://www.google.com/maps/search/?api=1&amp;query=25.70290708,45.45487016", "View Map")</f>
        <v>View Map</v>
      </c>
      <c r="G1119" s="2">
        <v>0.62179269924609815</v>
      </c>
    </row>
    <row r="1120" spans="1:7" x14ac:dyDescent="0.3">
      <c r="A1120" t="s">
        <v>2657</v>
      </c>
      <c r="B1120" t="s">
        <v>2658</v>
      </c>
      <c r="C1120" t="s">
        <v>8</v>
      </c>
      <c r="D1120">
        <v>6.16</v>
      </c>
      <c r="E1120" s="4">
        <v>1971</v>
      </c>
      <c r="F1120" t="str">
        <f>HYPERLINK("https://www.google.com/maps/search/?api=1&amp;query=24.74523184,46.79897044", "View Map")</f>
        <v>View Map</v>
      </c>
      <c r="G1120" s="2">
        <v>0.47126984772953773</v>
      </c>
    </row>
    <row r="1121" spans="1:7" x14ac:dyDescent="0.3">
      <c r="A1121" t="s">
        <v>2192</v>
      </c>
      <c r="B1121" t="s">
        <v>2193</v>
      </c>
      <c r="C1121" t="s">
        <v>1112</v>
      </c>
      <c r="D1121">
        <v>6.1559999999999997</v>
      </c>
      <c r="E1121" s="4">
        <v>1970</v>
      </c>
      <c r="F1121" t="str">
        <f>HYPERLINK("https://www.google.com/maps/search/?api=1&amp;query=26.02902076,44.9471743", "View Map")</f>
        <v>View Map</v>
      </c>
    </row>
    <row r="1122" spans="1:7" x14ac:dyDescent="0.3">
      <c r="A1122" t="s">
        <v>3322</v>
      </c>
      <c r="B1122" t="s">
        <v>3323</v>
      </c>
      <c r="C1122" t="s">
        <v>393</v>
      </c>
      <c r="D1122">
        <v>6.1539999999999999</v>
      </c>
      <c r="E1122" s="4">
        <v>1969</v>
      </c>
      <c r="F1122" t="str">
        <f>HYPERLINK("https://www.google.com/maps/search/?api=1&amp;query=22.52873728,45.0810632", "View Map")</f>
        <v>View Map</v>
      </c>
      <c r="G1122" s="2">
        <v>0.88824632165687911</v>
      </c>
    </row>
    <row r="1123" spans="1:7" x14ac:dyDescent="0.3">
      <c r="A1123" t="s">
        <v>3281</v>
      </c>
      <c r="B1123" t="s">
        <v>3282</v>
      </c>
      <c r="C1123" t="s">
        <v>255</v>
      </c>
      <c r="D1123">
        <v>6.1539999999999999</v>
      </c>
      <c r="E1123" s="4">
        <v>1969</v>
      </c>
      <c r="F1123" t="str">
        <f>HYPERLINK("https://www.google.com/maps/search/?api=1&amp;query=25.26241282,44.21773332", "View Map")</f>
        <v>View Map</v>
      </c>
      <c r="G1123" s="2">
        <v>0.66125030859431733</v>
      </c>
    </row>
    <row r="1124" spans="1:7" x14ac:dyDescent="0.3">
      <c r="A1124" t="s">
        <v>1104</v>
      </c>
      <c r="B1124" t="s">
        <v>1105</v>
      </c>
      <c r="C1124" t="s">
        <v>8</v>
      </c>
      <c r="D1124">
        <v>6.149</v>
      </c>
      <c r="E1124" s="4">
        <v>1968</v>
      </c>
      <c r="F1124" t="str">
        <f>HYPERLINK("https://www.google.com/maps/search/?api=1&amp;query=24.72750417,46.7666192", "View Map")</f>
        <v>View Map</v>
      </c>
      <c r="G1124" s="2">
        <v>0.31634194389058268</v>
      </c>
    </row>
    <row r="1125" spans="1:7" x14ac:dyDescent="0.3">
      <c r="A1125" t="s">
        <v>2917</v>
      </c>
      <c r="B1125" t="s">
        <v>2918</v>
      </c>
      <c r="C1125" t="s">
        <v>8</v>
      </c>
      <c r="D1125">
        <v>6.1440000000000001</v>
      </c>
      <c r="E1125" s="4">
        <v>1966</v>
      </c>
      <c r="F1125" t="str">
        <f>HYPERLINK("https://www.google.com/maps/search/?api=1&amp;query=24.62948346,46.55079822", "View Map")</f>
        <v>View Map</v>
      </c>
      <c r="G1125" s="2">
        <v>0.41745795807132041</v>
      </c>
    </row>
    <row r="1126" spans="1:7" x14ac:dyDescent="0.3">
      <c r="A1126" t="s">
        <v>2577</v>
      </c>
      <c r="B1126" t="s">
        <v>2578</v>
      </c>
      <c r="C1126" t="s">
        <v>8</v>
      </c>
      <c r="D1126">
        <v>6.1349999999999998</v>
      </c>
      <c r="E1126" s="4">
        <v>1963</v>
      </c>
      <c r="F1126" t="str">
        <f>HYPERLINK("https://www.google.com/maps/search/?api=1&amp;query=24.70231294,46.75759735", "View Map")</f>
        <v>View Map</v>
      </c>
      <c r="G1126" s="2">
        <v>0.60328648488032788</v>
      </c>
    </row>
    <row r="1127" spans="1:7" x14ac:dyDescent="0.3">
      <c r="A1127" t="s">
        <v>2554</v>
      </c>
      <c r="B1127" t="s">
        <v>2555</v>
      </c>
      <c r="C1127" t="s">
        <v>8</v>
      </c>
      <c r="D1127">
        <v>6.1310000000000002</v>
      </c>
      <c r="E1127" s="4">
        <v>1962</v>
      </c>
      <c r="F1127" t="str">
        <f>HYPERLINK("https://www.google.com/maps/search/?api=1&amp;query=24.7639598,46.68871681", "View Map")</f>
        <v>View Map</v>
      </c>
    </row>
    <row r="1128" spans="1:7" x14ac:dyDescent="0.3">
      <c r="A1128" t="s">
        <v>2055</v>
      </c>
      <c r="B1128" t="s">
        <v>2056</v>
      </c>
      <c r="C1128" t="s">
        <v>8</v>
      </c>
      <c r="D1128">
        <v>6.1310000000000002</v>
      </c>
      <c r="E1128" s="4">
        <v>1962</v>
      </c>
      <c r="F1128" t="str">
        <f>HYPERLINK("https://www.google.com/maps/search/?api=1&amp;query=24.73681019,46.66074584", "View Map")</f>
        <v>View Map</v>
      </c>
    </row>
    <row r="1129" spans="1:7" x14ac:dyDescent="0.3">
      <c r="A1129" t="s">
        <v>3299</v>
      </c>
      <c r="B1129" t="s">
        <v>3300</v>
      </c>
      <c r="C1129" t="s">
        <v>646</v>
      </c>
      <c r="D1129">
        <v>6.1219999999999999</v>
      </c>
      <c r="E1129" s="4">
        <v>1959</v>
      </c>
      <c r="F1129" t="str">
        <f>HYPERLINK("https://www.google.com/maps/search/?api=1&amp;query=20.4641214,45.57750053", "View Map")</f>
        <v>View Map</v>
      </c>
    </row>
    <row r="1130" spans="1:7" x14ac:dyDescent="0.3">
      <c r="A1130" t="s">
        <v>3045</v>
      </c>
      <c r="B1130" t="s">
        <v>3046</v>
      </c>
      <c r="C1130" t="s">
        <v>255</v>
      </c>
      <c r="D1130">
        <v>6.1189999999999998</v>
      </c>
      <c r="E1130" s="4">
        <v>1958</v>
      </c>
      <c r="F1130" t="str">
        <f>HYPERLINK("https://www.google.com/maps/search/?api=1&amp;query=25.1901464,44.59711585", "View Map")</f>
        <v>View Map</v>
      </c>
      <c r="G1130" s="2">
        <v>0.76229878300890708</v>
      </c>
    </row>
    <row r="1131" spans="1:7" x14ac:dyDescent="0.3">
      <c r="A1131" t="s">
        <v>2820</v>
      </c>
      <c r="B1131" t="s">
        <v>2821</v>
      </c>
      <c r="C1131" t="s">
        <v>21</v>
      </c>
      <c r="D1131">
        <v>6.1109999999999998</v>
      </c>
      <c r="E1131" s="4">
        <v>1955</v>
      </c>
      <c r="F1131" t="str">
        <f>HYPERLINK("https://www.google.com/maps/search/?api=1&amp;query=26.3075785,44.80468752", "View Map")</f>
        <v>View Map</v>
      </c>
      <c r="G1131" s="2">
        <v>0.59606379093116768</v>
      </c>
    </row>
    <row r="1132" spans="1:7" x14ac:dyDescent="0.3">
      <c r="A1132" t="s">
        <v>2248</v>
      </c>
      <c r="B1132" t="s">
        <v>2249</v>
      </c>
      <c r="C1132" t="s">
        <v>30</v>
      </c>
      <c r="D1132">
        <v>6.11</v>
      </c>
      <c r="E1132" s="4">
        <v>1955</v>
      </c>
      <c r="F1132" t="str">
        <f>HYPERLINK("https://www.google.com/maps/search/?api=1&amp;query=24.12023,47.29528", "View Map")</f>
        <v>View Map</v>
      </c>
      <c r="G1132" s="2">
        <v>0.87289762022457296</v>
      </c>
    </row>
    <row r="1133" spans="1:7" x14ac:dyDescent="0.3">
      <c r="A1133" t="s">
        <v>8024</v>
      </c>
      <c r="B1133" t="s">
        <v>8025</v>
      </c>
      <c r="C1133" t="s">
        <v>8</v>
      </c>
      <c r="D1133">
        <v>6.1059999999999999</v>
      </c>
      <c r="E1133" s="4">
        <v>1954</v>
      </c>
      <c r="F1133" t="str">
        <f>HYPERLINK("https://www.google.com/maps/search/?api=1&amp;query=24.53702639,46.65281047", "View Map")</f>
        <v>View Map</v>
      </c>
    </row>
    <row r="1134" spans="1:7" x14ac:dyDescent="0.3">
      <c r="A1134" t="s">
        <v>2496</v>
      </c>
      <c r="B1134" t="s">
        <v>2497</v>
      </c>
      <c r="C1134" t="s">
        <v>8</v>
      </c>
      <c r="D1134">
        <v>6.0990000000000002</v>
      </c>
      <c r="E1134" s="4">
        <v>1952</v>
      </c>
      <c r="F1134" t="str">
        <f>HYPERLINK("https://www.google.com/maps/search/?api=1&amp;query=24.75305819,46.8368532", "View Map")</f>
        <v>View Map</v>
      </c>
    </row>
    <row r="1135" spans="1:7" x14ac:dyDescent="0.3">
      <c r="A1135" t="s">
        <v>1965</v>
      </c>
      <c r="B1135" t="s">
        <v>1966</v>
      </c>
      <c r="C1135" t="s">
        <v>8</v>
      </c>
      <c r="D1135">
        <v>6.0990000000000002</v>
      </c>
      <c r="E1135" s="4">
        <v>1952</v>
      </c>
      <c r="F1135" t="str">
        <f>HYPERLINK("https://www.google.com/maps/search/?api=1&amp;query=24.58771465,46.64476095", "View Map")</f>
        <v>View Map</v>
      </c>
    </row>
    <row r="1136" spans="1:7" x14ac:dyDescent="0.3">
      <c r="A1136" t="s">
        <v>2429</v>
      </c>
      <c r="B1136" t="s">
        <v>2430</v>
      </c>
      <c r="C1136" t="s">
        <v>8</v>
      </c>
      <c r="D1136">
        <v>6.0979999999999999</v>
      </c>
      <c r="E1136" s="4">
        <v>1952</v>
      </c>
      <c r="F1136" t="str">
        <f>HYPERLINK("https://www.google.com/maps/search/?api=1&amp;query=24.73947482,46.67952217", "View Map")</f>
        <v>View Map</v>
      </c>
      <c r="G1136" s="2">
        <v>0.41378672184711918</v>
      </c>
    </row>
    <row r="1137" spans="1:7" x14ac:dyDescent="0.3">
      <c r="A1137" t="s">
        <v>2597</v>
      </c>
      <c r="B1137" t="s">
        <v>2598</v>
      </c>
      <c r="C1137" t="s">
        <v>291</v>
      </c>
      <c r="D1137">
        <v>6.093</v>
      </c>
      <c r="E1137" s="4">
        <v>1950</v>
      </c>
      <c r="F1137" t="str">
        <f>HYPERLINK("https://www.google.com/maps/search/?api=1&amp;query=23.78627,44.78729", "View Map")</f>
        <v>View Map</v>
      </c>
      <c r="G1137" s="2">
        <v>0.81072177576875548</v>
      </c>
    </row>
    <row r="1138" spans="1:7" x14ac:dyDescent="0.3">
      <c r="A1138" t="s">
        <v>1868</v>
      </c>
      <c r="B1138" t="s">
        <v>1869</v>
      </c>
      <c r="C1138" t="s">
        <v>8</v>
      </c>
      <c r="D1138">
        <v>6.0890000000000004</v>
      </c>
      <c r="E1138" s="4">
        <v>1948</v>
      </c>
      <c r="F1138" t="str">
        <f>HYPERLINK("https://www.google.com/maps/search/?api=1&amp;query=24.80230639,46.67065823", "View Map")</f>
        <v>View Map</v>
      </c>
    </row>
    <row r="1139" spans="1:7" x14ac:dyDescent="0.3">
      <c r="A1139" t="s">
        <v>1916</v>
      </c>
      <c r="B1139" t="s">
        <v>1917</v>
      </c>
      <c r="C1139" t="s">
        <v>8</v>
      </c>
      <c r="D1139">
        <v>6.0860000000000003</v>
      </c>
      <c r="E1139" s="4">
        <v>1947</v>
      </c>
      <c r="F1139" t="str">
        <f>HYPERLINK("https://www.google.com/maps/search/?api=1&amp;query=24.76900782,46.75974478", "View Map")</f>
        <v>View Map</v>
      </c>
      <c r="G1139" s="2">
        <v>0.37795130126661258</v>
      </c>
    </row>
    <row r="1140" spans="1:7" x14ac:dyDescent="0.3">
      <c r="A1140" t="s">
        <v>2557</v>
      </c>
      <c r="B1140" t="s">
        <v>2558</v>
      </c>
      <c r="C1140" t="s">
        <v>21</v>
      </c>
      <c r="D1140">
        <v>6.0810000000000004</v>
      </c>
      <c r="E1140" s="4">
        <v>1946</v>
      </c>
      <c r="F1140" t="str">
        <f>HYPERLINK("https://www.google.com/maps/search/?api=1&amp;query=26.33553422,44.79362185", "View Map")</f>
        <v>View Map</v>
      </c>
      <c r="G1140" s="2">
        <v>0.71318709438115735</v>
      </c>
    </row>
    <row r="1141" spans="1:7" x14ac:dyDescent="0.3">
      <c r="A1141" t="s">
        <v>2326</v>
      </c>
      <c r="B1141" t="s">
        <v>2327</v>
      </c>
      <c r="C1141" t="s">
        <v>8</v>
      </c>
      <c r="D1141">
        <v>6.08</v>
      </c>
      <c r="E1141" s="4">
        <v>1946</v>
      </c>
      <c r="F1141" t="str">
        <f>HYPERLINK("https://www.google.com/maps/search/?api=1&amp;query=24.82493525,46.60410168", "View Map")</f>
        <v>View Map</v>
      </c>
    </row>
    <row r="1142" spans="1:7" x14ac:dyDescent="0.3">
      <c r="A1142" t="s">
        <v>242</v>
      </c>
      <c r="B1142" t="s">
        <v>243</v>
      </c>
      <c r="C1142" t="s">
        <v>8</v>
      </c>
      <c r="D1142">
        <v>6.0750000000000002</v>
      </c>
      <c r="E1142" s="4">
        <v>1944</v>
      </c>
      <c r="F1142" t="str">
        <f>HYPERLINK("https://www.google.com/maps/search/?api=1&amp;query=24.76978328,46.78655468", "View Map")</f>
        <v>View Map</v>
      </c>
      <c r="G1142" s="2">
        <v>0.14494072932465249</v>
      </c>
    </row>
    <row r="1143" spans="1:7" x14ac:dyDescent="0.3">
      <c r="A1143" t="s">
        <v>46</v>
      </c>
      <c r="B1143" t="s">
        <v>2239</v>
      </c>
      <c r="C1143" t="s">
        <v>8</v>
      </c>
      <c r="D1143">
        <v>6.0750000000000002</v>
      </c>
      <c r="E1143" s="4">
        <v>1944</v>
      </c>
      <c r="F1143" t="str">
        <f>HYPERLINK("https://www.google.com/maps/search/?api=1&amp;query=24.8132609,46.76532847", "View Map")</f>
        <v>View Map</v>
      </c>
      <c r="G1143" s="2">
        <v>0.3880365190538983</v>
      </c>
    </row>
    <row r="1144" spans="1:7" x14ac:dyDescent="0.3">
      <c r="A1144" t="s">
        <v>2099</v>
      </c>
      <c r="B1144" t="s">
        <v>2100</v>
      </c>
      <c r="C1144" t="s">
        <v>214</v>
      </c>
      <c r="D1144">
        <v>6.0730000000000004</v>
      </c>
      <c r="E1144" s="4">
        <v>1943</v>
      </c>
      <c r="F1144" t="str">
        <f>HYPERLINK("https://www.google.com/maps/search/?api=1&amp;query=25.91208717,45.35667313", "View Map")</f>
        <v>View Map</v>
      </c>
      <c r="G1144" s="2">
        <v>0.37094972401758503</v>
      </c>
    </row>
    <row r="1145" spans="1:7" x14ac:dyDescent="0.3">
      <c r="A1145" t="s">
        <v>740</v>
      </c>
      <c r="B1145" t="s">
        <v>3068</v>
      </c>
      <c r="C1145" t="s">
        <v>255</v>
      </c>
      <c r="D1145">
        <v>6.069</v>
      </c>
      <c r="E1145" s="4">
        <v>1942</v>
      </c>
      <c r="F1145" t="str">
        <f>HYPERLINK("https://www.google.com/maps/search/?api=1&amp;query=25.06963126,44.69718296", "View Map")</f>
        <v>View Map</v>
      </c>
      <c r="G1145" s="2">
        <v>0.67430540543518735</v>
      </c>
    </row>
    <row r="1146" spans="1:7" x14ac:dyDescent="0.3">
      <c r="A1146" t="s">
        <v>576</v>
      </c>
      <c r="B1146" t="s">
        <v>577</v>
      </c>
      <c r="C1146" t="s">
        <v>8</v>
      </c>
      <c r="D1146">
        <v>6.0679999999999996</v>
      </c>
      <c r="E1146" s="4">
        <v>1942</v>
      </c>
      <c r="F1146" t="str">
        <f>HYPERLINK("https://www.google.com/maps/search/?api=1&amp;query=24.53701108,46.72293121", "View Map")</f>
        <v>View Map</v>
      </c>
      <c r="G1146" s="2">
        <v>0.23589479387238479</v>
      </c>
    </row>
    <row r="1147" spans="1:7" x14ac:dyDescent="0.3">
      <c r="A1147" t="s">
        <v>7921</v>
      </c>
      <c r="B1147" t="s">
        <v>7922</v>
      </c>
      <c r="C1147" t="s">
        <v>291</v>
      </c>
      <c r="D1147">
        <v>6.0650000000000004</v>
      </c>
      <c r="E1147" s="4">
        <v>1941</v>
      </c>
      <c r="F1147" t="str">
        <f>HYPERLINK("https://www.google.com/maps/search/?api=1&amp;query=23.84872371,44.99574978", "View Map")</f>
        <v>View Map</v>
      </c>
      <c r="G1147" s="2">
        <v>1.087132580822542</v>
      </c>
    </row>
    <row r="1148" spans="1:7" x14ac:dyDescent="0.3">
      <c r="A1148" t="s">
        <v>2353</v>
      </c>
      <c r="B1148" t="s">
        <v>2354</v>
      </c>
      <c r="C1148" t="s">
        <v>255</v>
      </c>
      <c r="D1148">
        <v>6.0609999999999999</v>
      </c>
      <c r="E1148" s="4">
        <v>1940</v>
      </c>
      <c r="F1148" t="str">
        <f>HYPERLINK("https://www.google.com/maps/search/?api=1&amp;query=24.5348371,44.27351676", "View Map")</f>
        <v>View Map</v>
      </c>
      <c r="G1148" s="2">
        <v>0.92173433649719472</v>
      </c>
    </row>
    <row r="1149" spans="1:7" x14ac:dyDescent="0.3">
      <c r="A1149" t="s">
        <v>2935</v>
      </c>
      <c r="B1149" t="s">
        <v>2936</v>
      </c>
      <c r="C1149" t="s">
        <v>8</v>
      </c>
      <c r="D1149">
        <v>6.0590000000000002</v>
      </c>
      <c r="E1149" s="4">
        <v>1939</v>
      </c>
      <c r="F1149" t="str">
        <f>HYPERLINK("https://www.google.com/maps/search/?api=1&amp;query=24.5919537,46.7471375", "View Map")</f>
        <v>View Map</v>
      </c>
      <c r="G1149" s="2">
        <v>0.83119499283490583</v>
      </c>
    </row>
    <row r="1150" spans="1:7" x14ac:dyDescent="0.3">
      <c r="A1150" t="s">
        <v>1778</v>
      </c>
      <c r="B1150" t="s">
        <v>3842</v>
      </c>
      <c r="C1150" t="s">
        <v>8</v>
      </c>
      <c r="D1150">
        <v>6.0529999999999999</v>
      </c>
      <c r="E1150" s="4">
        <v>1937</v>
      </c>
      <c r="F1150" t="str">
        <f>HYPERLINK("https://www.google.com/maps/search/?api=1&amp;query=24.67557452,46.73825129", "View Map")</f>
        <v>View Map</v>
      </c>
    </row>
    <row r="1151" spans="1:7" x14ac:dyDescent="0.3">
      <c r="A1151" t="s">
        <v>576</v>
      </c>
      <c r="B1151" t="s">
        <v>2182</v>
      </c>
      <c r="C1151" t="s">
        <v>8</v>
      </c>
      <c r="D1151">
        <v>6.0510000000000002</v>
      </c>
      <c r="E1151" s="4">
        <v>1936</v>
      </c>
      <c r="F1151" t="str">
        <f>HYPERLINK("https://www.google.com/maps/search/?api=1&amp;query=24.52613511,46.70057587", "View Map")</f>
        <v>View Map</v>
      </c>
    </row>
    <row r="1152" spans="1:7" x14ac:dyDescent="0.3">
      <c r="A1152" t="s">
        <v>717</v>
      </c>
      <c r="B1152" t="s">
        <v>11312</v>
      </c>
      <c r="C1152" t="s">
        <v>255</v>
      </c>
      <c r="D1152">
        <v>6.0430000000000001</v>
      </c>
      <c r="E1152" s="4">
        <v>1934</v>
      </c>
      <c r="F1152" t="str">
        <f>HYPERLINK("https://www.google.com/maps/search/?api=1&amp;query=24.90250444,44.55066916", "View Map")</f>
        <v>View Map</v>
      </c>
      <c r="G1152" s="2">
        <v>0.72355364416286871</v>
      </c>
    </row>
    <row r="1153" spans="1:7" x14ac:dyDescent="0.3">
      <c r="A1153" t="s">
        <v>3329</v>
      </c>
      <c r="B1153" t="s">
        <v>3330</v>
      </c>
      <c r="C1153" t="s">
        <v>8</v>
      </c>
      <c r="D1153">
        <v>6.0419999999999998</v>
      </c>
      <c r="E1153" s="4">
        <v>1933</v>
      </c>
      <c r="F1153" t="str">
        <f>HYPERLINK("https://www.google.com/maps/search/?api=1&amp;query=24.79987267,46.87013012", "View Map")</f>
        <v>View Map</v>
      </c>
      <c r="G1153" s="2">
        <v>0.59285747607399597</v>
      </c>
    </row>
    <row r="1154" spans="1:7" x14ac:dyDescent="0.3">
      <c r="A1154" t="s">
        <v>2829</v>
      </c>
      <c r="B1154" t="s">
        <v>2830</v>
      </c>
      <c r="C1154" t="s">
        <v>21</v>
      </c>
      <c r="D1154">
        <v>6.0369999999999999</v>
      </c>
      <c r="E1154" s="4">
        <v>1932</v>
      </c>
      <c r="F1154" t="str">
        <f>HYPERLINK("https://www.google.com/maps/search/?api=1&amp;query=26.31126466,44.82186711", "View Map")</f>
        <v>View Map</v>
      </c>
      <c r="G1154" s="2">
        <v>0.74865290596286505</v>
      </c>
    </row>
    <row r="1155" spans="1:7" x14ac:dyDescent="0.3">
      <c r="A1155" t="s">
        <v>150</v>
      </c>
      <c r="B1155" t="s">
        <v>4047</v>
      </c>
      <c r="C1155" t="s">
        <v>8</v>
      </c>
      <c r="D1155">
        <v>6.0359999999999996</v>
      </c>
      <c r="E1155" s="4">
        <v>1932</v>
      </c>
      <c r="F1155" t="str">
        <f>HYPERLINK("https://www.google.com/maps/search/?api=1&amp;query=24.7968615,46.79649711", "View Map")</f>
        <v>View Map</v>
      </c>
      <c r="G1155" s="2">
        <v>0.54200416528420869</v>
      </c>
    </row>
    <row r="1156" spans="1:7" x14ac:dyDescent="0.3">
      <c r="A1156" t="s">
        <v>3084</v>
      </c>
      <c r="B1156" t="s">
        <v>3085</v>
      </c>
      <c r="C1156" t="s">
        <v>255</v>
      </c>
      <c r="D1156">
        <v>6.0350000000000001</v>
      </c>
      <c r="E1156" s="4">
        <v>1931</v>
      </c>
      <c r="F1156" t="str">
        <f>HYPERLINK("https://www.google.com/maps/search/?api=1&amp;query=25.10099387,43.80679561", "View Map")</f>
        <v>View Map</v>
      </c>
      <c r="G1156" s="2">
        <v>0.60621824314458739</v>
      </c>
    </row>
    <row r="1157" spans="1:7" x14ac:dyDescent="0.3">
      <c r="A1157" t="s">
        <v>2505</v>
      </c>
      <c r="B1157" t="s">
        <v>2506</v>
      </c>
      <c r="C1157" t="s">
        <v>241</v>
      </c>
      <c r="D1157">
        <v>6.0339999999999998</v>
      </c>
      <c r="E1157" s="4">
        <v>1931</v>
      </c>
      <c r="F1157" t="str">
        <f>HYPERLINK("https://www.google.com/maps/search/?api=1&amp;query=20.43271828,44.85573303", "View Map")</f>
        <v>View Map</v>
      </c>
      <c r="G1157" s="2">
        <v>0.90771390571893007</v>
      </c>
    </row>
    <row r="1158" spans="1:7" x14ac:dyDescent="0.3">
      <c r="A1158" t="s">
        <v>897</v>
      </c>
      <c r="B1158" t="s">
        <v>898</v>
      </c>
      <c r="C1158" t="s">
        <v>8</v>
      </c>
      <c r="D1158">
        <v>6.0259999999999998</v>
      </c>
      <c r="E1158" s="4">
        <v>1928</v>
      </c>
      <c r="F1158" t="str">
        <f>HYPERLINK("https://www.google.com/maps/search/?api=1&amp;query=24.68188405,46.68902352", "View Map")</f>
        <v>View Map</v>
      </c>
    </row>
    <row r="1159" spans="1:7" x14ac:dyDescent="0.3">
      <c r="A1159" t="s">
        <v>2510</v>
      </c>
      <c r="B1159" t="s">
        <v>2511</v>
      </c>
      <c r="C1159" t="s">
        <v>255</v>
      </c>
      <c r="D1159">
        <v>6.0250000000000004</v>
      </c>
      <c r="E1159" s="4">
        <v>1928</v>
      </c>
      <c r="F1159" t="str">
        <f>HYPERLINK("https://www.google.com/maps/search/?api=1&amp;query=24.50533018,44.39526609", "View Map")</f>
        <v>View Map</v>
      </c>
    </row>
    <row r="1160" spans="1:7" x14ac:dyDescent="0.3">
      <c r="A1160" t="s">
        <v>4714</v>
      </c>
      <c r="B1160" t="s">
        <v>4715</v>
      </c>
      <c r="C1160" t="s">
        <v>30</v>
      </c>
      <c r="D1160">
        <v>6.0220000000000002</v>
      </c>
      <c r="E1160" s="4">
        <v>1927</v>
      </c>
      <c r="F1160" t="str">
        <f>HYPERLINK("https://www.google.com/maps/search/?api=1&amp;query=24.1441969,47.3466413", "View Map")</f>
        <v>View Map</v>
      </c>
    </row>
    <row r="1161" spans="1:7" x14ac:dyDescent="0.3">
      <c r="A1161" t="s">
        <v>2781</v>
      </c>
      <c r="B1161" t="s">
        <v>2782</v>
      </c>
      <c r="C1161" t="s">
        <v>8</v>
      </c>
      <c r="D1161">
        <v>6.0119999999999996</v>
      </c>
      <c r="E1161" s="4">
        <v>1924</v>
      </c>
      <c r="F1161" t="str">
        <f>HYPERLINK("https://www.google.com/maps/search/?api=1&amp;query=24.70655661,46.77345662", "View Map")</f>
        <v>View Map</v>
      </c>
    </row>
    <row r="1162" spans="1:7" x14ac:dyDescent="0.3">
      <c r="A1162" t="s">
        <v>11313</v>
      </c>
      <c r="B1162" t="s">
        <v>11314</v>
      </c>
      <c r="C1162" t="s">
        <v>8</v>
      </c>
      <c r="D1162">
        <v>6.0110000000000001</v>
      </c>
      <c r="E1162" s="4">
        <v>1924</v>
      </c>
      <c r="F1162" t="str">
        <f>HYPERLINK("https://www.google.com/maps/search/?api=1&amp;query=24.707473,46.696697", "View Map")</f>
        <v>View Map</v>
      </c>
      <c r="G1162" s="2">
        <v>0.97188986985840675</v>
      </c>
    </row>
    <row r="1163" spans="1:7" x14ac:dyDescent="0.3">
      <c r="A1163" t="s">
        <v>1654</v>
      </c>
      <c r="B1163" t="s">
        <v>1655</v>
      </c>
      <c r="C1163" t="s">
        <v>8</v>
      </c>
      <c r="D1163">
        <v>6.0110000000000001</v>
      </c>
      <c r="E1163" s="4">
        <v>1924</v>
      </c>
      <c r="F1163" t="str">
        <f>HYPERLINK("https://www.google.com/maps/search/?api=1&amp;query=24.77286418,46.75116341", "View Map")</f>
        <v>View Map</v>
      </c>
      <c r="G1163" s="2">
        <v>0.31153807686586621</v>
      </c>
    </row>
    <row r="1164" spans="1:7" x14ac:dyDescent="0.3">
      <c r="A1164" t="s">
        <v>2717</v>
      </c>
      <c r="B1164" t="s">
        <v>2718</v>
      </c>
      <c r="C1164" t="s">
        <v>8</v>
      </c>
      <c r="D1164">
        <v>6.0049999999999999</v>
      </c>
      <c r="E1164" s="4">
        <v>1921</v>
      </c>
      <c r="F1164" t="str">
        <f>HYPERLINK("https://www.google.com/maps/search/?api=1&amp;query=24.73401482,46.61181588", "View Map")</f>
        <v>View Map</v>
      </c>
    </row>
    <row r="1165" spans="1:7" x14ac:dyDescent="0.3">
      <c r="A1165" t="s">
        <v>464</v>
      </c>
      <c r="B1165" t="s">
        <v>1572</v>
      </c>
      <c r="C1165" t="s">
        <v>466</v>
      </c>
      <c r="D1165">
        <v>5.9989999999999997</v>
      </c>
      <c r="E1165" s="4">
        <v>1920</v>
      </c>
      <c r="F1165" t="str">
        <f>HYPERLINK("https://www.google.com/maps/search/?api=1&amp;query=24.58672328,46.16309208", "View Map")</f>
        <v>View Map</v>
      </c>
    </row>
    <row r="1166" spans="1:7" x14ac:dyDescent="0.3">
      <c r="A1166" t="s">
        <v>2648</v>
      </c>
      <c r="B1166" t="s">
        <v>2649</v>
      </c>
      <c r="C1166" t="s">
        <v>8</v>
      </c>
      <c r="D1166">
        <v>5.9980000000000002</v>
      </c>
      <c r="E1166" s="4">
        <v>1919</v>
      </c>
      <c r="F1166" t="str">
        <f>HYPERLINK("https://www.google.com/maps/search/?api=1&amp;query=24.7523324,46.67966672", "View Map")</f>
        <v>View Map</v>
      </c>
      <c r="G1166" s="2">
        <v>0.50409524360654256</v>
      </c>
    </row>
    <row r="1167" spans="1:7" x14ac:dyDescent="0.3">
      <c r="A1167" t="s">
        <v>632</v>
      </c>
      <c r="B1167" t="s">
        <v>6079</v>
      </c>
      <c r="C1167" t="s">
        <v>8</v>
      </c>
      <c r="D1167">
        <v>5.9969999999999999</v>
      </c>
      <c r="E1167" s="4">
        <v>1919</v>
      </c>
      <c r="F1167" t="str">
        <f>HYPERLINK("https://www.google.com/maps/search/?api=1&amp;query=24.58944915,46.58230989", "View Map")</f>
        <v>View Map</v>
      </c>
    </row>
    <row r="1168" spans="1:7" x14ac:dyDescent="0.3">
      <c r="A1168" t="s">
        <v>1579</v>
      </c>
      <c r="B1168" t="s">
        <v>1580</v>
      </c>
      <c r="C1168" t="s">
        <v>8</v>
      </c>
      <c r="D1168">
        <v>5.9969999999999999</v>
      </c>
      <c r="E1168" s="4">
        <v>1919</v>
      </c>
      <c r="F1168" t="str">
        <f>HYPERLINK("https://www.google.com/maps/search/?api=1&amp;query=24.65642147,46.74074333", "View Map")</f>
        <v>View Map</v>
      </c>
      <c r="G1168" s="2">
        <v>0.32959991206858652</v>
      </c>
    </row>
    <row r="1169" spans="1:7" x14ac:dyDescent="0.3">
      <c r="A1169" t="s">
        <v>1273</v>
      </c>
      <c r="B1169" t="s">
        <v>4492</v>
      </c>
      <c r="C1169" t="s">
        <v>241</v>
      </c>
      <c r="D1169">
        <v>5.9960000000000004</v>
      </c>
      <c r="E1169" s="4">
        <v>1919</v>
      </c>
      <c r="F1169" t="str">
        <f>HYPERLINK("https://www.google.com/maps/search/?api=1&amp;query=20.42512156,44.88295773", "View Map")</f>
        <v>View Map</v>
      </c>
      <c r="G1169" s="2">
        <v>0.57905098940238142</v>
      </c>
    </row>
    <row r="1170" spans="1:7" x14ac:dyDescent="0.3">
      <c r="A1170" t="s">
        <v>3284</v>
      </c>
      <c r="B1170" t="s">
        <v>3285</v>
      </c>
      <c r="C1170" t="s">
        <v>8</v>
      </c>
      <c r="D1170">
        <v>5.9880000000000004</v>
      </c>
      <c r="E1170" s="4">
        <v>1916</v>
      </c>
      <c r="F1170" t="str">
        <f>HYPERLINK("https://www.google.com/maps/search/?api=1&amp;query=24.52691935,46.70987795", "View Map")</f>
        <v>View Map</v>
      </c>
      <c r="G1170" s="2">
        <v>0.44544441529109008</v>
      </c>
    </row>
    <row r="1171" spans="1:7" x14ac:dyDescent="0.3">
      <c r="A1171" t="s">
        <v>7643</v>
      </c>
      <c r="B1171" t="s">
        <v>7644</v>
      </c>
      <c r="C1171" t="s">
        <v>8</v>
      </c>
      <c r="D1171">
        <v>5.9850000000000003</v>
      </c>
      <c r="E1171" s="4">
        <v>1915</v>
      </c>
      <c r="F1171" t="str">
        <f>HYPERLINK("https://www.google.com/maps/search/?api=1&amp;query=24.7720249,46.70346379", "View Map")</f>
        <v>View Map</v>
      </c>
    </row>
    <row r="1172" spans="1:7" x14ac:dyDescent="0.3">
      <c r="A1172" t="s">
        <v>46</v>
      </c>
      <c r="B1172" t="s">
        <v>1446</v>
      </c>
      <c r="C1172" t="s">
        <v>55</v>
      </c>
      <c r="D1172">
        <v>5.984</v>
      </c>
      <c r="E1172" s="4">
        <v>1915</v>
      </c>
      <c r="F1172" t="str">
        <f>HYPERLINK("https://www.google.com/maps/search/?api=1&amp;query=24.755,46.5667", "View Map")</f>
        <v>View Map</v>
      </c>
      <c r="G1172" s="2">
        <v>0.27631475998501071</v>
      </c>
    </row>
    <row r="1173" spans="1:7" x14ac:dyDescent="0.3">
      <c r="A1173" t="s">
        <v>530</v>
      </c>
      <c r="B1173" t="s">
        <v>10130</v>
      </c>
      <c r="C1173" t="s">
        <v>8</v>
      </c>
      <c r="D1173">
        <v>5.9790000000000001</v>
      </c>
      <c r="E1173" s="4">
        <v>1913</v>
      </c>
      <c r="F1173" t="str">
        <f>HYPERLINK("https://www.google.com/maps/search/?api=1&amp;query=24.7644685,46.76665468", "View Map")</f>
        <v>View Map</v>
      </c>
    </row>
    <row r="1174" spans="1:7" x14ac:dyDescent="0.3">
      <c r="A1174" t="s">
        <v>146</v>
      </c>
      <c r="B1174" t="s">
        <v>2692</v>
      </c>
      <c r="C1174" t="s">
        <v>8</v>
      </c>
      <c r="D1174">
        <v>5.9690000000000003</v>
      </c>
      <c r="E1174" s="4">
        <v>1910</v>
      </c>
      <c r="F1174" t="str">
        <f>HYPERLINK("https://www.google.com/maps/search/?api=1&amp;query=24.56395998,46.81127406", "View Map")</f>
        <v>View Map</v>
      </c>
      <c r="G1174" s="2">
        <v>0.53415936490841531</v>
      </c>
    </row>
    <row r="1175" spans="1:7" x14ac:dyDescent="0.3">
      <c r="A1175" t="s">
        <v>2378</v>
      </c>
      <c r="B1175" t="s">
        <v>2379</v>
      </c>
      <c r="C1175" t="s">
        <v>21</v>
      </c>
      <c r="D1175">
        <v>5.9690000000000003</v>
      </c>
      <c r="E1175" s="4">
        <v>1910</v>
      </c>
      <c r="F1175" t="str">
        <f>HYPERLINK("https://www.google.com/maps/search/?api=1&amp;query=26.33404486,44.81111048", "View Map")</f>
        <v>View Map</v>
      </c>
      <c r="G1175" s="2">
        <v>0.79596052507357573</v>
      </c>
    </row>
    <row r="1176" spans="1:7" x14ac:dyDescent="0.3">
      <c r="A1176" t="s">
        <v>46</v>
      </c>
      <c r="B1176" t="s">
        <v>5065</v>
      </c>
      <c r="C1176" t="s">
        <v>8</v>
      </c>
      <c r="D1176">
        <v>5.9619999999999997</v>
      </c>
      <c r="E1176" s="4">
        <v>1908</v>
      </c>
      <c r="F1176" t="str">
        <f>HYPERLINK("https://www.google.com/maps/search/?api=1&amp;query=24.6798508,46.5851082", "View Map")</f>
        <v>View Map</v>
      </c>
    </row>
    <row r="1177" spans="1:7" x14ac:dyDescent="0.3">
      <c r="A1177" t="s">
        <v>1447</v>
      </c>
      <c r="B1177" t="s">
        <v>1448</v>
      </c>
      <c r="C1177" t="s">
        <v>8</v>
      </c>
      <c r="D1177">
        <v>5.9580000000000002</v>
      </c>
      <c r="E1177" s="4">
        <v>1907</v>
      </c>
      <c r="F1177" t="str">
        <f>HYPERLINK("https://www.google.com/maps/search/?api=1&amp;query=24.58363943,46.67838005", "View Map")</f>
        <v>View Map</v>
      </c>
    </row>
    <row r="1178" spans="1:7" x14ac:dyDescent="0.3">
      <c r="A1178" t="s">
        <v>2032</v>
      </c>
      <c r="B1178" t="s">
        <v>2033</v>
      </c>
      <c r="C1178" t="s">
        <v>8</v>
      </c>
      <c r="D1178">
        <v>5.9569999999999999</v>
      </c>
      <c r="E1178" s="4">
        <v>1906</v>
      </c>
      <c r="F1178" t="str">
        <f>HYPERLINK("https://www.google.com/maps/search/?api=1&amp;query=24.57545013,46.6309083", "View Map")</f>
        <v>View Map</v>
      </c>
    </row>
    <row r="1179" spans="1:7" x14ac:dyDescent="0.3">
      <c r="A1179" t="s">
        <v>2823</v>
      </c>
      <c r="B1179" t="s">
        <v>2824</v>
      </c>
      <c r="C1179" t="s">
        <v>8</v>
      </c>
      <c r="D1179">
        <v>5.952</v>
      </c>
      <c r="E1179" s="4">
        <v>1905</v>
      </c>
      <c r="F1179" t="str">
        <f>HYPERLINK("https://www.google.com/maps/search/?api=1&amp;query=24.5630388,46.69254617", "View Map")</f>
        <v>View Map</v>
      </c>
      <c r="G1179" s="2">
        <v>0.44071570327659398</v>
      </c>
    </row>
    <row r="1180" spans="1:7" x14ac:dyDescent="0.3">
      <c r="A1180" t="s">
        <v>28</v>
      </c>
      <c r="B1180" t="s">
        <v>618</v>
      </c>
      <c r="C1180" t="s">
        <v>30</v>
      </c>
      <c r="D1180">
        <v>5.9429999999999996</v>
      </c>
      <c r="E1180" s="4">
        <v>1902</v>
      </c>
      <c r="F1180" t="str">
        <f>HYPERLINK("https://www.google.com/maps/search/?api=1&amp;query=24.16766464,47.30466869", "View Map")</f>
        <v>View Map</v>
      </c>
    </row>
    <row r="1181" spans="1:7" x14ac:dyDescent="0.3">
      <c r="A1181" t="s">
        <v>706</v>
      </c>
      <c r="B1181" t="s">
        <v>707</v>
      </c>
      <c r="C1181" t="s">
        <v>8</v>
      </c>
      <c r="D1181">
        <v>5.9409999999999998</v>
      </c>
      <c r="E1181" s="4">
        <v>1901</v>
      </c>
      <c r="F1181" t="str">
        <f>HYPERLINK("https://www.google.com/maps/search/?api=1&amp;query=24.52107792,46.66468675", "View Map")</f>
        <v>View Map</v>
      </c>
      <c r="G1181" s="2">
        <v>0.30153069736075611</v>
      </c>
    </row>
    <row r="1182" spans="1:7" x14ac:dyDescent="0.3">
      <c r="A1182" t="s">
        <v>1334</v>
      </c>
      <c r="B1182" t="s">
        <v>1335</v>
      </c>
      <c r="C1182" t="s">
        <v>8</v>
      </c>
      <c r="D1182">
        <v>5.9409999999999998</v>
      </c>
      <c r="E1182" s="4">
        <v>1901</v>
      </c>
      <c r="F1182" t="str">
        <f>HYPERLINK("https://www.google.com/maps/search/?api=1&amp;query=24.8063862,46.65123976", "View Map")</f>
        <v>View Map</v>
      </c>
    </row>
    <row r="1183" spans="1:7" x14ac:dyDescent="0.3">
      <c r="A1183" t="s">
        <v>1273</v>
      </c>
      <c r="B1183" t="s">
        <v>4582</v>
      </c>
      <c r="C1183" t="s">
        <v>820</v>
      </c>
      <c r="D1183">
        <v>5.9390000000000001</v>
      </c>
      <c r="E1183" s="4">
        <v>1900</v>
      </c>
      <c r="F1183" t="str">
        <f>HYPERLINK("https://www.google.com/maps/search/?api=1&amp;query=0.0,0.0", "View Map")</f>
        <v>View Map</v>
      </c>
    </row>
    <row r="1184" spans="1:7" x14ac:dyDescent="0.3">
      <c r="A1184" t="s">
        <v>5978</v>
      </c>
      <c r="B1184" t="s">
        <v>5979</v>
      </c>
      <c r="C1184" t="s">
        <v>8</v>
      </c>
      <c r="D1184">
        <v>5.9390000000000001</v>
      </c>
      <c r="E1184" s="4">
        <v>1901</v>
      </c>
      <c r="F1184" t="str">
        <f>HYPERLINK("https://www.google.com/maps/search/?api=1&amp;query=24.79706673,46.77418713", "View Map")</f>
        <v>View Map</v>
      </c>
    </row>
    <row r="1185" spans="1:7" x14ac:dyDescent="0.3">
      <c r="A1185" t="s">
        <v>1530</v>
      </c>
      <c r="B1185" t="s">
        <v>1531</v>
      </c>
      <c r="C1185" t="s">
        <v>8</v>
      </c>
      <c r="D1185">
        <v>5.9390000000000001</v>
      </c>
      <c r="E1185" s="4">
        <v>1900</v>
      </c>
      <c r="F1185" t="str">
        <f>HYPERLINK("https://www.google.com/maps/search/?api=1&amp;query=24.77052623,46.65025996", "View Map")</f>
        <v>View Map</v>
      </c>
    </row>
    <row r="1186" spans="1:7" x14ac:dyDescent="0.3">
      <c r="A1186" t="s">
        <v>2931</v>
      </c>
      <c r="B1186" t="s">
        <v>2932</v>
      </c>
      <c r="C1186" t="s">
        <v>8</v>
      </c>
      <c r="D1186">
        <v>5.9379999999999997</v>
      </c>
      <c r="E1186" s="4">
        <v>1900</v>
      </c>
      <c r="F1186" t="str">
        <f>HYPERLINK("https://www.google.com/maps/search/?api=1&amp;query=24.72861432,46.84520681", "View Map")</f>
        <v>View Map</v>
      </c>
      <c r="G1186" s="2">
        <v>0.41995829483580072</v>
      </c>
    </row>
    <row r="1187" spans="1:7" x14ac:dyDescent="0.3">
      <c r="A1187" t="s">
        <v>1617</v>
      </c>
      <c r="B1187" t="s">
        <v>1618</v>
      </c>
      <c r="C1187" t="s">
        <v>8</v>
      </c>
      <c r="D1187">
        <v>5.9269999999999996</v>
      </c>
      <c r="E1187" s="4">
        <v>1897</v>
      </c>
      <c r="F1187" t="str">
        <f>HYPERLINK("https://www.google.com/maps/search/?api=1&amp;query=24.63100061,46.70569836", "View Map")</f>
        <v>View Map</v>
      </c>
      <c r="G1187" s="2">
        <v>0.29065340654390559</v>
      </c>
    </row>
    <row r="1188" spans="1:7" x14ac:dyDescent="0.3">
      <c r="A1188" t="s">
        <v>46</v>
      </c>
      <c r="B1188" t="s">
        <v>11315</v>
      </c>
      <c r="C1188" t="s">
        <v>8</v>
      </c>
      <c r="D1188">
        <v>5.9269999999999996</v>
      </c>
      <c r="E1188" s="4">
        <v>1897</v>
      </c>
      <c r="F1188" t="str">
        <f>HYPERLINK("https://www.google.com/maps/search/?api=1&amp;query=24.6504161,46.50754743", "View Map")</f>
        <v>View Map</v>
      </c>
    </row>
    <row r="1189" spans="1:7" x14ac:dyDescent="0.3">
      <c r="A1189" t="s">
        <v>418</v>
      </c>
      <c r="B1189" t="s">
        <v>419</v>
      </c>
      <c r="C1189" t="s">
        <v>8</v>
      </c>
      <c r="D1189">
        <v>5.923</v>
      </c>
      <c r="E1189" s="4">
        <v>1895</v>
      </c>
      <c r="F1189" t="str">
        <f>HYPERLINK("https://www.google.com/maps/search/?api=1&amp;query=24.59371774,46.76144005", "View Map")</f>
        <v>View Map</v>
      </c>
      <c r="G1189" s="2">
        <v>0.13666244887869661</v>
      </c>
    </row>
    <row r="1190" spans="1:7" x14ac:dyDescent="0.3">
      <c r="A1190" t="s">
        <v>2229</v>
      </c>
      <c r="B1190" t="s">
        <v>2230</v>
      </c>
      <c r="C1190" t="s">
        <v>8</v>
      </c>
      <c r="D1190">
        <v>5.9219999999999997</v>
      </c>
      <c r="E1190" s="4">
        <v>1895</v>
      </c>
      <c r="F1190" t="str">
        <f>HYPERLINK("https://www.google.com/maps/search/?api=1&amp;query=24.74494592,46.83091449", "View Map")</f>
        <v>View Map</v>
      </c>
    </row>
    <row r="1191" spans="1:7" x14ac:dyDescent="0.3">
      <c r="A1191" t="s">
        <v>1064</v>
      </c>
      <c r="B1191" t="s">
        <v>1065</v>
      </c>
      <c r="C1191" t="s">
        <v>8</v>
      </c>
      <c r="D1191">
        <v>5.9210000000000003</v>
      </c>
      <c r="E1191" s="4">
        <v>1895</v>
      </c>
      <c r="F1191" t="str">
        <f>HYPERLINK("https://www.google.com/maps/search/?api=1&amp;query=24.57383797,46.78921138", "View Map")</f>
        <v>View Map</v>
      </c>
      <c r="G1191" s="2">
        <v>0.27791769946705008</v>
      </c>
    </row>
    <row r="1192" spans="1:7" x14ac:dyDescent="0.3">
      <c r="A1192" t="s">
        <v>5515</v>
      </c>
      <c r="B1192" t="s">
        <v>5516</v>
      </c>
      <c r="C1192" t="s">
        <v>8</v>
      </c>
      <c r="D1192">
        <v>5.9210000000000003</v>
      </c>
      <c r="E1192" s="4">
        <v>1895</v>
      </c>
      <c r="F1192" t="str">
        <f>HYPERLINK("https://www.google.com/maps/search/?api=1&amp;query=24.59691053,46.70225699", "View Map")</f>
        <v>View Map</v>
      </c>
    </row>
    <row r="1193" spans="1:7" x14ac:dyDescent="0.3">
      <c r="A1193" t="s">
        <v>2069</v>
      </c>
      <c r="B1193" t="s">
        <v>2070</v>
      </c>
      <c r="C1193" t="s">
        <v>8</v>
      </c>
      <c r="D1193">
        <v>5.92</v>
      </c>
      <c r="E1193" s="4">
        <v>1894</v>
      </c>
      <c r="F1193" t="str">
        <f>HYPERLINK("https://www.google.com/maps/search/?api=1&amp;query=24.5453159,46.66009751", "View Map")</f>
        <v>View Map</v>
      </c>
    </row>
    <row r="1194" spans="1:7" x14ac:dyDescent="0.3">
      <c r="A1194" t="s">
        <v>2805</v>
      </c>
      <c r="B1194" t="s">
        <v>2806</v>
      </c>
      <c r="C1194" t="s">
        <v>255</v>
      </c>
      <c r="D1194">
        <v>5.92</v>
      </c>
      <c r="E1194" s="4">
        <v>1894</v>
      </c>
      <c r="F1194" t="str">
        <f>HYPERLINK("https://www.google.com/maps/search/?api=1&amp;query=25.11077649,44.67668749", "View Map")</f>
        <v>View Map</v>
      </c>
      <c r="G1194" s="2">
        <v>0.77637127078215518</v>
      </c>
    </row>
    <row r="1195" spans="1:7" x14ac:dyDescent="0.3">
      <c r="A1195" t="s">
        <v>1116</v>
      </c>
      <c r="B1195" t="s">
        <v>3188</v>
      </c>
      <c r="C1195" t="s">
        <v>8</v>
      </c>
      <c r="D1195">
        <v>5.91</v>
      </c>
      <c r="E1195" s="4">
        <v>1891</v>
      </c>
      <c r="F1195" t="str">
        <f>HYPERLINK("https://www.google.com/maps/search/?api=1&amp;query=24.75684631,46.65556172", "View Map")</f>
        <v>View Map</v>
      </c>
    </row>
    <row r="1196" spans="1:7" x14ac:dyDescent="0.3">
      <c r="A1196" t="s">
        <v>215</v>
      </c>
      <c r="B1196" t="s">
        <v>605</v>
      </c>
      <c r="C1196" t="s">
        <v>8</v>
      </c>
      <c r="D1196">
        <v>5.91</v>
      </c>
      <c r="E1196" s="4">
        <v>1891</v>
      </c>
      <c r="F1196" t="str">
        <f>HYPERLINK("https://www.google.com/maps/search/?api=1&amp;query=24.68834519,46.68858984", "View Map")</f>
        <v>View Map</v>
      </c>
      <c r="G1196" s="2">
        <v>0.3037114436675587</v>
      </c>
    </row>
    <row r="1197" spans="1:7" x14ac:dyDescent="0.3">
      <c r="A1197" t="s">
        <v>7280</v>
      </c>
      <c r="B1197" t="s">
        <v>7281</v>
      </c>
      <c r="C1197" t="s">
        <v>8</v>
      </c>
      <c r="D1197">
        <v>5.91</v>
      </c>
      <c r="E1197" s="4">
        <v>1891</v>
      </c>
      <c r="F1197" t="str">
        <f>HYPERLINK("https://www.google.com/maps/search/?api=1&amp;query=24.79320934,46.8664439", "View Map")</f>
        <v>View Map</v>
      </c>
    </row>
    <row r="1198" spans="1:7" x14ac:dyDescent="0.3">
      <c r="A1198" t="s">
        <v>3920</v>
      </c>
      <c r="B1198" t="s">
        <v>3921</v>
      </c>
      <c r="C1198" t="s">
        <v>255</v>
      </c>
      <c r="D1198">
        <v>5.9089999999999998</v>
      </c>
      <c r="E1198" s="4">
        <v>1891</v>
      </c>
      <c r="F1198" t="str">
        <f>HYPERLINK("https://www.google.com/maps/search/?api=1&amp;query=24.2644923,44.18490083", "View Map")</f>
        <v>View Map</v>
      </c>
      <c r="G1198" s="2">
        <v>0.7609689494427313</v>
      </c>
    </row>
    <row r="1199" spans="1:7" x14ac:dyDescent="0.3">
      <c r="A1199" t="s">
        <v>11316</v>
      </c>
      <c r="B1199" t="s">
        <v>11317</v>
      </c>
      <c r="C1199" t="s">
        <v>255</v>
      </c>
      <c r="D1199">
        <v>5.9089999999999998</v>
      </c>
      <c r="E1199" s="4">
        <v>1891</v>
      </c>
      <c r="F1199" t="str">
        <f>HYPERLINK("https://www.google.com/maps/search/?api=1&amp;query=24.512779,44.39554229", "View Map")</f>
        <v>View Map</v>
      </c>
      <c r="G1199" s="2">
        <v>0.75990735772379159</v>
      </c>
    </row>
    <row r="1200" spans="1:7" x14ac:dyDescent="0.3">
      <c r="A1200" t="s">
        <v>2619</v>
      </c>
      <c r="B1200" t="s">
        <v>2620</v>
      </c>
      <c r="C1200" t="s">
        <v>30</v>
      </c>
      <c r="D1200">
        <v>5.9050000000000002</v>
      </c>
      <c r="E1200" s="4">
        <v>1890</v>
      </c>
      <c r="F1200" t="str">
        <f>HYPERLINK("https://www.google.com/maps/search/?api=1&amp;query=24.17457708,47.29195324", "View Map")</f>
        <v>View Map</v>
      </c>
      <c r="G1200" s="2">
        <v>0.42649009257068887</v>
      </c>
    </row>
    <row r="1201" spans="1:7" x14ac:dyDescent="0.3">
      <c r="A1201" t="s">
        <v>46</v>
      </c>
      <c r="B1201" t="s">
        <v>2381</v>
      </c>
      <c r="C1201" t="s">
        <v>820</v>
      </c>
      <c r="D1201">
        <v>5.9050000000000002</v>
      </c>
      <c r="E1201" s="4">
        <v>1890</v>
      </c>
      <c r="F1201" t="str">
        <f>HYPERLINK("https://www.google.com/maps/search/?api=1&amp;query=0.0,0.0", "View Map")</f>
        <v>View Map</v>
      </c>
    </row>
    <row r="1202" spans="1:7" x14ac:dyDescent="0.3">
      <c r="A1202" t="s">
        <v>850</v>
      </c>
      <c r="B1202" t="s">
        <v>851</v>
      </c>
      <c r="C1202" t="s">
        <v>214</v>
      </c>
      <c r="D1202">
        <v>5.9050000000000002</v>
      </c>
      <c r="E1202" s="4">
        <v>1890</v>
      </c>
      <c r="F1202" t="str">
        <f>HYPERLINK("https://www.google.com/maps/search/?api=1&amp;query=25.69811975,45.88575973", "View Map")</f>
        <v>View Map</v>
      </c>
      <c r="G1202" s="2">
        <v>0.28027997083158679</v>
      </c>
    </row>
    <row r="1203" spans="1:7" x14ac:dyDescent="0.3">
      <c r="A1203" t="s">
        <v>2252</v>
      </c>
      <c r="B1203" t="s">
        <v>2253</v>
      </c>
      <c r="C1203" t="s">
        <v>646</v>
      </c>
      <c r="D1203">
        <v>5.9029999999999996</v>
      </c>
      <c r="E1203" s="4">
        <v>1889</v>
      </c>
      <c r="F1203" t="str">
        <f>HYPERLINK("https://www.google.com/maps/search/?api=1&amp;query=20.4583537,45.5847935", "View Map")</f>
        <v>View Map</v>
      </c>
      <c r="G1203" s="2">
        <v>0.49346989599015417</v>
      </c>
    </row>
    <row r="1204" spans="1:7" x14ac:dyDescent="0.3">
      <c r="A1204" t="s">
        <v>1935</v>
      </c>
      <c r="B1204" t="s">
        <v>1936</v>
      </c>
      <c r="C1204" t="s">
        <v>883</v>
      </c>
      <c r="D1204">
        <v>5.9029999999999996</v>
      </c>
      <c r="E1204" s="4">
        <v>1889</v>
      </c>
      <c r="F1204" t="str">
        <f>HYPERLINK("https://www.google.com/maps/search/?api=1&amp;query=25.95428463,46.49811963", "View Map")</f>
        <v>View Map</v>
      </c>
      <c r="G1204" s="2">
        <v>0.63645238411688676</v>
      </c>
    </row>
    <row r="1205" spans="1:7" x14ac:dyDescent="0.3">
      <c r="A1205" t="s">
        <v>1034</v>
      </c>
      <c r="B1205" t="s">
        <v>1035</v>
      </c>
      <c r="C1205" t="s">
        <v>8</v>
      </c>
      <c r="D1205">
        <v>5.9029999999999996</v>
      </c>
      <c r="E1205" s="4">
        <v>1889</v>
      </c>
      <c r="F1205" t="str">
        <f>HYPERLINK("https://www.google.com/maps/search/?api=1&amp;query=24.77773437,46.7627915", "View Map")</f>
        <v>View Map</v>
      </c>
      <c r="G1205" s="2">
        <v>0.22469844330637309</v>
      </c>
    </row>
    <row r="1206" spans="1:7" x14ac:dyDescent="0.3">
      <c r="A1206" t="s">
        <v>3131</v>
      </c>
      <c r="B1206" t="s">
        <v>3132</v>
      </c>
      <c r="C1206" t="s">
        <v>291</v>
      </c>
      <c r="D1206">
        <v>5.8929999999999998</v>
      </c>
      <c r="E1206" s="4">
        <v>1886</v>
      </c>
      <c r="F1206" t="str">
        <f>HYPERLINK("https://www.google.com/maps/search/?api=1&amp;query=24.4143316,45.81323545", "View Map")</f>
        <v>View Map</v>
      </c>
      <c r="G1206" s="2">
        <v>0.64325184187594076</v>
      </c>
    </row>
    <row r="1207" spans="1:7" x14ac:dyDescent="0.3">
      <c r="A1207" t="s">
        <v>46</v>
      </c>
      <c r="B1207" t="s">
        <v>1326</v>
      </c>
      <c r="C1207" t="s">
        <v>8</v>
      </c>
      <c r="D1207">
        <v>5.89</v>
      </c>
      <c r="E1207" s="4">
        <v>1885</v>
      </c>
      <c r="F1207" t="str">
        <f>HYPERLINK("https://www.google.com/maps/search/?api=1&amp;query=24.61097928,46.50976842", "View Map")</f>
        <v>View Map</v>
      </c>
      <c r="G1207" s="2">
        <v>0.2372590715576923</v>
      </c>
    </row>
    <row r="1208" spans="1:7" x14ac:dyDescent="0.3">
      <c r="A1208" t="s">
        <v>150</v>
      </c>
      <c r="B1208" t="s">
        <v>2191</v>
      </c>
      <c r="C1208" t="s">
        <v>8</v>
      </c>
      <c r="D1208">
        <v>5.89</v>
      </c>
      <c r="E1208" s="4">
        <v>1885</v>
      </c>
      <c r="F1208" t="str">
        <f>HYPERLINK("https://www.google.com/maps/search/?api=1&amp;query=24.83158964,46.76052856", "View Map")</f>
        <v>View Map</v>
      </c>
      <c r="G1208" s="2">
        <v>0.9666529504031891</v>
      </c>
    </row>
    <row r="1209" spans="1:7" x14ac:dyDescent="0.3">
      <c r="A1209" t="s">
        <v>717</v>
      </c>
      <c r="B1209" t="s">
        <v>3044</v>
      </c>
      <c r="C1209" t="s">
        <v>255</v>
      </c>
      <c r="D1209">
        <v>5.8879999999999999</v>
      </c>
      <c r="E1209" s="4">
        <v>1884</v>
      </c>
      <c r="F1209" t="str">
        <f>HYPERLINK("https://www.google.com/maps/search/?api=1&amp;query=24.55480113,44.45257969", "View Map")</f>
        <v>View Map</v>
      </c>
      <c r="G1209" s="2">
        <v>0.73543650350879441</v>
      </c>
    </row>
    <row r="1210" spans="1:7" x14ac:dyDescent="0.3">
      <c r="A1210" t="s">
        <v>5274</v>
      </c>
      <c r="B1210" t="s">
        <v>5275</v>
      </c>
      <c r="C1210" t="s">
        <v>8</v>
      </c>
      <c r="D1210">
        <v>5.8849999999999998</v>
      </c>
      <c r="E1210" s="4">
        <v>1883</v>
      </c>
      <c r="F1210" t="str">
        <f>HYPERLINK("https://www.google.com/maps/search/?api=1&amp;query=24.6969955,46.66022881", "View Map")</f>
        <v>View Map</v>
      </c>
      <c r="G1210" s="2">
        <v>0.43147722979026859</v>
      </c>
    </row>
    <row r="1211" spans="1:7" x14ac:dyDescent="0.3">
      <c r="A1211" t="s">
        <v>1594</v>
      </c>
      <c r="B1211" t="s">
        <v>3674</v>
      </c>
      <c r="C1211" t="s">
        <v>296</v>
      </c>
      <c r="D1211">
        <v>5.8810000000000002</v>
      </c>
      <c r="E1211" s="4">
        <v>1882</v>
      </c>
      <c r="F1211" t="str">
        <f>HYPERLINK("https://www.google.com/maps/search/?api=1&amp;query=24.49285763,46.24607931", "View Map")</f>
        <v>View Map</v>
      </c>
      <c r="G1211" s="2">
        <v>0.68437860142503582</v>
      </c>
    </row>
    <row r="1212" spans="1:7" x14ac:dyDescent="0.3">
      <c r="A1212" t="s">
        <v>2359</v>
      </c>
      <c r="B1212" t="s">
        <v>2360</v>
      </c>
      <c r="C1212" t="s">
        <v>30</v>
      </c>
      <c r="D1212">
        <v>5.88</v>
      </c>
      <c r="E1212" s="4">
        <v>1882</v>
      </c>
      <c r="F1212" t="str">
        <f>HYPERLINK("https://www.google.com/maps/search/?api=1&amp;query=24.10082,47.26054", "View Map")</f>
        <v>View Map</v>
      </c>
    </row>
    <row r="1213" spans="1:7" x14ac:dyDescent="0.3">
      <c r="A1213" t="s">
        <v>1815</v>
      </c>
      <c r="B1213" t="s">
        <v>1816</v>
      </c>
      <c r="C1213" t="s">
        <v>30</v>
      </c>
      <c r="D1213">
        <v>5.8689999999999998</v>
      </c>
      <c r="E1213" s="4">
        <v>1878</v>
      </c>
      <c r="F1213" t="str">
        <f>HYPERLINK("https://www.google.com/maps/search/?api=1&amp;query=24.16451285,47.3495151", "View Map")</f>
        <v>View Map</v>
      </c>
      <c r="G1213" s="2">
        <v>0.47582954324948629</v>
      </c>
    </row>
    <row r="1214" spans="1:7" x14ac:dyDescent="0.3">
      <c r="A1214" t="s">
        <v>627</v>
      </c>
      <c r="B1214" t="s">
        <v>3166</v>
      </c>
      <c r="C1214" t="s">
        <v>8</v>
      </c>
      <c r="D1214">
        <v>5.8689999999999998</v>
      </c>
      <c r="E1214" s="4">
        <v>1878</v>
      </c>
      <c r="F1214" t="str">
        <f>HYPERLINK("https://www.google.com/maps/search/?api=1&amp;query=24.62884491,46.5406288", "View Map")</f>
        <v>View Map</v>
      </c>
      <c r="G1214" s="2">
        <v>0.63032827590713825</v>
      </c>
    </row>
    <row r="1215" spans="1:7" x14ac:dyDescent="0.3">
      <c r="A1215" t="s">
        <v>1908</v>
      </c>
      <c r="B1215" t="s">
        <v>1909</v>
      </c>
      <c r="C1215" t="s">
        <v>8</v>
      </c>
      <c r="D1215">
        <v>5.8650000000000002</v>
      </c>
      <c r="E1215" s="4">
        <v>1877</v>
      </c>
      <c r="F1215" t="str">
        <f>HYPERLINK("https://www.google.com/maps/search/?api=1&amp;query=24.77080906,46.77694569", "View Map")</f>
        <v>View Map</v>
      </c>
    </row>
    <row r="1216" spans="1:7" x14ac:dyDescent="0.3">
      <c r="A1216" t="s">
        <v>887</v>
      </c>
      <c r="B1216" t="s">
        <v>888</v>
      </c>
      <c r="C1216" t="s">
        <v>8</v>
      </c>
      <c r="D1216">
        <v>5.8630000000000004</v>
      </c>
      <c r="E1216" s="4">
        <v>1876</v>
      </c>
      <c r="F1216" t="str">
        <f>HYPERLINK("https://www.google.com/maps/search/?api=1&amp;query=24.66000596,46.72130472", "View Map")</f>
        <v>View Map</v>
      </c>
      <c r="G1216" s="2">
        <v>0.21539995251342531</v>
      </c>
    </row>
    <row r="1217" spans="1:7" x14ac:dyDescent="0.3">
      <c r="A1217" t="s">
        <v>146</v>
      </c>
      <c r="B1217" t="s">
        <v>3778</v>
      </c>
      <c r="C1217" t="s">
        <v>8</v>
      </c>
      <c r="D1217">
        <v>5.8579999999999997</v>
      </c>
      <c r="E1217" s="4">
        <v>1875</v>
      </c>
      <c r="F1217" t="str">
        <f>HYPERLINK("https://www.google.com/maps/search/?api=1&amp;query=24.55621171,46.51615519", "View Map")</f>
        <v>View Map</v>
      </c>
      <c r="G1217" s="2">
        <v>0.77918337684357053</v>
      </c>
    </row>
    <row r="1218" spans="1:7" x14ac:dyDescent="0.3">
      <c r="A1218" t="s">
        <v>2373</v>
      </c>
      <c r="B1218" t="s">
        <v>2374</v>
      </c>
      <c r="C1218" t="s">
        <v>255</v>
      </c>
      <c r="D1218">
        <v>5.8550000000000004</v>
      </c>
      <c r="E1218" s="4">
        <v>1874</v>
      </c>
      <c r="F1218" t="str">
        <f>HYPERLINK("https://www.google.com/maps/search/?api=1&amp;query=25.15037726,44.24668188", "View Map")</f>
        <v>View Map</v>
      </c>
      <c r="G1218" s="2">
        <v>0.88369327042094681</v>
      </c>
    </row>
    <row r="1219" spans="1:7" x14ac:dyDescent="0.3">
      <c r="A1219" t="s">
        <v>3554</v>
      </c>
      <c r="B1219" t="s">
        <v>3555</v>
      </c>
      <c r="C1219" t="s">
        <v>8</v>
      </c>
      <c r="D1219">
        <v>5.8529999999999998</v>
      </c>
      <c r="E1219" s="4">
        <v>1873</v>
      </c>
      <c r="F1219" t="str">
        <f>HYPERLINK("https://www.google.com/maps/search/?api=1&amp;query=24.57489369,46.76836296", "View Map")</f>
        <v>View Map</v>
      </c>
    </row>
    <row r="1220" spans="1:7" x14ac:dyDescent="0.3">
      <c r="A1220" t="s">
        <v>3567</v>
      </c>
      <c r="B1220" t="s">
        <v>3568</v>
      </c>
      <c r="C1220" t="s">
        <v>8</v>
      </c>
      <c r="D1220">
        <v>5.8479999999999999</v>
      </c>
      <c r="E1220" s="4">
        <v>1871</v>
      </c>
      <c r="F1220" t="str">
        <f>HYPERLINK("https://www.google.com/maps/search/?api=1&amp;query=24.5399917,46.64682424", "View Map")</f>
        <v>View Map</v>
      </c>
      <c r="G1220" s="2">
        <v>0.53686561252211518</v>
      </c>
    </row>
    <row r="1221" spans="1:7" x14ac:dyDescent="0.3">
      <c r="A1221" t="s">
        <v>289</v>
      </c>
      <c r="B1221" t="s">
        <v>2672</v>
      </c>
      <c r="C1221" t="s">
        <v>393</v>
      </c>
      <c r="D1221">
        <v>5.8449999999999998</v>
      </c>
      <c r="E1221" s="4">
        <v>1870</v>
      </c>
      <c r="F1221" t="str">
        <f>HYPERLINK("https://www.google.com/maps/search/?api=1&amp;query=22.74332077,44.97755932", "View Map")</f>
        <v>View Map</v>
      </c>
      <c r="G1221" s="2">
        <v>0.80041851491035299</v>
      </c>
    </row>
    <row r="1222" spans="1:7" x14ac:dyDescent="0.3">
      <c r="A1222" t="s">
        <v>2515</v>
      </c>
      <c r="B1222" t="s">
        <v>2516</v>
      </c>
      <c r="C1222" t="s">
        <v>8</v>
      </c>
      <c r="D1222">
        <v>5.8440000000000003</v>
      </c>
      <c r="E1222" s="4">
        <v>1870</v>
      </c>
      <c r="F1222" t="str">
        <f>HYPERLINK("https://www.google.com/maps/search/?api=1&amp;query=24.77985182,46.66452388", "View Map")</f>
        <v>View Map</v>
      </c>
    </row>
    <row r="1223" spans="1:7" x14ac:dyDescent="0.3">
      <c r="A1223" t="s">
        <v>2688</v>
      </c>
      <c r="B1223" t="s">
        <v>2689</v>
      </c>
      <c r="C1223" t="s">
        <v>646</v>
      </c>
      <c r="D1223">
        <v>5.8440000000000003</v>
      </c>
      <c r="E1223" s="4">
        <v>1870</v>
      </c>
      <c r="F1223" t="str">
        <f>HYPERLINK("https://www.google.com/maps/search/?api=1&amp;query=20.45821062,45.59651651", "View Map")</f>
        <v>View Map</v>
      </c>
      <c r="G1223" s="2">
        <v>0.46784746727201398</v>
      </c>
    </row>
    <row r="1224" spans="1:7" x14ac:dyDescent="0.3">
      <c r="A1224" t="s">
        <v>2655</v>
      </c>
      <c r="B1224" t="s">
        <v>2656</v>
      </c>
      <c r="C1224" t="s">
        <v>393</v>
      </c>
      <c r="D1224">
        <v>5.8419999999999996</v>
      </c>
      <c r="E1224" s="4">
        <v>1869</v>
      </c>
      <c r="F1224" t="str">
        <f>HYPERLINK("https://www.google.com/maps/search/?api=1&amp;query=23.57204329,45.57354863", "View Map")</f>
        <v>View Map</v>
      </c>
      <c r="G1224" s="2">
        <v>0.51593163911341278</v>
      </c>
    </row>
    <row r="1225" spans="1:7" x14ac:dyDescent="0.3">
      <c r="A1225" t="s">
        <v>2976</v>
      </c>
      <c r="B1225" t="s">
        <v>2977</v>
      </c>
      <c r="C1225" t="s">
        <v>738</v>
      </c>
      <c r="D1225">
        <v>5.84</v>
      </c>
      <c r="E1225" s="4">
        <v>1869</v>
      </c>
      <c r="F1225" t="str">
        <f>HYPERLINK("https://www.google.com/maps/search/?api=1&amp;query=25.10369069,46.19247544", "View Map")</f>
        <v>View Map</v>
      </c>
      <c r="G1225" s="2">
        <v>0.53252304671610728</v>
      </c>
    </row>
    <row r="1226" spans="1:7" x14ac:dyDescent="0.3">
      <c r="A1226" t="s">
        <v>4263</v>
      </c>
      <c r="B1226" t="s">
        <v>4264</v>
      </c>
      <c r="C1226" t="s">
        <v>137</v>
      </c>
      <c r="D1226">
        <v>5.8319999999999999</v>
      </c>
      <c r="E1226" s="4">
        <v>1866</v>
      </c>
      <c r="F1226" t="str">
        <f>HYPERLINK("https://www.google.com/maps/search/?api=1&amp;query=23.45085706,46.80683466", "View Map")</f>
        <v>View Map</v>
      </c>
      <c r="G1226" s="2">
        <v>0.78411696060031322</v>
      </c>
    </row>
    <row r="1227" spans="1:7" x14ac:dyDescent="0.3">
      <c r="A1227" t="s">
        <v>46</v>
      </c>
      <c r="B1227" t="s">
        <v>3655</v>
      </c>
      <c r="C1227" t="s">
        <v>8</v>
      </c>
      <c r="D1227">
        <v>5.8289999999999997</v>
      </c>
      <c r="E1227" s="4">
        <v>1865</v>
      </c>
      <c r="F1227" t="str">
        <f>HYPERLINK("https://www.google.com/maps/search/?api=1&amp;query=24.700257,46.8340865", "View Map")</f>
        <v>View Map</v>
      </c>
    </row>
    <row r="1228" spans="1:7" x14ac:dyDescent="0.3">
      <c r="A1228" t="s">
        <v>4195</v>
      </c>
      <c r="B1228" t="s">
        <v>4196</v>
      </c>
      <c r="C1228" t="s">
        <v>291</v>
      </c>
      <c r="D1228">
        <v>5.8280000000000003</v>
      </c>
      <c r="E1228" s="4">
        <v>1865</v>
      </c>
      <c r="F1228" t="str">
        <f>HYPERLINK("https://www.google.com/maps/search/?api=1&amp;query=23.88058381,44.40641819", "View Map")</f>
        <v>View Map</v>
      </c>
      <c r="G1228" s="2">
        <v>0.90346718284482175</v>
      </c>
    </row>
    <row r="1229" spans="1:7" x14ac:dyDescent="0.3">
      <c r="A1229" t="s">
        <v>2051</v>
      </c>
      <c r="B1229" t="s">
        <v>2052</v>
      </c>
      <c r="C1229" t="s">
        <v>8</v>
      </c>
      <c r="D1229">
        <v>5.8259999999999996</v>
      </c>
      <c r="E1229" s="4">
        <v>1864</v>
      </c>
      <c r="F1229" t="str">
        <f>HYPERLINK("https://www.google.com/maps/search/?api=1&amp;query=24.69095082,46.65804247", "View Map")</f>
        <v>View Map</v>
      </c>
      <c r="G1229" s="2">
        <v>0.4219682891923206</v>
      </c>
    </row>
    <row r="1230" spans="1:7" x14ac:dyDescent="0.3">
      <c r="A1230" t="s">
        <v>1988</v>
      </c>
      <c r="B1230" t="s">
        <v>1989</v>
      </c>
      <c r="C1230" t="s">
        <v>8</v>
      </c>
      <c r="D1230">
        <v>5.8250000000000002</v>
      </c>
      <c r="E1230" s="4">
        <v>1864</v>
      </c>
      <c r="F1230" t="str">
        <f>HYPERLINK("https://www.google.com/maps/search/?api=1&amp;query=24.7977096,46.88642291", "View Map")</f>
        <v>View Map</v>
      </c>
    </row>
    <row r="1231" spans="1:7" x14ac:dyDescent="0.3">
      <c r="A1231" t="s">
        <v>2302</v>
      </c>
      <c r="B1231" t="s">
        <v>2303</v>
      </c>
      <c r="C1231" t="s">
        <v>8</v>
      </c>
      <c r="D1231">
        <v>5.8230000000000004</v>
      </c>
      <c r="E1231" s="4">
        <v>1863</v>
      </c>
      <c r="F1231" t="str">
        <f>HYPERLINK("https://www.google.com/maps/search/?api=1&amp;query=24.64266918,46.72813691", "View Map")</f>
        <v>View Map</v>
      </c>
    </row>
    <row r="1232" spans="1:7" x14ac:dyDescent="0.3">
      <c r="A1232" t="s">
        <v>3965</v>
      </c>
      <c r="B1232" t="s">
        <v>3966</v>
      </c>
      <c r="C1232" t="s">
        <v>255</v>
      </c>
      <c r="D1232">
        <v>5.8230000000000004</v>
      </c>
      <c r="E1232" s="4">
        <v>1863</v>
      </c>
      <c r="F1232" t="str">
        <f>HYPERLINK("https://www.google.com/maps/search/?api=1&amp;query=24.53636425,44.27916263", "View Map")</f>
        <v>View Map</v>
      </c>
      <c r="G1232" s="2">
        <v>0.62160548121017389</v>
      </c>
    </row>
    <row r="1233" spans="1:7" x14ac:dyDescent="0.3">
      <c r="A1233" t="s">
        <v>1062</v>
      </c>
      <c r="B1233" t="s">
        <v>1063</v>
      </c>
      <c r="C1233" t="s">
        <v>8</v>
      </c>
      <c r="D1233">
        <v>5.8220000000000001</v>
      </c>
      <c r="E1233" s="4">
        <v>1863</v>
      </c>
      <c r="F1233" t="str">
        <f>HYPERLINK("https://www.google.com/maps/search/?api=1&amp;query=24.5502942,46.67884709", "View Map")</f>
        <v>View Map</v>
      </c>
    </row>
    <row r="1234" spans="1:7" x14ac:dyDescent="0.3">
      <c r="A1234" t="s">
        <v>3415</v>
      </c>
      <c r="B1234" t="s">
        <v>3416</v>
      </c>
      <c r="C1234" t="s">
        <v>738</v>
      </c>
      <c r="D1234">
        <v>5.82</v>
      </c>
      <c r="E1234" s="4">
        <v>1862</v>
      </c>
      <c r="F1234" t="str">
        <f>HYPERLINK("https://www.google.com/maps/search/?api=1&amp;query=25.10960103,46.09413001", "View Map")</f>
        <v>View Map</v>
      </c>
      <c r="G1234" s="2">
        <v>0.66389003541600278</v>
      </c>
    </row>
    <row r="1235" spans="1:7" x14ac:dyDescent="0.3">
      <c r="A1235" t="s">
        <v>7018</v>
      </c>
      <c r="B1235" t="s">
        <v>7019</v>
      </c>
      <c r="C1235" t="s">
        <v>8</v>
      </c>
      <c r="D1235">
        <v>5.819</v>
      </c>
      <c r="E1235" s="4">
        <v>1862</v>
      </c>
      <c r="F1235" t="str">
        <f>HYPERLINK("https://www.google.com/maps/search/?api=1&amp;query=24.66992772,46.78432899", "View Map")</f>
        <v>View Map</v>
      </c>
    </row>
    <row r="1236" spans="1:7" x14ac:dyDescent="0.3">
      <c r="A1236" t="s">
        <v>3829</v>
      </c>
      <c r="B1236" t="s">
        <v>3830</v>
      </c>
      <c r="C1236" t="s">
        <v>30</v>
      </c>
      <c r="D1236">
        <v>5.8179999999999996</v>
      </c>
      <c r="E1236" s="4">
        <v>1862</v>
      </c>
      <c r="F1236" t="str">
        <f>HYPERLINK("https://www.google.com/maps/search/?api=1&amp;query=24.17075583,47.22260385", "View Map")</f>
        <v>View Map</v>
      </c>
      <c r="G1236" s="2">
        <v>0.56216843469814848</v>
      </c>
    </row>
    <row r="1237" spans="1:7" x14ac:dyDescent="0.3">
      <c r="A1237" t="s">
        <v>3510</v>
      </c>
      <c r="B1237" t="s">
        <v>3511</v>
      </c>
      <c r="C1237" t="s">
        <v>8</v>
      </c>
      <c r="D1237">
        <v>5.8179999999999996</v>
      </c>
      <c r="E1237" s="4">
        <v>1862</v>
      </c>
      <c r="F1237" t="str">
        <f>HYPERLINK("https://www.google.com/maps/search/?api=1&amp;query=24.8074545,46.65999872", "View Map")</f>
        <v>View Map</v>
      </c>
    </row>
    <row r="1238" spans="1:7" x14ac:dyDescent="0.3">
      <c r="A1238" t="s">
        <v>2632</v>
      </c>
      <c r="B1238" t="s">
        <v>2633</v>
      </c>
      <c r="C1238" t="s">
        <v>8</v>
      </c>
      <c r="D1238">
        <v>5.8150000000000004</v>
      </c>
      <c r="E1238" s="4">
        <v>1861</v>
      </c>
      <c r="F1238" t="str">
        <f>HYPERLINK("https://www.google.com/maps/search/?api=1&amp;query=24.76344774,46.74205352", "View Map")</f>
        <v>View Map</v>
      </c>
      <c r="G1238" s="2">
        <v>0.5005740572842623</v>
      </c>
    </row>
    <row r="1239" spans="1:7" x14ac:dyDescent="0.3">
      <c r="A1239" t="s">
        <v>4296</v>
      </c>
      <c r="B1239" t="s">
        <v>4297</v>
      </c>
      <c r="C1239" t="s">
        <v>8</v>
      </c>
      <c r="D1239">
        <v>5.8140000000000001</v>
      </c>
      <c r="E1239" s="4">
        <v>1860</v>
      </c>
      <c r="F1239" t="str">
        <f>HYPERLINK("https://www.google.com/maps/search/?api=1&amp;query=24.58434024,46.63381265", "View Map")</f>
        <v>View Map</v>
      </c>
    </row>
    <row r="1240" spans="1:7" x14ac:dyDescent="0.3">
      <c r="A1240" t="s">
        <v>7472</v>
      </c>
      <c r="B1240" t="s">
        <v>7473</v>
      </c>
      <c r="C1240" t="s">
        <v>30</v>
      </c>
      <c r="D1240">
        <v>5.8109999999999999</v>
      </c>
      <c r="E1240" s="4">
        <v>1860</v>
      </c>
      <c r="F1240" t="str">
        <f>HYPERLINK("https://www.google.com/maps/search/?api=1&amp;query=24.15973508,47.32334967", "View Map")</f>
        <v>View Map</v>
      </c>
    </row>
    <row r="1241" spans="1:7" x14ac:dyDescent="0.3">
      <c r="A1241" t="s">
        <v>2460</v>
      </c>
      <c r="B1241" t="s">
        <v>2461</v>
      </c>
      <c r="C1241" t="s">
        <v>21</v>
      </c>
      <c r="D1241">
        <v>5.8079999999999998</v>
      </c>
      <c r="E1241" s="4">
        <v>1858</v>
      </c>
      <c r="F1241" t="str">
        <f>HYPERLINK("https://www.google.com/maps/search/?api=1&amp;query=26.29795131,44.80020247", "View Map")</f>
        <v>View Map</v>
      </c>
      <c r="G1241" s="2">
        <v>0.80740848941824628</v>
      </c>
    </row>
    <row r="1242" spans="1:7" x14ac:dyDescent="0.3">
      <c r="A1242" t="s">
        <v>28</v>
      </c>
      <c r="B1242" t="s">
        <v>2589</v>
      </c>
      <c r="C1242" t="s">
        <v>30</v>
      </c>
      <c r="D1242">
        <v>5.8070000000000004</v>
      </c>
      <c r="E1242" s="4">
        <v>1858</v>
      </c>
      <c r="F1242" t="str">
        <f>HYPERLINK("https://www.google.com/maps/search/?api=1&amp;query=24.17216864,47.31968852", "View Map")</f>
        <v>View Map</v>
      </c>
      <c r="G1242" s="2">
        <v>0.55870880942693557</v>
      </c>
    </row>
    <row r="1243" spans="1:7" x14ac:dyDescent="0.3">
      <c r="A1243" t="s">
        <v>627</v>
      </c>
      <c r="B1243" t="s">
        <v>1709</v>
      </c>
      <c r="C1243" t="s">
        <v>8</v>
      </c>
      <c r="D1243">
        <v>5.8049999999999997</v>
      </c>
      <c r="E1243" s="4">
        <v>1858</v>
      </c>
      <c r="F1243" t="str">
        <f>HYPERLINK("https://www.google.com/maps/search/?api=1&amp;query=24.63719621,46.60634979", "View Map")</f>
        <v>View Map</v>
      </c>
      <c r="G1243" s="2">
        <v>0.53147386382507877</v>
      </c>
    </row>
    <row r="1244" spans="1:7" x14ac:dyDescent="0.3">
      <c r="A1244" t="s">
        <v>2508</v>
      </c>
      <c r="B1244" t="s">
        <v>2509</v>
      </c>
      <c r="C1244" t="s">
        <v>214</v>
      </c>
      <c r="D1244">
        <v>5.7859999999999996</v>
      </c>
      <c r="E1244" s="4">
        <v>1851</v>
      </c>
      <c r="F1244" t="str">
        <f>HYPERLINK("https://www.google.com/maps/search/?api=1&amp;query=26.49673567,45.35158187", "View Map")</f>
        <v>View Map</v>
      </c>
      <c r="G1244" s="2">
        <v>0.77530684236585568</v>
      </c>
    </row>
    <row r="1245" spans="1:7" x14ac:dyDescent="0.3">
      <c r="A1245" t="s">
        <v>2933</v>
      </c>
      <c r="B1245" t="s">
        <v>3004</v>
      </c>
      <c r="C1245" t="s">
        <v>8</v>
      </c>
      <c r="D1245">
        <v>5.7839999999999998</v>
      </c>
      <c r="E1245" s="4">
        <v>1851</v>
      </c>
      <c r="F1245" t="str">
        <f>HYPERLINK("https://www.google.com/maps/search/?api=1&amp;query=24.79597795,46.70048079", "View Map")</f>
        <v>View Map</v>
      </c>
      <c r="G1245" s="2">
        <v>0.86813114561783289</v>
      </c>
    </row>
    <row r="1246" spans="1:7" x14ac:dyDescent="0.3">
      <c r="A1246" t="s">
        <v>1401</v>
      </c>
      <c r="B1246" t="s">
        <v>1402</v>
      </c>
      <c r="C1246" t="s">
        <v>8</v>
      </c>
      <c r="D1246">
        <v>5.7789999999999999</v>
      </c>
      <c r="E1246" s="4">
        <v>1849</v>
      </c>
      <c r="F1246" t="str">
        <f>HYPERLINK("https://www.google.com/maps/search/?api=1&amp;query=24.60161561,46.72360367", "View Map")</f>
        <v>View Map</v>
      </c>
      <c r="G1246" s="2">
        <v>0.24076630676578309</v>
      </c>
    </row>
    <row r="1247" spans="1:7" x14ac:dyDescent="0.3">
      <c r="A1247" t="s">
        <v>530</v>
      </c>
      <c r="B1247" t="s">
        <v>531</v>
      </c>
      <c r="C1247" t="s">
        <v>8</v>
      </c>
      <c r="D1247">
        <v>5.7679999999999998</v>
      </c>
      <c r="E1247" s="4">
        <v>1846</v>
      </c>
      <c r="F1247" t="str">
        <f>HYPERLINK("https://www.google.com/maps/search/?api=1&amp;query=24.76053985,46.77389475", "View Map")</f>
        <v>View Map</v>
      </c>
      <c r="G1247" s="2">
        <v>0.27464221890037932</v>
      </c>
    </row>
    <row r="1248" spans="1:7" x14ac:dyDescent="0.3">
      <c r="A1248" t="s">
        <v>1692</v>
      </c>
      <c r="B1248" t="s">
        <v>1693</v>
      </c>
      <c r="C1248" t="s">
        <v>8</v>
      </c>
      <c r="D1248">
        <v>5.7670000000000003</v>
      </c>
      <c r="E1248" s="4">
        <v>1845</v>
      </c>
      <c r="F1248" t="str">
        <f>HYPERLINK("https://www.google.com/maps/search/?api=1&amp;query=24.60070906,46.64569344", "View Map")</f>
        <v>View Map</v>
      </c>
    </row>
    <row r="1249" spans="1:7" x14ac:dyDescent="0.3">
      <c r="A1249" t="s">
        <v>2369</v>
      </c>
      <c r="B1249" t="s">
        <v>2981</v>
      </c>
      <c r="C1249" t="s">
        <v>8</v>
      </c>
      <c r="D1249">
        <v>5.7619999999999996</v>
      </c>
      <c r="E1249" s="4">
        <v>1844</v>
      </c>
      <c r="F1249" t="str">
        <f>HYPERLINK("https://www.google.com/maps/search/?api=1&amp;query=24.79855301,46.61681285", "View Map")</f>
        <v>View Map</v>
      </c>
      <c r="G1249" s="2">
        <v>0.49230358392405521</v>
      </c>
    </row>
    <row r="1250" spans="1:7" x14ac:dyDescent="0.3">
      <c r="A1250" t="s">
        <v>2404</v>
      </c>
      <c r="B1250" t="s">
        <v>2405</v>
      </c>
      <c r="C1250" t="s">
        <v>8</v>
      </c>
      <c r="D1250">
        <v>5.7619999999999996</v>
      </c>
      <c r="E1250" s="4">
        <v>1844</v>
      </c>
      <c r="F1250" t="str">
        <f>HYPERLINK("https://www.google.com/maps/search/?api=1&amp;query=24.78834867,46.87439784", "View Map")</f>
        <v>View Map</v>
      </c>
    </row>
    <row r="1251" spans="1:7" x14ac:dyDescent="0.3">
      <c r="A1251" t="s">
        <v>3887</v>
      </c>
      <c r="B1251" t="s">
        <v>3888</v>
      </c>
      <c r="C1251" t="s">
        <v>8</v>
      </c>
      <c r="D1251">
        <v>5.7619999999999996</v>
      </c>
      <c r="E1251" s="4">
        <v>1844</v>
      </c>
      <c r="F1251" t="str">
        <f>HYPERLINK("https://www.google.com/maps/search/?api=1&amp;query=24.62625505,46.79530678", "View Map")</f>
        <v>View Map</v>
      </c>
    </row>
    <row r="1252" spans="1:7" x14ac:dyDescent="0.3">
      <c r="A1252" t="s">
        <v>661</v>
      </c>
      <c r="B1252" t="s">
        <v>2221</v>
      </c>
      <c r="C1252" t="s">
        <v>214</v>
      </c>
      <c r="D1252">
        <v>5.7610000000000001</v>
      </c>
      <c r="E1252" s="4">
        <v>1844</v>
      </c>
      <c r="F1252" t="str">
        <f>HYPERLINK("https://www.google.com/maps/search/?api=1&amp;query=25.60686121,45.62536746", "View Map")</f>
        <v>View Map</v>
      </c>
      <c r="G1252" s="2">
        <v>0.43305131839015748</v>
      </c>
    </row>
    <row r="1253" spans="1:7" x14ac:dyDescent="0.3">
      <c r="A1253" t="s">
        <v>2478</v>
      </c>
      <c r="B1253" t="s">
        <v>2524</v>
      </c>
      <c r="C1253" t="s">
        <v>8</v>
      </c>
      <c r="D1253">
        <v>5.76</v>
      </c>
      <c r="E1253" s="4">
        <v>1843</v>
      </c>
      <c r="F1253" t="str">
        <f>HYPERLINK("https://www.google.com/maps/search/?api=1&amp;query=24.79919183,46.90345477", "View Map")</f>
        <v>View Map</v>
      </c>
    </row>
    <row r="1254" spans="1:7" x14ac:dyDescent="0.3">
      <c r="A1254" t="s">
        <v>6398</v>
      </c>
      <c r="B1254" t="s">
        <v>11318</v>
      </c>
      <c r="C1254" t="s">
        <v>8</v>
      </c>
      <c r="D1254">
        <v>5.7549999999999999</v>
      </c>
      <c r="E1254" s="4">
        <v>1842</v>
      </c>
      <c r="F1254" t="str">
        <f>HYPERLINK("https://www.google.com/maps/search/?api=1&amp;query=24.72411491,46.85601722", "View Map")</f>
        <v>View Map</v>
      </c>
    </row>
    <row r="1255" spans="1:7" x14ac:dyDescent="0.3">
      <c r="A1255" t="s">
        <v>3100</v>
      </c>
      <c r="B1255" t="s">
        <v>3101</v>
      </c>
      <c r="C1255" t="s">
        <v>8</v>
      </c>
      <c r="D1255">
        <v>5.7539999999999996</v>
      </c>
      <c r="E1255" s="4">
        <v>1841</v>
      </c>
      <c r="F1255" t="str">
        <f>HYPERLINK("https://www.google.com/maps/search/?api=1&amp;query=24.6014242,46.66135325", "View Map")</f>
        <v>View Map</v>
      </c>
    </row>
    <row r="1256" spans="1:7" x14ac:dyDescent="0.3">
      <c r="A1256" t="s">
        <v>46</v>
      </c>
      <c r="B1256" t="s">
        <v>288</v>
      </c>
      <c r="C1256" t="s">
        <v>8</v>
      </c>
      <c r="D1256">
        <v>5.7519999999999998</v>
      </c>
      <c r="E1256" s="4">
        <v>1841</v>
      </c>
      <c r="F1256" t="str">
        <f>HYPERLINK("https://www.google.com/maps/search/?api=1&amp;query=24.89540143,46.61677811", "View Map")</f>
        <v>View Map</v>
      </c>
      <c r="G1256" s="2">
        <v>0.13303218728341451</v>
      </c>
    </row>
    <row r="1257" spans="1:7" x14ac:dyDescent="0.3">
      <c r="A1257" t="s">
        <v>7209</v>
      </c>
      <c r="B1257" t="s">
        <v>7210</v>
      </c>
      <c r="C1257" t="s">
        <v>291</v>
      </c>
      <c r="D1257">
        <v>5.7469999999999999</v>
      </c>
      <c r="E1257" s="4">
        <v>1839</v>
      </c>
      <c r="F1257" t="str">
        <f>HYPERLINK("https://www.google.com/maps/search/?api=1&amp;query=24.27676845,45.18481862", "View Map")</f>
        <v>View Map</v>
      </c>
      <c r="G1257" s="2">
        <v>0.72801301744202152</v>
      </c>
    </row>
    <row r="1258" spans="1:7" x14ac:dyDescent="0.3">
      <c r="A1258" t="s">
        <v>1391</v>
      </c>
      <c r="B1258" t="s">
        <v>1392</v>
      </c>
      <c r="C1258" t="s">
        <v>8</v>
      </c>
      <c r="D1258">
        <v>5.742</v>
      </c>
      <c r="E1258" s="4">
        <v>1838</v>
      </c>
      <c r="F1258" t="str">
        <f>HYPERLINK("https://www.google.com/maps/search/?api=1&amp;query=24.74449693,46.82619363", "View Map")</f>
        <v>View Map</v>
      </c>
    </row>
    <row r="1259" spans="1:7" x14ac:dyDescent="0.3">
      <c r="A1259" t="s">
        <v>46</v>
      </c>
      <c r="B1259" t="s">
        <v>2567</v>
      </c>
      <c r="C1259" t="s">
        <v>8</v>
      </c>
      <c r="D1259">
        <v>5.74</v>
      </c>
      <c r="E1259" s="4">
        <v>1837</v>
      </c>
      <c r="F1259" t="str">
        <f>HYPERLINK("https://www.google.com/maps/search/?api=1&amp;query=24.70035436,46.69717708", "View Map")</f>
        <v>View Map</v>
      </c>
      <c r="G1259" s="2">
        <v>0.50669634019189902</v>
      </c>
    </row>
    <row r="1260" spans="1:7" x14ac:dyDescent="0.3">
      <c r="A1260" t="s">
        <v>2371</v>
      </c>
      <c r="B1260" t="s">
        <v>2372</v>
      </c>
      <c r="C1260" t="s">
        <v>8</v>
      </c>
      <c r="D1260">
        <v>5.7380000000000004</v>
      </c>
      <c r="E1260" s="4">
        <v>1836</v>
      </c>
      <c r="F1260" t="str">
        <f>HYPERLINK("https://www.google.com/maps/search/?api=1&amp;query=24.68403664,46.64290979", "View Map")</f>
        <v>View Map</v>
      </c>
    </row>
    <row r="1261" spans="1:7" x14ac:dyDescent="0.3">
      <c r="A1261" t="s">
        <v>150</v>
      </c>
      <c r="B1261" t="s">
        <v>2075</v>
      </c>
      <c r="C1261" t="s">
        <v>8</v>
      </c>
      <c r="D1261">
        <v>5.7380000000000004</v>
      </c>
      <c r="E1261" s="4">
        <v>1836</v>
      </c>
      <c r="F1261" t="str">
        <f>HYPERLINK("https://www.google.com/maps/search/?api=1&amp;query=24.82608047,46.75326701", "View Map")</f>
        <v>View Map</v>
      </c>
    </row>
    <row r="1262" spans="1:7" x14ac:dyDescent="0.3">
      <c r="A1262" t="s">
        <v>3382</v>
      </c>
      <c r="B1262" t="s">
        <v>3383</v>
      </c>
      <c r="C1262" t="s">
        <v>286</v>
      </c>
      <c r="D1262">
        <v>5.7329999999999997</v>
      </c>
      <c r="E1262" s="4">
        <v>1834</v>
      </c>
      <c r="F1262" t="str">
        <f>HYPERLINK("https://www.google.com/maps/search/?api=1&amp;query=25.22128746,45.27561947", "View Map")</f>
        <v>View Map</v>
      </c>
      <c r="G1262" s="2">
        <v>0.41727695515830399</v>
      </c>
    </row>
    <row r="1263" spans="1:7" x14ac:dyDescent="0.3">
      <c r="A1263" t="s">
        <v>73</v>
      </c>
      <c r="B1263" t="s">
        <v>8432</v>
      </c>
      <c r="C1263" t="s">
        <v>8</v>
      </c>
      <c r="D1263">
        <v>5.726</v>
      </c>
      <c r="E1263" s="4">
        <v>1832</v>
      </c>
      <c r="F1263" t="str">
        <f>HYPERLINK("https://www.google.com/maps/search/?api=1&amp;query=24.68734844,46.56685804", "View Map")</f>
        <v>View Map</v>
      </c>
    </row>
    <row r="1264" spans="1:7" x14ac:dyDescent="0.3">
      <c r="A1264" t="s">
        <v>150</v>
      </c>
      <c r="B1264" t="s">
        <v>415</v>
      </c>
      <c r="C1264" t="s">
        <v>8</v>
      </c>
      <c r="D1264">
        <v>5.7220000000000004</v>
      </c>
      <c r="E1264" s="4">
        <v>1831</v>
      </c>
      <c r="F1264" t="str">
        <f>HYPERLINK("https://www.google.com/maps/search/?api=1&amp;query=24.75162793,46.8422796", "View Map")</f>
        <v>View Map</v>
      </c>
      <c r="G1264" s="2">
        <v>0.14010937927987191</v>
      </c>
    </row>
    <row r="1265" spans="1:7" x14ac:dyDescent="0.3">
      <c r="A1265" t="s">
        <v>3182</v>
      </c>
      <c r="B1265" t="s">
        <v>3183</v>
      </c>
      <c r="C1265" t="s">
        <v>255</v>
      </c>
      <c r="D1265">
        <v>5.718</v>
      </c>
      <c r="E1265" s="4">
        <v>1830</v>
      </c>
      <c r="F1265" t="str">
        <f>HYPERLINK("https://www.google.com/maps/search/?api=1&amp;query=24.36536421,43.63372897", "View Map")</f>
        <v>View Map</v>
      </c>
      <c r="G1265" s="2">
        <v>0.72655896492645733</v>
      </c>
    </row>
    <row r="1266" spans="1:7" x14ac:dyDescent="0.3">
      <c r="A1266" t="s">
        <v>860</v>
      </c>
      <c r="B1266" t="s">
        <v>2382</v>
      </c>
      <c r="C1266" t="s">
        <v>8</v>
      </c>
      <c r="D1266">
        <v>5.71</v>
      </c>
      <c r="E1266" s="4">
        <v>1827</v>
      </c>
      <c r="F1266" t="str">
        <f>HYPERLINK("https://www.google.com/maps/search/?api=1&amp;query=24.76677296,46.82896855", "View Map")</f>
        <v>View Map</v>
      </c>
      <c r="G1266" s="2">
        <v>0.39113886474052872</v>
      </c>
    </row>
    <row r="1267" spans="1:7" x14ac:dyDescent="0.3">
      <c r="A1267" t="s">
        <v>3938</v>
      </c>
      <c r="B1267" t="s">
        <v>3939</v>
      </c>
      <c r="C1267" t="s">
        <v>8</v>
      </c>
      <c r="D1267">
        <v>5.71</v>
      </c>
      <c r="E1267" s="4">
        <v>1827</v>
      </c>
      <c r="F1267" t="str">
        <f>HYPERLINK("https://www.google.com/maps/search/?api=1&amp;query=24.74877729,46.6816209", "View Map")</f>
        <v>View Map</v>
      </c>
    </row>
    <row r="1268" spans="1:7" x14ac:dyDescent="0.3">
      <c r="A1268" t="s">
        <v>5868</v>
      </c>
      <c r="B1268" t="s">
        <v>5869</v>
      </c>
      <c r="C1268" t="s">
        <v>8</v>
      </c>
      <c r="D1268">
        <v>5.71</v>
      </c>
      <c r="E1268" s="4">
        <v>1827</v>
      </c>
      <c r="F1268" t="str">
        <f>HYPERLINK("https://www.google.com/maps/search/?api=1&amp;query=24.6969462,46.73807151", "View Map")</f>
        <v>View Map</v>
      </c>
    </row>
    <row r="1269" spans="1:7" x14ac:dyDescent="0.3">
      <c r="A1269" t="s">
        <v>2256</v>
      </c>
      <c r="B1269" t="s">
        <v>2257</v>
      </c>
      <c r="C1269" t="s">
        <v>8</v>
      </c>
      <c r="D1269">
        <v>5.7089999999999996</v>
      </c>
      <c r="E1269" s="4">
        <v>1827</v>
      </c>
      <c r="F1269" t="str">
        <f>HYPERLINK("https://www.google.com/maps/search/?api=1&amp;query=24.80221509,46.8580866", "View Map")</f>
        <v>View Map</v>
      </c>
    </row>
    <row r="1270" spans="1:7" x14ac:dyDescent="0.3">
      <c r="A1270" t="s">
        <v>2351</v>
      </c>
      <c r="B1270" t="s">
        <v>2352</v>
      </c>
      <c r="C1270" t="s">
        <v>214</v>
      </c>
      <c r="D1270">
        <v>5.7089999999999996</v>
      </c>
      <c r="E1270" s="4">
        <v>1827</v>
      </c>
      <c r="F1270" t="str">
        <f>HYPERLINK("https://www.google.com/maps/search/?api=1&amp;query=26.46725887,45.35336951", "View Map")</f>
        <v>View Map</v>
      </c>
      <c r="G1270" s="2">
        <v>0.80085235084241857</v>
      </c>
    </row>
    <row r="1271" spans="1:7" x14ac:dyDescent="0.3">
      <c r="A1271" t="s">
        <v>7327</v>
      </c>
      <c r="B1271" t="s">
        <v>7328</v>
      </c>
      <c r="C1271" t="s">
        <v>8</v>
      </c>
      <c r="D1271">
        <v>5.702</v>
      </c>
      <c r="E1271" s="4">
        <v>1824</v>
      </c>
      <c r="F1271" t="str">
        <f>HYPERLINK("https://www.google.com/maps/search/?api=1&amp;query=24.54567425,46.67219982", "View Map")</f>
        <v>View Map</v>
      </c>
    </row>
    <row r="1272" spans="1:7" x14ac:dyDescent="0.3">
      <c r="A1272" t="s">
        <v>46</v>
      </c>
      <c r="B1272" t="s">
        <v>4541</v>
      </c>
      <c r="C1272" t="s">
        <v>8</v>
      </c>
      <c r="D1272">
        <v>5.7</v>
      </c>
      <c r="E1272" s="4">
        <v>1824</v>
      </c>
      <c r="F1272" t="str">
        <f>HYPERLINK("https://www.google.com/maps/search/?api=1&amp;query=24.82820974,46.58653605", "View Map")</f>
        <v>View Map</v>
      </c>
      <c r="G1272" s="2">
        <v>0.4273099136366969</v>
      </c>
    </row>
    <row r="1273" spans="1:7" x14ac:dyDescent="0.3">
      <c r="A1273" t="s">
        <v>46</v>
      </c>
      <c r="B1273" t="s">
        <v>2778</v>
      </c>
      <c r="C1273" t="s">
        <v>8</v>
      </c>
      <c r="D1273">
        <v>5.7</v>
      </c>
      <c r="E1273" s="4">
        <v>1824</v>
      </c>
      <c r="F1273" t="str">
        <f>HYPERLINK("https://www.google.com/maps/search/?api=1&amp;query=24.84495221,46.81090646", "View Map")</f>
        <v>View Map</v>
      </c>
    </row>
    <row r="1274" spans="1:7" x14ac:dyDescent="0.3">
      <c r="A1274" t="s">
        <v>2970</v>
      </c>
      <c r="B1274" t="s">
        <v>2971</v>
      </c>
      <c r="C1274" t="s">
        <v>241</v>
      </c>
      <c r="D1274">
        <v>5.6950000000000003</v>
      </c>
      <c r="E1274" s="4">
        <v>1822</v>
      </c>
      <c r="F1274" t="str">
        <f>HYPERLINK("https://www.google.com/maps/search/?api=1&amp;query=20.42122862,45.09734073", "View Map")</f>
        <v>View Map</v>
      </c>
      <c r="G1274" s="2">
        <v>0.4814712657366374</v>
      </c>
    </row>
    <row r="1275" spans="1:7" x14ac:dyDescent="0.3">
      <c r="A1275" t="s">
        <v>146</v>
      </c>
      <c r="B1275" t="s">
        <v>1765</v>
      </c>
      <c r="C1275" t="s">
        <v>8</v>
      </c>
      <c r="D1275">
        <v>5.694</v>
      </c>
      <c r="E1275" s="4">
        <v>1822</v>
      </c>
      <c r="F1275" t="str">
        <f>HYPERLINK("https://www.google.com/maps/search/?api=1&amp;query=24.5281,46.6942", "View Map")</f>
        <v>View Map</v>
      </c>
    </row>
    <row r="1276" spans="1:7" x14ac:dyDescent="0.3">
      <c r="A1276" t="s">
        <v>2899</v>
      </c>
      <c r="B1276" t="s">
        <v>2900</v>
      </c>
      <c r="C1276" t="s">
        <v>8</v>
      </c>
      <c r="D1276">
        <v>5.694</v>
      </c>
      <c r="E1276" s="4">
        <v>1822</v>
      </c>
      <c r="F1276" t="str">
        <f>HYPERLINK("https://www.google.com/maps/search/?api=1&amp;query=24.75965878,46.67599022", "View Map")</f>
        <v>View Map</v>
      </c>
    </row>
    <row r="1277" spans="1:7" x14ac:dyDescent="0.3">
      <c r="A1277" t="s">
        <v>1232</v>
      </c>
      <c r="B1277" t="s">
        <v>1656</v>
      </c>
      <c r="C1277" t="s">
        <v>8</v>
      </c>
      <c r="D1277">
        <v>5.6920000000000002</v>
      </c>
      <c r="E1277" s="4">
        <v>1821</v>
      </c>
      <c r="F1277" t="str">
        <f>HYPERLINK("https://www.google.com/maps/search/?api=1&amp;query=24.83112837,46.6431487", "View Map")</f>
        <v>View Map</v>
      </c>
      <c r="G1277" s="2">
        <v>0.4381509134974465</v>
      </c>
    </row>
    <row r="1278" spans="1:7" x14ac:dyDescent="0.3">
      <c r="A1278" t="s">
        <v>2887</v>
      </c>
      <c r="B1278" t="s">
        <v>2888</v>
      </c>
      <c r="C1278" t="s">
        <v>8</v>
      </c>
      <c r="D1278">
        <v>5.6890000000000001</v>
      </c>
      <c r="E1278" s="4">
        <v>1821</v>
      </c>
      <c r="F1278" t="str">
        <f>HYPERLINK("https://www.google.com/maps/search/?api=1&amp;query=24.56862568,46.62866045", "View Map")</f>
        <v>View Map</v>
      </c>
    </row>
    <row r="1279" spans="1:7" x14ac:dyDescent="0.3">
      <c r="A1279" t="s">
        <v>881</v>
      </c>
      <c r="B1279" t="s">
        <v>3439</v>
      </c>
      <c r="C1279" t="s">
        <v>883</v>
      </c>
      <c r="D1279">
        <v>5.6840000000000002</v>
      </c>
      <c r="E1279" s="4">
        <v>1819</v>
      </c>
      <c r="F1279" t="str">
        <f>HYPERLINK("https://www.google.com/maps/search/?api=1&amp;query=25.56459221,47.1757458", "View Map")</f>
        <v>View Map</v>
      </c>
      <c r="G1279" s="2">
        <v>0.60609455338811424</v>
      </c>
    </row>
    <row r="1280" spans="1:7" x14ac:dyDescent="0.3">
      <c r="A1280" t="s">
        <v>2023</v>
      </c>
      <c r="B1280" t="s">
        <v>2024</v>
      </c>
      <c r="C1280" t="s">
        <v>8</v>
      </c>
      <c r="D1280">
        <v>5.6829999999999998</v>
      </c>
      <c r="E1280" s="4">
        <v>1819</v>
      </c>
      <c r="F1280" t="str">
        <f>HYPERLINK("https://www.google.com/maps/search/?api=1&amp;query=24.59860619,46.60744027", "View Map")</f>
        <v>View Map</v>
      </c>
    </row>
    <row r="1281" spans="1:7" x14ac:dyDescent="0.3">
      <c r="A1281" t="s">
        <v>1836</v>
      </c>
      <c r="B1281" t="s">
        <v>1837</v>
      </c>
      <c r="C1281" t="s">
        <v>8</v>
      </c>
      <c r="D1281">
        <v>5.6820000000000004</v>
      </c>
      <c r="E1281" s="4">
        <v>1818</v>
      </c>
      <c r="F1281" t="str">
        <f>HYPERLINK("https://www.google.com/maps/search/?api=1&amp;query=24.70475476,46.68789335", "View Map")</f>
        <v>View Map</v>
      </c>
    </row>
    <row r="1282" spans="1:7" x14ac:dyDescent="0.3">
      <c r="A1282" t="s">
        <v>2709</v>
      </c>
      <c r="B1282" t="s">
        <v>2710</v>
      </c>
      <c r="C1282" t="s">
        <v>55</v>
      </c>
      <c r="D1282">
        <v>5.6779999999999999</v>
      </c>
      <c r="E1282" s="4">
        <v>1817</v>
      </c>
      <c r="F1282" t="str">
        <f>HYPERLINK("https://www.google.com/maps/search/?api=1&amp;query=24.90731121,46.38222352", "View Map")</f>
        <v>View Map</v>
      </c>
      <c r="G1282" s="2">
        <v>0.70118803438909894</v>
      </c>
    </row>
    <row r="1283" spans="1:7" x14ac:dyDescent="0.3">
      <c r="A1283" t="s">
        <v>46</v>
      </c>
      <c r="B1283" t="s">
        <v>2022</v>
      </c>
      <c r="C1283" t="s">
        <v>8</v>
      </c>
      <c r="D1283">
        <v>5.6779999999999999</v>
      </c>
      <c r="E1283" s="4">
        <v>1817</v>
      </c>
      <c r="F1283" t="str">
        <f>HYPERLINK("https://www.google.com/maps/search/?api=1&amp;query=24.64892181,46.57835699", "View Map")</f>
        <v>View Map</v>
      </c>
      <c r="G1283" s="2">
        <v>0.53121910392207927</v>
      </c>
    </row>
    <row r="1284" spans="1:7" x14ac:dyDescent="0.3">
      <c r="A1284" t="s">
        <v>46</v>
      </c>
      <c r="B1284" t="s">
        <v>3058</v>
      </c>
      <c r="C1284" t="s">
        <v>8</v>
      </c>
      <c r="D1284">
        <v>5.6740000000000004</v>
      </c>
      <c r="E1284" s="4">
        <v>1816</v>
      </c>
      <c r="F1284" t="str">
        <f>HYPERLINK("https://www.google.com/maps/search/?api=1&amp;query=24.64479596,46.55154994", "View Map")</f>
        <v>View Map</v>
      </c>
      <c r="G1284" s="2">
        <v>0.90547381187960818</v>
      </c>
    </row>
    <row r="1285" spans="1:7" x14ac:dyDescent="0.3">
      <c r="A1285" t="s">
        <v>6282</v>
      </c>
      <c r="B1285" t="s">
        <v>6283</v>
      </c>
      <c r="C1285" t="s">
        <v>8</v>
      </c>
      <c r="D1285">
        <v>5.6740000000000004</v>
      </c>
      <c r="E1285" s="4">
        <v>1816</v>
      </c>
      <c r="F1285" t="str">
        <f>HYPERLINK("https://www.google.com/maps/search/?api=1&amp;query=24.80583006,46.73878878", "View Map")</f>
        <v>View Map</v>
      </c>
    </row>
    <row r="1286" spans="1:7" x14ac:dyDescent="0.3">
      <c r="A1286" t="s">
        <v>3331</v>
      </c>
      <c r="B1286" t="s">
        <v>3469</v>
      </c>
      <c r="C1286" t="s">
        <v>8</v>
      </c>
      <c r="D1286">
        <v>5.6719999999999997</v>
      </c>
      <c r="E1286" s="4">
        <v>1815</v>
      </c>
      <c r="F1286" t="str">
        <f>HYPERLINK("https://www.google.com/maps/search/?api=1&amp;query=24.68787843,46.57693484", "View Map")</f>
        <v>View Map</v>
      </c>
    </row>
    <row r="1287" spans="1:7" x14ac:dyDescent="0.3">
      <c r="A1287" t="s">
        <v>3210</v>
      </c>
      <c r="B1287" t="s">
        <v>3211</v>
      </c>
      <c r="C1287" t="s">
        <v>291</v>
      </c>
      <c r="D1287">
        <v>5.67</v>
      </c>
      <c r="E1287" s="4">
        <v>1815</v>
      </c>
      <c r="F1287" t="str">
        <f>HYPERLINK("https://www.google.com/maps/search/?api=1&amp;query=22.59050529,44.6793725", "View Map")</f>
        <v>View Map</v>
      </c>
      <c r="G1287" s="2">
        <v>0.9123724294498462</v>
      </c>
    </row>
    <row r="1288" spans="1:7" x14ac:dyDescent="0.3">
      <c r="A1288" t="s">
        <v>4050</v>
      </c>
      <c r="B1288" t="s">
        <v>4051</v>
      </c>
      <c r="C1288" t="s">
        <v>8</v>
      </c>
      <c r="D1288">
        <v>5.6689999999999996</v>
      </c>
      <c r="E1288" s="4">
        <v>1814</v>
      </c>
      <c r="F1288" t="str">
        <f>HYPERLINK("https://www.google.com/maps/search/?api=1&amp;query=24.78738884,46.62578337", "View Map")</f>
        <v>View Map</v>
      </c>
      <c r="G1288" s="2">
        <v>0.44676323044556121</v>
      </c>
    </row>
    <row r="1289" spans="1:7" x14ac:dyDescent="0.3">
      <c r="A1289" t="s">
        <v>2799</v>
      </c>
      <c r="B1289" t="s">
        <v>2800</v>
      </c>
      <c r="C1289" t="s">
        <v>30</v>
      </c>
      <c r="D1289">
        <v>5.6639999999999997</v>
      </c>
      <c r="E1289" s="4">
        <v>1813</v>
      </c>
      <c r="F1289" t="str">
        <f>HYPERLINK("https://www.google.com/maps/search/?api=1&amp;query=24.17433325,47.31805519", "View Map")</f>
        <v>View Map</v>
      </c>
      <c r="G1289" s="2">
        <v>0.75588515417486812</v>
      </c>
    </row>
    <row r="1290" spans="1:7" x14ac:dyDescent="0.3">
      <c r="A1290" t="s">
        <v>46</v>
      </c>
      <c r="B1290" t="s">
        <v>2762</v>
      </c>
      <c r="C1290" t="s">
        <v>8</v>
      </c>
      <c r="D1290">
        <v>5.6639999999999997</v>
      </c>
      <c r="E1290" s="4">
        <v>1812</v>
      </c>
      <c r="F1290" t="str">
        <f>HYPERLINK("https://www.google.com/maps/search/?api=1&amp;query=24.92525789,46.82341566", "View Map")</f>
        <v>View Map</v>
      </c>
      <c r="G1290" s="2">
        <v>0.41957539786866788</v>
      </c>
    </row>
    <row r="1291" spans="1:7" x14ac:dyDescent="0.3">
      <c r="A1291" t="s">
        <v>2517</v>
      </c>
      <c r="B1291" t="s">
        <v>2518</v>
      </c>
      <c r="C1291" t="s">
        <v>77</v>
      </c>
      <c r="D1291">
        <v>5.6619999999999999</v>
      </c>
      <c r="E1291" s="4">
        <v>1812</v>
      </c>
      <c r="F1291" t="str">
        <f>HYPERLINK("https://www.google.com/maps/search/?api=1&amp;query=22.45488746,46.58204475", "View Map")</f>
        <v>View Map</v>
      </c>
      <c r="G1291" s="2">
        <v>0.78331169485848462</v>
      </c>
    </row>
    <row r="1292" spans="1:7" x14ac:dyDescent="0.3">
      <c r="A1292" t="s">
        <v>385</v>
      </c>
      <c r="B1292" t="s">
        <v>2411</v>
      </c>
      <c r="C1292" t="s">
        <v>55</v>
      </c>
      <c r="D1292">
        <v>5.6609999999999996</v>
      </c>
      <c r="E1292" s="4">
        <v>1811</v>
      </c>
      <c r="F1292" t="str">
        <f>HYPERLINK("https://www.google.com/maps/search/?api=1&amp;query=24.74338814,46.51367712", "View Map")</f>
        <v>View Map</v>
      </c>
      <c r="G1292" s="2">
        <v>0.45983827357583518</v>
      </c>
    </row>
    <row r="1293" spans="1:7" x14ac:dyDescent="0.3">
      <c r="A1293" t="s">
        <v>2476</v>
      </c>
      <c r="B1293" t="s">
        <v>2477</v>
      </c>
      <c r="C1293" t="s">
        <v>21</v>
      </c>
      <c r="D1293">
        <v>5.6589999999999998</v>
      </c>
      <c r="E1293" s="4">
        <v>1811</v>
      </c>
      <c r="F1293" t="str">
        <f>HYPERLINK("https://www.google.com/maps/search/?api=1&amp;query=26.32463034,44.82753967", "View Map")</f>
        <v>View Map</v>
      </c>
      <c r="G1293" s="2">
        <v>0.67236772068600414</v>
      </c>
    </row>
    <row r="1294" spans="1:7" x14ac:dyDescent="0.3">
      <c r="A1294" t="s">
        <v>1273</v>
      </c>
      <c r="B1294" t="s">
        <v>2646</v>
      </c>
      <c r="C1294" t="s">
        <v>241</v>
      </c>
      <c r="D1294">
        <v>5.657</v>
      </c>
      <c r="E1294" s="4">
        <v>1810</v>
      </c>
      <c r="F1294" t="str">
        <f>HYPERLINK("https://www.google.com/maps/search/?api=1&amp;query=20.4503241,44.8405842", "View Map")</f>
        <v>View Map</v>
      </c>
      <c r="G1294" s="2">
        <v>0.69244202040132574</v>
      </c>
    </row>
    <row r="1295" spans="1:7" x14ac:dyDescent="0.3">
      <c r="A1295" t="s">
        <v>2441</v>
      </c>
      <c r="B1295" t="s">
        <v>2442</v>
      </c>
      <c r="C1295" t="s">
        <v>30</v>
      </c>
      <c r="D1295">
        <v>5.6539999999999999</v>
      </c>
      <c r="E1295" s="4">
        <v>1809</v>
      </c>
      <c r="F1295" t="str">
        <f>HYPERLINK("https://www.google.com/maps/search/?api=1&amp;query=24.17231,47.21997", "View Map")</f>
        <v>View Map</v>
      </c>
      <c r="G1295" s="2">
        <v>0.64830665780310293</v>
      </c>
    </row>
    <row r="1296" spans="1:7" x14ac:dyDescent="0.3">
      <c r="A1296" t="s">
        <v>3761</v>
      </c>
      <c r="B1296" t="s">
        <v>3762</v>
      </c>
      <c r="C1296" t="s">
        <v>8</v>
      </c>
      <c r="D1296">
        <v>5.6509999999999998</v>
      </c>
      <c r="E1296" s="4">
        <v>1808</v>
      </c>
      <c r="F1296" t="str">
        <f>HYPERLINK("https://www.google.com/maps/search/?api=1&amp;query=24.70431421,46.81820488", "View Map")</f>
        <v>View Map</v>
      </c>
      <c r="G1296" s="2">
        <v>0.49067695019073432</v>
      </c>
    </row>
    <row r="1297" spans="1:7" x14ac:dyDescent="0.3">
      <c r="A1297" t="s">
        <v>2480</v>
      </c>
      <c r="B1297" t="s">
        <v>2481</v>
      </c>
      <c r="C1297" t="s">
        <v>21</v>
      </c>
      <c r="D1297">
        <v>5.6509999999999998</v>
      </c>
      <c r="E1297" s="4">
        <v>1808</v>
      </c>
      <c r="F1297" t="str">
        <f>HYPERLINK("https://www.google.com/maps/search/?api=1&amp;query=26.31033251,44.89312666", "View Map")</f>
        <v>View Map</v>
      </c>
      <c r="G1297" s="2">
        <v>0.7027791861377074</v>
      </c>
    </row>
    <row r="1298" spans="1:7" x14ac:dyDescent="0.3">
      <c r="A1298" t="s">
        <v>999</v>
      </c>
      <c r="B1298" t="s">
        <v>1000</v>
      </c>
      <c r="C1298" t="s">
        <v>8</v>
      </c>
      <c r="D1298">
        <v>5.6459999999999999</v>
      </c>
      <c r="E1298" s="4">
        <v>1807</v>
      </c>
      <c r="F1298" t="str">
        <f>HYPERLINK("https://www.google.com/maps/search/?api=1&amp;query=24.58050058,46.76986772", "View Map")</f>
        <v>View Map</v>
      </c>
      <c r="G1298" s="2">
        <v>0.36016047770969772</v>
      </c>
    </row>
    <row r="1299" spans="1:7" x14ac:dyDescent="0.3">
      <c r="A1299" t="s">
        <v>5047</v>
      </c>
      <c r="B1299" t="s">
        <v>5048</v>
      </c>
      <c r="C1299" t="s">
        <v>8</v>
      </c>
      <c r="D1299">
        <v>5.6449999999999996</v>
      </c>
      <c r="E1299" s="4">
        <v>1806</v>
      </c>
      <c r="F1299" t="str">
        <f>HYPERLINK("https://www.google.com/maps/search/?api=1&amp;query=24.69005098,46.85004594", "View Map")</f>
        <v>View Map</v>
      </c>
    </row>
    <row r="1300" spans="1:7" x14ac:dyDescent="0.3">
      <c r="A1300" t="s">
        <v>4791</v>
      </c>
      <c r="B1300" t="s">
        <v>4792</v>
      </c>
      <c r="C1300" t="s">
        <v>255</v>
      </c>
      <c r="D1300">
        <v>5.6440000000000001</v>
      </c>
      <c r="E1300" s="4">
        <v>1806</v>
      </c>
      <c r="F1300" t="str">
        <f>HYPERLINK("https://www.google.com/maps/search/?api=1&amp;query=24.65914582,43.65764723", "View Map")</f>
        <v>View Map</v>
      </c>
      <c r="G1300" s="2">
        <v>0.68626718870601489</v>
      </c>
    </row>
    <row r="1301" spans="1:7" x14ac:dyDescent="0.3">
      <c r="A1301" t="s">
        <v>2670</v>
      </c>
      <c r="B1301" t="s">
        <v>2671</v>
      </c>
      <c r="C1301" t="s">
        <v>137</v>
      </c>
      <c r="D1301">
        <v>5.6429999999999998</v>
      </c>
      <c r="E1301" s="4">
        <v>1806</v>
      </c>
      <c r="F1301" t="str">
        <f>HYPERLINK("https://www.google.com/maps/search/?api=1&amp;query=23.44724739,46.787458", "View Map")</f>
        <v>View Map</v>
      </c>
      <c r="G1301" s="2">
        <v>0.62791361056275108</v>
      </c>
    </row>
    <row r="1302" spans="1:7" x14ac:dyDescent="0.3">
      <c r="A1302" t="s">
        <v>2281</v>
      </c>
      <c r="B1302" t="s">
        <v>2282</v>
      </c>
      <c r="C1302" t="s">
        <v>8</v>
      </c>
      <c r="D1302">
        <v>5.6420000000000003</v>
      </c>
      <c r="E1302" s="4">
        <v>1805</v>
      </c>
      <c r="F1302" t="str">
        <f>HYPERLINK("https://www.google.com/maps/search/?api=1&amp;query=24.70084072,46.80484557", "View Map")</f>
        <v>View Map</v>
      </c>
    </row>
    <row r="1303" spans="1:7" x14ac:dyDescent="0.3">
      <c r="A1303" t="s">
        <v>3019</v>
      </c>
      <c r="B1303" t="s">
        <v>3020</v>
      </c>
      <c r="C1303" t="s">
        <v>21</v>
      </c>
      <c r="D1303">
        <v>5.6390000000000002</v>
      </c>
      <c r="E1303" s="4">
        <v>1804</v>
      </c>
      <c r="F1303" t="str">
        <f>HYPERLINK("https://www.google.com/maps/search/?api=1&amp;query=26.29557123,44.81939294", "View Map")</f>
        <v>View Map</v>
      </c>
      <c r="G1303" s="2">
        <v>0.57770418382082411</v>
      </c>
    </row>
    <row r="1304" spans="1:7" x14ac:dyDescent="0.3">
      <c r="A1304" t="s">
        <v>73</v>
      </c>
      <c r="B1304" t="s">
        <v>5628</v>
      </c>
      <c r="C1304" t="s">
        <v>55</v>
      </c>
      <c r="D1304">
        <v>5.6369999999999996</v>
      </c>
      <c r="E1304" s="4">
        <v>1804</v>
      </c>
      <c r="F1304" t="str">
        <f>HYPERLINK("https://www.google.com/maps/search/?api=1&amp;query=24.7731,46.5667", "View Map")</f>
        <v>View Map</v>
      </c>
    </row>
    <row r="1305" spans="1:7" x14ac:dyDescent="0.3">
      <c r="A1305" t="s">
        <v>510</v>
      </c>
      <c r="B1305" t="s">
        <v>11319</v>
      </c>
      <c r="C1305" t="s">
        <v>393</v>
      </c>
      <c r="D1305">
        <v>5.6360000000000001</v>
      </c>
      <c r="E1305" s="4">
        <v>1803</v>
      </c>
      <c r="F1305" t="str">
        <f>HYPERLINK("https://www.google.com/maps/search/?api=1&amp;query=22.61255931,45.06739983", "View Map")</f>
        <v>View Map</v>
      </c>
      <c r="G1305" s="2">
        <v>1.046814026428954</v>
      </c>
    </row>
    <row r="1306" spans="1:7" x14ac:dyDescent="0.3">
      <c r="A1306" t="s">
        <v>1877</v>
      </c>
      <c r="B1306" t="s">
        <v>1878</v>
      </c>
      <c r="C1306" t="s">
        <v>8</v>
      </c>
      <c r="D1306">
        <v>5.6310000000000002</v>
      </c>
      <c r="E1306" s="4">
        <v>1802</v>
      </c>
      <c r="F1306" t="str">
        <f>HYPERLINK("https://www.google.com/maps/search/?api=1&amp;query=24.75648514,46.66023933", "View Map")</f>
        <v>View Map</v>
      </c>
    </row>
    <row r="1307" spans="1:7" x14ac:dyDescent="0.3">
      <c r="A1307" t="s">
        <v>46</v>
      </c>
      <c r="B1307" t="s">
        <v>2483</v>
      </c>
      <c r="C1307" t="s">
        <v>8</v>
      </c>
      <c r="D1307">
        <v>5.6280000000000001</v>
      </c>
      <c r="E1307" s="4">
        <v>1801</v>
      </c>
      <c r="F1307" t="str">
        <f>HYPERLINK("https://www.google.com/maps/search/?api=1&amp;query=24.86567163,46.65031705", "View Map")</f>
        <v>View Map</v>
      </c>
      <c r="G1307" s="2">
        <v>0.41215069315046871</v>
      </c>
    </row>
    <row r="1308" spans="1:7" x14ac:dyDescent="0.3">
      <c r="A1308" t="s">
        <v>5589</v>
      </c>
      <c r="B1308" t="s">
        <v>5590</v>
      </c>
      <c r="C1308" t="s">
        <v>214</v>
      </c>
      <c r="D1308">
        <v>5.625</v>
      </c>
      <c r="E1308" s="4">
        <v>1800</v>
      </c>
      <c r="F1308" t="str">
        <f>HYPERLINK("https://www.google.com/maps/search/?api=1&amp;query=25.5925548,45.79608624", "View Map")</f>
        <v>View Map</v>
      </c>
      <c r="G1308" s="2">
        <v>0.64793073754495689</v>
      </c>
    </row>
    <row r="1309" spans="1:7" x14ac:dyDescent="0.3">
      <c r="A1309" t="s">
        <v>479</v>
      </c>
      <c r="B1309" t="s">
        <v>4251</v>
      </c>
      <c r="C1309" t="s">
        <v>738</v>
      </c>
      <c r="D1309">
        <v>5.6210000000000004</v>
      </c>
      <c r="E1309" s="4">
        <v>1799</v>
      </c>
      <c r="F1309" t="str">
        <f>HYPERLINK("https://www.google.com/maps/search/?api=1&amp;query=25.08864854,46.26075928", "View Map")</f>
        <v>View Map</v>
      </c>
      <c r="G1309" s="2">
        <v>0.4773014300854086</v>
      </c>
    </row>
    <row r="1310" spans="1:7" x14ac:dyDescent="0.3">
      <c r="A1310" t="s">
        <v>3460</v>
      </c>
      <c r="B1310" t="s">
        <v>3461</v>
      </c>
      <c r="C1310" t="s">
        <v>8</v>
      </c>
      <c r="D1310">
        <v>5.617</v>
      </c>
      <c r="E1310" s="4">
        <v>1797</v>
      </c>
      <c r="F1310" t="str">
        <f>HYPERLINK("https://www.google.com/maps/search/?api=1&amp;query=24.69591433,46.74797927", "View Map")</f>
        <v>View Map</v>
      </c>
      <c r="G1310" s="2">
        <v>0.64212012413885244</v>
      </c>
    </row>
    <row r="1311" spans="1:7" x14ac:dyDescent="0.3">
      <c r="A1311" t="s">
        <v>2694</v>
      </c>
      <c r="B1311" t="s">
        <v>2695</v>
      </c>
      <c r="C1311" t="s">
        <v>8</v>
      </c>
      <c r="D1311">
        <v>5.6159999999999997</v>
      </c>
      <c r="E1311" s="4">
        <v>1797</v>
      </c>
      <c r="F1311" t="str">
        <f>HYPERLINK("https://www.google.com/maps/search/?api=1&amp;query=24.56448392,46.69473232", "View Map")</f>
        <v>View Map</v>
      </c>
      <c r="G1311" s="2">
        <v>0.45685773397915219</v>
      </c>
    </row>
    <row r="1312" spans="1:7" x14ac:dyDescent="0.3">
      <c r="A1312" t="s">
        <v>3948</v>
      </c>
      <c r="B1312" t="s">
        <v>3949</v>
      </c>
      <c r="C1312" t="s">
        <v>8</v>
      </c>
      <c r="D1312">
        <v>5.6150000000000002</v>
      </c>
      <c r="E1312" s="4">
        <v>1797</v>
      </c>
      <c r="F1312" t="str">
        <f>HYPERLINK("https://www.google.com/maps/search/?api=1&amp;query=24.705011,46.75055208", "View Map")</f>
        <v>View Map</v>
      </c>
      <c r="G1312" s="2">
        <v>0.65380868249234614</v>
      </c>
    </row>
    <row r="1313" spans="1:7" x14ac:dyDescent="0.3">
      <c r="A1313" t="s">
        <v>1890</v>
      </c>
      <c r="B1313" t="s">
        <v>1891</v>
      </c>
      <c r="C1313" t="s">
        <v>8</v>
      </c>
      <c r="D1313">
        <v>5.6150000000000002</v>
      </c>
      <c r="E1313" s="4">
        <v>1797</v>
      </c>
      <c r="F1313" t="str">
        <f>HYPERLINK("https://www.google.com/maps/search/?api=1&amp;query=24.5919537,46.7471375", "View Map")</f>
        <v>View Map</v>
      </c>
      <c r="G1313" s="2">
        <v>0.44926250447410948</v>
      </c>
    </row>
    <row r="1314" spans="1:7" x14ac:dyDescent="0.3">
      <c r="A1314" t="s">
        <v>4675</v>
      </c>
      <c r="B1314" t="s">
        <v>4676</v>
      </c>
      <c r="C1314" t="s">
        <v>255</v>
      </c>
      <c r="D1314">
        <v>5.6139999999999999</v>
      </c>
      <c r="E1314" s="4">
        <v>1796</v>
      </c>
      <c r="F1314" t="str">
        <f>HYPERLINK("https://www.google.com/maps/search/?api=1&amp;query=24.50983412,43.78630565", "View Map")</f>
        <v>View Map</v>
      </c>
      <c r="G1314" s="2">
        <v>0.52985086870123466</v>
      </c>
    </row>
    <row r="1315" spans="1:7" x14ac:dyDescent="0.3">
      <c r="A1315" t="s">
        <v>3112</v>
      </c>
      <c r="B1315" t="s">
        <v>3113</v>
      </c>
      <c r="C1315" t="s">
        <v>291</v>
      </c>
      <c r="D1315">
        <v>5.6070000000000002</v>
      </c>
      <c r="E1315" s="4">
        <v>1794</v>
      </c>
      <c r="F1315" t="str">
        <f>HYPERLINK("https://www.google.com/maps/search/?api=1&amp;query=24.43025166,45.87336685", "View Map")</f>
        <v>View Map</v>
      </c>
      <c r="G1315" s="2">
        <v>0.86922109837274708</v>
      </c>
    </row>
    <row r="1316" spans="1:7" x14ac:dyDescent="0.3">
      <c r="A1316" t="s">
        <v>46</v>
      </c>
      <c r="B1316" t="s">
        <v>3373</v>
      </c>
      <c r="C1316" t="s">
        <v>8</v>
      </c>
      <c r="D1316">
        <v>5.6050000000000004</v>
      </c>
      <c r="E1316" s="4">
        <v>1794</v>
      </c>
      <c r="F1316" t="str">
        <f>HYPERLINK("https://www.google.com/maps/search/?api=1&amp;query=24.84057362,46.88259005", "View Map")</f>
        <v>View Map</v>
      </c>
      <c r="G1316" s="2">
        <v>0.63107326956801979</v>
      </c>
    </row>
    <row r="1317" spans="1:7" x14ac:dyDescent="0.3">
      <c r="A1317" t="s">
        <v>4634</v>
      </c>
      <c r="B1317" t="s">
        <v>4635</v>
      </c>
      <c r="C1317" t="s">
        <v>8</v>
      </c>
      <c r="D1317">
        <v>5.6</v>
      </c>
      <c r="E1317" s="4">
        <v>1792</v>
      </c>
      <c r="F1317" t="str">
        <f>HYPERLINK("https://www.google.com/maps/search/?api=1&amp;query=24.71792452,46.81783059", "View Map")</f>
        <v>View Map</v>
      </c>
    </row>
    <row r="1318" spans="1:7" x14ac:dyDescent="0.3">
      <c r="A1318" t="s">
        <v>2423</v>
      </c>
      <c r="B1318" t="s">
        <v>2424</v>
      </c>
      <c r="C1318" t="s">
        <v>21</v>
      </c>
      <c r="D1318">
        <v>5.5960000000000001</v>
      </c>
      <c r="E1318" s="4">
        <v>1791</v>
      </c>
      <c r="F1318" t="str">
        <f>HYPERLINK("https://www.google.com/maps/search/?api=1&amp;query=26.3180466,44.79630624", "View Map")</f>
        <v>View Map</v>
      </c>
      <c r="G1318" s="2">
        <v>0.47947205866865811</v>
      </c>
    </row>
    <row r="1319" spans="1:7" x14ac:dyDescent="0.3">
      <c r="A1319" t="s">
        <v>706</v>
      </c>
      <c r="B1319" t="s">
        <v>1145</v>
      </c>
      <c r="C1319" t="s">
        <v>8</v>
      </c>
      <c r="D1319">
        <v>5.5949999999999998</v>
      </c>
      <c r="E1319" s="4">
        <v>1790</v>
      </c>
      <c r="F1319" t="str">
        <f>HYPERLINK("https://www.google.com/maps/search/?api=1&amp;query=24.56920344,46.5368839", "View Map")</f>
        <v>View Map</v>
      </c>
    </row>
    <row r="1320" spans="1:7" x14ac:dyDescent="0.3">
      <c r="A1320" t="s">
        <v>146</v>
      </c>
      <c r="B1320" t="s">
        <v>2412</v>
      </c>
      <c r="C1320" t="s">
        <v>8</v>
      </c>
      <c r="D1320">
        <v>5.5940000000000003</v>
      </c>
      <c r="E1320" s="4">
        <v>1790</v>
      </c>
      <c r="F1320" t="str">
        <f>HYPERLINK("https://www.google.com/maps/search/?api=1&amp;query=24.62153594,46.71398173", "View Map")</f>
        <v>View Map</v>
      </c>
      <c r="G1320" s="2">
        <v>0.6657810288613436</v>
      </c>
    </row>
    <row r="1321" spans="1:7" x14ac:dyDescent="0.3">
      <c r="A1321" t="s">
        <v>479</v>
      </c>
      <c r="B1321" t="s">
        <v>2810</v>
      </c>
      <c r="C1321" t="s">
        <v>738</v>
      </c>
      <c r="D1321">
        <v>5.5919999999999996</v>
      </c>
      <c r="E1321" s="4">
        <v>1790</v>
      </c>
      <c r="F1321" t="str">
        <f>HYPERLINK("https://www.google.com/maps/search/?api=1&amp;query=25.18007248,46.33793078", "View Map")</f>
        <v>View Map</v>
      </c>
      <c r="G1321" s="2">
        <v>0.71624712689048298</v>
      </c>
    </row>
    <row r="1322" spans="1:7" x14ac:dyDescent="0.3">
      <c r="A1322" t="s">
        <v>28</v>
      </c>
      <c r="B1322" t="s">
        <v>2245</v>
      </c>
      <c r="C1322" t="s">
        <v>30</v>
      </c>
      <c r="D1322">
        <v>5.5880000000000001</v>
      </c>
      <c r="E1322" s="4">
        <v>1788</v>
      </c>
      <c r="F1322" t="str">
        <f>HYPERLINK("https://www.google.com/maps/search/?api=1&amp;query=24.17319047,47.34223867", "View Map")</f>
        <v>View Map</v>
      </c>
    </row>
    <row r="1323" spans="1:7" x14ac:dyDescent="0.3">
      <c r="A1323" t="s">
        <v>3104</v>
      </c>
      <c r="B1323" t="s">
        <v>3105</v>
      </c>
      <c r="C1323" t="s">
        <v>21</v>
      </c>
      <c r="D1323">
        <v>5.5869999999999997</v>
      </c>
      <c r="E1323" s="4">
        <v>1788</v>
      </c>
      <c r="F1323" t="str">
        <f>HYPERLINK("https://www.google.com/maps/search/?api=1&amp;query=26.31676632,44.81740767", "View Map")</f>
        <v>View Map</v>
      </c>
      <c r="G1323" s="2">
        <v>0.67912331312510477</v>
      </c>
    </row>
    <row r="1324" spans="1:7" x14ac:dyDescent="0.3">
      <c r="A1324" t="s">
        <v>1594</v>
      </c>
      <c r="B1324" t="s">
        <v>4378</v>
      </c>
      <c r="C1324" t="s">
        <v>820</v>
      </c>
      <c r="D1324">
        <v>5.5869999999999997</v>
      </c>
      <c r="E1324" s="4">
        <v>1788</v>
      </c>
      <c r="F1324" t="str">
        <f>HYPERLINK("https://www.google.com/maps/search/?api=1&amp;query=0.0,0.0", "View Map")</f>
        <v>View Map</v>
      </c>
      <c r="G1324" s="2">
        <v>0.41817643918194281</v>
      </c>
    </row>
    <row r="1325" spans="1:7" x14ac:dyDescent="0.3">
      <c r="A1325" t="s">
        <v>908</v>
      </c>
      <c r="B1325" t="s">
        <v>2320</v>
      </c>
      <c r="C1325" t="s">
        <v>8</v>
      </c>
      <c r="D1325">
        <v>5.5839999999999996</v>
      </c>
      <c r="E1325" s="4">
        <v>1787</v>
      </c>
      <c r="F1325" t="str">
        <f>HYPERLINK("https://www.google.com/maps/search/?api=1&amp;query=24.79923,46.5878", "View Map")</f>
        <v>View Map</v>
      </c>
    </row>
    <row r="1326" spans="1:7" x14ac:dyDescent="0.3">
      <c r="A1326" t="s">
        <v>1664</v>
      </c>
      <c r="B1326" t="s">
        <v>1665</v>
      </c>
      <c r="C1326" t="s">
        <v>8</v>
      </c>
      <c r="D1326">
        <v>5.5839999999999996</v>
      </c>
      <c r="E1326" s="4">
        <v>1787</v>
      </c>
      <c r="F1326" t="str">
        <f>HYPERLINK("https://www.google.com/maps/search/?api=1&amp;query=24.82657066,46.81154922", "View Map")</f>
        <v>View Map</v>
      </c>
    </row>
    <row r="1327" spans="1:7" x14ac:dyDescent="0.3">
      <c r="A1327" t="s">
        <v>146</v>
      </c>
      <c r="B1327" t="s">
        <v>6119</v>
      </c>
      <c r="C1327" t="s">
        <v>8</v>
      </c>
      <c r="D1327">
        <v>5.5830000000000002</v>
      </c>
      <c r="E1327" s="4">
        <v>1787</v>
      </c>
      <c r="F1327" t="str">
        <f>HYPERLINK("https://www.google.com/maps/search/?api=1&amp;query=24.55866422,46.51565287", "View Map")</f>
        <v>View Map</v>
      </c>
    </row>
    <row r="1328" spans="1:7" x14ac:dyDescent="0.3">
      <c r="A1328" t="s">
        <v>1494</v>
      </c>
      <c r="B1328" t="s">
        <v>1495</v>
      </c>
      <c r="C1328" t="s">
        <v>8</v>
      </c>
      <c r="D1328">
        <v>5.58</v>
      </c>
      <c r="E1328" s="4">
        <v>1786</v>
      </c>
      <c r="F1328" t="str">
        <f>HYPERLINK("https://www.google.com/maps/search/?api=1&amp;query=24.71509161,46.78822783", "View Map")</f>
        <v>View Map</v>
      </c>
      <c r="G1328" s="2">
        <v>0.3050360522000764</v>
      </c>
    </row>
    <row r="1329" spans="1:7" x14ac:dyDescent="0.3">
      <c r="A1329" t="s">
        <v>2291</v>
      </c>
      <c r="B1329" t="s">
        <v>2292</v>
      </c>
      <c r="C1329" t="s">
        <v>8</v>
      </c>
      <c r="D1329">
        <v>5.5730000000000004</v>
      </c>
      <c r="E1329" s="4">
        <v>1783</v>
      </c>
      <c r="F1329" t="str">
        <f>HYPERLINK("https://www.google.com/maps/search/?api=1&amp;query=24.66795984,46.70400926", "View Map")</f>
        <v>View Map</v>
      </c>
    </row>
    <row r="1330" spans="1:7" x14ac:dyDescent="0.3">
      <c r="A1330" t="s">
        <v>146</v>
      </c>
      <c r="B1330" t="s">
        <v>3648</v>
      </c>
      <c r="C1330" t="s">
        <v>8</v>
      </c>
      <c r="D1330">
        <v>5.5720000000000001</v>
      </c>
      <c r="E1330" s="4">
        <v>1783</v>
      </c>
      <c r="F1330" t="str">
        <f>HYPERLINK("https://www.google.com/maps/search/?api=1&amp;query=24.52501901,46.64200133", "View Map")</f>
        <v>View Map</v>
      </c>
    </row>
    <row r="1331" spans="1:7" x14ac:dyDescent="0.3">
      <c r="A1331" t="s">
        <v>1758</v>
      </c>
      <c r="B1331" t="s">
        <v>2090</v>
      </c>
      <c r="C1331" t="s">
        <v>8</v>
      </c>
      <c r="D1331">
        <v>5.5670000000000002</v>
      </c>
      <c r="E1331" s="4">
        <v>1782</v>
      </c>
      <c r="F1331" t="str">
        <f>HYPERLINK("https://www.google.com/maps/search/?api=1&amp;query=24.77067089,46.61820953", "View Map")</f>
        <v>View Map</v>
      </c>
    </row>
    <row r="1332" spans="1:7" x14ac:dyDescent="0.3">
      <c r="A1332" t="s">
        <v>459</v>
      </c>
      <c r="B1332" t="s">
        <v>3012</v>
      </c>
      <c r="C1332" t="s">
        <v>286</v>
      </c>
      <c r="D1332">
        <v>5.5640000000000001</v>
      </c>
      <c r="E1332" s="4">
        <v>1781</v>
      </c>
      <c r="F1332" t="str">
        <f>HYPERLINK("https://www.google.com/maps/search/?api=1&amp;query=25.24233958,45.24204342", "View Map")</f>
        <v>View Map</v>
      </c>
      <c r="G1332" s="2">
        <v>0.72694058932653594</v>
      </c>
    </row>
    <row r="1333" spans="1:7" x14ac:dyDescent="0.3">
      <c r="A1333" t="s">
        <v>10100</v>
      </c>
      <c r="B1333" t="s">
        <v>10101</v>
      </c>
      <c r="C1333" t="s">
        <v>286</v>
      </c>
      <c r="D1333">
        <v>5.5640000000000001</v>
      </c>
      <c r="E1333" s="4">
        <v>1781</v>
      </c>
      <c r="F1333" t="str">
        <f>HYPERLINK("https://www.google.com/maps/search/?api=1&amp;query=25.29422746,45.51875417", "View Map")</f>
        <v>View Map</v>
      </c>
      <c r="G1333" s="2">
        <v>0.59890044820475707</v>
      </c>
    </row>
    <row r="1334" spans="1:7" x14ac:dyDescent="0.3">
      <c r="A1334" t="s">
        <v>2117</v>
      </c>
      <c r="B1334" t="s">
        <v>2118</v>
      </c>
      <c r="C1334" t="s">
        <v>8</v>
      </c>
      <c r="D1334">
        <v>5.5629999999999997</v>
      </c>
      <c r="E1334" s="4">
        <v>1780</v>
      </c>
      <c r="F1334" t="str">
        <f>HYPERLINK("https://www.google.com/maps/search/?api=1&amp;query=24.69896691,46.8388006", "View Map")</f>
        <v>View Map</v>
      </c>
      <c r="G1334" s="2">
        <v>0.32790340317644501</v>
      </c>
    </row>
    <row r="1335" spans="1:7" x14ac:dyDescent="0.3">
      <c r="A1335" t="s">
        <v>3597</v>
      </c>
      <c r="B1335" t="s">
        <v>3598</v>
      </c>
      <c r="C1335" t="s">
        <v>8</v>
      </c>
      <c r="D1335">
        <v>5.5579999999999998</v>
      </c>
      <c r="E1335" s="4">
        <v>1779</v>
      </c>
      <c r="F1335" t="str">
        <f>HYPERLINK("https://www.google.com/maps/search/?api=1&amp;query=24.78560178,46.736722", "View Map")</f>
        <v>View Map</v>
      </c>
    </row>
    <row r="1336" spans="1:7" x14ac:dyDescent="0.3">
      <c r="A1336" t="s">
        <v>5099</v>
      </c>
      <c r="B1336" t="s">
        <v>5100</v>
      </c>
      <c r="C1336" t="s">
        <v>8</v>
      </c>
      <c r="D1336">
        <v>5.556</v>
      </c>
      <c r="E1336" s="4">
        <v>1778</v>
      </c>
      <c r="F1336" t="str">
        <f>HYPERLINK("https://www.google.com/maps/search/?api=1&amp;query=24.7681246,46.80888843", "View Map")</f>
        <v>View Map</v>
      </c>
    </row>
    <row r="1337" spans="1:7" x14ac:dyDescent="0.3">
      <c r="A1337" t="s">
        <v>3536</v>
      </c>
      <c r="B1337" t="s">
        <v>3537</v>
      </c>
      <c r="C1337" t="s">
        <v>393</v>
      </c>
      <c r="D1337">
        <v>5.5469999999999997</v>
      </c>
      <c r="E1337" s="4">
        <v>1775</v>
      </c>
      <c r="F1337" t="str">
        <f>HYPERLINK("https://www.google.com/maps/search/?api=1&amp;query=23.2414569,45.50613701", "View Map")</f>
        <v>View Map</v>
      </c>
      <c r="G1337" s="2">
        <v>0.94017889241419017</v>
      </c>
    </row>
    <row r="1338" spans="1:7" x14ac:dyDescent="0.3">
      <c r="A1338" t="s">
        <v>2636</v>
      </c>
      <c r="B1338" t="s">
        <v>2637</v>
      </c>
      <c r="C1338" t="s">
        <v>21</v>
      </c>
      <c r="D1338">
        <v>5.5350000000000001</v>
      </c>
      <c r="E1338" s="4">
        <v>1771</v>
      </c>
      <c r="F1338" t="str">
        <f>HYPERLINK("https://www.google.com/maps/search/?api=1&amp;query=26.28043756,44.85890983", "View Map")</f>
        <v>View Map</v>
      </c>
      <c r="G1338" s="2">
        <v>0.81041660774897506</v>
      </c>
    </row>
    <row r="1339" spans="1:7" x14ac:dyDescent="0.3">
      <c r="A1339" t="s">
        <v>958</v>
      </c>
      <c r="B1339" t="s">
        <v>1932</v>
      </c>
      <c r="C1339" t="s">
        <v>8</v>
      </c>
      <c r="D1339">
        <v>5.5350000000000001</v>
      </c>
      <c r="E1339" s="4">
        <v>1771</v>
      </c>
      <c r="F1339" t="str">
        <f>HYPERLINK("https://www.google.com/maps/search/?api=1&amp;query=24.56237813,46.68986147", "View Map")</f>
        <v>View Map</v>
      </c>
    </row>
    <row r="1340" spans="1:7" x14ac:dyDescent="0.3">
      <c r="A1340" t="s">
        <v>5279</v>
      </c>
      <c r="B1340" t="s">
        <v>5280</v>
      </c>
      <c r="C1340" t="s">
        <v>8</v>
      </c>
      <c r="D1340">
        <v>5.5339999999999998</v>
      </c>
      <c r="E1340" s="4">
        <v>1771</v>
      </c>
      <c r="F1340" t="str">
        <f>HYPERLINK("https://www.google.com/maps/search/?api=1&amp;query=24.59711476,46.78066055", "View Map")</f>
        <v>View Map</v>
      </c>
    </row>
    <row r="1341" spans="1:7" x14ac:dyDescent="0.3">
      <c r="A1341" t="s">
        <v>46</v>
      </c>
      <c r="B1341" t="s">
        <v>788</v>
      </c>
      <c r="C1341" t="s">
        <v>8</v>
      </c>
      <c r="D1341">
        <v>5.5289999999999999</v>
      </c>
      <c r="E1341" s="4">
        <v>1769</v>
      </c>
      <c r="F1341" t="str">
        <f>HYPERLINK("https://www.google.com/maps/search/?api=1&amp;query=24.82043797,46.58948209", "View Map")</f>
        <v>View Map</v>
      </c>
      <c r="G1341" s="2">
        <v>0.2405744823894039</v>
      </c>
    </row>
    <row r="1342" spans="1:7" x14ac:dyDescent="0.3">
      <c r="A1342" t="s">
        <v>11320</v>
      </c>
      <c r="B1342" t="s">
        <v>11321</v>
      </c>
      <c r="C1342" t="s">
        <v>21</v>
      </c>
      <c r="D1342">
        <v>5.5270000000000001</v>
      </c>
      <c r="E1342" s="4">
        <v>1769</v>
      </c>
      <c r="F1342" t="str">
        <f>HYPERLINK("https://www.google.com/maps/search/?api=1&amp;query=26.31013688,44.81486273", "View Map")</f>
        <v>View Map</v>
      </c>
      <c r="G1342" s="2">
        <v>0.7285178736536484</v>
      </c>
    </row>
    <row r="1343" spans="1:7" x14ac:dyDescent="0.3">
      <c r="A1343" t="s">
        <v>6674</v>
      </c>
      <c r="B1343" t="s">
        <v>6675</v>
      </c>
      <c r="C1343" t="s">
        <v>8</v>
      </c>
      <c r="D1343">
        <v>5.5259999999999998</v>
      </c>
      <c r="E1343" s="4">
        <v>1768</v>
      </c>
      <c r="F1343" t="str">
        <f>HYPERLINK("https://www.google.com/maps/search/?api=1&amp;query=24.62422479,46.69972783", "View Map")</f>
        <v>View Map</v>
      </c>
    </row>
    <row r="1344" spans="1:7" x14ac:dyDescent="0.3">
      <c r="A1344" t="s">
        <v>46</v>
      </c>
      <c r="B1344" t="s">
        <v>2420</v>
      </c>
      <c r="C1344" t="s">
        <v>8</v>
      </c>
      <c r="D1344">
        <v>5.524</v>
      </c>
      <c r="E1344" s="4">
        <v>1768</v>
      </c>
      <c r="F1344" t="str">
        <f>HYPERLINK("https://www.google.com/maps/search/?api=1&amp;query=24.56421454,46.80790653", "View Map")</f>
        <v>View Map</v>
      </c>
      <c r="G1344" s="2">
        <v>0.36386690299555458</v>
      </c>
    </row>
    <row r="1345" spans="1:7" x14ac:dyDescent="0.3">
      <c r="A1345" t="s">
        <v>963</v>
      </c>
      <c r="B1345" t="s">
        <v>3214</v>
      </c>
      <c r="C1345" t="s">
        <v>241</v>
      </c>
      <c r="D1345">
        <v>5.524</v>
      </c>
      <c r="E1345" s="4">
        <v>1768</v>
      </c>
      <c r="F1345" t="str">
        <f>HYPERLINK("https://www.google.com/maps/search/?api=1&amp;query=20.43638493,44.84514764", "View Map")</f>
        <v>View Map</v>
      </c>
      <c r="G1345" s="2">
        <v>0.68622924130736185</v>
      </c>
    </row>
    <row r="1346" spans="1:7" x14ac:dyDescent="0.3">
      <c r="A1346" t="s">
        <v>46</v>
      </c>
      <c r="B1346" t="s">
        <v>2199</v>
      </c>
      <c r="C1346" t="s">
        <v>8</v>
      </c>
      <c r="D1346">
        <v>5.5179999999999998</v>
      </c>
      <c r="E1346" s="4">
        <v>1766</v>
      </c>
      <c r="F1346" t="str">
        <f>HYPERLINK("https://www.google.com/maps/search/?api=1&amp;query=24.89492274,46.60397661", "View Map")</f>
        <v>View Map</v>
      </c>
      <c r="G1346" s="2">
        <v>0.38710180678291828</v>
      </c>
    </row>
    <row r="1347" spans="1:7" x14ac:dyDescent="0.3">
      <c r="A1347" t="s">
        <v>6444</v>
      </c>
      <c r="B1347" t="s">
        <v>6445</v>
      </c>
      <c r="C1347" t="s">
        <v>8</v>
      </c>
      <c r="D1347">
        <v>5.516</v>
      </c>
      <c r="E1347" s="4">
        <v>1765</v>
      </c>
      <c r="F1347" t="str">
        <f>HYPERLINK("https://www.google.com/maps/search/?api=1&amp;query=24.70001617,46.7772752", "View Map")</f>
        <v>View Map</v>
      </c>
    </row>
    <row r="1348" spans="1:7" x14ac:dyDescent="0.3">
      <c r="A1348" t="s">
        <v>4793</v>
      </c>
      <c r="B1348" t="s">
        <v>4794</v>
      </c>
      <c r="C1348" t="s">
        <v>241</v>
      </c>
      <c r="D1348">
        <v>5.5140000000000002</v>
      </c>
      <c r="E1348" s="4">
        <v>1764</v>
      </c>
      <c r="F1348" t="str">
        <f>HYPERLINK("https://www.google.com/maps/search/?api=1&amp;query=20.46913493,44.79566844", "View Map")</f>
        <v>View Map</v>
      </c>
      <c r="G1348" s="2">
        <v>0.4594359266501381</v>
      </c>
    </row>
    <row r="1349" spans="1:7" x14ac:dyDescent="0.3">
      <c r="A1349" t="s">
        <v>46</v>
      </c>
      <c r="B1349" t="s">
        <v>2224</v>
      </c>
      <c r="C1349" t="s">
        <v>8</v>
      </c>
      <c r="D1349">
        <v>5.5140000000000002</v>
      </c>
      <c r="E1349" s="4">
        <v>1765</v>
      </c>
      <c r="F1349" t="str">
        <f>HYPERLINK("https://www.google.com/maps/search/?api=1&amp;query=24.85334648,46.82699941", "View Map")</f>
        <v>View Map</v>
      </c>
      <c r="G1349" s="2">
        <v>0.80113101112675278</v>
      </c>
    </row>
    <row r="1350" spans="1:7" x14ac:dyDescent="0.3">
      <c r="A1350" t="s">
        <v>2933</v>
      </c>
      <c r="B1350" t="s">
        <v>2934</v>
      </c>
      <c r="C1350" t="s">
        <v>8</v>
      </c>
      <c r="D1350">
        <v>5.5119999999999996</v>
      </c>
      <c r="E1350" s="4">
        <v>1764</v>
      </c>
      <c r="F1350" t="str">
        <f>HYPERLINK("https://www.google.com/maps/search/?api=1&amp;query=24.79632194,46.70051198", "View Map")</f>
        <v>View Map</v>
      </c>
      <c r="G1350" s="2">
        <v>0.83706097141924052</v>
      </c>
    </row>
    <row r="1351" spans="1:7" x14ac:dyDescent="0.3">
      <c r="A1351" t="s">
        <v>2133</v>
      </c>
      <c r="B1351" t="s">
        <v>2134</v>
      </c>
      <c r="C1351" t="s">
        <v>8</v>
      </c>
      <c r="D1351">
        <v>5.5110000000000001</v>
      </c>
      <c r="E1351" s="4">
        <v>1763</v>
      </c>
      <c r="F1351" t="str">
        <f>HYPERLINK("https://www.google.com/maps/search/?api=1&amp;query=24.6224902,46.75413262", "View Map")</f>
        <v>View Map</v>
      </c>
    </row>
    <row r="1352" spans="1:7" x14ac:dyDescent="0.3">
      <c r="A1352" t="s">
        <v>510</v>
      </c>
      <c r="B1352" t="s">
        <v>8577</v>
      </c>
      <c r="C1352" t="s">
        <v>291</v>
      </c>
      <c r="D1352">
        <v>5.508</v>
      </c>
      <c r="E1352" s="4">
        <v>1763</v>
      </c>
      <c r="F1352" t="str">
        <f>HYPERLINK("https://www.google.com/maps/search/?api=1&amp;query=24.33599002,45.78646879", "View Map")</f>
        <v>View Map</v>
      </c>
      <c r="G1352" s="2">
        <v>0.62228830962399895</v>
      </c>
    </row>
    <row r="1353" spans="1:7" x14ac:dyDescent="0.3">
      <c r="A1353" t="s">
        <v>2212</v>
      </c>
      <c r="B1353" t="s">
        <v>2213</v>
      </c>
      <c r="C1353" t="s">
        <v>8</v>
      </c>
      <c r="D1353">
        <v>5.508</v>
      </c>
      <c r="E1353" s="4">
        <v>1763</v>
      </c>
      <c r="F1353" t="str">
        <f>HYPERLINK("https://www.google.com/maps/search/?api=1&amp;query=24.58403716,46.66459112", "View Map")</f>
        <v>View Map</v>
      </c>
    </row>
    <row r="1354" spans="1:7" x14ac:dyDescent="0.3">
      <c r="A1354" t="s">
        <v>11322</v>
      </c>
      <c r="B1354" t="s">
        <v>11323</v>
      </c>
      <c r="C1354" t="s">
        <v>8</v>
      </c>
      <c r="D1354">
        <v>5.5069999999999997</v>
      </c>
      <c r="E1354" s="4">
        <v>1762</v>
      </c>
      <c r="F1354" t="str">
        <f>HYPERLINK("https://www.google.com/maps/search/?api=1&amp;query=24.6261388,46.65293838", "View Map")</f>
        <v>View Map</v>
      </c>
    </row>
    <row r="1355" spans="1:7" x14ac:dyDescent="0.3">
      <c r="A1355" t="s">
        <v>1164</v>
      </c>
      <c r="B1355" t="s">
        <v>1165</v>
      </c>
      <c r="C1355" t="s">
        <v>8</v>
      </c>
      <c r="D1355">
        <v>5.5060000000000002</v>
      </c>
      <c r="E1355" s="4">
        <v>1762</v>
      </c>
      <c r="F1355" t="str">
        <f>HYPERLINK("https://www.google.com/maps/search/?api=1&amp;query=24.78580006,46.64839887", "View Map")</f>
        <v>View Map</v>
      </c>
    </row>
    <row r="1356" spans="1:7" x14ac:dyDescent="0.3">
      <c r="A1356" t="s">
        <v>3405</v>
      </c>
      <c r="B1356" t="s">
        <v>3406</v>
      </c>
      <c r="C1356" t="s">
        <v>241</v>
      </c>
      <c r="D1356">
        <v>5.5</v>
      </c>
      <c r="E1356" s="4">
        <v>1760</v>
      </c>
      <c r="F1356" t="str">
        <f>HYPERLINK("https://www.google.com/maps/search/?api=1&amp;query=20.46355505,44.83804197", "View Map")</f>
        <v>View Map</v>
      </c>
      <c r="G1356" s="2">
        <v>0.87352487988056549</v>
      </c>
    </row>
    <row r="1357" spans="1:7" x14ac:dyDescent="0.3">
      <c r="A1357" t="s">
        <v>8613</v>
      </c>
      <c r="B1357" t="s">
        <v>8614</v>
      </c>
      <c r="C1357" t="s">
        <v>8</v>
      </c>
      <c r="D1357">
        <v>5.5</v>
      </c>
      <c r="E1357" s="4">
        <v>1760</v>
      </c>
      <c r="F1357" t="str">
        <f>HYPERLINK("https://www.google.com/maps/search/?api=1&amp;query=24.60605942,46.61545041", "View Map")</f>
        <v>View Map</v>
      </c>
    </row>
    <row r="1358" spans="1:7" x14ac:dyDescent="0.3">
      <c r="A1358" t="s">
        <v>2561</v>
      </c>
      <c r="B1358" t="s">
        <v>2562</v>
      </c>
      <c r="C1358" t="s">
        <v>296</v>
      </c>
      <c r="D1358">
        <v>5.4989999999999997</v>
      </c>
      <c r="E1358" s="4">
        <v>1760</v>
      </c>
      <c r="F1358" t="str">
        <f>HYPERLINK("https://www.google.com/maps/search/?api=1&amp;query=24.46682642,46.28840793", "View Map")</f>
        <v>View Map</v>
      </c>
      <c r="G1358" s="2">
        <v>0.43570323353040491</v>
      </c>
    </row>
    <row r="1359" spans="1:7" x14ac:dyDescent="0.3">
      <c r="A1359" t="s">
        <v>1298</v>
      </c>
      <c r="B1359" t="s">
        <v>1299</v>
      </c>
      <c r="C1359" t="s">
        <v>8</v>
      </c>
      <c r="D1359">
        <v>5.4989999999999997</v>
      </c>
      <c r="E1359" s="4">
        <v>1760</v>
      </c>
      <c r="F1359" t="str">
        <f>HYPERLINK("https://www.google.com/maps/search/?api=1&amp;query=24.69498401,46.78966611", "View Map")</f>
        <v>View Map</v>
      </c>
    </row>
    <row r="1360" spans="1:7" x14ac:dyDescent="0.3">
      <c r="A1360" t="s">
        <v>2222</v>
      </c>
      <c r="B1360" t="s">
        <v>2223</v>
      </c>
      <c r="C1360" t="s">
        <v>8</v>
      </c>
      <c r="D1360">
        <v>5.4980000000000002</v>
      </c>
      <c r="E1360" s="4">
        <v>1759</v>
      </c>
      <c r="F1360" t="str">
        <f>HYPERLINK("https://www.google.com/maps/search/?api=1&amp;query=24.57561083,46.70002752", "View Map")</f>
        <v>View Map</v>
      </c>
    </row>
    <row r="1361" spans="1:7" x14ac:dyDescent="0.3">
      <c r="A1361" t="s">
        <v>1362</v>
      </c>
      <c r="B1361" t="s">
        <v>1363</v>
      </c>
      <c r="C1361" t="s">
        <v>255</v>
      </c>
      <c r="D1361">
        <v>5.49</v>
      </c>
      <c r="E1361" s="4">
        <v>1757</v>
      </c>
      <c r="F1361" t="str">
        <f>HYPERLINK("https://www.google.com/maps/search/?api=1&amp;query=24.54456886,44.43271592", "View Map")</f>
        <v>View Map</v>
      </c>
    </row>
    <row r="1362" spans="1:7" x14ac:dyDescent="0.3">
      <c r="A1362" t="s">
        <v>3988</v>
      </c>
      <c r="B1362" t="s">
        <v>3989</v>
      </c>
      <c r="C1362" t="s">
        <v>8</v>
      </c>
      <c r="D1362">
        <v>5.4870000000000001</v>
      </c>
      <c r="E1362" s="4">
        <v>1756</v>
      </c>
      <c r="F1362" t="str">
        <f>HYPERLINK("https://www.google.com/maps/search/?api=1&amp;query=24.78050639,46.63293172", "View Map")</f>
        <v>View Map</v>
      </c>
    </row>
    <row r="1363" spans="1:7" x14ac:dyDescent="0.3">
      <c r="A1363" t="s">
        <v>1273</v>
      </c>
      <c r="B1363" t="s">
        <v>3021</v>
      </c>
      <c r="C1363" t="s">
        <v>241</v>
      </c>
      <c r="D1363">
        <v>5.484</v>
      </c>
      <c r="E1363" s="4">
        <v>1755</v>
      </c>
      <c r="F1363" t="str">
        <f>HYPERLINK("https://www.google.com/maps/search/?api=1&amp;query=20.4503241,44.8405842", "View Map")</f>
        <v>View Map</v>
      </c>
      <c r="G1363" s="2">
        <v>0.64446264747491566</v>
      </c>
    </row>
    <row r="1364" spans="1:7" x14ac:dyDescent="0.3">
      <c r="A1364" t="s">
        <v>2638</v>
      </c>
      <c r="B1364" t="s">
        <v>2639</v>
      </c>
      <c r="C1364" t="s">
        <v>8</v>
      </c>
      <c r="D1364">
        <v>5.4829999999999997</v>
      </c>
      <c r="E1364" s="4">
        <v>1754</v>
      </c>
      <c r="F1364" t="str">
        <f>HYPERLINK("https://www.google.com/maps/search/?api=1&amp;query=24.80549012,46.70952652", "View Map")</f>
        <v>View Map</v>
      </c>
    </row>
    <row r="1365" spans="1:7" x14ac:dyDescent="0.3">
      <c r="A1365" t="s">
        <v>1520</v>
      </c>
      <c r="B1365" t="s">
        <v>1521</v>
      </c>
      <c r="C1365" t="s">
        <v>8</v>
      </c>
      <c r="D1365">
        <v>5.4779999999999998</v>
      </c>
      <c r="E1365" s="4">
        <v>1753</v>
      </c>
      <c r="F1365" t="str">
        <f>HYPERLINK("https://www.google.com/maps/search/?api=1&amp;query=24.67323691,46.58947592", "View Map")</f>
        <v>View Map</v>
      </c>
    </row>
    <row r="1366" spans="1:7" x14ac:dyDescent="0.3">
      <c r="A1366" t="s">
        <v>3463</v>
      </c>
      <c r="B1366" t="s">
        <v>3464</v>
      </c>
      <c r="C1366" t="s">
        <v>738</v>
      </c>
      <c r="D1366">
        <v>5.476</v>
      </c>
      <c r="E1366" s="4">
        <v>1752</v>
      </c>
      <c r="F1366" t="str">
        <f>HYPERLINK("https://www.google.com/maps/search/?api=1&amp;query=25.10823824,46.08976949", "View Map")</f>
        <v>View Map</v>
      </c>
      <c r="G1366" s="2">
        <v>0.88684571471115492</v>
      </c>
    </row>
    <row r="1367" spans="1:7" x14ac:dyDescent="0.3">
      <c r="A1367" t="s">
        <v>3584</v>
      </c>
      <c r="B1367" t="s">
        <v>3585</v>
      </c>
      <c r="C1367" t="s">
        <v>8</v>
      </c>
      <c r="D1367">
        <v>5.4749999999999996</v>
      </c>
      <c r="E1367" s="4">
        <v>1752</v>
      </c>
      <c r="F1367" t="str">
        <f>HYPERLINK("https://www.google.com/maps/search/?api=1&amp;query=24.78472701,46.71993151", "View Map")</f>
        <v>View Map</v>
      </c>
    </row>
    <row r="1368" spans="1:7" x14ac:dyDescent="0.3">
      <c r="A1368" t="s">
        <v>2783</v>
      </c>
      <c r="B1368" t="s">
        <v>2784</v>
      </c>
      <c r="C1368" t="s">
        <v>214</v>
      </c>
      <c r="D1368">
        <v>5.4749999999999996</v>
      </c>
      <c r="E1368" s="4">
        <v>1752</v>
      </c>
      <c r="F1368" t="str">
        <f>HYPERLINK("https://www.google.com/maps/search/?api=1&amp;query=25.677163,45.45241771", "View Map")</f>
        <v>View Map</v>
      </c>
      <c r="G1368" s="2">
        <v>0.77694863139386749</v>
      </c>
    </row>
    <row r="1369" spans="1:7" x14ac:dyDescent="0.3">
      <c r="A1369" t="s">
        <v>3186</v>
      </c>
      <c r="B1369" t="s">
        <v>3187</v>
      </c>
      <c r="C1369" t="s">
        <v>8</v>
      </c>
      <c r="D1369">
        <v>5.4720000000000004</v>
      </c>
      <c r="E1369" s="4">
        <v>1751</v>
      </c>
      <c r="F1369" t="str">
        <f>HYPERLINK("https://www.google.com/maps/search/?api=1&amp;query=24.75339638,46.65612992", "View Map")</f>
        <v>View Map</v>
      </c>
    </row>
    <row r="1370" spans="1:7" x14ac:dyDescent="0.3">
      <c r="A1370" t="s">
        <v>146</v>
      </c>
      <c r="B1370" t="s">
        <v>955</v>
      </c>
      <c r="C1370" t="s">
        <v>8</v>
      </c>
      <c r="D1370">
        <v>5.4710000000000001</v>
      </c>
      <c r="E1370" s="4">
        <v>1751</v>
      </c>
      <c r="F1370" t="str">
        <f>HYPERLINK("https://www.google.com/maps/search/?api=1&amp;query=24.61958456,46.71918604", "View Map")</f>
        <v>View Map</v>
      </c>
    </row>
    <row r="1371" spans="1:7" x14ac:dyDescent="0.3">
      <c r="A1371" t="s">
        <v>2845</v>
      </c>
      <c r="B1371" t="s">
        <v>2846</v>
      </c>
      <c r="C1371" t="s">
        <v>8</v>
      </c>
      <c r="D1371">
        <v>5.4710000000000001</v>
      </c>
      <c r="E1371" s="4">
        <v>1751</v>
      </c>
      <c r="F1371" t="str">
        <f>HYPERLINK("https://www.google.com/maps/search/?api=1&amp;query=24.78786,46.75252646", "View Map")</f>
        <v>View Map</v>
      </c>
      <c r="G1371" s="2">
        <v>0.38569829068753292</v>
      </c>
    </row>
    <row r="1372" spans="1:7" x14ac:dyDescent="0.3">
      <c r="A1372" t="s">
        <v>2269</v>
      </c>
      <c r="B1372" t="s">
        <v>2270</v>
      </c>
      <c r="C1372" t="s">
        <v>8</v>
      </c>
      <c r="D1372">
        <v>5.4690000000000003</v>
      </c>
      <c r="E1372" s="4">
        <v>1750</v>
      </c>
      <c r="F1372" t="str">
        <f>HYPERLINK("https://www.google.com/maps/search/?api=1&amp;query=24.69513058,46.67782228", "View Map")</f>
        <v>View Map</v>
      </c>
    </row>
    <row r="1373" spans="1:7" x14ac:dyDescent="0.3">
      <c r="A1373" t="s">
        <v>3133</v>
      </c>
      <c r="B1373" t="s">
        <v>3134</v>
      </c>
      <c r="C1373" t="s">
        <v>8</v>
      </c>
      <c r="D1373">
        <v>5.4690000000000003</v>
      </c>
      <c r="E1373" s="4">
        <v>1750</v>
      </c>
      <c r="F1373" t="str">
        <f>HYPERLINK("https://www.google.com/maps/search/?api=1&amp;query=24.62823722,46.69525798", "View Map")</f>
        <v>View Map</v>
      </c>
    </row>
    <row r="1374" spans="1:7" x14ac:dyDescent="0.3">
      <c r="A1374" t="s">
        <v>1077</v>
      </c>
      <c r="B1374" t="s">
        <v>2750</v>
      </c>
      <c r="C1374" t="s">
        <v>8</v>
      </c>
      <c r="D1374">
        <v>5.4660000000000002</v>
      </c>
      <c r="E1374" s="4">
        <v>1749</v>
      </c>
      <c r="F1374" t="str">
        <f>HYPERLINK("https://www.google.com/maps/search/?api=1&amp;query=24.73369854,46.78811198", "View Map")</f>
        <v>View Map</v>
      </c>
    </row>
    <row r="1375" spans="1:7" x14ac:dyDescent="0.3">
      <c r="A1375" t="s">
        <v>4206</v>
      </c>
      <c r="B1375" t="s">
        <v>4207</v>
      </c>
      <c r="C1375" t="s">
        <v>255</v>
      </c>
      <c r="D1375">
        <v>5.4589999999999996</v>
      </c>
      <c r="E1375" s="4">
        <v>1747</v>
      </c>
      <c r="F1375" t="str">
        <f>HYPERLINK("https://www.google.com/maps/search/?api=1&amp;query=24.80243336,43.54085558", "View Map")</f>
        <v>View Map</v>
      </c>
      <c r="G1375" s="2">
        <v>0.69278614362908586</v>
      </c>
    </row>
    <row r="1376" spans="1:7" x14ac:dyDescent="0.3">
      <c r="A1376" t="s">
        <v>2248</v>
      </c>
      <c r="B1376" t="s">
        <v>2654</v>
      </c>
      <c r="C1376" t="s">
        <v>30</v>
      </c>
      <c r="D1376">
        <v>5.4589999999999996</v>
      </c>
      <c r="E1376" s="4">
        <v>1747</v>
      </c>
      <c r="F1376" t="str">
        <f>HYPERLINK("https://www.google.com/maps/search/?api=1&amp;query=24.12023,47.29528", "View Map")</f>
        <v>View Map</v>
      </c>
      <c r="G1376" s="2">
        <v>0.81871197295623188</v>
      </c>
    </row>
    <row r="1377" spans="1:7" x14ac:dyDescent="0.3">
      <c r="A1377" t="s">
        <v>323</v>
      </c>
      <c r="B1377" t="s">
        <v>324</v>
      </c>
      <c r="C1377" t="s">
        <v>8</v>
      </c>
      <c r="D1377">
        <v>5.4560000000000004</v>
      </c>
      <c r="E1377" s="4">
        <v>1746</v>
      </c>
      <c r="F1377" t="str">
        <f>HYPERLINK("https://www.google.com/maps/search/?api=1&amp;query=24.65428805,46.74159627", "View Map")</f>
        <v>View Map</v>
      </c>
      <c r="G1377" s="2">
        <v>0.14057505517483951</v>
      </c>
    </row>
    <row r="1378" spans="1:7" x14ac:dyDescent="0.3">
      <c r="A1378" t="s">
        <v>3999</v>
      </c>
      <c r="B1378" t="s">
        <v>4000</v>
      </c>
      <c r="C1378" t="s">
        <v>8</v>
      </c>
      <c r="D1378">
        <v>5.4480000000000004</v>
      </c>
      <c r="E1378" s="4">
        <v>1743</v>
      </c>
      <c r="F1378" t="str">
        <f>HYPERLINK("https://www.google.com/maps/search/?api=1&amp;query=24.83618198,46.64054127", "View Map")</f>
        <v>View Map</v>
      </c>
    </row>
    <row r="1379" spans="1:7" x14ac:dyDescent="0.3">
      <c r="A1379" t="s">
        <v>1861</v>
      </c>
      <c r="B1379" t="s">
        <v>1862</v>
      </c>
      <c r="C1379" t="s">
        <v>8</v>
      </c>
      <c r="D1379">
        <v>5.4459999999999997</v>
      </c>
      <c r="E1379" s="4">
        <v>1743</v>
      </c>
      <c r="F1379" t="str">
        <f>HYPERLINK("https://www.google.com/maps/search/?api=1&amp;query=24.70066703,46.752692", "View Map")</f>
        <v>View Map</v>
      </c>
      <c r="G1379" s="2">
        <v>0.29497090466554432</v>
      </c>
    </row>
    <row r="1380" spans="1:7" x14ac:dyDescent="0.3">
      <c r="A1380" t="s">
        <v>3486</v>
      </c>
      <c r="B1380" t="s">
        <v>3487</v>
      </c>
      <c r="C1380" t="s">
        <v>8</v>
      </c>
      <c r="D1380">
        <v>5.4450000000000003</v>
      </c>
      <c r="E1380" s="4">
        <v>1742</v>
      </c>
      <c r="F1380" t="str">
        <f>HYPERLINK("https://www.google.com/maps/search/?api=1&amp;query=24.75983333,46.82809271", "View Map")</f>
        <v>View Map</v>
      </c>
    </row>
    <row r="1381" spans="1:7" x14ac:dyDescent="0.3">
      <c r="A1381" t="s">
        <v>3453</v>
      </c>
      <c r="B1381" t="s">
        <v>3454</v>
      </c>
      <c r="C1381" t="s">
        <v>8</v>
      </c>
      <c r="D1381">
        <v>5.4429999999999996</v>
      </c>
      <c r="E1381" s="4">
        <v>1742</v>
      </c>
      <c r="F1381" t="str">
        <f>HYPERLINK("https://www.google.com/maps/search/?api=1&amp;query=24.8150759,46.79136976", "View Map")</f>
        <v>View Map</v>
      </c>
      <c r="G1381" s="2">
        <v>0.51754566724415263</v>
      </c>
    </row>
    <row r="1382" spans="1:7" x14ac:dyDescent="0.3">
      <c r="A1382" t="s">
        <v>2867</v>
      </c>
      <c r="B1382" t="s">
        <v>2868</v>
      </c>
      <c r="C1382" t="s">
        <v>8</v>
      </c>
      <c r="D1382">
        <v>5.4420000000000002</v>
      </c>
      <c r="E1382" s="4">
        <v>1742</v>
      </c>
      <c r="F1382" t="str">
        <f>HYPERLINK("https://www.google.com/maps/search/?api=1&amp;query=24.79404111,46.74193226", "View Map")</f>
        <v>View Map</v>
      </c>
    </row>
    <row r="1383" spans="1:7" x14ac:dyDescent="0.3">
      <c r="A1383" t="s">
        <v>146</v>
      </c>
      <c r="B1383" t="s">
        <v>1760</v>
      </c>
      <c r="C1383" t="s">
        <v>8</v>
      </c>
      <c r="D1383">
        <v>5.4370000000000003</v>
      </c>
      <c r="E1383" s="4">
        <v>1740</v>
      </c>
      <c r="F1383" t="str">
        <f>HYPERLINK("https://www.google.com/maps/search/?api=1&amp;query=24.55634645,46.56924403", "View Map")</f>
        <v>View Map</v>
      </c>
    </row>
    <row r="1384" spans="1:7" x14ac:dyDescent="0.3">
      <c r="A1384" t="s">
        <v>10236</v>
      </c>
      <c r="B1384" t="s">
        <v>10237</v>
      </c>
      <c r="C1384" t="s">
        <v>8</v>
      </c>
      <c r="D1384">
        <v>5.4370000000000003</v>
      </c>
      <c r="E1384" s="4">
        <v>1740</v>
      </c>
      <c r="F1384" t="str">
        <f>HYPERLINK("https://www.google.com/maps/search/?api=1&amp;query=24.77349657,46.78068338", "View Map")</f>
        <v>View Map</v>
      </c>
    </row>
    <row r="1385" spans="1:7" x14ac:dyDescent="0.3">
      <c r="A1385" t="s">
        <v>1679</v>
      </c>
      <c r="B1385" t="s">
        <v>2590</v>
      </c>
      <c r="C1385" t="s">
        <v>8</v>
      </c>
      <c r="D1385">
        <v>5.4359999999999999</v>
      </c>
      <c r="E1385" s="4">
        <v>1739</v>
      </c>
      <c r="F1385" t="str">
        <f>HYPERLINK("https://www.google.com/maps/search/?api=1&amp;query=24.66250716,46.72494639", "View Map")</f>
        <v>View Map</v>
      </c>
      <c r="G1385" s="2">
        <v>0.81037386828036906</v>
      </c>
    </row>
    <row r="1386" spans="1:7" x14ac:dyDescent="0.3">
      <c r="A1386" t="s">
        <v>7155</v>
      </c>
      <c r="B1386" t="s">
        <v>7156</v>
      </c>
      <c r="C1386" t="s">
        <v>8</v>
      </c>
      <c r="D1386">
        <v>5.4359999999999999</v>
      </c>
      <c r="E1386" s="4">
        <v>1740</v>
      </c>
      <c r="F1386" t="str">
        <f>HYPERLINK("https://www.google.com/maps/search/?api=1&amp;query=24.65893769,46.66787632", "View Map")</f>
        <v>View Map</v>
      </c>
    </row>
    <row r="1387" spans="1:7" x14ac:dyDescent="0.3">
      <c r="A1387" t="s">
        <v>5272</v>
      </c>
      <c r="B1387" t="s">
        <v>5273</v>
      </c>
      <c r="C1387" t="s">
        <v>8</v>
      </c>
      <c r="D1387">
        <v>5.4359999999999999</v>
      </c>
      <c r="E1387" s="4">
        <v>1739</v>
      </c>
      <c r="F1387" t="str">
        <f>HYPERLINK("https://www.google.com/maps/search/?api=1&amp;query=24.74024189,46.81734478", "View Map")</f>
        <v>View Map</v>
      </c>
    </row>
    <row r="1388" spans="1:7" x14ac:dyDescent="0.3">
      <c r="A1388" t="s">
        <v>3228</v>
      </c>
      <c r="B1388" t="s">
        <v>3229</v>
      </c>
      <c r="C1388" t="s">
        <v>8</v>
      </c>
      <c r="D1388">
        <v>5.4349999999999996</v>
      </c>
      <c r="E1388" s="4">
        <v>1739</v>
      </c>
      <c r="F1388" t="str">
        <f>HYPERLINK("https://www.google.com/maps/search/?api=1&amp;query=24.80766089,46.7991815", "View Map")</f>
        <v>View Map</v>
      </c>
    </row>
    <row r="1389" spans="1:7" x14ac:dyDescent="0.3">
      <c r="A1389" t="s">
        <v>3250</v>
      </c>
      <c r="B1389" t="s">
        <v>3251</v>
      </c>
      <c r="C1389" t="s">
        <v>393</v>
      </c>
      <c r="D1389">
        <v>5.4340000000000002</v>
      </c>
      <c r="E1389" s="4">
        <v>1739</v>
      </c>
      <c r="F1389" t="str">
        <f>HYPERLINK("https://www.google.com/maps/search/?api=1&amp;query=23.60699927,45.44052175", "View Map")</f>
        <v>View Map</v>
      </c>
      <c r="G1389" s="2">
        <v>0.70452699716114908</v>
      </c>
    </row>
    <row r="1390" spans="1:7" x14ac:dyDescent="0.3">
      <c r="A1390" t="s">
        <v>242</v>
      </c>
      <c r="B1390" t="s">
        <v>2599</v>
      </c>
      <c r="C1390" t="s">
        <v>8</v>
      </c>
      <c r="D1390">
        <v>5.4340000000000002</v>
      </c>
      <c r="E1390" s="4">
        <v>1739</v>
      </c>
      <c r="F1390" t="str">
        <f>HYPERLINK("https://www.google.com/maps/search/?api=1&amp;query=24.77575861,46.80511905", "View Map")</f>
        <v>View Map</v>
      </c>
    </row>
    <row r="1391" spans="1:7" x14ac:dyDescent="0.3">
      <c r="A1391" t="s">
        <v>3578</v>
      </c>
      <c r="B1391" t="s">
        <v>3579</v>
      </c>
      <c r="C1391" t="s">
        <v>8</v>
      </c>
      <c r="D1391">
        <v>5.4329999999999998</v>
      </c>
      <c r="E1391" s="4">
        <v>1738</v>
      </c>
      <c r="F1391" t="str">
        <f>HYPERLINK("https://www.google.com/maps/search/?api=1&amp;query=24.60373375,46.72476116", "View Map")</f>
        <v>View Map</v>
      </c>
    </row>
    <row r="1392" spans="1:7" x14ac:dyDescent="0.3">
      <c r="A1392" t="s">
        <v>1273</v>
      </c>
      <c r="B1392" t="s">
        <v>3349</v>
      </c>
      <c r="C1392" t="s">
        <v>646</v>
      </c>
      <c r="D1392">
        <v>5.4329999999999998</v>
      </c>
      <c r="E1392" s="4">
        <v>1739</v>
      </c>
      <c r="F1392" t="str">
        <f>HYPERLINK("https://www.google.com/maps/search/?api=1&amp;query=20.47450422,45.27818951", "View Map")</f>
        <v>View Map</v>
      </c>
      <c r="G1392" s="2">
        <v>0.79256808756871455</v>
      </c>
    </row>
    <row r="1393" spans="1:7" x14ac:dyDescent="0.3">
      <c r="A1393" t="s">
        <v>2915</v>
      </c>
      <c r="B1393" t="s">
        <v>2916</v>
      </c>
      <c r="C1393" t="s">
        <v>8</v>
      </c>
      <c r="D1393">
        <v>5.431</v>
      </c>
      <c r="E1393" s="4">
        <v>1738</v>
      </c>
      <c r="F1393" t="str">
        <f>HYPERLINK("https://www.google.com/maps/search/?api=1&amp;query=24.78286639,46.6186074", "View Map")</f>
        <v>View Map</v>
      </c>
    </row>
    <row r="1394" spans="1:7" x14ac:dyDescent="0.3">
      <c r="A1394" t="s">
        <v>1219</v>
      </c>
      <c r="B1394" t="s">
        <v>6043</v>
      </c>
      <c r="C1394" t="s">
        <v>8</v>
      </c>
      <c r="D1394">
        <v>5.4290000000000003</v>
      </c>
      <c r="E1394" s="4">
        <v>1737</v>
      </c>
      <c r="F1394" t="str">
        <f>HYPERLINK("https://www.google.com/maps/search/?api=1&amp;query=24.70747689,46.77644849", "View Map")</f>
        <v>View Map</v>
      </c>
      <c r="G1394" s="2">
        <v>1.2997665668553551</v>
      </c>
    </row>
    <row r="1395" spans="1:7" x14ac:dyDescent="0.3">
      <c r="A1395" t="s">
        <v>2890</v>
      </c>
      <c r="B1395" t="s">
        <v>2891</v>
      </c>
      <c r="C1395" t="s">
        <v>8</v>
      </c>
      <c r="D1395">
        <v>5.4279999999999999</v>
      </c>
      <c r="E1395" s="4">
        <v>1737</v>
      </c>
      <c r="F1395" t="str">
        <f>HYPERLINK("https://www.google.com/maps/search/?api=1&amp;query=24.59685742,46.65816017", "View Map")</f>
        <v>View Map</v>
      </c>
      <c r="G1395" s="2">
        <v>0.43699939084048711</v>
      </c>
    </row>
    <row r="1396" spans="1:7" x14ac:dyDescent="0.3">
      <c r="A1396" t="s">
        <v>678</v>
      </c>
      <c r="B1396" t="s">
        <v>2520</v>
      </c>
      <c r="C1396" t="s">
        <v>21</v>
      </c>
      <c r="D1396">
        <v>5.4269999999999996</v>
      </c>
      <c r="E1396" s="4">
        <v>1737</v>
      </c>
      <c r="F1396" t="str">
        <f>HYPERLINK("https://www.google.com/maps/search/?api=1&amp;query=26.29491889,44.81955464", "View Map")</f>
        <v>View Map</v>
      </c>
      <c r="G1396" s="2">
        <v>0.54622664722265879</v>
      </c>
    </row>
    <row r="1397" spans="1:7" x14ac:dyDescent="0.3">
      <c r="A1397" t="s">
        <v>6564</v>
      </c>
      <c r="B1397" t="s">
        <v>6565</v>
      </c>
      <c r="C1397" t="s">
        <v>8</v>
      </c>
      <c r="D1397">
        <v>5.4249999999999998</v>
      </c>
      <c r="E1397" s="4">
        <v>1736</v>
      </c>
      <c r="F1397" t="str">
        <f>HYPERLINK("https://www.google.com/maps/search/?api=1&amp;query=24.63134889,46.70200098", "View Map")</f>
        <v>View Map</v>
      </c>
    </row>
    <row r="1398" spans="1:7" x14ac:dyDescent="0.3">
      <c r="A1398" t="s">
        <v>2541</v>
      </c>
      <c r="B1398" t="s">
        <v>2542</v>
      </c>
      <c r="C1398" t="s">
        <v>8</v>
      </c>
      <c r="D1398">
        <v>5.4219999999999997</v>
      </c>
      <c r="E1398" s="4">
        <v>1735</v>
      </c>
      <c r="F1398" t="str">
        <f>HYPERLINK("https://www.google.com/maps/search/?api=1&amp;query=24.6247,46.6886", "View Map")</f>
        <v>View Map</v>
      </c>
    </row>
    <row r="1399" spans="1:7" x14ac:dyDescent="0.3">
      <c r="A1399" t="s">
        <v>46</v>
      </c>
      <c r="B1399" t="s">
        <v>1259</v>
      </c>
      <c r="C1399" t="s">
        <v>55</v>
      </c>
      <c r="D1399">
        <v>5.4210000000000003</v>
      </c>
      <c r="E1399" s="4">
        <v>1735</v>
      </c>
      <c r="F1399" t="str">
        <f>HYPERLINK("https://www.google.com/maps/search/?api=1&amp;query=24.82994564,46.5653247", "View Map")</f>
        <v>View Map</v>
      </c>
      <c r="G1399" s="2">
        <v>0.2291760596348362</v>
      </c>
    </row>
    <row r="1400" spans="1:7" x14ac:dyDescent="0.3">
      <c r="A1400" t="s">
        <v>875</v>
      </c>
      <c r="B1400" t="s">
        <v>876</v>
      </c>
      <c r="C1400" t="s">
        <v>8</v>
      </c>
      <c r="D1400">
        <v>5.4180000000000001</v>
      </c>
      <c r="E1400" s="4">
        <v>1734</v>
      </c>
      <c r="F1400" t="str">
        <f>HYPERLINK("https://www.google.com/maps/search/?api=1&amp;query=24.65423286,46.72382132", "View Map")</f>
        <v>View Map</v>
      </c>
      <c r="G1400" s="2">
        <v>0.1960523782850411</v>
      </c>
    </row>
    <row r="1401" spans="1:7" x14ac:dyDescent="0.3">
      <c r="A1401" t="s">
        <v>5567</v>
      </c>
      <c r="B1401" t="s">
        <v>5568</v>
      </c>
      <c r="C1401" t="s">
        <v>8</v>
      </c>
      <c r="D1401">
        <v>5.4169999999999998</v>
      </c>
      <c r="E1401" s="4">
        <v>1733</v>
      </c>
      <c r="F1401" t="str">
        <f>HYPERLINK("https://www.google.com/maps/search/?api=1&amp;query=24.53241447,46.65107593", "View Map")</f>
        <v>View Map</v>
      </c>
    </row>
    <row r="1402" spans="1:7" x14ac:dyDescent="0.3">
      <c r="A1402" t="s">
        <v>146</v>
      </c>
      <c r="B1402" t="s">
        <v>2907</v>
      </c>
      <c r="C1402" t="s">
        <v>8</v>
      </c>
      <c r="D1402">
        <v>5.4160000000000004</v>
      </c>
      <c r="E1402" s="4">
        <v>1733</v>
      </c>
      <c r="F1402" t="str">
        <f>HYPERLINK("https://www.google.com/maps/search/?api=1&amp;query=24.5667,46.5228", "View Map")</f>
        <v>View Map</v>
      </c>
      <c r="G1402" s="2">
        <v>0.5346391295899694</v>
      </c>
    </row>
    <row r="1403" spans="1:7" x14ac:dyDescent="0.3">
      <c r="A1403" t="s">
        <v>3007</v>
      </c>
      <c r="B1403" t="s">
        <v>3008</v>
      </c>
      <c r="C1403" t="s">
        <v>21</v>
      </c>
      <c r="D1403">
        <v>5.4119999999999999</v>
      </c>
      <c r="E1403" s="4">
        <v>1732</v>
      </c>
      <c r="F1403" t="str">
        <f>HYPERLINK("https://www.google.com/maps/search/?api=1&amp;query=26.30462311,44.82894203", "View Map")</f>
        <v>View Map</v>
      </c>
      <c r="G1403" s="2">
        <v>0.77523119432698739</v>
      </c>
    </row>
    <row r="1404" spans="1:7" x14ac:dyDescent="0.3">
      <c r="A1404" t="s">
        <v>2044</v>
      </c>
      <c r="B1404" t="s">
        <v>2045</v>
      </c>
      <c r="C1404" t="s">
        <v>8</v>
      </c>
      <c r="D1404">
        <v>5.4080000000000004</v>
      </c>
      <c r="E1404" s="4">
        <v>1731</v>
      </c>
      <c r="F1404" t="str">
        <f>HYPERLINK("https://www.google.com/maps/search/?api=1&amp;query=24.73394748,46.76699091", "View Map")</f>
        <v>View Map</v>
      </c>
    </row>
    <row r="1405" spans="1:7" x14ac:dyDescent="0.3">
      <c r="A1405" t="s">
        <v>3265</v>
      </c>
      <c r="B1405" t="s">
        <v>3266</v>
      </c>
      <c r="C1405" t="s">
        <v>8</v>
      </c>
      <c r="D1405">
        <v>5.407</v>
      </c>
      <c r="E1405" s="4">
        <v>1730</v>
      </c>
      <c r="F1405" t="str">
        <f>HYPERLINK("https://www.google.com/maps/search/?api=1&amp;query=24.66875972,46.73301653", "View Map")</f>
        <v>View Map</v>
      </c>
    </row>
    <row r="1406" spans="1:7" x14ac:dyDescent="0.3">
      <c r="A1406" t="s">
        <v>3354</v>
      </c>
      <c r="B1406" t="s">
        <v>3355</v>
      </c>
      <c r="C1406" t="s">
        <v>8</v>
      </c>
      <c r="D1406">
        <v>5.399</v>
      </c>
      <c r="E1406" s="4">
        <v>1728</v>
      </c>
      <c r="F1406" t="str">
        <f>HYPERLINK("https://www.google.com/maps/search/?api=1&amp;query=24.69872224,46.65581211", "View Map")</f>
        <v>View Map</v>
      </c>
      <c r="G1406" s="2">
        <v>0.56480373470188194</v>
      </c>
    </row>
    <row r="1407" spans="1:7" x14ac:dyDescent="0.3">
      <c r="A1407" t="s">
        <v>1075</v>
      </c>
      <c r="B1407" t="s">
        <v>1076</v>
      </c>
      <c r="C1407" t="s">
        <v>8</v>
      </c>
      <c r="D1407">
        <v>5.3979999999999997</v>
      </c>
      <c r="E1407" s="4">
        <v>1727</v>
      </c>
      <c r="F1407" t="str">
        <f>HYPERLINK("https://www.google.com/maps/search/?api=1&amp;query=24.7585534,46.65049362", "View Map")</f>
        <v>View Map</v>
      </c>
    </row>
    <row r="1408" spans="1:7" x14ac:dyDescent="0.3">
      <c r="A1408" t="s">
        <v>2112</v>
      </c>
      <c r="B1408" t="s">
        <v>2113</v>
      </c>
      <c r="C1408" t="s">
        <v>8</v>
      </c>
      <c r="D1408">
        <v>5.3970000000000002</v>
      </c>
      <c r="E1408" s="4">
        <v>1727</v>
      </c>
      <c r="F1408" t="str">
        <f>HYPERLINK("https://www.google.com/maps/search/?api=1&amp;query=24.65704623,46.79380421", "View Map")</f>
        <v>View Map</v>
      </c>
      <c r="G1408" s="2">
        <v>0.54700730469273617</v>
      </c>
    </row>
    <row r="1409" spans="1:7" x14ac:dyDescent="0.3">
      <c r="A1409" t="s">
        <v>3142</v>
      </c>
      <c r="B1409" t="s">
        <v>3143</v>
      </c>
      <c r="C1409" t="s">
        <v>8</v>
      </c>
      <c r="D1409">
        <v>5.3970000000000002</v>
      </c>
      <c r="E1409" s="4">
        <v>1727</v>
      </c>
      <c r="F1409" t="str">
        <f>HYPERLINK("https://www.google.com/maps/search/?api=1&amp;query=24.78314284,46.8099122", "View Map")</f>
        <v>View Map</v>
      </c>
      <c r="G1409" s="2">
        <v>0.57942079553757042</v>
      </c>
    </row>
    <row r="1410" spans="1:7" x14ac:dyDescent="0.3">
      <c r="A1410" t="s">
        <v>1273</v>
      </c>
      <c r="B1410" t="s">
        <v>3797</v>
      </c>
      <c r="C1410" t="s">
        <v>241</v>
      </c>
      <c r="D1410">
        <v>5.3920000000000003</v>
      </c>
      <c r="E1410" s="4">
        <v>1725</v>
      </c>
      <c r="F1410" t="str">
        <f>HYPERLINK("https://www.google.com/maps/search/?api=1&amp;query=20.44729749,44.78795038", "View Map")</f>
        <v>View Map</v>
      </c>
      <c r="G1410" s="2">
        <v>0.63574493057747627</v>
      </c>
    </row>
    <row r="1411" spans="1:7" x14ac:dyDescent="0.3">
      <c r="A1411" t="s">
        <v>2943</v>
      </c>
      <c r="B1411" t="s">
        <v>2944</v>
      </c>
      <c r="C1411" t="s">
        <v>8</v>
      </c>
      <c r="D1411">
        <v>5.391</v>
      </c>
      <c r="E1411" s="4">
        <v>1725</v>
      </c>
      <c r="F1411" t="str">
        <f>HYPERLINK("https://www.google.com/maps/search/?api=1&amp;query=24.68324188,46.78661618", "View Map")</f>
        <v>View Map</v>
      </c>
    </row>
    <row r="1412" spans="1:7" x14ac:dyDescent="0.3">
      <c r="A1412" t="s">
        <v>3095</v>
      </c>
      <c r="B1412" t="s">
        <v>3096</v>
      </c>
      <c r="C1412" t="s">
        <v>214</v>
      </c>
      <c r="D1412">
        <v>5.39</v>
      </c>
      <c r="E1412" s="4">
        <v>1725</v>
      </c>
      <c r="F1412" t="str">
        <f>HYPERLINK("https://www.google.com/maps/search/?api=1&amp;query=25.61805656,45.55171753", "View Map")</f>
        <v>View Map</v>
      </c>
      <c r="G1412" s="2">
        <v>0.62578497926527321</v>
      </c>
    </row>
    <row r="1413" spans="1:7" x14ac:dyDescent="0.3">
      <c r="A1413" t="s">
        <v>3398</v>
      </c>
      <c r="B1413" t="s">
        <v>3399</v>
      </c>
      <c r="C1413" t="s">
        <v>214</v>
      </c>
      <c r="D1413">
        <v>5.3890000000000002</v>
      </c>
      <c r="E1413" s="4">
        <v>1725</v>
      </c>
      <c r="F1413" t="str">
        <f>HYPERLINK("https://www.google.com/maps/search/?api=1&amp;query=25.92300578,45.38856551", "View Map")</f>
        <v>View Map</v>
      </c>
      <c r="G1413" s="2">
        <v>0.70576369207104928</v>
      </c>
    </row>
    <row r="1414" spans="1:7" x14ac:dyDescent="0.3">
      <c r="A1414" t="s">
        <v>73</v>
      </c>
      <c r="B1414" t="s">
        <v>3097</v>
      </c>
      <c r="C1414" t="s">
        <v>8</v>
      </c>
      <c r="D1414">
        <v>5.3860000000000001</v>
      </c>
      <c r="E1414" s="4">
        <v>1723</v>
      </c>
      <c r="F1414" t="str">
        <f>HYPERLINK("https://www.google.com/maps/search/?api=1&amp;query=24.59180147,46.76817156", "View Map")</f>
        <v>View Map</v>
      </c>
      <c r="G1414" s="2">
        <v>0.80517864343900503</v>
      </c>
    </row>
    <row r="1415" spans="1:7" x14ac:dyDescent="0.3">
      <c r="A1415" t="s">
        <v>973</v>
      </c>
      <c r="B1415" t="s">
        <v>11324</v>
      </c>
      <c r="C1415" t="s">
        <v>8</v>
      </c>
      <c r="D1415">
        <v>5.3789999999999996</v>
      </c>
      <c r="E1415" s="4">
        <v>1721</v>
      </c>
      <c r="F1415" t="str">
        <f>HYPERLINK("https://www.google.com/maps/search/?api=1&amp;query=24.91030407,46.80917563", "View Map")</f>
        <v>View Map</v>
      </c>
    </row>
    <row r="1416" spans="1:7" x14ac:dyDescent="0.3">
      <c r="A1416" t="s">
        <v>9458</v>
      </c>
      <c r="B1416" t="s">
        <v>9459</v>
      </c>
      <c r="C1416" t="s">
        <v>8</v>
      </c>
      <c r="D1416">
        <v>5.3780000000000001</v>
      </c>
      <c r="E1416" s="4">
        <v>1721</v>
      </c>
      <c r="F1416" t="str">
        <f>HYPERLINK("https://www.google.com/maps/search/?api=1&amp;query=24.57823074,46.6923062", "View Map")</f>
        <v>View Map</v>
      </c>
      <c r="G1416" s="2">
        <v>0.59191332351649406</v>
      </c>
    </row>
    <row r="1417" spans="1:7" x14ac:dyDescent="0.3">
      <c r="A1417" t="s">
        <v>46</v>
      </c>
      <c r="B1417" t="s">
        <v>5278</v>
      </c>
      <c r="C1417" t="s">
        <v>8</v>
      </c>
      <c r="D1417">
        <v>5.3769999999999998</v>
      </c>
      <c r="E1417" s="4">
        <v>1721</v>
      </c>
      <c r="F1417" t="str">
        <f>HYPERLINK("https://www.google.com/maps/search/?api=1&amp;query=24.64422334,46.71817887", "View Map")</f>
        <v>View Map</v>
      </c>
      <c r="G1417" s="2">
        <v>0.75655540971739976</v>
      </c>
    </row>
    <row r="1418" spans="1:7" x14ac:dyDescent="0.3">
      <c r="A1418" t="s">
        <v>983</v>
      </c>
      <c r="B1418" t="s">
        <v>984</v>
      </c>
      <c r="C1418" t="s">
        <v>30</v>
      </c>
      <c r="D1418">
        <v>5.3760000000000003</v>
      </c>
      <c r="E1418" s="4">
        <v>1720</v>
      </c>
      <c r="F1418" t="str">
        <f>HYPERLINK("https://www.google.com/maps/search/?api=1&amp;query=24.17338817,47.34686633", "View Map")</f>
        <v>View Map</v>
      </c>
      <c r="G1418" s="2">
        <v>0.34967132101528181</v>
      </c>
    </row>
    <row r="1419" spans="1:7" x14ac:dyDescent="0.3">
      <c r="A1419" t="s">
        <v>2737</v>
      </c>
      <c r="B1419" t="s">
        <v>2738</v>
      </c>
      <c r="C1419" t="s">
        <v>8</v>
      </c>
      <c r="D1419">
        <v>5.3760000000000003</v>
      </c>
      <c r="E1419" s="4">
        <v>1720</v>
      </c>
      <c r="F1419" t="str">
        <f>HYPERLINK("https://www.google.com/maps/search/?api=1&amp;query=24.68418988,46.83977357", "View Map")</f>
        <v>View Map</v>
      </c>
      <c r="G1419" s="2">
        <v>0.52324986971746168</v>
      </c>
    </row>
    <row r="1420" spans="1:7" x14ac:dyDescent="0.3">
      <c r="A1420" t="s">
        <v>5565</v>
      </c>
      <c r="B1420" t="s">
        <v>5566</v>
      </c>
      <c r="C1420" t="s">
        <v>30</v>
      </c>
      <c r="D1420">
        <v>5.3719999999999999</v>
      </c>
      <c r="E1420" s="4">
        <v>1719</v>
      </c>
      <c r="F1420" t="str">
        <f>HYPERLINK("https://www.google.com/maps/search/?api=1&amp;query=24.17869167,47.36518279", "View Map")</f>
        <v>View Map</v>
      </c>
    </row>
    <row r="1421" spans="1:7" x14ac:dyDescent="0.3">
      <c r="A1421" t="s">
        <v>2982</v>
      </c>
      <c r="B1421" t="s">
        <v>2983</v>
      </c>
      <c r="C1421" t="s">
        <v>8</v>
      </c>
      <c r="D1421">
        <v>5.3719999999999999</v>
      </c>
      <c r="E1421" s="4">
        <v>1719</v>
      </c>
      <c r="F1421" t="str">
        <f>HYPERLINK("https://www.google.com/maps/search/?api=1&amp;query=24.62056377,46.54295943", "View Map")</f>
        <v>View Map</v>
      </c>
    </row>
    <row r="1422" spans="1:7" x14ac:dyDescent="0.3">
      <c r="A1422" t="s">
        <v>1641</v>
      </c>
      <c r="B1422" t="s">
        <v>1642</v>
      </c>
      <c r="C1422" t="s">
        <v>8</v>
      </c>
      <c r="D1422">
        <v>5.3680000000000003</v>
      </c>
      <c r="E1422" s="4">
        <v>1718</v>
      </c>
      <c r="F1422" t="str">
        <f>HYPERLINK("https://www.google.com/maps/search/?api=1&amp;query=24.57091572,46.66374636", "View Map")</f>
        <v>View Map</v>
      </c>
      <c r="G1422" s="2">
        <v>0.70319786444201937</v>
      </c>
    </row>
    <row r="1423" spans="1:7" x14ac:dyDescent="0.3">
      <c r="A1423" t="s">
        <v>4412</v>
      </c>
      <c r="B1423" t="s">
        <v>5163</v>
      </c>
      <c r="C1423" t="s">
        <v>16</v>
      </c>
      <c r="D1423">
        <v>5.359</v>
      </c>
      <c r="E1423" s="4">
        <v>1715</v>
      </c>
      <c r="F1423" t="str">
        <f>HYPERLINK("https://www.google.com/maps/search/?api=1&amp;query=23.69554211,42.19709338", "View Map")</f>
        <v>View Map</v>
      </c>
      <c r="G1423" s="2">
        <v>0.60088601413251774</v>
      </c>
    </row>
    <row r="1424" spans="1:7" x14ac:dyDescent="0.3">
      <c r="A1424" t="s">
        <v>1969</v>
      </c>
      <c r="B1424" t="s">
        <v>1970</v>
      </c>
      <c r="C1424" t="s">
        <v>8</v>
      </c>
      <c r="D1424">
        <v>5.359</v>
      </c>
      <c r="E1424" s="4">
        <v>1715</v>
      </c>
      <c r="F1424" t="str">
        <f>HYPERLINK("https://www.google.com/maps/search/?api=1&amp;query=24.76161484,46.70948484", "View Map")</f>
        <v>View Map</v>
      </c>
    </row>
    <row r="1425" spans="1:7" x14ac:dyDescent="0.3">
      <c r="A1425" t="s">
        <v>150</v>
      </c>
      <c r="B1425" t="s">
        <v>287</v>
      </c>
      <c r="C1425" t="s">
        <v>8</v>
      </c>
      <c r="D1425">
        <v>5.359</v>
      </c>
      <c r="E1425" s="4">
        <v>1715</v>
      </c>
      <c r="F1425" t="str">
        <f>HYPERLINK("https://www.google.com/maps/search/?api=1&amp;query=24.8277018,46.78878921", "View Map")</f>
        <v>View Map</v>
      </c>
      <c r="G1425" s="2">
        <v>9.3081506870107147E-2</v>
      </c>
    </row>
    <row r="1426" spans="1:7" x14ac:dyDescent="0.3">
      <c r="A1426" t="s">
        <v>146</v>
      </c>
      <c r="B1426" t="s">
        <v>3247</v>
      </c>
      <c r="C1426" t="s">
        <v>8</v>
      </c>
      <c r="D1426">
        <v>5.359</v>
      </c>
      <c r="E1426" s="4">
        <v>1715</v>
      </c>
      <c r="F1426" t="str">
        <f>HYPERLINK("https://www.google.com/maps/search/?api=1&amp;query=24.5508,46.5658", "View Map")</f>
        <v>View Map</v>
      </c>
      <c r="G1426" s="2">
        <v>0.43112596617060162</v>
      </c>
    </row>
    <row r="1427" spans="1:7" x14ac:dyDescent="0.3">
      <c r="A1427" t="s">
        <v>6325</v>
      </c>
      <c r="B1427" t="s">
        <v>6326</v>
      </c>
      <c r="C1427" t="s">
        <v>30</v>
      </c>
      <c r="D1427">
        <v>5.359</v>
      </c>
      <c r="E1427" s="4">
        <v>1715</v>
      </c>
      <c r="F1427" t="str">
        <f>HYPERLINK("https://www.google.com/maps/search/?api=1&amp;query=24.19140582,47.37868133", "View Map")</f>
        <v>View Map</v>
      </c>
    </row>
    <row r="1428" spans="1:7" x14ac:dyDescent="0.3">
      <c r="A1428" t="s">
        <v>2978</v>
      </c>
      <c r="B1428" t="s">
        <v>2979</v>
      </c>
      <c r="C1428" t="s">
        <v>8</v>
      </c>
      <c r="D1428">
        <v>5.359</v>
      </c>
      <c r="E1428" s="4">
        <v>1715</v>
      </c>
      <c r="F1428" t="str">
        <f>HYPERLINK("https://www.google.com/maps/search/?api=1&amp;query=24.6929258,46.66634433", "View Map")</f>
        <v>View Map</v>
      </c>
      <c r="G1428" s="2">
        <v>0.76583346730613533</v>
      </c>
    </row>
    <row r="1429" spans="1:7" x14ac:dyDescent="0.3">
      <c r="A1429" t="s">
        <v>46</v>
      </c>
      <c r="B1429" t="s">
        <v>3846</v>
      </c>
      <c r="C1429" t="s">
        <v>8</v>
      </c>
      <c r="D1429">
        <v>5.3550000000000004</v>
      </c>
      <c r="E1429" s="4">
        <v>1714</v>
      </c>
      <c r="F1429" t="str">
        <f>HYPERLINK("https://www.google.com/maps/search/?api=1&amp;query=24.64417295,46.79255834", "View Map")</f>
        <v>View Map</v>
      </c>
    </row>
    <row r="1430" spans="1:7" x14ac:dyDescent="0.3">
      <c r="A1430" t="s">
        <v>22</v>
      </c>
      <c r="B1430" t="s">
        <v>2730</v>
      </c>
      <c r="C1430" t="s">
        <v>8</v>
      </c>
      <c r="D1430">
        <v>5.3520000000000003</v>
      </c>
      <c r="E1430" s="4">
        <v>1713</v>
      </c>
      <c r="F1430" t="str">
        <f>HYPERLINK("https://www.google.com/maps/search/?api=1&amp;query=24.75744134,46.82088493", "View Map")</f>
        <v>View Map</v>
      </c>
    </row>
    <row r="1431" spans="1:7" x14ac:dyDescent="0.3">
      <c r="A1431" t="s">
        <v>5983</v>
      </c>
      <c r="B1431" t="s">
        <v>6588</v>
      </c>
      <c r="C1431" t="s">
        <v>8</v>
      </c>
      <c r="D1431">
        <v>5.3419999999999996</v>
      </c>
      <c r="E1431" s="4">
        <v>1709</v>
      </c>
      <c r="F1431" t="str">
        <f>HYPERLINK("https://www.google.com/maps/search/?api=1&amp;query=24.80180841,46.60646104", "View Map")</f>
        <v>View Map</v>
      </c>
      <c r="G1431" s="2">
        <v>0.4718504470850664</v>
      </c>
    </row>
    <row r="1432" spans="1:7" x14ac:dyDescent="0.3">
      <c r="A1432" t="s">
        <v>4097</v>
      </c>
      <c r="B1432" t="s">
        <v>4098</v>
      </c>
      <c r="C1432" t="s">
        <v>21</v>
      </c>
      <c r="D1432">
        <v>5.3390000000000004</v>
      </c>
      <c r="E1432" s="4">
        <v>1709</v>
      </c>
      <c r="F1432" t="str">
        <f>HYPERLINK("https://www.google.com/maps/search/?api=1&amp;query=26.29954963,44.81721004", "View Map")</f>
        <v>View Map</v>
      </c>
    </row>
    <row r="1433" spans="1:7" x14ac:dyDescent="0.3">
      <c r="A1433" t="s">
        <v>3628</v>
      </c>
      <c r="B1433" t="s">
        <v>3629</v>
      </c>
      <c r="C1433" t="s">
        <v>646</v>
      </c>
      <c r="D1433">
        <v>5.3339999999999996</v>
      </c>
      <c r="E1433" s="4">
        <v>1707</v>
      </c>
      <c r="F1433" t="str">
        <f>HYPERLINK("https://www.google.com/maps/search/?api=1&amp;query=20.46393752,45.57258403", "View Map")</f>
        <v>View Map</v>
      </c>
      <c r="G1433" s="2">
        <v>0.42466523794324618</v>
      </c>
    </row>
    <row r="1434" spans="1:7" x14ac:dyDescent="0.3">
      <c r="A1434" t="s">
        <v>28</v>
      </c>
      <c r="B1434" t="s">
        <v>2329</v>
      </c>
      <c r="C1434" t="s">
        <v>30</v>
      </c>
      <c r="D1434">
        <v>5.3289999999999997</v>
      </c>
      <c r="E1434" s="4">
        <v>1705</v>
      </c>
      <c r="F1434" t="str">
        <f>HYPERLINK("https://www.google.com/maps/search/?api=1&amp;query=24.18263358,47.464438", "View Map")</f>
        <v>View Map</v>
      </c>
      <c r="G1434" s="2">
        <v>0.64219502487836255</v>
      </c>
    </row>
    <row r="1435" spans="1:7" x14ac:dyDescent="0.3">
      <c r="A1435" t="s">
        <v>1080</v>
      </c>
      <c r="B1435" t="s">
        <v>1081</v>
      </c>
      <c r="C1435" t="s">
        <v>8</v>
      </c>
      <c r="D1435">
        <v>5.3250000000000002</v>
      </c>
      <c r="E1435" s="4">
        <v>1704</v>
      </c>
      <c r="F1435" t="str">
        <f>HYPERLINK("https://www.google.com/maps/search/?api=1&amp;query=24.78701492,46.73868576", "View Map")</f>
        <v>View Map</v>
      </c>
      <c r="G1435" s="2">
        <v>0.31306336365220128</v>
      </c>
    </row>
    <row r="1436" spans="1:7" x14ac:dyDescent="0.3">
      <c r="A1436" t="s">
        <v>2735</v>
      </c>
      <c r="B1436" t="s">
        <v>2736</v>
      </c>
      <c r="C1436" t="s">
        <v>8</v>
      </c>
      <c r="D1436">
        <v>5.3250000000000002</v>
      </c>
      <c r="E1436" s="4">
        <v>1704</v>
      </c>
      <c r="F1436" t="str">
        <f>HYPERLINK("https://www.google.com/maps/search/?api=1&amp;query=24.76646395,46.74085585", "View Map")</f>
        <v>View Map</v>
      </c>
      <c r="G1436" s="2">
        <v>0.39932543186582509</v>
      </c>
    </row>
    <row r="1437" spans="1:7" x14ac:dyDescent="0.3">
      <c r="A1437" t="s">
        <v>2767</v>
      </c>
      <c r="B1437" t="s">
        <v>2768</v>
      </c>
      <c r="C1437" t="s">
        <v>442</v>
      </c>
      <c r="D1437">
        <v>5.3220000000000001</v>
      </c>
      <c r="E1437" s="4">
        <v>1703</v>
      </c>
      <c r="F1437" t="str">
        <f>HYPERLINK("https://www.google.com/maps/search/?api=1&amp;query=23.63202967,46.51006722", "View Map")</f>
        <v>View Map</v>
      </c>
      <c r="G1437" s="2">
        <v>0.49716936603998951</v>
      </c>
    </row>
    <row r="1438" spans="1:7" x14ac:dyDescent="0.3">
      <c r="A1438" t="s">
        <v>2616</v>
      </c>
      <c r="B1438" t="s">
        <v>2617</v>
      </c>
      <c r="C1438" t="s">
        <v>77</v>
      </c>
      <c r="D1438">
        <v>5.3220000000000001</v>
      </c>
      <c r="E1438" s="4">
        <v>1703</v>
      </c>
      <c r="F1438" t="str">
        <f>HYPERLINK("https://www.google.com/maps/search/?api=1&amp;query=22.2928942,46.7299582", "View Map")</f>
        <v>View Map</v>
      </c>
      <c r="G1438" s="2">
        <v>0.53460675983156469</v>
      </c>
    </row>
    <row r="1439" spans="1:7" x14ac:dyDescent="0.3">
      <c r="A1439" t="s">
        <v>146</v>
      </c>
      <c r="B1439" t="s">
        <v>4625</v>
      </c>
      <c r="C1439" t="s">
        <v>8</v>
      </c>
      <c r="D1439">
        <v>5.31</v>
      </c>
      <c r="E1439" s="4">
        <v>1699</v>
      </c>
      <c r="F1439" t="str">
        <f>HYPERLINK("https://www.google.com/maps/search/?api=1&amp;query=24.5575,46.625", "View Map")</f>
        <v>View Map</v>
      </c>
    </row>
    <row r="1440" spans="1:7" x14ac:dyDescent="0.3">
      <c r="A1440" t="s">
        <v>2937</v>
      </c>
      <c r="B1440" t="s">
        <v>2938</v>
      </c>
      <c r="C1440" t="s">
        <v>393</v>
      </c>
      <c r="D1440">
        <v>5.3090000000000002</v>
      </c>
      <c r="E1440" s="4">
        <v>1699</v>
      </c>
      <c r="F1440" t="str">
        <f>HYPERLINK("https://www.google.com/maps/search/?api=1&amp;query=23.54389533,45.51203126", "View Map")</f>
        <v>View Map</v>
      </c>
      <c r="G1440" s="2">
        <v>0.37942342901189591</v>
      </c>
    </row>
    <row r="1441" spans="1:7" x14ac:dyDescent="0.3">
      <c r="A1441" t="s">
        <v>87</v>
      </c>
      <c r="B1441" t="s">
        <v>88</v>
      </c>
      <c r="C1441" t="s">
        <v>8</v>
      </c>
      <c r="D1441">
        <v>5.3070000000000004</v>
      </c>
      <c r="E1441" s="4">
        <v>1698</v>
      </c>
      <c r="F1441" t="str">
        <f>HYPERLINK("https://www.google.com/maps/search/?api=1&amp;query=24.67939988,46.66350969", "View Map")</f>
        <v>View Map</v>
      </c>
      <c r="G1441" s="2">
        <v>8.344417045959529E-2</v>
      </c>
    </row>
    <row r="1442" spans="1:7" x14ac:dyDescent="0.3">
      <c r="A1442" t="s">
        <v>356</v>
      </c>
      <c r="B1442" t="s">
        <v>357</v>
      </c>
      <c r="C1442" t="s">
        <v>8</v>
      </c>
      <c r="D1442">
        <v>5.3010000000000002</v>
      </c>
      <c r="E1442" s="4">
        <v>1696</v>
      </c>
      <c r="F1442" t="str">
        <f>HYPERLINK("https://www.google.com/maps/search/?api=1&amp;query=24.69341833,46.70865915", "View Map")</f>
        <v>View Map</v>
      </c>
      <c r="G1442" s="2">
        <v>0.18084055761111251</v>
      </c>
    </row>
    <row r="1443" spans="1:7" x14ac:dyDescent="0.3">
      <c r="A1443" t="s">
        <v>2869</v>
      </c>
      <c r="B1443" t="s">
        <v>2870</v>
      </c>
      <c r="C1443" t="s">
        <v>393</v>
      </c>
      <c r="D1443">
        <v>5.3010000000000002</v>
      </c>
      <c r="E1443" s="4">
        <v>1696</v>
      </c>
      <c r="F1443" t="str">
        <f>HYPERLINK("https://www.google.com/maps/search/?api=1&amp;query=22.52068005,44.79688116", "View Map")</f>
        <v>View Map</v>
      </c>
      <c r="G1443" s="2">
        <v>0.67983396652074002</v>
      </c>
    </row>
    <row r="1444" spans="1:7" x14ac:dyDescent="0.3">
      <c r="A1444" t="s">
        <v>73</v>
      </c>
      <c r="B1444" t="s">
        <v>2484</v>
      </c>
      <c r="C1444" t="s">
        <v>8</v>
      </c>
      <c r="D1444">
        <v>5.3</v>
      </c>
      <c r="E1444" s="4">
        <v>1696</v>
      </c>
      <c r="F1444" t="str">
        <f>HYPERLINK("https://www.google.com/maps/search/?api=1&amp;query=24.80736,46.60096", "View Map")</f>
        <v>View Map</v>
      </c>
    </row>
    <row r="1445" spans="1:7" x14ac:dyDescent="0.3">
      <c r="A1445" t="s">
        <v>22</v>
      </c>
      <c r="B1445" t="s">
        <v>3407</v>
      </c>
      <c r="C1445" t="s">
        <v>8</v>
      </c>
      <c r="D1445">
        <v>5.3</v>
      </c>
      <c r="E1445" s="4">
        <v>1696</v>
      </c>
      <c r="F1445" t="str">
        <f>HYPERLINK("https://www.google.com/maps/search/?api=1&amp;query=24.80795647,46.86424322", "View Map")</f>
        <v>View Map</v>
      </c>
    </row>
    <row r="1446" spans="1:7" x14ac:dyDescent="0.3">
      <c r="A1446" t="s">
        <v>4664</v>
      </c>
      <c r="B1446" t="s">
        <v>4665</v>
      </c>
      <c r="C1446" t="s">
        <v>291</v>
      </c>
      <c r="D1446">
        <v>5.2969999999999997</v>
      </c>
      <c r="E1446" s="4">
        <v>1695</v>
      </c>
      <c r="F1446" t="str">
        <f>HYPERLINK("https://www.google.com/maps/search/?api=1&amp;query=24.03555914,45.05791535", "View Map")</f>
        <v>View Map</v>
      </c>
      <c r="G1446" s="2">
        <v>0.98620779989473983</v>
      </c>
    </row>
    <row r="1447" spans="1:7" x14ac:dyDescent="0.3">
      <c r="A1447" t="s">
        <v>2565</v>
      </c>
      <c r="B1447" t="s">
        <v>2566</v>
      </c>
      <c r="C1447" t="s">
        <v>270</v>
      </c>
      <c r="D1447">
        <v>5.2949999999999999</v>
      </c>
      <c r="E1447" s="4">
        <v>1694</v>
      </c>
      <c r="F1447" t="str">
        <f>HYPERLINK("https://www.google.com/maps/search/?api=1&amp;query=23.99395062,47.1600723", "View Map")</f>
        <v>View Map</v>
      </c>
    </row>
    <row r="1448" spans="1:7" x14ac:dyDescent="0.3">
      <c r="A1448" t="s">
        <v>4684</v>
      </c>
      <c r="B1448" t="s">
        <v>4685</v>
      </c>
      <c r="C1448" t="s">
        <v>255</v>
      </c>
      <c r="D1448">
        <v>5.2949999999999999</v>
      </c>
      <c r="E1448" s="4">
        <v>1694</v>
      </c>
      <c r="F1448" t="str">
        <f>HYPERLINK("https://www.google.com/maps/search/?api=1&amp;query=25.28375449,44.56906662", "View Map")</f>
        <v>View Map</v>
      </c>
      <c r="G1448" s="2">
        <v>0.87465549928126007</v>
      </c>
    </row>
    <row r="1449" spans="1:7" x14ac:dyDescent="0.3">
      <c r="A1449" t="s">
        <v>46</v>
      </c>
      <c r="B1449" t="s">
        <v>2262</v>
      </c>
      <c r="C1449" t="s">
        <v>8</v>
      </c>
      <c r="D1449">
        <v>5.2939999999999996</v>
      </c>
      <c r="E1449" s="4">
        <v>1694</v>
      </c>
      <c r="F1449" t="str">
        <f>HYPERLINK("https://www.google.com/maps/search/?api=1&amp;query=24.63936591,46.48995104", "View Map")</f>
        <v>View Map</v>
      </c>
      <c r="G1449" s="2">
        <v>0.34689238752379159</v>
      </c>
    </row>
    <row r="1450" spans="1:7" x14ac:dyDescent="0.3">
      <c r="A1450" t="s">
        <v>3024</v>
      </c>
      <c r="B1450" t="s">
        <v>3025</v>
      </c>
      <c r="C1450" t="s">
        <v>8</v>
      </c>
      <c r="D1450">
        <v>5.2910000000000004</v>
      </c>
      <c r="E1450" s="4">
        <v>1693</v>
      </c>
      <c r="F1450" t="str">
        <f>HYPERLINK("https://www.google.com/maps/search/?api=1&amp;query=24.80313311,46.81063206", "View Map")</f>
        <v>View Map</v>
      </c>
    </row>
    <row r="1451" spans="1:7" x14ac:dyDescent="0.3">
      <c r="A1451" t="s">
        <v>1998</v>
      </c>
      <c r="B1451" t="s">
        <v>1999</v>
      </c>
      <c r="C1451" t="s">
        <v>8</v>
      </c>
      <c r="D1451">
        <v>5.29</v>
      </c>
      <c r="E1451" s="4">
        <v>1693</v>
      </c>
      <c r="F1451" t="str">
        <f>HYPERLINK("https://www.google.com/maps/search/?api=1&amp;query=24.64167992,46.68568093", "View Map")</f>
        <v>View Map</v>
      </c>
    </row>
    <row r="1452" spans="1:7" x14ac:dyDescent="0.3">
      <c r="A1452" t="s">
        <v>2293</v>
      </c>
      <c r="B1452" t="s">
        <v>2294</v>
      </c>
      <c r="C1452" t="s">
        <v>8</v>
      </c>
      <c r="D1452">
        <v>5.2880000000000003</v>
      </c>
      <c r="E1452" s="4">
        <v>1692</v>
      </c>
      <c r="F1452" t="str">
        <f>HYPERLINK("https://www.google.com/maps/search/?api=1&amp;query=24.78505252,46.75259701", "View Map")</f>
        <v>View Map</v>
      </c>
    </row>
    <row r="1453" spans="1:7" x14ac:dyDescent="0.3">
      <c r="A1453" t="s">
        <v>2921</v>
      </c>
      <c r="B1453" t="s">
        <v>2922</v>
      </c>
      <c r="C1453" t="s">
        <v>214</v>
      </c>
      <c r="D1453">
        <v>5.2850000000000001</v>
      </c>
      <c r="E1453" s="4">
        <v>1691</v>
      </c>
      <c r="F1453" t="str">
        <f>HYPERLINK("https://www.google.com/maps/search/?api=1&amp;query=25.7037787,45.86701311", "View Map")</f>
        <v>View Map</v>
      </c>
      <c r="G1453" s="2">
        <v>0.70458271184032961</v>
      </c>
    </row>
    <row r="1454" spans="1:7" x14ac:dyDescent="0.3">
      <c r="A1454" t="s">
        <v>2776</v>
      </c>
      <c r="B1454" t="s">
        <v>2777</v>
      </c>
      <c r="C1454" t="s">
        <v>8</v>
      </c>
      <c r="D1454">
        <v>5.2839999999999998</v>
      </c>
      <c r="E1454" s="4">
        <v>1691</v>
      </c>
      <c r="F1454" t="str">
        <f>HYPERLINK("https://www.google.com/maps/search/?api=1&amp;query=24.54637712,46.64397463", "View Map")</f>
        <v>View Map</v>
      </c>
      <c r="G1454" s="2">
        <v>0.44206875440415982</v>
      </c>
    </row>
    <row r="1455" spans="1:7" x14ac:dyDescent="0.3">
      <c r="A1455" t="s">
        <v>3047</v>
      </c>
      <c r="B1455" t="s">
        <v>3048</v>
      </c>
      <c r="C1455" t="s">
        <v>8</v>
      </c>
      <c r="D1455">
        <v>5.2839999999999998</v>
      </c>
      <c r="E1455" s="4">
        <v>1691</v>
      </c>
      <c r="F1455" t="str">
        <f>HYPERLINK("https://www.google.com/maps/search/?api=1&amp;query=24.69049771,46.77193113", "View Map")</f>
        <v>View Map</v>
      </c>
    </row>
    <row r="1456" spans="1:7" x14ac:dyDescent="0.3">
      <c r="A1456" t="s">
        <v>5792</v>
      </c>
      <c r="B1456" t="s">
        <v>5793</v>
      </c>
      <c r="C1456" t="s">
        <v>214</v>
      </c>
      <c r="D1456">
        <v>5.2830000000000004</v>
      </c>
      <c r="E1456" s="4">
        <v>1690</v>
      </c>
      <c r="F1456" t="str">
        <f>HYPERLINK("https://www.google.com/maps/search/?api=1&amp;query=25.90891683,45.36534775", "View Map")</f>
        <v>View Map</v>
      </c>
      <c r="G1456" s="2">
        <v>0.75681841658404769</v>
      </c>
    </row>
    <row r="1457" spans="1:7" x14ac:dyDescent="0.3">
      <c r="A1457" t="s">
        <v>385</v>
      </c>
      <c r="B1457" t="s">
        <v>3116</v>
      </c>
      <c r="C1457" t="s">
        <v>255</v>
      </c>
      <c r="D1457">
        <v>5.2830000000000004</v>
      </c>
      <c r="E1457" s="4">
        <v>1691</v>
      </c>
      <c r="F1457" t="str">
        <f>HYPERLINK("https://www.google.com/maps/search/?api=1&amp;query=24.55248334,44.45686525", "View Map")</f>
        <v>View Map</v>
      </c>
      <c r="G1457" s="2">
        <v>0.69937804406043258</v>
      </c>
    </row>
    <row r="1458" spans="1:7" x14ac:dyDescent="0.3">
      <c r="A1458" t="s">
        <v>1409</v>
      </c>
      <c r="B1458" t="s">
        <v>1410</v>
      </c>
      <c r="C1458" t="s">
        <v>8</v>
      </c>
      <c r="D1458">
        <v>5.2830000000000004</v>
      </c>
      <c r="E1458" s="4">
        <v>1691</v>
      </c>
      <c r="F1458" t="str">
        <f>HYPERLINK("https://www.google.com/maps/search/?api=1&amp;query=24.65851891,46.80514329", "View Map")</f>
        <v>View Map</v>
      </c>
    </row>
    <row r="1459" spans="1:7" x14ac:dyDescent="0.3">
      <c r="A1459" t="s">
        <v>2248</v>
      </c>
      <c r="B1459" t="s">
        <v>2659</v>
      </c>
      <c r="C1459" t="s">
        <v>30</v>
      </c>
      <c r="D1459">
        <v>5.2789999999999999</v>
      </c>
      <c r="E1459" s="4">
        <v>1689</v>
      </c>
      <c r="F1459" t="str">
        <f>HYPERLINK("https://www.google.com/maps/search/?api=1&amp;query=24.12023,47.29528", "View Map")</f>
        <v>View Map</v>
      </c>
      <c r="G1459" s="2">
        <v>0.85314750633867187</v>
      </c>
    </row>
    <row r="1460" spans="1:7" x14ac:dyDescent="0.3">
      <c r="A1460" t="s">
        <v>2513</v>
      </c>
      <c r="B1460" t="s">
        <v>2514</v>
      </c>
      <c r="C1460" t="s">
        <v>646</v>
      </c>
      <c r="D1460">
        <v>5.2709999999999999</v>
      </c>
      <c r="E1460" s="4">
        <v>1687</v>
      </c>
      <c r="F1460" t="str">
        <f>HYPERLINK("https://www.google.com/maps/search/?api=1&amp;query=20.46156062,45.58903528", "View Map")</f>
        <v>View Map</v>
      </c>
    </row>
    <row r="1461" spans="1:7" x14ac:dyDescent="0.3">
      <c r="A1461" t="s">
        <v>2786</v>
      </c>
      <c r="B1461" t="s">
        <v>2787</v>
      </c>
      <c r="C1461" t="s">
        <v>214</v>
      </c>
      <c r="D1461">
        <v>5.2690000000000001</v>
      </c>
      <c r="E1461" s="4">
        <v>1686</v>
      </c>
      <c r="F1461" t="str">
        <f>HYPERLINK("https://www.google.com/maps/search/?api=1&amp;query=25.55412988,45.68961791", "View Map")</f>
        <v>View Map</v>
      </c>
      <c r="G1461" s="2">
        <v>0.72786438693022437</v>
      </c>
    </row>
    <row r="1462" spans="1:7" x14ac:dyDescent="0.3">
      <c r="A1462" t="s">
        <v>46</v>
      </c>
      <c r="B1462" t="s">
        <v>4421</v>
      </c>
      <c r="C1462" t="s">
        <v>8</v>
      </c>
      <c r="D1462">
        <v>5.2679999999999998</v>
      </c>
      <c r="E1462" s="4">
        <v>1686</v>
      </c>
      <c r="F1462" t="str">
        <f>HYPERLINK("https://www.google.com/maps/search/?api=1&amp;query=24.81066695,46.8276515", "View Map")</f>
        <v>View Map</v>
      </c>
      <c r="G1462" s="2">
        <v>0.51226375453812645</v>
      </c>
    </row>
    <row r="1463" spans="1:7" x14ac:dyDescent="0.3">
      <c r="A1463" t="s">
        <v>3941</v>
      </c>
      <c r="B1463" t="s">
        <v>3942</v>
      </c>
      <c r="C1463" t="s">
        <v>8</v>
      </c>
      <c r="D1463">
        <v>5.2640000000000002</v>
      </c>
      <c r="E1463" s="4">
        <v>1684</v>
      </c>
      <c r="F1463" t="str">
        <f>HYPERLINK("https://www.google.com/maps/search/?api=1&amp;query=24.78389585,46.81399146", "View Map")</f>
        <v>View Map</v>
      </c>
      <c r="G1463" s="2">
        <v>0.44705768984048161</v>
      </c>
    </row>
    <row r="1464" spans="1:7" x14ac:dyDescent="0.3">
      <c r="A1464" t="s">
        <v>2837</v>
      </c>
      <c r="B1464" t="s">
        <v>2838</v>
      </c>
      <c r="C1464" t="s">
        <v>30</v>
      </c>
      <c r="D1464">
        <v>5.2629999999999999</v>
      </c>
      <c r="E1464" s="4">
        <v>1684</v>
      </c>
      <c r="F1464" t="str">
        <f>HYPERLINK("https://www.google.com/maps/search/?api=1&amp;query=24.15385797,47.36092772", "View Map")</f>
        <v>View Map</v>
      </c>
      <c r="G1464" s="2">
        <v>0.82999575862484842</v>
      </c>
    </row>
    <row r="1465" spans="1:7" x14ac:dyDescent="0.3">
      <c r="A1465" t="s">
        <v>1232</v>
      </c>
      <c r="B1465" t="s">
        <v>2727</v>
      </c>
      <c r="C1465" t="s">
        <v>8</v>
      </c>
      <c r="D1465">
        <v>5.2610000000000001</v>
      </c>
      <c r="E1465" s="4">
        <v>1684</v>
      </c>
      <c r="F1465" t="str">
        <f>HYPERLINK("https://www.google.com/maps/search/?api=1&amp;query=24.80040817,46.61245204", "View Map")</f>
        <v>View Map</v>
      </c>
    </row>
    <row r="1466" spans="1:7" x14ac:dyDescent="0.3">
      <c r="A1466" t="s">
        <v>5498</v>
      </c>
      <c r="B1466" t="s">
        <v>5499</v>
      </c>
      <c r="C1466" t="s">
        <v>393</v>
      </c>
      <c r="D1466">
        <v>5.26</v>
      </c>
      <c r="E1466" s="4">
        <v>1683</v>
      </c>
      <c r="F1466" t="str">
        <f>HYPERLINK("https://www.google.com/maps/search/?api=1&amp;query=22.69860935,44.87472916", "View Map")</f>
        <v>View Map</v>
      </c>
      <c r="G1466" s="2">
        <v>0.83303295515375742</v>
      </c>
    </row>
    <row r="1467" spans="1:7" x14ac:dyDescent="0.3">
      <c r="A1467" t="s">
        <v>4031</v>
      </c>
      <c r="B1467" t="s">
        <v>4032</v>
      </c>
      <c r="C1467" t="s">
        <v>8</v>
      </c>
      <c r="D1467">
        <v>5.258</v>
      </c>
      <c r="E1467" s="4">
        <v>1682</v>
      </c>
      <c r="F1467" t="str">
        <f>HYPERLINK("https://www.google.com/maps/search/?api=1&amp;query=24.55279457,46.67561901", "View Map")</f>
        <v>View Map</v>
      </c>
      <c r="G1467" s="2">
        <v>0.62641831179619301</v>
      </c>
    </row>
    <row r="1468" spans="1:7" x14ac:dyDescent="0.3">
      <c r="A1468" t="s">
        <v>46</v>
      </c>
      <c r="B1468" t="s">
        <v>4346</v>
      </c>
      <c r="C1468" t="s">
        <v>8</v>
      </c>
      <c r="D1468">
        <v>5.2560000000000002</v>
      </c>
      <c r="E1468" s="4">
        <v>1682</v>
      </c>
      <c r="F1468" t="str">
        <f>HYPERLINK("https://www.google.com/maps/search/?api=1&amp;query=24.74511633,46.75445286", "View Map")</f>
        <v>View Map</v>
      </c>
    </row>
    <row r="1469" spans="1:7" x14ac:dyDescent="0.3">
      <c r="A1469" t="s">
        <v>2398</v>
      </c>
      <c r="B1469" t="s">
        <v>2399</v>
      </c>
      <c r="C1469" t="s">
        <v>8</v>
      </c>
      <c r="D1469">
        <v>5.2530000000000001</v>
      </c>
      <c r="E1469" s="4">
        <v>1681</v>
      </c>
      <c r="F1469" t="str">
        <f>HYPERLINK("https://www.google.com/maps/search/?api=1&amp;query=24.66323449,46.69626984", "View Map")</f>
        <v>View Map</v>
      </c>
      <c r="G1469" s="2">
        <v>0.40348455544130019</v>
      </c>
    </row>
    <row r="1470" spans="1:7" x14ac:dyDescent="0.3">
      <c r="A1470" t="s">
        <v>46</v>
      </c>
      <c r="B1470" t="s">
        <v>3435</v>
      </c>
      <c r="C1470" t="s">
        <v>8</v>
      </c>
      <c r="D1470">
        <v>5.2480000000000002</v>
      </c>
      <c r="E1470" s="4">
        <v>1679</v>
      </c>
      <c r="F1470" t="str">
        <f>HYPERLINK("https://www.google.com/maps/search/?api=1&amp;query=24.6867,46.585", "View Map")</f>
        <v>View Map</v>
      </c>
    </row>
    <row r="1471" spans="1:7" x14ac:dyDescent="0.3">
      <c r="A1471" t="s">
        <v>46</v>
      </c>
      <c r="B1471" t="s">
        <v>1532</v>
      </c>
      <c r="C1471" t="s">
        <v>8</v>
      </c>
      <c r="D1471">
        <v>5.2469999999999999</v>
      </c>
      <c r="E1471" s="4">
        <v>1679</v>
      </c>
      <c r="F1471" t="str">
        <f>HYPERLINK("https://www.google.com/maps/search/?api=1&amp;query=24.85791676,46.64793352", "View Map")</f>
        <v>View Map</v>
      </c>
      <c r="G1471" s="2">
        <v>0.2877317647657201</v>
      </c>
    </row>
    <row r="1472" spans="1:7" x14ac:dyDescent="0.3">
      <c r="A1472" t="s">
        <v>817</v>
      </c>
      <c r="B1472" t="s">
        <v>2618</v>
      </c>
      <c r="C1472" t="s">
        <v>30</v>
      </c>
      <c r="D1472">
        <v>5.2450000000000001</v>
      </c>
      <c r="E1472" s="4">
        <v>1678</v>
      </c>
      <c r="F1472" t="str">
        <f>HYPERLINK("https://www.google.com/maps/search/?api=1&amp;query=24.13352099,47.28804134", "View Map")</f>
        <v>View Map</v>
      </c>
      <c r="G1472" s="2">
        <v>0.75016526018347118</v>
      </c>
    </row>
    <row r="1473" spans="1:7" x14ac:dyDescent="0.3">
      <c r="A1473" t="s">
        <v>4356</v>
      </c>
      <c r="B1473" t="s">
        <v>4357</v>
      </c>
      <c r="C1473" t="s">
        <v>8</v>
      </c>
      <c r="D1473">
        <v>5.2430000000000003</v>
      </c>
      <c r="E1473" s="4">
        <v>1678</v>
      </c>
      <c r="F1473" t="str">
        <f>HYPERLINK("https://www.google.com/maps/search/?api=1&amp;query=24.79361874,46.71214831", "View Map")</f>
        <v>View Map</v>
      </c>
      <c r="G1473" s="2">
        <v>0.42942805719246818</v>
      </c>
    </row>
    <row r="1474" spans="1:7" x14ac:dyDescent="0.3">
      <c r="A1474" t="s">
        <v>28</v>
      </c>
      <c r="B1474" t="s">
        <v>3385</v>
      </c>
      <c r="C1474" t="s">
        <v>30</v>
      </c>
      <c r="D1474">
        <v>5.24</v>
      </c>
      <c r="E1474" s="4">
        <v>1677</v>
      </c>
      <c r="F1474" t="str">
        <f>HYPERLINK("https://www.google.com/maps/search/?api=1&amp;query=24.15623898,47.27918326", "View Map")</f>
        <v>View Map</v>
      </c>
      <c r="G1474" s="2">
        <v>0.70222431947744213</v>
      </c>
    </row>
    <row r="1475" spans="1:7" x14ac:dyDescent="0.3">
      <c r="A1475" t="s">
        <v>3723</v>
      </c>
      <c r="B1475" t="s">
        <v>3724</v>
      </c>
      <c r="C1475" t="s">
        <v>8</v>
      </c>
      <c r="D1475">
        <v>5.2380000000000004</v>
      </c>
      <c r="E1475" s="4">
        <v>1676</v>
      </c>
      <c r="F1475" t="str">
        <f>HYPERLINK("https://www.google.com/maps/search/?api=1&amp;query=24.70904817,46.8313787", "View Map")</f>
        <v>View Map</v>
      </c>
    </row>
    <row r="1476" spans="1:7" x14ac:dyDescent="0.3">
      <c r="A1476" t="s">
        <v>871</v>
      </c>
      <c r="B1476" t="s">
        <v>872</v>
      </c>
      <c r="C1476" t="s">
        <v>8</v>
      </c>
      <c r="D1476">
        <v>5.2359999999999998</v>
      </c>
      <c r="E1476" s="4">
        <v>1676</v>
      </c>
      <c r="F1476" t="str">
        <f>HYPERLINK("https://www.google.com/maps/search/?api=1&amp;query=24.58069407,46.67935242", "View Map")</f>
        <v>View Map</v>
      </c>
      <c r="G1476" s="2">
        <v>0.31012974435646778</v>
      </c>
    </row>
    <row r="1477" spans="1:7" x14ac:dyDescent="0.3">
      <c r="A1477" t="s">
        <v>1675</v>
      </c>
      <c r="B1477" t="s">
        <v>1676</v>
      </c>
      <c r="C1477" t="s">
        <v>8</v>
      </c>
      <c r="D1477">
        <v>5.234</v>
      </c>
      <c r="E1477" s="4">
        <v>1675</v>
      </c>
      <c r="F1477" t="str">
        <f>HYPERLINK("https://www.google.com/maps/search/?api=1&amp;query=24.56168925,46.79831275", "View Map")</f>
        <v>View Map</v>
      </c>
    </row>
    <row r="1478" spans="1:7" x14ac:dyDescent="0.3">
      <c r="A1478" t="s">
        <v>1232</v>
      </c>
      <c r="B1478" t="s">
        <v>2812</v>
      </c>
      <c r="C1478" t="s">
        <v>8</v>
      </c>
      <c r="D1478">
        <v>5.234</v>
      </c>
      <c r="E1478" s="4">
        <v>1675</v>
      </c>
      <c r="F1478" t="str">
        <f>HYPERLINK("https://www.google.com/maps/search/?api=1&amp;query=24.77581432,46.58818802", "View Map")</f>
        <v>View Map</v>
      </c>
    </row>
    <row r="1479" spans="1:7" x14ac:dyDescent="0.3">
      <c r="A1479" t="s">
        <v>46</v>
      </c>
      <c r="B1479" t="s">
        <v>2419</v>
      </c>
      <c r="C1479" t="s">
        <v>8</v>
      </c>
      <c r="D1479">
        <v>5.2320000000000002</v>
      </c>
      <c r="E1479" s="4">
        <v>1674</v>
      </c>
      <c r="F1479" t="str">
        <f>HYPERLINK("https://www.google.com/maps/search/?api=1&amp;query=24.81797816,46.72120351", "View Map")</f>
        <v>View Map</v>
      </c>
    </row>
    <row r="1480" spans="1:7" x14ac:dyDescent="0.3">
      <c r="A1480" t="s">
        <v>2962</v>
      </c>
      <c r="B1480" t="s">
        <v>2963</v>
      </c>
      <c r="C1480" t="s">
        <v>214</v>
      </c>
      <c r="D1480">
        <v>5.2290000000000001</v>
      </c>
      <c r="E1480" s="4">
        <v>1673</v>
      </c>
      <c r="F1480" t="str">
        <f>HYPERLINK("https://www.google.com/maps/search/?api=1&amp;query=25.60234615,45.61944636", "View Map")</f>
        <v>View Map</v>
      </c>
      <c r="G1480" s="2">
        <v>0.74169100548786149</v>
      </c>
    </row>
    <row r="1481" spans="1:7" x14ac:dyDescent="0.3">
      <c r="A1481" t="s">
        <v>3817</v>
      </c>
      <c r="B1481" t="s">
        <v>3818</v>
      </c>
      <c r="C1481" t="s">
        <v>8</v>
      </c>
      <c r="D1481">
        <v>5.2290000000000001</v>
      </c>
      <c r="E1481" s="4">
        <v>1673</v>
      </c>
      <c r="F1481" t="str">
        <f>HYPERLINK("https://www.google.com/maps/search/?api=1&amp;query=24.78423236,46.77885377", "View Map")</f>
        <v>View Map</v>
      </c>
      <c r="G1481" s="2">
        <v>0.75935348409403891</v>
      </c>
    </row>
    <row r="1482" spans="1:7" x14ac:dyDescent="0.3">
      <c r="A1482" t="s">
        <v>1790</v>
      </c>
      <c r="B1482" t="s">
        <v>2744</v>
      </c>
      <c r="C1482" t="s">
        <v>8</v>
      </c>
      <c r="D1482">
        <v>5.226</v>
      </c>
      <c r="E1482" s="4">
        <v>1672</v>
      </c>
      <c r="F1482" t="str">
        <f>HYPERLINK("https://www.google.com/maps/search/?api=1&amp;query=24.70369435,46.80415082", "View Map")</f>
        <v>View Map</v>
      </c>
    </row>
    <row r="1483" spans="1:7" x14ac:dyDescent="0.3">
      <c r="A1483" t="s">
        <v>1711</v>
      </c>
      <c r="B1483" t="s">
        <v>1712</v>
      </c>
      <c r="C1483" t="s">
        <v>296</v>
      </c>
      <c r="D1483">
        <v>5.226</v>
      </c>
      <c r="E1483" s="4">
        <v>1672</v>
      </c>
      <c r="F1483" t="str">
        <f>HYPERLINK("https://www.google.com/maps/search/?api=1&amp;query=24.46606891,46.29434532", "View Map")</f>
        <v>View Map</v>
      </c>
      <c r="G1483" s="2">
        <v>0.39284475866047208</v>
      </c>
    </row>
    <row r="1484" spans="1:7" x14ac:dyDescent="0.3">
      <c r="A1484" t="s">
        <v>46</v>
      </c>
      <c r="B1484" t="s">
        <v>3220</v>
      </c>
      <c r="C1484" t="s">
        <v>8</v>
      </c>
      <c r="D1484">
        <v>5.2240000000000002</v>
      </c>
      <c r="E1484" s="4">
        <v>1672</v>
      </c>
      <c r="F1484" t="str">
        <f>HYPERLINK("https://www.google.com/maps/search/?api=1&amp;query=24.63015591,46.74005455", "View Map")</f>
        <v>View Map</v>
      </c>
    </row>
    <row r="1485" spans="1:7" x14ac:dyDescent="0.3">
      <c r="A1485" t="s">
        <v>146</v>
      </c>
      <c r="B1485" t="s">
        <v>4575</v>
      </c>
      <c r="C1485" t="s">
        <v>8</v>
      </c>
      <c r="D1485">
        <v>5.2169999999999996</v>
      </c>
      <c r="E1485" s="4">
        <v>1669</v>
      </c>
      <c r="F1485" t="str">
        <f>HYPERLINK("https://www.google.com/maps/search/?api=1&amp;query=24.6125,46.7017", "View Map")</f>
        <v>View Map</v>
      </c>
    </row>
    <row r="1486" spans="1:7" x14ac:dyDescent="0.3">
      <c r="A1486" t="s">
        <v>1020</v>
      </c>
      <c r="B1486" t="s">
        <v>1021</v>
      </c>
      <c r="C1486" t="s">
        <v>8</v>
      </c>
      <c r="D1486">
        <v>5.2169999999999996</v>
      </c>
      <c r="E1486" s="4">
        <v>1669</v>
      </c>
      <c r="F1486" t="str">
        <f>HYPERLINK("https://www.google.com/maps/search/?api=1&amp;query=24.53392485,46.6891485", "View Map")</f>
        <v>View Map</v>
      </c>
      <c r="G1486" s="2">
        <v>0.33153999857373112</v>
      </c>
    </row>
    <row r="1487" spans="1:7" x14ac:dyDescent="0.3">
      <c r="A1487" t="s">
        <v>1027</v>
      </c>
      <c r="B1487" t="s">
        <v>1028</v>
      </c>
      <c r="C1487" t="s">
        <v>8</v>
      </c>
      <c r="D1487">
        <v>5.2160000000000002</v>
      </c>
      <c r="E1487" s="4">
        <v>1669</v>
      </c>
      <c r="F1487" t="str">
        <f>HYPERLINK("https://www.google.com/maps/search/?api=1&amp;query=24.75376616,46.70238851", "View Map")</f>
        <v>View Map</v>
      </c>
      <c r="G1487" s="2">
        <v>0.18256297947303571</v>
      </c>
    </row>
    <row r="1488" spans="1:7" x14ac:dyDescent="0.3">
      <c r="A1488" t="s">
        <v>2602</v>
      </c>
      <c r="B1488" t="s">
        <v>3799</v>
      </c>
      <c r="C1488" t="s">
        <v>8</v>
      </c>
      <c r="D1488">
        <v>5.2119999999999997</v>
      </c>
      <c r="E1488" s="4">
        <v>1668</v>
      </c>
      <c r="F1488" t="str">
        <f>HYPERLINK("https://www.google.com/maps/search/?api=1&amp;query=24.58115827,46.57092668", "View Map")</f>
        <v>View Map</v>
      </c>
    </row>
    <row r="1489" spans="1:7" x14ac:dyDescent="0.3">
      <c r="A1489" t="s">
        <v>3725</v>
      </c>
      <c r="B1489" t="s">
        <v>3726</v>
      </c>
      <c r="C1489" t="s">
        <v>291</v>
      </c>
      <c r="D1489">
        <v>5.2009999999999996</v>
      </c>
      <c r="E1489" s="4">
        <v>1664</v>
      </c>
      <c r="F1489" t="str">
        <f>HYPERLINK("https://www.google.com/maps/search/?api=1&amp;query=24.06941304,45.00365127", "View Map")</f>
        <v>View Map</v>
      </c>
      <c r="G1489" s="2">
        <v>0.764681964793122</v>
      </c>
    </row>
    <row r="1490" spans="1:7" x14ac:dyDescent="0.3">
      <c r="A1490" t="s">
        <v>791</v>
      </c>
      <c r="B1490" t="s">
        <v>792</v>
      </c>
      <c r="C1490" t="s">
        <v>8</v>
      </c>
      <c r="D1490">
        <v>5.2009999999999996</v>
      </c>
      <c r="E1490" s="4">
        <v>1664</v>
      </c>
      <c r="F1490" t="str">
        <f>HYPERLINK("https://www.google.com/maps/search/?api=1&amp;query=24.5894657,46.79147885", "View Map")</f>
        <v>View Map</v>
      </c>
      <c r="G1490" s="2">
        <v>0.57164425812266251</v>
      </c>
    </row>
    <row r="1491" spans="1:7" x14ac:dyDescent="0.3">
      <c r="A1491" t="s">
        <v>953</v>
      </c>
      <c r="B1491" t="s">
        <v>954</v>
      </c>
      <c r="C1491" t="s">
        <v>8</v>
      </c>
      <c r="D1491">
        <v>5.1980000000000004</v>
      </c>
      <c r="E1491" s="4">
        <v>1663</v>
      </c>
      <c r="F1491" t="str">
        <f>HYPERLINK("https://www.google.com/maps/search/?api=1&amp;query=24.74786077,46.64960265", "View Map")</f>
        <v>View Map</v>
      </c>
    </row>
    <row r="1492" spans="1:7" x14ac:dyDescent="0.3">
      <c r="A1492" t="s">
        <v>2210</v>
      </c>
      <c r="B1492" t="s">
        <v>2211</v>
      </c>
      <c r="C1492" t="s">
        <v>55</v>
      </c>
      <c r="D1492">
        <v>5.1980000000000004</v>
      </c>
      <c r="E1492" s="4">
        <v>1663</v>
      </c>
      <c r="F1492" t="str">
        <f>HYPERLINK("https://www.google.com/maps/search/?api=1&amp;query=24.7560703,46.54113542", "View Map")</f>
        <v>View Map</v>
      </c>
      <c r="G1492" s="2">
        <v>0.30978494490333047</v>
      </c>
    </row>
    <row r="1493" spans="1:7" x14ac:dyDescent="0.3">
      <c r="A1493" t="s">
        <v>1818</v>
      </c>
      <c r="B1493" t="s">
        <v>1819</v>
      </c>
      <c r="C1493" t="s">
        <v>30</v>
      </c>
      <c r="D1493">
        <v>5.1970000000000001</v>
      </c>
      <c r="E1493" s="4">
        <v>1663</v>
      </c>
      <c r="F1493" t="str">
        <f>HYPERLINK("https://www.google.com/maps/search/?api=1&amp;query=24.12409555,47.27948325", "View Map")</f>
        <v>View Map</v>
      </c>
      <c r="G1493" s="2">
        <v>0.4530804776886278</v>
      </c>
    </row>
    <row r="1494" spans="1:7" x14ac:dyDescent="0.3">
      <c r="A1494" t="s">
        <v>3253</v>
      </c>
      <c r="B1494" t="s">
        <v>3254</v>
      </c>
      <c r="C1494" t="s">
        <v>8</v>
      </c>
      <c r="D1494">
        <v>5.1950000000000003</v>
      </c>
      <c r="E1494" s="4">
        <v>1663</v>
      </c>
      <c r="F1494" t="str">
        <f>HYPERLINK("https://www.google.com/maps/search/?api=1&amp;query=24.4844033,46.63315748", "View Map")</f>
        <v>View Map</v>
      </c>
      <c r="G1494" s="2">
        <v>0.46038088961480761</v>
      </c>
    </row>
    <row r="1495" spans="1:7" x14ac:dyDescent="0.3">
      <c r="A1495" t="s">
        <v>2885</v>
      </c>
      <c r="B1495" t="s">
        <v>2886</v>
      </c>
      <c r="C1495" t="s">
        <v>55</v>
      </c>
      <c r="D1495">
        <v>5.194</v>
      </c>
      <c r="E1495" s="4">
        <v>1662</v>
      </c>
      <c r="F1495" t="str">
        <f>HYPERLINK("https://www.google.com/maps/search/?api=1&amp;query=24.7532337,46.57687528", "View Map")</f>
        <v>View Map</v>
      </c>
    </row>
    <row r="1496" spans="1:7" x14ac:dyDescent="0.3">
      <c r="A1496" t="s">
        <v>2338</v>
      </c>
      <c r="B1496" t="s">
        <v>2339</v>
      </c>
      <c r="C1496" t="s">
        <v>8</v>
      </c>
      <c r="D1496">
        <v>5.1859999999999999</v>
      </c>
      <c r="E1496" s="4">
        <v>1659</v>
      </c>
      <c r="F1496" t="str">
        <f>HYPERLINK("https://www.google.com/maps/search/?api=1&amp;query=24.68448551,46.74623529", "View Map")</f>
        <v>View Map</v>
      </c>
      <c r="G1496" s="2">
        <v>0.29696944716241108</v>
      </c>
    </row>
    <row r="1497" spans="1:7" x14ac:dyDescent="0.3">
      <c r="A1497" t="s">
        <v>1788</v>
      </c>
      <c r="B1497" t="s">
        <v>3514</v>
      </c>
      <c r="C1497" t="s">
        <v>393</v>
      </c>
      <c r="D1497">
        <v>5.1849999999999996</v>
      </c>
      <c r="E1497" s="4">
        <v>1659</v>
      </c>
      <c r="F1497" t="str">
        <f>HYPERLINK("https://www.google.com/maps/search/?api=1&amp;query=23.50983411,45.52891829", "View Map")</f>
        <v>View Map</v>
      </c>
      <c r="G1497" s="2">
        <v>0.87786427686418345</v>
      </c>
    </row>
    <row r="1498" spans="1:7" x14ac:dyDescent="0.3">
      <c r="A1498" t="s">
        <v>4260</v>
      </c>
      <c r="B1498" t="s">
        <v>4261</v>
      </c>
      <c r="C1498" t="s">
        <v>8</v>
      </c>
      <c r="D1498">
        <v>5.1840000000000002</v>
      </c>
      <c r="E1498" s="4">
        <v>1659</v>
      </c>
      <c r="F1498" t="str">
        <f>HYPERLINK("https://www.google.com/maps/search/?api=1&amp;query=24.81900438,46.72945426", "View Map")</f>
        <v>View Map</v>
      </c>
      <c r="G1498" s="2">
        <v>0.53555161302134491</v>
      </c>
    </row>
    <row r="1499" spans="1:7" x14ac:dyDescent="0.3">
      <c r="A1499" t="s">
        <v>46</v>
      </c>
      <c r="B1499" t="s">
        <v>10397</v>
      </c>
      <c r="C1499" t="s">
        <v>820</v>
      </c>
      <c r="D1499">
        <v>5.1820000000000004</v>
      </c>
      <c r="E1499" s="4">
        <v>1658</v>
      </c>
      <c r="F1499" t="str">
        <f>HYPERLINK("https://www.google.com/maps/search/?api=1&amp;query=0.0,0.0", "View Map")</f>
        <v>View Map</v>
      </c>
    </row>
    <row r="1500" spans="1:7" x14ac:dyDescent="0.3">
      <c r="A1500" t="s">
        <v>3705</v>
      </c>
      <c r="B1500" t="s">
        <v>3706</v>
      </c>
      <c r="C1500" t="s">
        <v>8</v>
      </c>
      <c r="D1500">
        <v>5.1820000000000004</v>
      </c>
      <c r="E1500" s="4">
        <v>1658</v>
      </c>
      <c r="F1500" t="str">
        <f>HYPERLINK("https://www.google.com/maps/search/?api=1&amp;query=24.55224661,46.66793087", "View Map")</f>
        <v>View Map</v>
      </c>
    </row>
    <row r="1501" spans="1:7" x14ac:dyDescent="0.3">
      <c r="A1501" t="s">
        <v>5950</v>
      </c>
      <c r="B1501" t="s">
        <v>5951</v>
      </c>
      <c r="C1501" t="s">
        <v>466</v>
      </c>
      <c r="D1501">
        <v>5.181</v>
      </c>
      <c r="E1501" s="4">
        <v>1658</v>
      </c>
      <c r="F1501" t="str">
        <f>HYPERLINK("https://www.google.com/maps/search/?api=1&amp;query=24.49360153,46.1677013", "View Map")</f>
        <v>View Map</v>
      </c>
      <c r="G1501" s="2">
        <v>0.63032028757606229</v>
      </c>
    </row>
    <row r="1502" spans="1:7" x14ac:dyDescent="0.3">
      <c r="A1502" t="s">
        <v>4364</v>
      </c>
      <c r="B1502" t="s">
        <v>4365</v>
      </c>
      <c r="C1502" t="s">
        <v>8</v>
      </c>
      <c r="D1502">
        <v>5.18</v>
      </c>
      <c r="E1502" s="4">
        <v>1657</v>
      </c>
      <c r="F1502" t="str">
        <f>HYPERLINK("https://www.google.com/maps/search/?api=1&amp;query=24.68744178,46.67166272", "View Map")</f>
        <v>View Map</v>
      </c>
    </row>
    <row r="1503" spans="1:7" x14ac:dyDescent="0.3">
      <c r="A1503" t="s">
        <v>1427</v>
      </c>
      <c r="B1503" t="s">
        <v>1428</v>
      </c>
      <c r="C1503" t="s">
        <v>8</v>
      </c>
      <c r="D1503">
        <v>5.1779999999999999</v>
      </c>
      <c r="E1503" s="4">
        <v>1657</v>
      </c>
      <c r="F1503" t="str">
        <f>HYPERLINK("https://www.google.com/maps/search/?api=1&amp;query=24.55676043,46.5226673", "View Map")</f>
        <v>View Map</v>
      </c>
    </row>
    <row r="1504" spans="1:7" x14ac:dyDescent="0.3">
      <c r="A1504" t="s">
        <v>3272</v>
      </c>
      <c r="B1504" t="s">
        <v>3273</v>
      </c>
      <c r="C1504" t="s">
        <v>30</v>
      </c>
      <c r="D1504">
        <v>5.1779999999999999</v>
      </c>
      <c r="E1504" s="4">
        <v>1657</v>
      </c>
      <c r="F1504" t="str">
        <f>HYPERLINK("https://www.google.com/maps/search/?api=1&amp;query=24.15136039,47.32975642", "View Map")</f>
        <v>View Map</v>
      </c>
      <c r="G1504" s="2">
        <v>0.57663125505863633</v>
      </c>
    </row>
    <row r="1505" spans="1:7" x14ac:dyDescent="0.3">
      <c r="A1505" t="s">
        <v>146</v>
      </c>
      <c r="B1505" t="s">
        <v>4896</v>
      </c>
      <c r="C1505" t="s">
        <v>8</v>
      </c>
      <c r="D1505">
        <v>5.1769999999999996</v>
      </c>
      <c r="E1505" s="4">
        <v>1657</v>
      </c>
      <c r="F1505" t="str">
        <f>HYPERLINK("https://www.google.com/maps/search/?api=1&amp;query=24.55363955,46.6674507", "View Map")</f>
        <v>View Map</v>
      </c>
      <c r="G1505" s="2">
        <v>0.54236263593581835</v>
      </c>
    </row>
    <row r="1506" spans="1:7" x14ac:dyDescent="0.3">
      <c r="A1506" t="s">
        <v>3146</v>
      </c>
      <c r="B1506" t="s">
        <v>3147</v>
      </c>
      <c r="C1506" t="s">
        <v>214</v>
      </c>
      <c r="D1506">
        <v>5.1749999999999998</v>
      </c>
      <c r="E1506" s="4">
        <v>1656</v>
      </c>
      <c r="F1506" t="str">
        <f>HYPERLINK("https://www.google.com/maps/search/?api=1&amp;query=25.61247508,45.56077342", "View Map")</f>
        <v>View Map</v>
      </c>
      <c r="G1506" s="2">
        <v>0.61014147661383833</v>
      </c>
    </row>
    <row r="1507" spans="1:7" x14ac:dyDescent="0.3">
      <c r="A1507" t="s">
        <v>3679</v>
      </c>
      <c r="B1507" t="s">
        <v>3680</v>
      </c>
      <c r="C1507" t="s">
        <v>8</v>
      </c>
      <c r="D1507">
        <v>5.1740000000000004</v>
      </c>
      <c r="E1507" s="4">
        <v>1656</v>
      </c>
      <c r="F1507" t="str">
        <f>HYPERLINK("https://www.google.com/maps/search/?api=1&amp;query=24.76598521,46.74771817", "View Map")</f>
        <v>View Map</v>
      </c>
    </row>
    <row r="1508" spans="1:7" x14ac:dyDescent="0.3">
      <c r="A1508" t="s">
        <v>2435</v>
      </c>
      <c r="B1508" t="s">
        <v>2436</v>
      </c>
      <c r="C1508" t="s">
        <v>8</v>
      </c>
      <c r="D1508">
        <v>5.1740000000000004</v>
      </c>
      <c r="E1508" s="4">
        <v>1656</v>
      </c>
      <c r="F1508" t="str">
        <f>HYPERLINK("https://www.google.com/maps/search/?api=1&amp;query=24.80429228,46.77294503", "View Map")</f>
        <v>View Map</v>
      </c>
    </row>
    <row r="1509" spans="1:7" x14ac:dyDescent="0.3">
      <c r="A1509" t="s">
        <v>3521</v>
      </c>
      <c r="B1509" t="s">
        <v>3522</v>
      </c>
      <c r="C1509" t="s">
        <v>8</v>
      </c>
      <c r="D1509">
        <v>5.1710000000000003</v>
      </c>
      <c r="E1509" s="4">
        <v>1655</v>
      </c>
      <c r="F1509" t="str">
        <f>HYPERLINK("https://www.google.com/maps/search/?api=1&amp;query=24.67397487,46.72966388", "View Map")</f>
        <v>View Map</v>
      </c>
    </row>
    <row r="1510" spans="1:7" x14ac:dyDescent="0.3">
      <c r="A1510" t="s">
        <v>5058</v>
      </c>
      <c r="B1510" t="s">
        <v>5059</v>
      </c>
      <c r="C1510" t="s">
        <v>8</v>
      </c>
      <c r="D1510">
        <v>5.17</v>
      </c>
      <c r="E1510" s="4">
        <v>1654</v>
      </c>
      <c r="F1510" t="str">
        <f>HYPERLINK("https://www.google.com/maps/search/?api=1&amp;query=24.78268326,46.69424282", "View Map")</f>
        <v>View Map</v>
      </c>
    </row>
    <row r="1511" spans="1:7" x14ac:dyDescent="0.3">
      <c r="A1511" t="s">
        <v>146</v>
      </c>
      <c r="B1511" t="s">
        <v>3043</v>
      </c>
      <c r="C1511" t="s">
        <v>8</v>
      </c>
      <c r="D1511">
        <v>5.17</v>
      </c>
      <c r="E1511" s="4">
        <v>1654</v>
      </c>
      <c r="F1511" t="str">
        <f>HYPERLINK("https://www.google.com/maps/search/?api=1&amp;query=24.5475,46.5019", "View Map")</f>
        <v>View Map</v>
      </c>
    </row>
    <row r="1512" spans="1:7" x14ac:dyDescent="0.3">
      <c r="A1512" t="s">
        <v>146</v>
      </c>
      <c r="B1512" t="s">
        <v>3075</v>
      </c>
      <c r="C1512" t="s">
        <v>8</v>
      </c>
      <c r="D1512">
        <v>5.1689999999999996</v>
      </c>
      <c r="E1512" s="4">
        <v>1654</v>
      </c>
      <c r="F1512" t="str">
        <f>HYPERLINK("https://www.google.com/maps/search/?api=1&amp;query=24.51705063,46.68465337", "View Map")</f>
        <v>View Map</v>
      </c>
      <c r="G1512" s="2">
        <v>0.43278745468471302</v>
      </c>
    </row>
    <row r="1513" spans="1:7" x14ac:dyDescent="0.3">
      <c r="A1513" t="s">
        <v>3345</v>
      </c>
      <c r="B1513" t="s">
        <v>3346</v>
      </c>
      <c r="C1513" t="s">
        <v>21</v>
      </c>
      <c r="D1513">
        <v>5.1669999999999998</v>
      </c>
      <c r="E1513" s="4">
        <v>1654</v>
      </c>
      <c r="F1513" t="str">
        <f>HYPERLINK("https://www.google.com/maps/search/?api=1&amp;query=26.31639593,44.81199981", "View Map")</f>
        <v>View Map</v>
      </c>
      <c r="G1513" s="2">
        <v>0.76566254827545455</v>
      </c>
    </row>
    <row r="1514" spans="1:7" x14ac:dyDescent="0.3">
      <c r="A1514" t="s">
        <v>3877</v>
      </c>
      <c r="B1514" t="s">
        <v>3878</v>
      </c>
      <c r="C1514" t="s">
        <v>214</v>
      </c>
      <c r="D1514">
        <v>5.1639999999999997</v>
      </c>
      <c r="E1514" s="4">
        <v>1652</v>
      </c>
      <c r="F1514" t="str">
        <f>HYPERLINK("https://www.google.com/maps/search/?api=1&amp;query=25.90815276,45.36064766", "View Map")</f>
        <v>View Map</v>
      </c>
      <c r="G1514" s="2">
        <v>0.79388249799889821</v>
      </c>
    </row>
    <row r="1515" spans="1:7" x14ac:dyDescent="0.3">
      <c r="A1515" t="s">
        <v>3174</v>
      </c>
      <c r="B1515" t="s">
        <v>3175</v>
      </c>
      <c r="C1515" t="s">
        <v>214</v>
      </c>
      <c r="D1515">
        <v>5.1630000000000003</v>
      </c>
      <c r="E1515" s="4">
        <v>1652</v>
      </c>
      <c r="F1515" t="str">
        <f>HYPERLINK("https://www.google.com/maps/search/?api=1&amp;query=26.48591391,45.3423921", "View Map")</f>
        <v>View Map</v>
      </c>
      <c r="G1515" s="2">
        <v>0.77391346474619793</v>
      </c>
    </row>
    <row r="1516" spans="1:7" x14ac:dyDescent="0.3">
      <c r="A1516" t="s">
        <v>2835</v>
      </c>
      <c r="B1516" t="s">
        <v>2836</v>
      </c>
      <c r="C1516" t="s">
        <v>8</v>
      </c>
      <c r="D1516">
        <v>5.1619999999999999</v>
      </c>
      <c r="E1516" s="4">
        <v>1652</v>
      </c>
      <c r="F1516" t="str">
        <f>HYPERLINK("https://www.google.com/maps/search/?api=1&amp;query=24.7740432,46.6345697", "View Map")</f>
        <v>View Map</v>
      </c>
    </row>
    <row r="1517" spans="1:7" x14ac:dyDescent="0.3">
      <c r="A1517" t="s">
        <v>4604</v>
      </c>
      <c r="B1517" t="s">
        <v>4605</v>
      </c>
      <c r="C1517" t="s">
        <v>8</v>
      </c>
      <c r="D1517">
        <v>5.1609999999999996</v>
      </c>
      <c r="E1517" s="4">
        <v>1652</v>
      </c>
      <c r="F1517" t="str">
        <f>HYPERLINK("https://www.google.com/maps/search/?api=1&amp;query=24.6351631,46.70024726", "View Map")</f>
        <v>View Map</v>
      </c>
    </row>
    <row r="1518" spans="1:7" x14ac:dyDescent="0.3">
      <c r="A1518" t="s">
        <v>2369</v>
      </c>
      <c r="B1518" t="s">
        <v>2370</v>
      </c>
      <c r="C1518" t="s">
        <v>8</v>
      </c>
      <c r="D1518">
        <v>5.16</v>
      </c>
      <c r="E1518" s="4">
        <v>1651</v>
      </c>
      <c r="F1518" t="str">
        <f>HYPERLINK("https://www.google.com/maps/search/?api=1&amp;query=24.75424432,46.66459586", "View Map")</f>
        <v>View Map</v>
      </c>
    </row>
    <row r="1519" spans="1:7" x14ac:dyDescent="0.3">
      <c r="A1519" t="s">
        <v>2545</v>
      </c>
      <c r="B1519" t="s">
        <v>4134</v>
      </c>
      <c r="C1519" t="s">
        <v>8</v>
      </c>
      <c r="D1519">
        <v>5.1589999999999998</v>
      </c>
      <c r="E1519" s="4">
        <v>1651</v>
      </c>
      <c r="F1519" t="str">
        <f>HYPERLINK("https://www.google.com/maps/search/?api=1&amp;query=24.54777887,46.69217869", "View Map")</f>
        <v>View Map</v>
      </c>
      <c r="G1519" s="2">
        <v>0.48679450164698462</v>
      </c>
    </row>
    <row r="1520" spans="1:7" x14ac:dyDescent="0.3">
      <c r="A1520" t="s">
        <v>3900</v>
      </c>
      <c r="B1520" t="s">
        <v>3901</v>
      </c>
      <c r="C1520" t="s">
        <v>77</v>
      </c>
      <c r="D1520">
        <v>5.1559999999999997</v>
      </c>
      <c r="E1520" s="4">
        <v>1650</v>
      </c>
      <c r="F1520" t="str">
        <f>HYPERLINK("https://www.google.com/maps/search/?api=1&amp;query=22.20504793,46.68610139", "View Map")</f>
        <v>View Map</v>
      </c>
      <c r="G1520" s="2">
        <v>0.68696212159744408</v>
      </c>
    </row>
    <row r="1521" spans="1:7" x14ac:dyDescent="0.3">
      <c r="A1521" t="s">
        <v>3443</v>
      </c>
      <c r="B1521" t="s">
        <v>3444</v>
      </c>
      <c r="C1521" t="s">
        <v>8</v>
      </c>
      <c r="D1521">
        <v>5.1520000000000001</v>
      </c>
      <c r="E1521" s="4">
        <v>1649</v>
      </c>
      <c r="F1521" t="str">
        <f>HYPERLINK("https://www.google.com/maps/search/?api=1&amp;query=24.57467219,46.7800645", "View Map")</f>
        <v>View Map</v>
      </c>
    </row>
    <row r="1522" spans="1:7" x14ac:dyDescent="0.3">
      <c r="A1522" t="s">
        <v>46</v>
      </c>
      <c r="B1522" t="s">
        <v>4452</v>
      </c>
      <c r="C1522" t="s">
        <v>820</v>
      </c>
      <c r="D1522">
        <v>5.1509999999999998</v>
      </c>
      <c r="E1522" s="4">
        <v>1648</v>
      </c>
      <c r="F1522" t="str">
        <f>HYPERLINK("https://www.google.com/maps/search/?api=1&amp;query=0.0,0.0", "View Map")</f>
        <v>View Map</v>
      </c>
      <c r="G1522" s="2">
        <v>0.42501156623972652</v>
      </c>
    </row>
    <row r="1523" spans="1:7" x14ac:dyDescent="0.3">
      <c r="A1523" t="s">
        <v>46</v>
      </c>
      <c r="B1523" t="s">
        <v>2225</v>
      </c>
      <c r="C1523" t="s">
        <v>8</v>
      </c>
      <c r="D1523">
        <v>5.149</v>
      </c>
      <c r="E1523" s="4">
        <v>1648</v>
      </c>
      <c r="F1523" t="str">
        <f>HYPERLINK("https://www.google.com/maps/search/?api=1&amp;query=24.7973959,46.70690553", "View Map")</f>
        <v>View Map</v>
      </c>
    </row>
    <row r="1524" spans="1:7" x14ac:dyDescent="0.3">
      <c r="A1524" t="s">
        <v>3278</v>
      </c>
      <c r="B1524" t="s">
        <v>3279</v>
      </c>
      <c r="C1524" t="s">
        <v>393</v>
      </c>
      <c r="D1524">
        <v>5.149</v>
      </c>
      <c r="E1524" s="4">
        <v>1648</v>
      </c>
      <c r="F1524" t="str">
        <f>HYPERLINK("https://www.google.com/maps/search/?api=1&amp;query=22.6545339,44.78875066", "View Map")</f>
        <v>View Map</v>
      </c>
      <c r="G1524" s="2">
        <v>0.99301058032767064</v>
      </c>
    </row>
    <row r="1525" spans="1:7" x14ac:dyDescent="0.3">
      <c r="A1525" t="s">
        <v>4309</v>
      </c>
      <c r="B1525" t="s">
        <v>4310</v>
      </c>
      <c r="C1525" t="s">
        <v>30</v>
      </c>
      <c r="D1525">
        <v>5.1459999999999999</v>
      </c>
      <c r="E1525" s="4">
        <v>1647</v>
      </c>
      <c r="F1525" t="str">
        <f>HYPERLINK("https://www.google.com/maps/search/?api=1&amp;query=24.13966574,47.29476011", "View Map")</f>
        <v>View Map</v>
      </c>
      <c r="G1525" s="2">
        <v>0.58270838761870813</v>
      </c>
    </row>
    <row r="1526" spans="1:7" x14ac:dyDescent="0.3">
      <c r="A1526" t="s">
        <v>2532</v>
      </c>
      <c r="B1526" t="s">
        <v>2533</v>
      </c>
      <c r="C1526" t="s">
        <v>8</v>
      </c>
      <c r="D1526">
        <v>5.1420000000000003</v>
      </c>
      <c r="E1526" s="4">
        <v>1646</v>
      </c>
      <c r="F1526" t="str">
        <f>HYPERLINK("https://www.google.com/maps/search/?api=1&amp;query=24.67065671,46.80566227", "View Map")</f>
        <v>View Map</v>
      </c>
    </row>
    <row r="1527" spans="1:7" x14ac:dyDescent="0.3">
      <c r="A1527" t="s">
        <v>6191</v>
      </c>
      <c r="B1527" t="s">
        <v>6192</v>
      </c>
      <c r="C1527" t="s">
        <v>8</v>
      </c>
      <c r="D1527">
        <v>5.1379999999999999</v>
      </c>
      <c r="E1527" s="4">
        <v>1644</v>
      </c>
      <c r="F1527" t="str">
        <f>HYPERLINK("https://www.google.com/maps/search/?api=1&amp;query=24.63682109,46.55753926", "View Map")</f>
        <v>View Map</v>
      </c>
    </row>
    <row r="1528" spans="1:7" x14ac:dyDescent="0.3">
      <c r="A1528" t="s">
        <v>2492</v>
      </c>
      <c r="B1528" t="s">
        <v>2493</v>
      </c>
      <c r="C1528" t="s">
        <v>8</v>
      </c>
      <c r="D1528">
        <v>5.1360000000000001</v>
      </c>
      <c r="E1528" s="4">
        <v>1644</v>
      </c>
      <c r="F1528" t="str">
        <f>HYPERLINK("https://www.google.com/maps/search/?api=1&amp;query=24.57215663,46.58360309", "View Map")</f>
        <v>View Map</v>
      </c>
    </row>
    <row r="1529" spans="1:7" x14ac:dyDescent="0.3">
      <c r="A1529" t="s">
        <v>3389</v>
      </c>
      <c r="B1529" t="s">
        <v>3390</v>
      </c>
      <c r="C1529" t="s">
        <v>8</v>
      </c>
      <c r="D1529">
        <v>5.1319999999999997</v>
      </c>
      <c r="E1529" s="4">
        <v>1642</v>
      </c>
      <c r="F1529" t="str">
        <f>HYPERLINK("https://www.google.com/maps/search/?api=1&amp;query=24.59597271,46.76104792", "View Map")</f>
        <v>View Map</v>
      </c>
    </row>
    <row r="1530" spans="1:7" x14ac:dyDescent="0.3">
      <c r="A1530" t="s">
        <v>3396</v>
      </c>
      <c r="B1530" t="s">
        <v>3397</v>
      </c>
      <c r="C1530" t="s">
        <v>8</v>
      </c>
      <c r="D1530">
        <v>5.1289999999999996</v>
      </c>
      <c r="E1530" s="4">
        <v>1641</v>
      </c>
      <c r="F1530" t="str">
        <f>HYPERLINK("https://www.google.com/maps/search/?api=1&amp;query=24.78285317,46.63830256", "View Map")</f>
        <v>View Map</v>
      </c>
      <c r="G1530" s="2">
        <v>0.62625545539021177</v>
      </c>
    </row>
    <row r="1531" spans="1:7" x14ac:dyDescent="0.3">
      <c r="A1531" t="s">
        <v>1012</v>
      </c>
      <c r="B1531" t="s">
        <v>1013</v>
      </c>
      <c r="C1531" t="s">
        <v>8</v>
      </c>
      <c r="D1531">
        <v>5.1269999999999998</v>
      </c>
      <c r="E1531" s="4">
        <v>1641</v>
      </c>
      <c r="F1531" t="str">
        <f>HYPERLINK("https://www.google.com/maps/search/?api=1&amp;query=24.67867249,46.79019099", "View Map")</f>
        <v>View Map</v>
      </c>
      <c r="G1531" s="2">
        <v>0.30556617294426303</v>
      </c>
    </row>
    <row r="1532" spans="1:7" x14ac:dyDescent="0.3">
      <c r="A1532" t="s">
        <v>3009</v>
      </c>
      <c r="B1532" t="s">
        <v>3010</v>
      </c>
      <c r="C1532" t="s">
        <v>30</v>
      </c>
      <c r="D1532">
        <v>5.1260000000000003</v>
      </c>
      <c r="E1532" s="4">
        <v>1640</v>
      </c>
      <c r="F1532" t="str">
        <f>HYPERLINK("https://www.google.com/maps/search/?api=1&amp;query=24.19154391,47.2902271", "View Map")</f>
        <v>View Map</v>
      </c>
      <c r="G1532" s="2">
        <v>0.63283419011038389</v>
      </c>
    </row>
    <row r="1533" spans="1:7" x14ac:dyDescent="0.3">
      <c r="A1533" t="s">
        <v>146</v>
      </c>
      <c r="B1533" t="s">
        <v>4641</v>
      </c>
      <c r="C1533" t="s">
        <v>8</v>
      </c>
      <c r="D1533">
        <v>5.1239999999999997</v>
      </c>
      <c r="E1533" s="4">
        <v>1640</v>
      </c>
      <c r="F1533" t="str">
        <f>HYPERLINK("https://www.google.com/maps/search/?api=1&amp;query=24.68303487,46.57086891", "View Map")</f>
        <v>View Map</v>
      </c>
    </row>
    <row r="1534" spans="1:7" x14ac:dyDescent="0.3">
      <c r="A1534" t="s">
        <v>46</v>
      </c>
      <c r="B1534" t="s">
        <v>4262</v>
      </c>
      <c r="C1534" t="s">
        <v>8</v>
      </c>
      <c r="D1534">
        <v>5.1239999999999997</v>
      </c>
      <c r="E1534" s="4">
        <v>1640</v>
      </c>
      <c r="F1534" t="str">
        <f>HYPERLINK("https://www.google.com/maps/search/?api=1&amp;query=24.64570349,46.77105869", "View Map")</f>
        <v>View Map</v>
      </c>
    </row>
    <row r="1535" spans="1:7" x14ac:dyDescent="0.3">
      <c r="A1535" t="s">
        <v>9848</v>
      </c>
      <c r="B1535" t="s">
        <v>9849</v>
      </c>
      <c r="C1535" t="s">
        <v>8</v>
      </c>
      <c r="D1535">
        <v>5.1210000000000004</v>
      </c>
      <c r="E1535" s="4">
        <v>1639</v>
      </c>
      <c r="F1535" t="str">
        <f>HYPERLINK("https://www.google.com/maps/search/?api=1&amp;query=24.63267259,46.59960982", "View Map")</f>
        <v>View Map</v>
      </c>
    </row>
    <row r="1536" spans="1:7" x14ac:dyDescent="0.3">
      <c r="A1536" t="s">
        <v>46</v>
      </c>
      <c r="B1536" t="s">
        <v>1191</v>
      </c>
      <c r="C1536" t="s">
        <v>8</v>
      </c>
      <c r="D1536">
        <v>5.12</v>
      </c>
      <c r="E1536" s="4">
        <v>1638</v>
      </c>
      <c r="F1536" t="str">
        <f>HYPERLINK("https://www.google.com/maps/search/?api=1&amp;query=24.8756,46.6261", "View Map")</f>
        <v>View Map</v>
      </c>
      <c r="G1536" s="2">
        <v>0.24386477562690109</v>
      </c>
    </row>
    <row r="1537" spans="1:7" x14ac:dyDescent="0.3">
      <c r="A1537" t="s">
        <v>146</v>
      </c>
      <c r="B1537" t="s">
        <v>4558</v>
      </c>
      <c r="C1537" t="s">
        <v>8</v>
      </c>
      <c r="D1537">
        <v>5.1150000000000002</v>
      </c>
      <c r="E1537" s="4">
        <v>1637</v>
      </c>
      <c r="F1537" t="str">
        <f>HYPERLINK("https://www.google.com/maps/search/?api=1&amp;query=24.55400993,46.57070032", "View Map")</f>
        <v>View Map</v>
      </c>
    </row>
    <row r="1538" spans="1:7" x14ac:dyDescent="0.3">
      <c r="A1538" t="s">
        <v>3276</v>
      </c>
      <c r="B1538" t="s">
        <v>3277</v>
      </c>
      <c r="C1538" t="s">
        <v>738</v>
      </c>
      <c r="D1538">
        <v>5.1130000000000004</v>
      </c>
      <c r="E1538" s="4">
        <v>1636</v>
      </c>
      <c r="F1538" t="str">
        <f>HYPERLINK("https://www.google.com/maps/search/?api=1&amp;query=25.16733503,46.33427591", "View Map")</f>
        <v>View Map</v>
      </c>
    </row>
    <row r="1539" spans="1:7" x14ac:dyDescent="0.3">
      <c r="A1539" t="s">
        <v>146</v>
      </c>
      <c r="B1539" t="s">
        <v>3775</v>
      </c>
      <c r="C1539" t="s">
        <v>8</v>
      </c>
      <c r="D1539">
        <v>5.1130000000000004</v>
      </c>
      <c r="E1539" s="4">
        <v>1636</v>
      </c>
      <c r="F1539" t="str">
        <f>HYPERLINK("https://www.google.com/maps/search/?api=1&amp;query=24.54924496,46.49689065", "View Map")</f>
        <v>View Map</v>
      </c>
      <c r="G1539" s="2">
        <v>0.46089797467187271</v>
      </c>
    </row>
    <row r="1540" spans="1:7" x14ac:dyDescent="0.3">
      <c r="A1540" t="s">
        <v>1826</v>
      </c>
      <c r="B1540" t="s">
        <v>1827</v>
      </c>
      <c r="C1540" t="s">
        <v>286</v>
      </c>
      <c r="D1540">
        <v>5.1130000000000004</v>
      </c>
      <c r="E1540" s="4">
        <v>1636</v>
      </c>
      <c r="F1540" t="str">
        <f>HYPERLINK("https://www.google.com/maps/search/?api=1&amp;query=25.22149373,45.28953409", "View Map")</f>
        <v>View Map</v>
      </c>
    </row>
    <row r="1541" spans="1:7" x14ac:dyDescent="0.3">
      <c r="A1541" t="s">
        <v>11325</v>
      </c>
      <c r="B1541" t="s">
        <v>11326</v>
      </c>
      <c r="C1541" t="s">
        <v>8</v>
      </c>
      <c r="D1541">
        <v>5.1120000000000001</v>
      </c>
      <c r="E1541" s="4">
        <v>1636</v>
      </c>
      <c r="F1541" t="str">
        <f>HYPERLINK("https://www.google.com/maps/search/?api=1&amp;query=24.5912307,46.54045824", "View Map")</f>
        <v>View Map</v>
      </c>
      <c r="G1541" s="2">
        <v>0.41714224288063823</v>
      </c>
    </row>
    <row r="1542" spans="1:7" x14ac:dyDescent="0.3">
      <c r="A1542" t="s">
        <v>8711</v>
      </c>
      <c r="B1542" t="s">
        <v>8712</v>
      </c>
      <c r="C1542" t="s">
        <v>8</v>
      </c>
      <c r="D1542">
        <v>5.1109999999999998</v>
      </c>
      <c r="E1542" s="4">
        <v>1636</v>
      </c>
      <c r="F1542" t="str">
        <f>HYPERLINK("https://www.google.com/maps/search/?api=1&amp;query=24.64150331,46.75531957", "View Map")</f>
        <v>View Map</v>
      </c>
    </row>
    <row r="1543" spans="1:7" x14ac:dyDescent="0.3">
      <c r="A1543" t="s">
        <v>2857</v>
      </c>
      <c r="B1543" t="s">
        <v>2858</v>
      </c>
      <c r="C1543" t="s">
        <v>8</v>
      </c>
      <c r="D1543">
        <v>5.1109999999999998</v>
      </c>
      <c r="E1543" s="4">
        <v>1636</v>
      </c>
      <c r="F1543" t="str">
        <f>HYPERLINK("https://www.google.com/maps/search/?api=1&amp;query=24.81095782,46.66806303", "View Map")</f>
        <v>View Map</v>
      </c>
    </row>
    <row r="1544" spans="1:7" x14ac:dyDescent="0.3">
      <c r="A1544" t="s">
        <v>3313</v>
      </c>
      <c r="B1544" t="s">
        <v>3314</v>
      </c>
      <c r="C1544" t="s">
        <v>8</v>
      </c>
      <c r="D1544">
        <v>5.1100000000000003</v>
      </c>
      <c r="E1544" s="4">
        <v>1635</v>
      </c>
      <c r="F1544" t="str">
        <f>HYPERLINK("https://www.google.com/maps/search/?api=1&amp;query=24.76813,46.653602", "View Map")</f>
        <v>View Map</v>
      </c>
    </row>
    <row r="1545" spans="1:7" x14ac:dyDescent="0.3">
      <c r="A1545" t="s">
        <v>3052</v>
      </c>
      <c r="B1545" t="s">
        <v>3053</v>
      </c>
      <c r="C1545" t="s">
        <v>8</v>
      </c>
      <c r="D1545">
        <v>5.1070000000000002</v>
      </c>
      <c r="E1545" s="4">
        <v>1634</v>
      </c>
      <c r="F1545" t="str">
        <f>HYPERLINK("https://www.google.com/maps/search/?api=1&amp;query=24.63588831,46.71842114", "View Map")</f>
        <v>View Map</v>
      </c>
    </row>
    <row r="1546" spans="1:7" x14ac:dyDescent="0.3">
      <c r="A1546" t="s">
        <v>150</v>
      </c>
      <c r="B1546" t="s">
        <v>3922</v>
      </c>
      <c r="C1546" t="s">
        <v>8</v>
      </c>
      <c r="D1546">
        <v>5.1050000000000004</v>
      </c>
      <c r="E1546" s="4">
        <v>1634</v>
      </c>
      <c r="F1546" t="str">
        <f>HYPERLINK("https://www.google.com/maps/search/?api=1&amp;query=24.82300202,46.72642484", "View Map")</f>
        <v>View Map</v>
      </c>
    </row>
    <row r="1547" spans="1:7" x14ac:dyDescent="0.3">
      <c r="A1547" t="s">
        <v>5318</v>
      </c>
      <c r="B1547" t="s">
        <v>5319</v>
      </c>
      <c r="C1547" t="s">
        <v>8</v>
      </c>
      <c r="D1547">
        <v>5.1020000000000003</v>
      </c>
      <c r="E1547" s="4">
        <v>1633</v>
      </c>
      <c r="F1547" t="str">
        <f>HYPERLINK("https://www.google.com/maps/search/?api=1&amp;query=24.66087039,46.82038991", "View Map")</f>
        <v>View Map</v>
      </c>
    </row>
    <row r="1548" spans="1:7" x14ac:dyDescent="0.3">
      <c r="A1548" t="s">
        <v>6847</v>
      </c>
      <c r="B1548" t="s">
        <v>6848</v>
      </c>
      <c r="C1548" t="s">
        <v>8</v>
      </c>
      <c r="D1548">
        <v>5.0999999999999996</v>
      </c>
      <c r="E1548" s="4">
        <v>1632</v>
      </c>
      <c r="F1548" t="str">
        <f>HYPERLINK("https://www.google.com/maps/search/?api=1&amp;query=24.5363744,46.64409573", "View Map")</f>
        <v>View Map</v>
      </c>
    </row>
    <row r="1549" spans="1:7" x14ac:dyDescent="0.3">
      <c r="A1549" t="s">
        <v>3178</v>
      </c>
      <c r="B1549" t="s">
        <v>3179</v>
      </c>
      <c r="C1549" t="s">
        <v>255</v>
      </c>
      <c r="D1549">
        <v>5.0979999999999999</v>
      </c>
      <c r="E1549" s="4">
        <v>1631</v>
      </c>
      <c r="F1549" t="str">
        <f>HYPERLINK("https://www.google.com/maps/search/?api=1&amp;query=25.10616019,44.67717816", "View Map")</f>
        <v>View Map</v>
      </c>
      <c r="G1549" s="2">
        <v>0.80549807611761048</v>
      </c>
    </row>
    <row r="1550" spans="1:7" x14ac:dyDescent="0.3">
      <c r="A1550" t="s">
        <v>150</v>
      </c>
      <c r="B1550" t="s">
        <v>10818</v>
      </c>
      <c r="C1550" t="s">
        <v>8</v>
      </c>
      <c r="D1550">
        <v>5.0979999999999999</v>
      </c>
      <c r="E1550" s="4">
        <v>1631</v>
      </c>
      <c r="F1550" t="str">
        <f>HYPERLINK("https://www.google.com/maps/search/?api=1&amp;query=24.83337502,46.75770409", "View Map")</f>
        <v>View Map</v>
      </c>
    </row>
    <row r="1551" spans="1:7" x14ac:dyDescent="0.3">
      <c r="A1551" t="s">
        <v>1217</v>
      </c>
      <c r="B1551" t="s">
        <v>1218</v>
      </c>
      <c r="C1551" t="s">
        <v>8</v>
      </c>
      <c r="D1551">
        <v>5.0960000000000001</v>
      </c>
      <c r="E1551" s="4">
        <v>1631</v>
      </c>
      <c r="F1551" t="str">
        <f>HYPERLINK("https://www.google.com/maps/search/?api=1&amp;query=24.71676687,46.83745102", "View Map")</f>
        <v>View Map</v>
      </c>
      <c r="G1551" s="2">
        <v>0.35848755548593192</v>
      </c>
    </row>
    <row r="1552" spans="1:7" x14ac:dyDescent="0.3">
      <c r="A1552" t="s">
        <v>510</v>
      </c>
      <c r="B1552" t="s">
        <v>4765</v>
      </c>
      <c r="C1552" t="s">
        <v>393</v>
      </c>
      <c r="D1552">
        <v>5.0940000000000003</v>
      </c>
      <c r="E1552" s="4">
        <v>1630</v>
      </c>
      <c r="F1552" t="str">
        <f>HYPERLINK("https://www.google.com/maps/search/?api=1&amp;query=22.79358294,45.16866691", "View Map")</f>
        <v>View Map</v>
      </c>
      <c r="G1552" s="2">
        <v>0.98620808187030373</v>
      </c>
    </row>
    <row r="1553" spans="1:7" x14ac:dyDescent="0.3">
      <c r="A1553" t="s">
        <v>146</v>
      </c>
      <c r="B1553" t="s">
        <v>3425</v>
      </c>
      <c r="C1553" t="s">
        <v>8</v>
      </c>
      <c r="D1553">
        <v>5.093</v>
      </c>
      <c r="E1553" s="4">
        <v>1630</v>
      </c>
      <c r="F1553" t="str">
        <f>HYPERLINK("https://www.google.com/maps/search/?api=1&amp;query=24.68195315,46.57841689", "View Map")</f>
        <v>View Map</v>
      </c>
      <c r="G1553" s="2">
        <v>0.83662015709481996</v>
      </c>
    </row>
    <row r="1554" spans="1:7" x14ac:dyDescent="0.3">
      <c r="A1554" t="s">
        <v>3831</v>
      </c>
      <c r="B1554" t="s">
        <v>3832</v>
      </c>
      <c r="C1554" t="s">
        <v>8</v>
      </c>
      <c r="D1554">
        <v>5.0919999999999996</v>
      </c>
      <c r="E1554" s="4">
        <v>1630</v>
      </c>
      <c r="F1554" t="str">
        <f>HYPERLINK("https://www.google.com/maps/search/?api=1&amp;query=24.67528726,46.58276208", "View Map")</f>
        <v>View Map</v>
      </c>
    </row>
    <row r="1555" spans="1:7" x14ac:dyDescent="0.3">
      <c r="A1555" t="s">
        <v>2773</v>
      </c>
      <c r="B1555" t="s">
        <v>2774</v>
      </c>
      <c r="C1555" t="s">
        <v>466</v>
      </c>
      <c r="D1555">
        <v>5.0919999999999996</v>
      </c>
      <c r="E1555" s="4">
        <v>1630</v>
      </c>
      <c r="F1555" t="str">
        <f>HYPERLINK("https://www.google.com/maps/search/?api=1&amp;query=24.53325093,46.13602671", "View Map")</f>
        <v>View Map</v>
      </c>
      <c r="G1555" s="2">
        <v>0.74764213273473157</v>
      </c>
    </row>
    <row r="1556" spans="1:7" x14ac:dyDescent="0.3">
      <c r="A1556" t="s">
        <v>2941</v>
      </c>
      <c r="B1556" t="s">
        <v>2942</v>
      </c>
      <c r="C1556" t="s">
        <v>291</v>
      </c>
      <c r="D1556">
        <v>5.0880000000000001</v>
      </c>
      <c r="E1556" s="4">
        <v>1628</v>
      </c>
      <c r="F1556" t="str">
        <f>HYPERLINK("https://www.google.com/maps/search/?api=1&amp;query=24.38654875,45.57332201", "View Map")</f>
        <v>View Map</v>
      </c>
      <c r="G1556" s="2">
        <v>0.8298763807888847</v>
      </c>
    </row>
    <row r="1557" spans="1:7" x14ac:dyDescent="0.3">
      <c r="A1557" t="s">
        <v>11327</v>
      </c>
      <c r="B1557" t="s">
        <v>11328</v>
      </c>
      <c r="C1557" t="s">
        <v>8</v>
      </c>
      <c r="D1557">
        <v>5.0880000000000001</v>
      </c>
      <c r="E1557" s="4">
        <v>1628</v>
      </c>
      <c r="F1557" t="str">
        <f>HYPERLINK("https://www.google.com/maps/search/?api=1&amp;query=24.6486736,46.76319581", "View Map")</f>
        <v>View Map</v>
      </c>
      <c r="G1557" s="2">
        <v>0.60445858848005829</v>
      </c>
    </row>
    <row r="1558" spans="1:7" x14ac:dyDescent="0.3">
      <c r="A1558" t="s">
        <v>2162</v>
      </c>
      <c r="B1558" t="s">
        <v>2163</v>
      </c>
      <c r="C1558" t="s">
        <v>8</v>
      </c>
      <c r="D1558">
        <v>5.0880000000000001</v>
      </c>
      <c r="E1558" s="4">
        <v>1628</v>
      </c>
      <c r="F1558" t="str">
        <f>HYPERLINK("https://www.google.com/maps/search/?api=1&amp;query=24.75824694,46.60633316", "View Map")</f>
        <v>View Map</v>
      </c>
    </row>
    <row r="1559" spans="1:7" x14ac:dyDescent="0.3">
      <c r="A1559" t="s">
        <v>2467</v>
      </c>
      <c r="B1559" t="s">
        <v>2468</v>
      </c>
      <c r="C1559" t="s">
        <v>646</v>
      </c>
      <c r="D1559">
        <v>5.0860000000000003</v>
      </c>
      <c r="E1559" s="4">
        <v>1627</v>
      </c>
      <c r="F1559" t="str">
        <f>HYPERLINK("https://www.google.com/maps/search/?api=1&amp;query=20.44686468,45.19487975", "View Map")</f>
        <v>View Map</v>
      </c>
      <c r="G1559" s="2">
        <v>0.73551648798403479</v>
      </c>
    </row>
    <row r="1560" spans="1:7" x14ac:dyDescent="0.3">
      <c r="A1560" t="s">
        <v>2859</v>
      </c>
      <c r="B1560" t="s">
        <v>2860</v>
      </c>
      <c r="C1560" t="s">
        <v>8</v>
      </c>
      <c r="D1560">
        <v>5.08</v>
      </c>
      <c r="E1560" s="4">
        <v>1626</v>
      </c>
      <c r="F1560" t="str">
        <f>HYPERLINK("https://www.google.com/maps/search/?api=1&amp;query=24.60629086,46.74003516", "View Map")</f>
        <v>View Map</v>
      </c>
    </row>
    <row r="1561" spans="1:7" x14ac:dyDescent="0.3">
      <c r="A1561" t="s">
        <v>2316</v>
      </c>
      <c r="B1561" t="s">
        <v>2317</v>
      </c>
      <c r="C1561" t="s">
        <v>1112</v>
      </c>
      <c r="D1561">
        <v>5.077</v>
      </c>
      <c r="E1561" s="4">
        <v>1625</v>
      </c>
      <c r="F1561" t="str">
        <f>HYPERLINK("https://www.google.com/maps/search/?api=1&amp;query=26.02870003,44.9567723", "View Map")</f>
        <v>View Map</v>
      </c>
      <c r="G1561" s="2">
        <v>0.52240695570172091</v>
      </c>
    </row>
    <row r="1562" spans="1:7" x14ac:dyDescent="0.3">
      <c r="A1562" t="s">
        <v>150</v>
      </c>
      <c r="B1562" t="s">
        <v>1405</v>
      </c>
      <c r="C1562" t="s">
        <v>8</v>
      </c>
      <c r="D1562">
        <v>5.0730000000000004</v>
      </c>
      <c r="E1562" s="4">
        <v>1623</v>
      </c>
      <c r="F1562" t="str">
        <f>HYPERLINK("https://www.google.com/maps/search/?api=1&amp;query=24.80862069,46.87011952", "View Map")</f>
        <v>View Map</v>
      </c>
      <c r="G1562" s="2">
        <v>0.33243286791249832</v>
      </c>
    </row>
    <row r="1563" spans="1:7" x14ac:dyDescent="0.3">
      <c r="A1563" t="s">
        <v>196</v>
      </c>
      <c r="B1563" t="s">
        <v>246</v>
      </c>
      <c r="C1563" t="s">
        <v>8</v>
      </c>
      <c r="D1563">
        <v>5.07</v>
      </c>
      <c r="E1563" s="4">
        <v>1622</v>
      </c>
      <c r="F1563" t="str">
        <f>HYPERLINK("https://www.google.com/maps/search/?api=1&amp;query=24.80349,46.80487", "View Map")</f>
        <v>View Map</v>
      </c>
      <c r="G1563" s="2">
        <v>0.14871416016796099</v>
      </c>
    </row>
    <row r="1564" spans="1:7" x14ac:dyDescent="0.3">
      <c r="A1564" t="s">
        <v>3735</v>
      </c>
      <c r="B1564" t="s">
        <v>4201</v>
      </c>
      <c r="C1564" t="s">
        <v>255</v>
      </c>
      <c r="D1564">
        <v>5.069</v>
      </c>
      <c r="E1564" s="4">
        <v>1622</v>
      </c>
      <c r="F1564" t="str">
        <f>HYPERLINK("https://www.google.com/maps/search/?api=1&amp;query=25.20932453,44.59794706", "View Map")</f>
        <v>View Map</v>
      </c>
      <c r="G1564" s="2">
        <v>0.62463496927509454</v>
      </c>
    </row>
    <row r="1565" spans="1:7" x14ac:dyDescent="0.3">
      <c r="A1565" t="s">
        <v>46</v>
      </c>
      <c r="B1565" t="s">
        <v>3604</v>
      </c>
      <c r="C1565" t="s">
        <v>8</v>
      </c>
      <c r="D1565">
        <v>5.0640000000000001</v>
      </c>
      <c r="E1565" s="4">
        <v>1621</v>
      </c>
      <c r="F1565" t="str">
        <f>HYPERLINK("https://www.google.com/maps/search/?api=1&amp;query=24.92334319,46.82037301", "View Map")</f>
        <v>View Map</v>
      </c>
      <c r="G1565" s="2">
        <v>0.41897234648915987</v>
      </c>
    </row>
    <row r="1566" spans="1:7" x14ac:dyDescent="0.3">
      <c r="A1566" t="s">
        <v>3363</v>
      </c>
      <c r="B1566" t="s">
        <v>3364</v>
      </c>
      <c r="C1566" t="s">
        <v>738</v>
      </c>
      <c r="D1566">
        <v>5.0629999999999997</v>
      </c>
      <c r="E1566" s="4">
        <v>1620</v>
      </c>
      <c r="F1566" t="str">
        <f>HYPERLINK("https://www.google.com/maps/search/?api=1&amp;query=25.12030799,46.08747276", "View Map")</f>
        <v>View Map</v>
      </c>
      <c r="G1566" s="2">
        <v>0.73555476217070526</v>
      </c>
    </row>
    <row r="1567" spans="1:7" x14ac:dyDescent="0.3">
      <c r="A1567" t="s">
        <v>2417</v>
      </c>
      <c r="B1567" t="s">
        <v>2418</v>
      </c>
      <c r="C1567" t="s">
        <v>8</v>
      </c>
      <c r="D1567">
        <v>5.0609999999999999</v>
      </c>
      <c r="E1567" s="4">
        <v>1620</v>
      </c>
      <c r="F1567" t="str">
        <f>HYPERLINK("https://www.google.com/maps/search/?api=1&amp;query=24.78226,46.62534", "View Map")</f>
        <v>View Map</v>
      </c>
    </row>
    <row r="1568" spans="1:7" x14ac:dyDescent="0.3">
      <c r="A1568" t="s">
        <v>289</v>
      </c>
      <c r="B1568" t="s">
        <v>4288</v>
      </c>
      <c r="C1568" t="s">
        <v>291</v>
      </c>
      <c r="D1568">
        <v>5.0609999999999999</v>
      </c>
      <c r="E1568" s="4">
        <v>1619</v>
      </c>
      <c r="F1568" t="str">
        <f>HYPERLINK("https://www.google.com/maps/search/?api=1&amp;query=24.08784539,45.34351964", "View Map")</f>
        <v>View Map</v>
      </c>
      <c r="G1568" s="2">
        <v>0.59521474548060904</v>
      </c>
    </row>
    <row r="1569" spans="1:7" x14ac:dyDescent="0.3">
      <c r="A1569" t="s">
        <v>5681</v>
      </c>
      <c r="B1569" t="s">
        <v>5682</v>
      </c>
      <c r="C1569" t="s">
        <v>8</v>
      </c>
      <c r="D1569">
        <v>5.0599999999999996</v>
      </c>
      <c r="E1569" s="4">
        <v>1619</v>
      </c>
      <c r="F1569" t="str">
        <f>HYPERLINK("https://www.google.com/maps/search/?api=1&amp;query=24.57820219,46.58912509", "View Map")</f>
        <v>View Map</v>
      </c>
    </row>
    <row r="1570" spans="1:7" x14ac:dyDescent="0.3">
      <c r="A1570" t="s">
        <v>3840</v>
      </c>
      <c r="B1570" t="s">
        <v>3841</v>
      </c>
      <c r="C1570" t="s">
        <v>8</v>
      </c>
      <c r="D1570">
        <v>5.0549999999999997</v>
      </c>
      <c r="E1570" s="4">
        <v>1618</v>
      </c>
      <c r="F1570" t="str">
        <f>HYPERLINK("https://www.google.com/maps/search/?api=1&amp;query=24.59807471,46.66745211", "View Map")</f>
        <v>View Map</v>
      </c>
      <c r="G1570" s="2">
        <v>0.51821506907076509</v>
      </c>
    </row>
    <row r="1571" spans="1:7" x14ac:dyDescent="0.3">
      <c r="A1571" t="s">
        <v>73</v>
      </c>
      <c r="B1571" t="s">
        <v>1749</v>
      </c>
      <c r="C1571" t="s">
        <v>8</v>
      </c>
      <c r="D1571">
        <v>5.0540000000000003</v>
      </c>
      <c r="E1571" s="4">
        <v>1617</v>
      </c>
      <c r="F1571" t="str">
        <f>HYPERLINK("https://www.google.com/maps/search/?api=1&amp;query=24.62372231,46.51273174", "View Map")</f>
        <v>View Map</v>
      </c>
    </row>
    <row r="1572" spans="1:7" x14ac:dyDescent="0.3">
      <c r="A1572" t="s">
        <v>4926</v>
      </c>
      <c r="B1572" t="s">
        <v>4927</v>
      </c>
      <c r="C1572" t="s">
        <v>8</v>
      </c>
      <c r="D1572">
        <v>5.0519999999999996</v>
      </c>
      <c r="E1572" s="4">
        <v>1617</v>
      </c>
      <c r="F1572" t="str">
        <f>HYPERLINK("https://www.google.com/maps/search/?api=1&amp;query=24.7559137,46.69511064", "View Map")</f>
        <v>View Map</v>
      </c>
    </row>
    <row r="1573" spans="1:7" x14ac:dyDescent="0.3">
      <c r="A1573" t="s">
        <v>908</v>
      </c>
      <c r="B1573" t="s">
        <v>3076</v>
      </c>
      <c r="C1573" t="s">
        <v>8</v>
      </c>
      <c r="D1573">
        <v>5.0460000000000003</v>
      </c>
      <c r="E1573" s="4">
        <v>1615</v>
      </c>
      <c r="F1573" t="str">
        <f>HYPERLINK("https://www.google.com/maps/search/?api=1&amp;query=24.69129537,46.6507574", "View Map")</f>
        <v>View Map</v>
      </c>
    </row>
    <row r="1574" spans="1:7" x14ac:dyDescent="0.3">
      <c r="A1574" t="s">
        <v>150</v>
      </c>
      <c r="B1574" t="s">
        <v>2459</v>
      </c>
      <c r="C1574" t="s">
        <v>8</v>
      </c>
      <c r="D1574">
        <v>5.0419999999999998</v>
      </c>
      <c r="E1574" s="4">
        <v>1613</v>
      </c>
      <c r="F1574" t="str">
        <f>HYPERLINK("https://www.google.com/maps/search/?api=1&amp;query=24.81358583,46.78162619", "View Map")</f>
        <v>View Map</v>
      </c>
    </row>
    <row r="1575" spans="1:7" x14ac:dyDescent="0.3">
      <c r="A1575" t="s">
        <v>1439</v>
      </c>
      <c r="B1575" t="s">
        <v>1440</v>
      </c>
      <c r="C1575" t="s">
        <v>8</v>
      </c>
      <c r="D1575">
        <v>5.04</v>
      </c>
      <c r="E1575" s="4">
        <v>1613</v>
      </c>
      <c r="F1575" t="str">
        <f>HYPERLINK("https://www.google.com/maps/search/?api=1&amp;query=24.61657229,46.73618587", "View Map")</f>
        <v>View Map</v>
      </c>
    </row>
    <row r="1576" spans="1:7" x14ac:dyDescent="0.3">
      <c r="A1576" t="s">
        <v>4732</v>
      </c>
      <c r="B1576" t="s">
        <v>4733</v>
      </c>
      <c r="C1576" t="s">
        <v>21</v>
      </c>
      <c r="D1576">
        <v>5.0380000000000003</v>
      </c>
      <c r="E1576" s="4">
        <v>1612</v>
      </c>
      <c r="F1576" t="str">
        <f>HYPERLINK("https://www.google.com/maps/search/?api=1&amp;query=26.29270412,44.81956362", "View Map")</f>
        <v>View Map</v>
      </c>
      <c r="G1576" s="2">
        <v>0.78465366910732437</v>
      </c>
    </row>
    <row r="1577" spans="1:7" x14ac:dyDescent="0.3">
      <c r="A1577" t="s">
        <v>1349</v>
      </c>
      <c r="B1577" t="s">
        <v>3257</v>
      </c>
      <c r="C1577" t="s">
        <v>270</v>
      </c>
      <c r="D1577">
        <v>5.0359999999999996</v>
      </c>
      <c r="E1577" s="4">
        <v>1612</v>
      </c>
      <c r="F1577" t="str">
        <f>HYPERLINK("https://www.google.com/maps/search/?api=1&amp;query=23.99382088,47.11645642", "View Map")</f>
        <v>View Map</v>
      </c>
      <c r="G1577" s="2">
        <v>0.51972446868574873</v>
      </c>
    </row>
    <row r="1578" spans="1:7" x14ac:dyDescent="0.3">
      <c r="A1578" t="s">
        <v>46</v>
      </c>
      <c r="B1578" t="s">
        <v>4431</v>
      </c>
      <c r="C1578" t="s">
        <v>8</v>
      </c>
      <c r="D1578">
        <v>5.0330000000000004</v>
      </c>
      <c r="E1578" s="4">
        <v>1611</v>
      </c>
      <c r="F1578" t="str">
        <f>HYPERLINK("https://www.google.com/maps/search/?api=1&amp;query=24.79030918,46.58661777", "View Map")</f>
        <v>View Map</v>
      </c>
    </row>
    <row r="1579" spans="1:7" x14ac:dyDescent="0.3">
      <c r="A1579" t="s">
        <v>7708</v>
      </c>
      <c r="B1579" t="s">
        <v>7709</v>
      </c>
      <c r="C1579" t="s">
        <v>8</v>
      </c>
      <c r="D1579">
        <v>5.0330000000000004</v>
      </c>
      <c r="E1579" s="4">
        <v>1610</v>
      </c>
      <c r="F1579" t="str">
        <f>HYPERLINK("https://www.google.com/maps/search/?api=1&amp;query=24.80554309,46.63418568", "View Map")</f>
        <v>View Map</v>
      </c>
    </row>
    <row r="1580" spans="1:7" x14ac:dyDescent="0.3">
      <c r="A1580" t="s">
        <v>8789</v>
      </c>
      <c r="B1580" t="s">
        <v>8790</v>
      </c>
      <c r="C1580" t="s">
        <v>8</v>
      </c>
      <c r="D1580">
        <v>5.0309999999999997</v>
      </c>
      <c r="E1580" s="4">
        <v>1610</v>
      </c>
      <c r="F1580" t="str">
        <f>HYPERLINK("https://www.google.com/maps/search/?api=1&amp;query=24.67778147,46.79428715", "View Map")</f>
        <v>View Map</v>
      </c>
    </row>
    <row r="1581" spans="1:7" x14ac:dyDescent="0.3">
      <c r="A1581" t="s">
        <v>46</v>
      </c>
      <c r="B1581" t="s">
        <v>3297</v>
      </c>
      <c r="C1581" t="s">
        <v>8</v>
      </c>
      <c r="D1581">
        <v>5.0289999999999999</v>
      </c>
      <c r="E1581" s="4">
        <v>1609</v>
      </c>
      <c r="F1581" t="str">
        <f>HYPERLINK("https://www.google.com/maps/search/?api=1&amp;query=24.67955636,46.57896969", "View Map")</f>
        <v>View Map</v>
      </c>
    </row>
    <row r="1582" spans="1:7" x14ac:dyDescent="0.3">
      <c r="A1582" t="s">
        <v>4242</v>
      </c>
      <c r="B1582" t="s">
        <v>4243</v>
      </c>
      <c r="C1582" t="s">
        <v>8</v>
      </c>
      <c r="D1582">
        <v>5.0289999999999999</v>
      </c>
      <c r="E1582" s="4">
        <v>1609</v>
      </c>
      <c r="F1582" t="str">
        <f>HYPERLINK("https://www.google.com/maps/search/?api=1&amp;query=24.60056404,46.75534812", "View Map")</f>
        <v>View Map</v>
      </c>
    </row>
    <row r="1583" spans="1:7" x14ac:dyDescent="0.3">
      <c r="A1583" t="s">
        <v>5336</v>
      </c>
      <c r="B1583" t="s">
        <v>5337</v>
      </c>
      <c r="C1583" t="s">
        <v>137</v>
      </c>
      <c r="D1583">
        <v>5.0289999999999999</v>
      </c>
      <c r="E1583" s="4">
        <v>1609</v>
      </c>
      <c r="F1583" t="str">
        <f>HYPERLINK("https://www.google.com/maps/search/?api=1&amp;query=23.21718743,46.49033124", "View Map")</f>
        <v>View Map</v>
      </c>
      <c r="G1583" s="2">
        <v>0.95259313299441539</v>
      </c>
    </row>
    <row r="1584" spans="1:7" x14ac:dyDescent="0.3">
      <c r="A1584" t="s">
        <v>2945</v>
      </c>
      <c r="B1584" t="s">
        <v>2946</v>
      </c>
      <c r="C1584" t="s">
        <v>8</v>
      </c>
      <c r="D1584">
        <v>5.0270000000000001</v>
      </c>
      <c r="E1584" s="4">
        <v>1609</v>
      </c>
      <c r="F1584" t="str">
        <f>HYPERLINK("https://www.google.com/maps/search/?api=1&amp;query=24.67620514,46.82159739", "View Map")</f>
        <v>View Map</v>
      </c>
      <c r="G1584" s="2">
        <v>0.5452330700277539</v>
      </c>
    </row>
    <row r="1585" spans="1:7" x14ac:dyDescent="0.3">
      <c r="A1585" t="s">
        <v>2260</v>
      </c>
      <c r="B1585" t="s">
        <v>2261</v>
      </c>
      <c r="C1585" t="s">
        <v>8</v>
      </c>
      <c r="D1585">
        <v>5.0270000000000001</v>
      </c>
      <c r="E1585" s="4">
        <v>1609</v>
      </c>
      <c r="F1585" t="str">
        <f>HYPERLINK("https://www.google.com/maps/search/?api=1&amp;query=24.68479353,46.68288632", "View Map")</f>
        <v>View Map</v>
      </c>
      <c r="G1585" s="2">
        <v>0.43541635084479491</v>
      </c>
    </row>
    <row r="1586" spans="1:7" x14ac:dyDescent="0.3">
      <c r="A1586" t="s">
        <v>3681</v>
      </c>
      <c r="B1586" t="s">
        <v>3682</v>
      </c>
      <c r="C1586" t="s">
        <v>8</v>
      </c>
      <c r="D1586">
        <v>5.0229999999999997</v>
      </c>
      <c r="E1586" s="4">
        <v>1607</v>
      </c>
      <c r="F1586" t="str">
        <f>HYPERLINK("https://www.google.com/maps/search/?api=1&amp;query=24.610464,46.71866615", "View Map")</f>
        <v>View Map</v>
      </c>
    </row>
    <row r="1587" spans="1:7" x14ac:dyDescent="0.3">
      <c r="A1587" t="s">
        <v>28</v>
      </c>
      <c r="B1587" t="s">
        <v>2410</v>
      </c>
      <c r="C1587" t="s">
        <v>30</v>
      </c>
      <c r="D1587">
        <v>5.0199999999999996</v>
      </c>
      <c r="E1587" s="4">
        <v>1606</v>
      </c>
      <c r="F1587" t="str">
        <f>HYPERLINK("https://www.google.com/maps/search/?api=1&amp;query=24.17228438,47.32368765", "View Map")</f>
        <v>View Map</v>
      </c>
      <c r="G1587" s="2">
        <v>0.43678656876602617</v>
      </c>
    </row>
    <row r="1588" spans="1:7" x14ac:dyDescent="0.3">
      <c r="A1588" t="s">
        <v>4736</v>
      </c>
      <c r="B1588" t="s">
        <v>4737</v>
      </c>
      <c r="C1588" t="s">
        <v>255</v>
      </c>
      <c r="D1588">
        <v>5.0179999999999998</v>
      </c>
      <c r="E1588" s="4">
        <v>1606</v>
      </c>
      <c r="F1588" t="str">
        <f>HYPERLINK("https://www.google.com/maps/search/?api=1&amp;query=24.87218407,43.80006349", "View Map")</f>
        <v>View Map</v>
      </c>
    </row>
    <row r="1589" spans="1:7" x14ac:dyDescent="0.3">
      <c r="A1589" t="s">
        <v>3662</v>
      </c>
      <c r="B1589" t="s">
        <v>3663</v>
      </c>
      <c r="C1589" t="s">
        <v>8</v>
      </c>
      <c r="D1589">
        <v>5.0179999999999998</v>
      </c>
      <c r="E1589" s="4">
        <v>1606</v>
      </c>
      <c r="F1589" t="str">
        <f>HYPERLINK("https://www.google.com/maps/search/?api=1&amp;query=24.6494479,46.76635901", "View Map")</f>
        <v>View Map</v>
      </c>
    </row>
    <row r="1590" spans="1:7" x14ac:dyDescent="0.3">
      <c r="A1590" t="s">
        <v>31</v>
      </c>
      <c r="B1590" t="s">
        <v>32</v>
      </c>
      <c r="C1590" t="s">
        <v>8</v>
      </c>
      <c r="D1590">
        <v>5.0170000000000003</v>
      </c>
      <c r="E1590" s="4">
        <v>1605</v>
      </c>
      <c r="F1590" t="str">
        <f>HYPERLINK("https://www.google.com/maps/search/?api=1&amp;query=24.5517,46.7622", "View Map")</f>
        <v>View Map</v>
      </c>
      <c r="G1590" s="2">
        <v>3.450536667609444E-2</v>
      </c>
    </row>
    <row r="1591" spans="1:7" x14ac:dyDescent="0.3">
      <c r="A1591" t="s">
        <v>2754</v>
      </c>
      <c r="B1591" t="s">
        <v>2755</v>
      </c>
      <c r="C1591" t="s">
        <v>8</v>
      </c>
      <c r="D1591">
        <v>5.016</v>
      </c>
      <c r="E1591" s="4">
        <v>1605</v>
      </c>
      <c r="F1591" t="str">
        <f>HYPERLINK("https://www.google.com/maps/search/?api=1&amp;query=24.81237221,46.61698586", "View Map")</f>
        <v>View Map</v>
      </c>
      <c r="G1591" s="2">
        <v>0.46585938603110522</v>
      </c>
    </row>
    <row r="1592" spans="1:7" x14ac:dyDescent="0.3">
      <c r="A1592" t="s">
        <v>990</v>
      </c>
      <c r="B1592" t="s">
        <v>1176</v>
      </c>
      <c r="C1592" t="s">
        <v>8</v>
      </c>
      <c r="D1592">
        <v>5.0149999999999997</v>
      </c>
      <c r="E1592" s="4">
        <v>1605</v>
      </c>
      <c r="F1592" t="str">
        <f>HYPERLINK("https://www.google.com/maps/search/?api=1&amp;query=24.69013529,46.78902388", "View Map")</f>
        <v>View Map</v>
      </c>
      <c r="G1592" s="2">
        <v>0.30557829796473701</v>
      </c>
    </row>
    <row r="1593" spans="1:7" x14ac:dyDescent="0.3">
      <c r="A1593" t="s">
        <v>5298</v>
      </c>
      <c r="B1593" t="s">
        <v>5299</v>
      </c>
      <c r="C1593" t="s">
        <v>646</v>
      </c>
      <c r="D1593">
        <v>5.0119999999999996</v>
      </c>
      <c r="E1593" s="4">
        <v>1604</v>
      </c>
      <c r="F1593" t="str">
        <f>HYPERLINK("https://www.google.com/maps/search/?api=1&amp;query=20.46884037,45.58252076", "View Map")</f>
        <v>View Map</v>
      </c>
    </row>
    <row r="1594" spans="1:7" x14ac:dyDescent="0.3">
      <c r="A1594" t="s">
        <v>1594</v>
      </c>
      <c r="B1594" t="s">
        <v>3504</v>
      </c>
      <c r="C1594" t="s">
        <v>296</v>
      </c>
      <c r="D1594">
        <v>5.0119999999999996</v>
      </c>
      <c r="E1594" s="4">
        <v>1604</v>
      </c>
      <c r="F1594" t="str">
        <f>HYPERLINK("https://www.google.com/maps/search/?api=1&amp;query=24.47628007,46.26872917", "View Map")</f>
        <v>View Map</v>
      </c>
    </row>
    <row r="1595" spans="1:7" x14ac:dyDescent="0.3">
      <c r="A1595" t="s">
        <v>2240</v>
      </c>
      <c r="B1595" t="s">
        <v>2241</v>
      </c>
      <c r="C1595" t="s">
        <v>8</v>
      </c>
      <c r="D1595">
        <v>5.0090000000000003</v>
      </c>
      <c r="E1595" s="4">
        <v>1603</v>
      </c>
      <c r="F1595" t="str">
        <f>HYPERLINK("https://www.google.com/maps/search/?api=1&amp;query=24.56863421,46.80182417", "View Map")</f>
        <v>View Map</v>
      </c>
    </row>
    <row r="1596" spans="1:7" x14ac:dyDescent="0.3">
      <c r="A1596" t="s">
        <v>9452</v>
      </c>
      <c r="B1596" t="s">
        <v>9453</v>
      </c>
      <c r="C1596" t="s">
        <v>8</v>
      </c>
      <c r="D1596">
        <v>5.0090000000000003</v>
      </c>
      <c r="E1596" s="4">
        <v>1603</v>
      </c>
      <c r="F1596" t="str">
        <f>HYPERLINK("https://www.google.com/maps/search/?api=1&amp;query=24.71022678,46.78445387", "View Map")</f>
        <v>View Map</v>
      </c>
      <c r="G1596" s="2">
        <v>0.7341499319928293</v>
      </c>
    </row>
    <row r="1597" spans="1:7" x14ac:dyDescent="0.3">
      <c r="A1597" t="s">
        <v>3193</v>
      </c>
      <c r="B1597" t="s">
        <v>3194</v>
      </c>
      <c r="C1597" t="s">
        <v>214</v>
      </c>
      <c r="D1597">
        <v>5.0069999999999997</v>
      </c>
      <c r="E1597" s="4">
        <v>1602</v>
      </c>
      <c r="F1597" t="str">
        <f>HYPERLINK("https://www.google.com/maps/search/?api=1&amp;query=25.60418032,45.61574046", "View Map")</f>
        <v>View Map</v>
      </c>
      <c r="G1597" s="2">
        <v>0.74917908335169314</v>
      </c>
    </row>
    <row r="1598" spans="1:7" x14ac:dyDescent="0.3">
      <c r="A1598" t="s">
        <v>860</v>
      </c>
      <c r="B1598" t="s">
        <v>1694</v>
      </c>
      <c r="C1598" t="s">
        <v>8</v>
      </c>
      <c r="D1598">
        <v>5.0069999999999997</v>
      </c>
      <c r="E1598" s="4">
        <v>1602</v>
      </c>
      <c r="F1598" t="str">
        <f>HYPERLINK("https://www.google.com/maps/search/?api=1&amp;query=24.76727367,46.78654093", "View Map")</f>
        <v>View Map</v>
      </c>
      <c r="G1598" s="2">
        <v>0.27956691624915581</v>
      </c>
    </row>
    <row r="1599" spans="1:7" x14ac:dyDescent="0.3">
      <c r="A1599" t="s">
        <v>2825</v>
      </c>
      <c r="B1599" t="s">
        <v>2854</v>
      </c>
      <c r="C1599" t="s">
        <v>8</v>
      </c>
      <c r="D1599">
        <v>5.0049999999999999</v>
      </c>
      <c r="E1599" s="4">
        <v>1602</v>
      </c>
      <c r="F1599" t="str">
        <f>HYPERLINK("https://www.google.com/maps/search/?api=1&amp;query=24.80458154,46.69120757", "View Map")</f>
        <v>View Map</v>
      </c>
      <c r="G1599" s="2">
        <v>0.39473904017992562</v>
      </c>
    </row>
    <row r="1600" spans="1:7" x14ac:dyDescent="0.3">
      <c r="A1600" t="s">
        <v>1657</v>
      </c>
      <c r="B1600" t="s">
        <v>1658</v>
      </c>
      <c r="C1600" t="s">
        <v>8</v>
      </c>
      <c r="D1600">
        <v>5.0049999999999999</v>
      </c>
      <c r="E1600" s="4">
        <v>1602</v>
      </c>
      <c r="F1600" t="str">
        <f>HYPERLINK("https://www.google.com/maps/search/?api=1&amp;query=24.62036701,46.80794113", "View Map")</f>
        <v>View Map</v>
      </c>
    </row>
    <row r="1601" spans="1:7" x14ac:dyDescent="0.3">
      <c r="A1601" t="s">
        <v>3112</v>
      </c>
      <c r="B1601" t="s">
        <v>3283</v>
      </c>
      <c r="C1601" t="s">
        <v>291</v>
      </c>
      <c r="D1601">
        <v>5.0039999999999996</v>
      </c>
      <c r="E1601" s="4">
        <v>1601</v>
      </c>
      <c r="F1601" t="str">
        <f>HYPERLINK("https://www.google.com/maps/search/?api=1&amp;query=24.27750544,45.8733683", "View Map")</f>
        <v>View Map</v>
      </c>
      <c r="G1601" s="2">
        <v>0.84443444456637096</v>
      </c>
    </row>
    <row r="1602" spans="1:7" x14ac:dyDescent="0.3">
      <c r="A1602" t="s">
        <v>150</v>
      </c>
      <c r="B1602" t="s">
        <v>2660</v>
      </c>
      <c r="C1602" t="s">
        <v>8</v>
      </c>
      <c r="D1602">
        <v>5.0039999999999996</v>
      </c>
      <c r="E1602" s="4">
        <v>1601</v>
      </c>
      <c r="F1602" t="str">
        <f>HYPERLINK("https://www.google.com/maps/search/?api=1&amp;query=24.83415546,46.79568329", "View Map")</f>
        <v>View Map</v>
      </c>
    </row>
    <row r="1603" spans="1:7" x14ac:dyDescent="0.3">
      <c r="A1603" t="s">
        <v>2725</v>
      </c>
      <c r="B1603" t="s">
        <v>2726</v>
      </c>
      <c r="C1603" t="s">
        <v>21</v>
      </c>
      <c r="D1603">
        <v>5.0030000000000001</v>
      </c>
      <c r="E1603" s="4">
        <v>1601</v>
      </c>
      <c r="F1603" t="str">
        <f>HYPERLINK("https://www.google.com/maps/search/?api=1&amp;query=26.31781309,44.82913966", "View Map")</f>
        <v>View Map</v>
      </c>
      <c r="G1603" s="2">
        <v>0.6137948472358018</v>
      </c>
    </row>
    <row r="1604" spans="1:7" x14ac:dyDescent="0.3">
      <c r="A1604" t="s">
        <v>3576</v>
      </c>
      <c r="B1604" t="s">
        <v>3577</v>
      </c>
      <c r="C1604" t="s">
        <v>442</v>
      </c>
      <c r="D1604">
        <v>5.0010000000000003</v>
      </c>
      <c r="E1604" s="4">
        <v>1600</v>
      </c>
      <c r="F1604" t="str">
        <f>HYPERLINK("https://www.google.com/maps/search/?api=1&amp;query=23.61165107,46.56493632", "View Map")</f>
        <v>View Map</v>
      </c>
      <c r="G1604" s="2">
        <v>0.74337537040123036</v>
      </c>
    </row>
    <row r="1605" spans="1:7" x14ac:dyDescent="0.3">
      <c r="A1605" t="s">
        <v>1866</v>
      </c>
      <c r="B1605" t="s">
        <v>1867</v>
      </c>
      <c r="C1605" t="s">
        <v>8</v>
      </c>
      <c r="D1605">
        <v>5</v>
      </c>
      <c r="E1605" s="4">
        <v>1600</v>
      </c>
      <c r="F1605" t="str">
        <f>HYPERLINK("https://www.google.com/maps/search/?api=1&amp;query=24.60156908,46.65453849", "View Map")</f>
        <v>View Map</v>
      </c>
    </row>
    <row r="1606" spans="1:7" x14ac:dyDescent="0.3">
      <c r="A1606" t="s">
        <v>3092</v>
      </c>
      <c r="B1606" t="s">
        <v>3093</v>
      </c>
      <c r="C1606" t="s">
        <v>738</v>
      </c>
      <c r="D1606">
        <v>4.9960000000000004</v>
      </c>
      <c r="E1606" s="4">
        <v>1599</v>
      </c>
      <c r="F1606" t="str">
        <f>HYPERLINK("https://www.google.com/maps/search/?api=1&amp;query=25.12975876,46.11103557", "View Map")</f>
        <v>View Map</v>
      </c>
      <c r="G1606" s="2">
        <v>0.74776187459868226</v>
      </c>
    </row>
    <row r="1607" spans="1:7" x14ac:dyDescent="0.3">
      <c r="A1607" t="s">
        <v>881</v>
      </c>
      <c r="B1607" t="s">
        <v>4756</v>
      </c>
      <c r="C1607" t="s">
        <v>883</v>
      </c>
      <c r="D1607">
        <v>4.9960000000000004</v>
      </c>
      <c r="E1607" s="4">
        <v>1599</v>
      </c>
      <c r="F1607" t="str">
        <f>HYPERLINK("https://www.google.com/maps/search/?api=1&amp;query=25.52677734,47.17643147", "View Map")</f>
        <v>View Map</v>
      </c>
    </row>
    <row r="1608" spans="1:7" x14ac:dyDescent="0.3">
      <c r="A1608" t="s">
        <v>2848</v>
      </c>
      <c r="B1608" t="s">
        <v>2849</v>
      </c>
      <c r="C1608" t="s">
        <v>214</v>
      </c>
      <c r="D1608">
        <v>4.9960000000000004</v>
      </c>
      <c r="E1608" s="4">
        <v>1599</v>
      </c>
      <c r="F1608" t="str">
        <f>HYPERLINK("https://www.google.com/maps/search/?api=1&amp;query=26.4010734,45.10056563", "View Map")</f>
        <v>View Map</v>
      </c>
      <c r="G1608" s="2">
        <v>0.8308552264980017</v>
      </c>
    </row>
    <row r="1609" spans="1:7" x14ac:dyDescent="0.3">
      <c r="A1609" t="s">
        <v>4320</v>
      </c>
      <c r="B1609" t="s">
        <v>4321</v>
      </c>
      <c r="C1609" t="s">
        <v>137</v>
      </c>
      <c r="D1609">
        <v>4.9939999999999998</v>
      </c>
      <c r="E1609" s="4">
        <v>1598</v>
      </c>
      <c r="F1609" t="str">
        <f>HYPERLINK("https://www.google.com/maps/search/?api=1&amp;query=23.50046849,46.83218681", "View Map")</f>
        <v>View Map</v>
      </c>
    </row>
    <row r="1610" spans="1:7" x14ac:dyDescent="0.3">
      <c r="A1610" t="s">
        <v>4448</v>
      </c>
      <c r="B1610" t="s">
        <v>4449</v>
      </c>
      <c r="C1610" t="s">
        <v>8</v>
      </c>
      <c r="D1610">
        <v>4.992</v>
      </c>
      <c r="E1610" s="4">
        <v>1598</v>
      </c>
      <c r="F1610" t="str">
        <f>HYPERLINK("https://www.google.com/maps/search/?api=1&amp;query=24.69406303,46.64134932", "View Map")</f>
        <v>View Map</v>
      </c>
      <c r="G1610" s="2">
        <v>0.42307469004551629</v>
      </c>
    </row>
    <row r="1611" spans="1:7" x14ac:dyDescent="0.3">
      <c r="A1611" t="s">
        <v>464</v>
      </c>
      <c r="B1611" t="s">
        <v>4183</v>
      </c>
      <c r="C1611" t="s">
        <v>466</v>
      </c>
      <c r="D1611">
        <v>4.99</v>
      </c>
      <c r="E1611" s="4">
        <v>1597</v>
      </c>
      <c r="F1611" t="str">
        <f>HYPERLINK("https://www.google.com/maps/search/?api=1&amp;query=24.61471721,46.10193564", "View Map")</f>
        <v>View Map</v>
      </c>
      <c r="G1611" s="2">
        <v>0.83044581618686553</v>
      </c>
    </row>
    <row r="1612" spans="1:7" x14ac:dyDescent="0.3">
      <c r="A1612" t="s">
        <v>11329</v>
      </c>
      <c r="B1612" t="s">
        <v>11330</v>
      </c>
      <c r="C1612" t="s">
        <v>8</v>
      </c>
      <c r="D1612">
        <v>4.99</v>
      </c>
      <c r="E1612" s="4">
        <v>1597</v>
      </c>
      <c r="F1612" t="str">
        <f>HYPERLINK("https://www.google.com/maps/search/?api=1&amp;query=24.77048453,46.76972831", "View Map")</f>
        <v>View Map</v>
      </c>
      <c r="G1612" s="2">
        <v>0.44315828565107801</v>
      </c>
    </row>
    <row r="1613" spans="1:7" x14ac:dyDescent="0.3">
      <c r="A1613" t="s">
        <v>4333</v>
      </c>
      <c r="B1613" t="s">
        <v>4334</v>
      </c>
      <c r="C1613" t="s">
        <v>8</v>
      </c>
      <c r="D1613">
        <v>4.9889999999999999</v>
      </c>
      <c r="E1613" s="4">
        <v>1597</v>
      </c>
      <c r="F1613" t="str">
        <f>HYPERLINK("https://www.google.com/maps/search/?api=1&amp;query=24.76765253,46.74998904", "View Map")</f>
        <v>View Map</v>
      </c>
    </row>
    <row r="1614" spans="1:7" x14ac:dyDescent="0.3">
      <c r="A1614" t="s">
        <v>3191</v>
      </c>
      <c r="B1614" t="s">
        <v>3192</v>
      </c>
      <c r="C1614" t="s">
        <v>286</v>
      </c>
      <c r="D1614">
        <v>4.9880000000000004</v>
      </c>
      <c r="E1614" s="4">
        <v>1596</v>
      </c>
      <c r="F1614" t="str">
        <f>HYPERLINK("https://www.google.com/maps/search/?api=1&amp;query=25.29876206,45.51607859", "View Map")</f>
        <v>View Map</v>
      </c>
      <c r="G1614" s="2">
        <v>0.62708018371144547</v>
      </c>
    </row>
    <row r="1615" spans="1:7" x14ac:dyDescent="0.3">
      <c r="A1615" t="s">
        <v>46</v>
      </c>
      <c r="B1615" t="s">
        <v>4146</v>
      </c>
      <c r="C1615" t="s">
        <v>8</v>
      </c>
      <c r="D1615">
        <v>4.984</v>
      </c>
      <c r="E1615" s="4">
        <v>1595</v>
      </c>
      <c r="F1615" t="str">
        <f>HYPERLINK("https://www.google.com/maps/search/?api=1&amp;query=24.67529007,46.79620197", "View Map")</f>
        <v>View Map</v>
      </c>
      <c r="G1615" s="2">
        <v>0.99755832995500138</v>
      </c>
    </row>
    <row r="1616" spans="1:7" x14ac:dyDescent="0.3">
      <c r="A1616" t="s">
        <v>576</v>
      </c>
      <c r="B1616" t="s">
        <v>4912</v>
      </c>
      <c r="C1616" t="s">
        <v>8</v>
      </c>
      <c r="D1616">
        <v>4.9829999999999997</v>
      </c>
      <c r="E1616" s="4">
        <v>1594</v>
      </c>
      <c r="F1616" t="str">
        <f>HYPERLINK("https://www.google.com/maps/search/?api=1&amp;query=24.52840106,46.70179337", "View Map")</f>
        <v>View Map</v>
      </c>
    </row>
    <row r="1617" spans="1:7" x14ac:dyDescent="0.3">
      <c r="A1617" t="s">
        <v>3239</v>
      </c>
      <c r="B1617" t="s">
        <v>3240</v>
      </c>
      <c r="C1617" t="s">
        <v>55</v>
      </c>
      <c r="D1617">
        <v>4.9820000000000002</v>
      </c>
      <c r="E1617" s="4">
        <v>1594</v>
      </c>
      <c r="F1617" t="str">
        <f>HYPERLINK("https://www.google.com/maps/search/?api=1&amp;query=24.75406637,46.56460863", "View Map")</f>
        <v>View Map</v>
      </c>
      <c r="G1617" s="2">
        <v>0.38341190134590419</v>
      </c>
    </row>
    <row r="1618" spans="1:7" x14ac:dyDescent="0.3">
      <c r="A1618" t="s">
        <v>2644</v>
      </c>
      <c r="B1618" t="s">
        <v>2645</v>
      </c>
      <c r="C1618" t="s">
        <v>8</v>
      </c>
      <c r="D1618">
        <v>4.9809999999999999</v>
      </c>
      <c r="E1618" s="4">
        <v>1594</v>
      </c>
      <c r="F1618" t="str">
        <f>HYPERLINK("https://www.google.com/maps/search/?api=1&amp;query=24.76304,46.72238", "View Map")</f>
        <v>View Map</v>
      </c>
      <c r="G1618" s="2">
        <v>0.3627707426281358</v>
      </c>
    </row>
    <row r="1619" spans="1:7" x14ac:dyDescent="0.3">
      <c r="A1619" t="s">
        <v>3367</v>
      </c>
      <c r="B1619" t="s">
        <v>3368</v>
      </c>
      <c r="C1619" t="s">
        <v>8</v>
      </c>
      <c r="D1619">
        <v>4.9790000000000001</v>
      </c>
      <c r="E1619" s="4">
        <v>1593</v>
      </c>
      <c r="F1619" t="str">
        <f>HYPERLINK("https://www.google.com/maps/search/?api=1&amp;query=24.7168156,46.84746171", "View Map")</f>
        <v>View Map</v>
      </c>
    </row>
    <row r="1620" spans="1:7" x14ac:dyDescent="0.3">
      <c r="A1620" t="s">
        <v>3090</v>
      </c>
      <c r="B1620" t="s">
        <v>3091</v>
      </c>
      <c r="C1620" t="s">
        <v>8</v>
      </c>
      <c r="D1620">
        <v>4.9779999999999998</v>
      </c>
      <c r="E1620" s="4">
        <v>1593</v>
      </c>
      <c r="F1620" t="str">
        <f>HYPERLINK("https://www.google.com/maps/search/?api=1&amp;query=24.78884288,46.68571218", "View Map")</f>
        <v>View Map</v>
      </c>
      <c r="G1620" s="2">
        <v>0.63060018889851566</v>
      </c>
    </row>
    <row r="1621" spans="1:7" x14ac:dyDescent="0.3">
      <c r="A1621" t="s">
        <v>289</v>
      </c>
      <c r="B1621" t="s">
        <v>2739</v>
      </c>
      <c r="C1621" t="s">
        <v>291</v>
      </c>
      <c r="D1621">
        <v>4.9779999999999998</v>
      </c>
      <c r="E1621" s="4">
        <v>1593</v>
      </c>
      <c r="F1621" t="str">
        <f>HYPERLINK("https://www.google.com/maps/search/?api=1&amp;query=24.08792028,45.30057911", "View Map")</f>
        <v>View Map</v>
      </c>
      <c r="G1621" s="2">
        <v>0.60882348317925961</v>
      </c>
    </row>
    <row r="1622" spans="1:7" x14ac:dyDescent="0.3">
      <c r="A1622" t="s">
        <v>2563</v>
      </c>
      <c r="B1622" t="s">
        <v>2564</v>
      </c>
      <c r="C1622" t="s">
        <v>21</v>
      </c>
      <c r="D1622">
        <v>4.9729999999999999</v>
      </c>
      <c r="E1622" s="4">
        <v>1591</v>
      </c>
      <c r="F1622" t="str">
        <f>HYPERLINK("https://www.google.com/maps/search/?api=1&amp;query=26.29322262,44.80613686", "View Map")</f>
        <v>View Map</v>
      </c>
    </row>
    <row r="1623" spans="1:7" x14ac:dyDescent="0.3">
      <c r="A1623" t="s">
        <v>2485</v>
      </c>
      <c r="B1623" t="s">
        <v>2486</v>
      </c>
      <c r="C1623" t="s">
        <v>255</v>
      </c>
      <c r="D1623">
        <v>4.9710000000000001</v>
      </c>
      <c r="E1623" s="4">
        <v>1591</v>
      </c>
      <c r="F1623" t="str">
        <f>HYPERLINK("https://www.google.com/maps/search/?api=1&amp;query=24.57128333,43.62901", "View Map")</f>
        <v>View Map</v>
      </c>
    </row>
    <row r="1624" spans="1:7" x14ac:dyDescent="0.3">
      <c r="A1624" t="s">
        <v>4161</v>
      </c>
      <c r="B1624" t="s">
        <v>4162</v>
      </c>
      <c r="C1624" t="s">
        <v>255</v>
      </c>
      <c r="D1624">
        <v>4.97</v>
      </c>
      <c r="E1624" s="4">
        <v>1590</v>
      </c>
      <c r="F1624" t="str">
        <f>HYPERLINK("https://www.google.com/maps/search/?api=1&amp;query=25.17470718,44.60185859", "View Map")</f>
        <v>View Map</v>
      </c>
      <c r="G1624" s="2">
        <v>0.64539555251780256</v>
      </c>
    </row>
    <row r="1625" spans="1:7" x14ac:dyDescent="0.3">
      <c r="A1625" t="s">
        <v>3293</v>
      </c>
      <c r="B1625" t="s">
        <v>3294</v>
      </c>
      <c r="C1625" t="s">
        <v>30</v>
      </c>
      <c r="D1625">
        <v>4.9669999999999996</v>
      </c>
      <c r="E1625" s="4">
        <v>1589</v>
      </c>
      <c r="F1625" t="str">
        <f>HYPERLINK("https://www.google.com/maps/search/?api=1&amp;query=24.28050941,47.29267323", "View Map")</f>
        <v>View Map</v>
      </c>
      <c r="G1625" s="2">
        <v>0.77687291091407285</v>
      </c>
    </row>
    <row r="1626" spans="1:7" x14ac:dyDescent="0.3">
      <c r="A1626" t="s">
        <v>1262</v>
      </c>
      <c r="B1626" t="s">
        <v>1958</v>
      </c>
      <c r="C1626" t="s">
        <v>8</v>
      </c>
      <c r="D1626">
        <v>4.9610000000000003</v>
      </c>
      <c r="E1626" s="4">
        <v>1588</v>
      </c>
      <c r="F1626" t="str">
        <f>HYPERLINK("https://www.google.com/maps/search/?api=1&amp;query=24.76040933,46.80472769", "View Map")</f>
        <v>View Map</v>
      </c>
    </row>
    <row r="1627" spans="1:7" x14ac:dyDescent="0.3">
      <c r="A1627" t="s">
        <v>1556</v>
      </c>
      <c r="B1627" t="s">
        <v>1557</v>
      </c>
      <c r="C1627" t="s">
        <v>8</v>
      </c>
      <c r="D1627">
        <v>4.96</v>
      </c>
      <c r="E1627" s="4">
        <v>1587</v>
      </c>
      <c r="F1627" t="str">
        <f>HYPERLINK("https://www.google.com/maps/search/?api=1&amp;query=24.75299174,46.83199376", "View Map")</f>
        <v>View Map</v>
      </c>
      <c r="G1627" s="2">
        <v>0.24378897866535559</v>
      </c>
    </row>
    <row r="1628" spans="1:7" x14ac:dyDescent="0.3">
      <c r="A1628" t="s">
        <v>411</v>
      </c>
      <c r="B1628" t="s">
        <v>3094</v>
      </c>
      <c r="C1628" t="s">
        <v>77</v>
      </c>
      <c r="D1628">
        <v>4.96</v>
      </c>
      <c r="E1628" s="4">
        <v>1587</v>
      </c>
      <c r="F1628" t="str">
        <f>HYPERLINK("https://www.google.com/maps/search/?api=1&amp;query=22.2974572,46.70735911", "View Map")</f>
        <v>View Map</v>
      </c>
      <c r="G1628" s="2">
        <v>0.51442098168792061</v>
      </c>
    </row>
    <row r="1629" spans="1:7" x14ac:dyDescent="0.3">
      <c r="A1629" t="s">
        <v>1386</v>
      </c>
      <c r="B1629" t="s">
        <v>1387</v>
      </c>
      <c r="C1629" t="s">
        <v>214</v>
      </c>
      <c r="D1629">
        <v>4.9539999999999997</v>
      </c>
      <c r="E1629" s="4">
        <v>1585</v>
      </c>
      <c r="F1629" t="str">
        <f>HYPERLINK("https://www.google.com/maps/search/?api=1&amp;query=25.59450086,45.6134579", "View Map")</f>
        <v>View Map</v>
      </c>
      <c r="G1629" s="2">
        <v>0.31448338007400861</v>
      </c>
    </row>
    <row r="1630" spans="1:7" x14ac:dyDescent="0.3">
      <c r="A1630" t="s">
        <v>11331</v>
      </c>
      <c r="B1630" t="s">
        <v>11332</v>
      </c>
      <c r="C1630" t="s">
        <v>364</v>
      </c>
      <c r="D1630">
        <v>4.952</v>
      </c>
      <c r="E1630" s="4">
        <v>1585</v>
      </c>
      <c r="F1630" t="str">
        <f>HYPERLINK("https://www.google.com/maps/search/?api=1&amp;query=25.28436705,45.86242288", "View Map")</f>
        <v>View Map</v>
      </c>
      <c r="G1630" s="2">
        <v>1.0140030387287069</v>
      </c>
    </row>
    <row r="1631" spans="1:7" x14ac:dyDescent="0.3">
      <c r="A1631" t="s">
        <v>858</v>
      </c>
      <c r="B1631" t="s">
        <v>2331</v>
      </c>
      <c r="C1631" t="s">
        <v>8</v>
      </c>
      <c r="D1631">
        <v>4.9509999999999996</v>
      </c>
      <c r="E1631" s="4">
        <v>1584</v>
      </c>
      <c r="F1631" t="str">
        <f>HYPERLINK("https://www.google.com/maps/search/?api=1&amp;query=24.75101427,46.80759035", "View Map")</f>
        <v>View Map</v>
      </c>
    </row>
    <row r="1632" spans="1:7" x14ac:dyDescent="0.3">
      <c r="A1632" t="s">
        <v>2543</v>
      </c>
      <c r="B1632" t="s">
        <v>2544</v>
      </c>
      <c r="C1632" t="s">
        <v>8</v>
      </c>
      <c r="D1632">
        <v>4.9420000000000002</v>
      </c>
      <c r="E1632" s="4">
        <v>1581</v>
      </c>
      <c r="F1632" t="str">
        <f>HYPERLINK("https://www.google.com/maps/search/?api=1&amp;query=24.75885056,46.67936433", "View Map")</f>
        <v>View Map</v>
      </c>
    </row>
    <row r="1633" spans="1:7" x14ac:dyDescent="0.3">
      <c r="A1633" t="s">
        <v>4148</v>
      </c>
      <c r="B1633" t="s">
        <v>4149</v>
      </c>
      <c r="C1633" t="s">
        <v>8</v>
      </c>
      <c r="D1633">
        <v>4.9400000000000004</v>
      </c>
      <c r="E1633" s="4">
        <v>1581</v>
      </c>
      <c r="F1633" t="str">
        <f>HYPERLINK("https://www.google.com/maps/search/?api=1&amp;query=24.5623057,46.76237964", "View Map")</f>
        <v>View Map</v>
      </c>
    </row>
    <row r="1634" spans="1:7" x14ac:dyDescent="0.3">
      <c r="A1634" t="s">
        <v>46</v>
      </c>
      <c r="B1634" t="s">
        <v>3788</v>
      </c>
      <c r="C1634" t="s">
        <v>8</v>
      </c>
      <c r="D1634">
        <v>4.9379999999999997</v>
      </c>
      <c r="E1634" s="4">
        <v>1580</v>
      </c>
      <c r="F1634" t="str">
        <f>HYPERLINK("https://www.google.com/maps/search/?api=1&amp;query=24.66616094,46.5153889", "View Map")</f>
        <v>View Map</v>
      </c>
      <c r="G1634" s="2">
        <v>0.50909820683307694</v>
      </c>
    </row>
    <row r="1635" spans="1:7" x14ac:dyDescent="0.3">
      <c r="A1635" t="s">
        <v>632</v>
      </c>
      <c r="B1635" t="s">
        <v>4601</v>
      </c>
      <c r="C1635" t="s">
        <v>8</v>
      </c>
      <c r="D1635">
        <v>4.9370000000000003</v>
      </c>
      <c r="E1635" s="4">
        <v>1580</v>
      </c>
      <c r="F1635" t="str">
        <f>HYPERLINK("https://www.google.com/maps/search/?api=1&amp;query=24.57611727,46.57332223", "View Map")</f>
        <v>View Map</v>
      </c>
    </row>
    <row r="1636" spans="1:7" x14ac:dyDescent="0.3">
      <c r="A1636" t="s">
        <v>28</v>
      </c>
      <c r="B1636" t="s">
        <v>2519</v>
      </c>
      <c r="C1636" t="s">
        <v>30</v>
      </c>
      <c r="D1636">
        <v>4.9359999999999999</v>
      </c>
      <c r="E1636" s="4">
        <v>1580</v>
      </c>
      <c r="F1636" t="str">
        <f>HYPERLINK("https://www.google.com/maps/search/?api=1&amp;query=24.10724635,47.26312493", "View Map")</f>
        <v>View Map</v>
      </c>
    </row>
    <row r="1637" spans="1:7" x14ac:dyDescent="0.3">
      <c r="A1637" t="s">
        <v>289</v>
      </c>
      <c r="B1637" t="s">
        <v>3500</v>
      </c>
      <c r="C1637" t="s">
        <v>291</v>
      </c>
      <c r="D1637">
        <v>4.9320000000000004</v>
      </c>
      <c r="E1637" s="4">
        <v>1578</v>
      </c>
      <c r="F1637" t="str">
        <f>HYPERLINK("https://www.google.com/maps/search/?api=1&amp;query=24.07626638,45.30074534", "View Map")</f>
        <v>View Map</v>
      </c>
      <c r="G1637" s="2">
        <v>0.72698011291216991</v>
      </c>
    </row>
    <row r="1638" spans="1:7" x14ac:dyDescent="0.3">
      <c r="A1638" t="s">
        <v>4089</v>
      </c>
      <c r="B1638" t="s">
        <v>4090</v>
      </c>
      <c r="C1638" t="s">
        <v>738</v>
      </c>
      <c r="D1638">
        <v>4.93</v>
      </c>
      <c r="E1638" s="4">
        <v>1578</v>
      </c>
      <c r="F1638" t="str">
        <f>HYPERLINK("https://www.google.com/maps/search/?api=1&amp;query=25.12851443,46.15759525", "View Map")</f>
        <v>View Map</v>
      </c>
      <c r="G1638" s="2">
        <v>0.681794716146086</v>
      </c>
    </row>
    <row r="1639" spans="1:7" x14ac:dyDescent="0.3">
      <c r="A1639" t="s">
        <v>4598</v>
      </c>
      <c r="B1639" t="s">
        <v>4599</v>
      </c>
      <c r="C1639" t="s">
        <v>8</v>
      </c>
      <c r="D1639">
        <v>4.9269999999999996</v>
      </c>
      <c r="E1639" s="4">
        <v>1577</v>
      </c>
      <c r="F1639" t="str">
        <f>HYPERLINK("https://www.google.com/maps/search/?api=1&amp;query=24.80938896,46.68705046", "View Map")</f>
        <v>View Map</v>
      </c>
    </row>
    <row r="1640" spans="1:7" x14ac:dyDescent="0.3">
      <c r="A1640" t="s">
        <v>4385</v>
      </c>
      <c r="B1640" t="s">
        <v>4386</v>
      </c>
      <c r="C1640" t="s">
        <v>296</v>
      </c>
      <c r="D1640">
        <v>4.9260000000000002</v>
      </c>
      <c r="E1640" s="4">
        <v>1576</v>
      </c>
      <c r="F1640" t="str">
        <f>HYPERLINK("https://www.google.com/maps/search/?api=1&amp;query=24.47397336,46.26342217", "View Map")</f>
        <v>View Map</v>
      </c>
      <c r="G1640" s="2">
        <v>0.68303989332363235</v>
      </c>
    </row>
    <row r="1641" spans="1:7" x14ac:dyDescent="0.3">
      <c r="A1641" t="s">
        <v>1747</v>
      </c>
      <c r="B1641" t="s">
        <v>1748</v>
      </c>
      <c r="C1641" t="s">
        <v>8</v>
      </c>
      <c r="D1641">
        <v>4.9260000000000002</v>
      </c>
      <c r="E1641" s="4">
        <v>1576</v>
      </c>
      <c r="F1641" t="str">
        <f>HYPERLINK("https://www.google.com/maps/search/?api=1&amp;query=24.60851882,46.7603353", "View Map")</f>
        <v>View Map</v>
      </c>
      <c r="G1641" s="2">
        <v>0.30040721994000602</v>
      </c>
    </row>
    <row r="1642" spans="1:7" x14ac:dyDescent="0.3">
      <c r="A1642" t="s">
        <v>3810</v>
      </c>
      <c r="B1642" t="s">
        <v>3811</v>
      </c>
      <c r="C1642" t="s">
        <v>270</v>
      </c>
      <c r="D1642">
        <v>4.9210000000000003</v>
      </c>
      <c r="E1642" s="4">
        <v>1575</v>
      </c>
      <c r="F1642" t="str">
        <f>HYPERLINK("https://www.google.com/maps/search/?api=1&amp;query=23.99789822,47.11837938", "View Map")</f>
        <v>View Map</v>
      </c>
      <c r="G1642" s="2">
        <v>0.76598251253227345</v>
      </c>
    </row>
    <row r="1643" spans="1:7" x14ac:dyDescent="0.3">
      <c r="A1643" t="s">
        <v>3059</v>
      </c>
      <c r="B1643" t="s">
        <v>3060</v>
      </c>
      <c r="C1643" t="s">
        <v>291</v>
      </c>
      <c r="D1643">
        <v>4.9180000000000001</v>
      </c>
      <c r="E1643" s="4">
        <v>1574</v>
      </c>
      <c r="F1643" t="str">
        <f>HYPERLINK("https://www.google.com/maps/search/?api=1&amp;query=23.87612788,45.49921998", "View Map")</f>
        <v>View Map</v>
      </c>
      <c r="G1643" s="2">
        <v>0.82741764273319118</v>
      </c>
    </row>
    <row r="1644" spans="1:7" x14ac:dyDescent="0.3">
      <c r="A1644" t="s">
        <v>405</v>
      </c>
      <c r="B1644" t="s">
        <v>3238</v>
      </c>
      <c r="C1644" t="s">
        <v>8</v>
      </c>
      <c r="D1644">
        <v>4.9139999999999997</v>
      </c>
      <c r="E1644" s="4">
        <v>1572</v>
      </c>
      <c r="F1644" t="str">
        <f>HYPERLINK("https://www.google.com/maps/search/?api=1&amp;query=24.7703171,46.73542049", "View Map")</f>
        <v>View Map</v>
      </c>
    </row>
    <row r="1645" spans="1:7" x14ac:dyDescent="0.3">
      <c r="A1645" t="s">
        <v>146</v>
      </c>
      <c r="B1645" t="s">
        <v>730</v>
      </c>
      <c r="C1645" t="s">
        <v>8</v>
      </c>
      <c r="D1645">
        <v>4.9130000000000003</v>
      </c>
      <c r="E1645" s="4">
        <v>1572</v>
      </c>
      <c r="F1645" t="str">
        <f>HYPERLINK("https://www.google.com/maps/search/?api=1&amp;query=24.6122,46.7017", "View Map")</f>
        <v>View Map</v>
      </c>
    </row>
    <row r="1646" spans="1:7" x14ac:dyDescent="0.3">
      <c r="A1646" t="s">
        <v>46</v>
      </c>
      <c r="B1646" t="s">
        <v>1069</v>
      </c>
      <c r="C1646" t="s">
        <v>8</v>
      </c>
      <c r="D1646">
        <v>4.9130000000000003</v>
      </c>
      <c r="E1646" s="4">
        <v>1572</v>
      </c>
      <c r="F1646" t="str">
        <f>HYPERLINK("https://www.google.com/maps/search/?api=1&amp;query=24.88566615,46.80618013", "View Map")</f>
        <v>View Map</v>
      </c>
      <c r="G1646" s="2">
        <v>0.31857341185973598</v>
      </c>
    </row>
    <row r="1647" spans="1:7" x14ac:dyDescent="0.3">
      <c r="A1647" t="s">
        <v>5620</v>
      </c>
      <c r="B1647" t="s">
        <v>5621</v>
      </c>
      <c r="C1647" t="s">
        <v>8</v>
      </c>
      <c r="D1647">
        <v>4.9119999999999999</v>
      </c>
      <c r="E1647" s="4">
        <v>1572</v>
      </c>
      <c r="F1647" t="str">
        <f>HYPERLINK("https://www.google.com/maps/search/?api=1&amp;query=24.5552839,46.71997436", "View Map")</f>
        <v>View Map</v>
      </c>
    </row>
    <row r="1648" spans="1:7" x14ac:dyDescent="0.3">
      <c r="A1648" t="s">
        <v>1273</v>
      </c>
      <c r="B1648" t="s">
        <v>2873</v>
      </c>
      <c r="C1648" t="s">
        <v>241</v>
      </c>
      <c r="D1648">
        <v>4.9109999999999996</v>
      </c>
      <c r="E1648" s="4">
        <v>1572</v>
      </c>
      <c r="F1648" t="str">
        <f>HYPERLINK("https://www.google.com/maps/search/?api=1&amp;query=20.43293361,44.82176449", "View Map")</f>
        <v>View Map</v>
      </c>
      <c r="G1648" s="2">
        <v>0.77075817001260882</v>
      </c>
    </row>
    <row r="1649" spans="1:7" x14ac:dyDescent="0.3">
      <c r="A1649" t="s">
        <v>2285</v>
      </c>
      <c r="B1649" t="s">
        <v>4358</v>
      </c>
      <c r="C1649" t="s">
        <v>8</v>
      </c>
      <c r="D1649">
        <v>4.907</v>
      </c>
      <c r="E1649" s="4">
        <v>1570</v>
      </c>
      <c r="F1649" t="str">
        <f>HYPERLINK("https://www.google.com/maps/search/?api=1&amp;query=24.74872362,46.76460672", "View Map")</f>
        <v>View Map</v>
      </c>
    </row>
    <row r="1650" spans="1:7" x14ac:dyDescent="0.3">
      <c r="A1650" t="s">
        <v>6516</v>
      </c>
      <c r="B1650" t="s">
        <v>6517</v>
      </c>
      <c r="C1650" t="s">
        <v>255</v>
      </c>
      <c r="D1650">
        <v>4.907</v>
      </c>
      <c r="E1650" s="4">
        <v>1570</v>
      </c>
      <c r="F1650" t="str">
        <f>HYPERLINK("https://www.google.com/maps/search/?api=1&amp;query=25.19072757,44.6044387", "View Map")</f>
        <v>View Map</v>
      </c>
    </row>
    <row r="1651" spans="1:7" x14ac:dyDescent="0.3">
      <c r="A1651" t="s">
        <v>4990</v>
      </c>
      <c r="B1651" t="s">
        <v>4991</v>
      </c>
      <c r="C1651" t="s">
        <v>8</v>
      </c>
      <c r="D1651">
        <v>4.9059999999999997</v>
      </c>
      <c r="E1651" s="4">
        <v>1570</v>
      </c>
      <c r="F1651" t="str">
        <f>HYPERLINK("https://www.google.com/maps/search/?api=1&amp;query=24.54932667,46.64978423", "View Map")</f>
        <v>View Map</v>
      </c>
    </row>
    <row r="1652" spans="1:7" x14ac:dyDescent="0.3">
      <c r="A1652" t="s">
        <v>46</v>
      </c>
      <c r="B1652" t="s">
        <v>3180</v>
      </c>
      <c r="C1652" t="s">
        <v>8</v>
      </c>
      <c r="D1652">
        <v>4.9050000000000002</v>
      </c>
      <c r="E1652" s="4">
        <v>1570</v>
      </c>
      <c r="F1652" t="str">
        <f>HYPERLINK("https://www.google.com/maps/search/?api=1&amp;query=24.55117376,46.77483011", "View Map")</f>
        <v>View Map</v>
      </c>
    </row>
    <row r="1653" spans="1:7" x14ac:dyDescent="0.3">
      <c r="A1653" t="s">
        <v>3309</v>
      </c>
      <c r="B1653" t="s">
        <v>3310</v>
      </c>
      <c r="C1653" t="s">
        <v>8</v>
      </c>
      <c r="D1653">
        <v>4.9039999999999999</v>
      </c>
      <c r="E1653" s="4">
        <v>1569</v>
      </c>
      <c r="F1653" t="str">
        <f>HYPERLINK("https://www.google.com/maps/search/?api=1&amp;query=24.81996525,46.61316953", "View Map")</f>
        <v>View Map</v>
      </c>
      <c r="G1653" s="2">
        <v>0.69050185536661313</v>
      </c>
    </row>
    <row r="1654" spans="1:7" x14ac:dyDescent="0.3">
      <c r="A1654" t="s">
        <v>2076</v>
      </c>
      <c r="B1654" t="s">
        <v>2077</v>
      </c>
      <c r="C1654" t="s">
        <v>8</v>
      </c>
      <c r="D1654">
        <v>4.9029999999999996</v>
      </c>
      <c r="E1654" s="4">
        <v>1569</v>
      </c>
      <c r="F1654" t="str">
        <f>HYPERLINK("https://www.google.com/maps/search/?api=1&amp;query=24.55837181,46.68229848", "View Map")</f>
        <v>View Map</v>
      </c>
    </row>
    <row r="1655" spans="1:7" x14ac:dyDescent="0.3">
      <c r="A1655" t="s">
        <v>817</v>
      </c>
      <c r="B1655" t="s">
        <v>2956</v>
      </c>
      <c r="C1655" t="s">
        <v>30</v>
      </c>
      <c r="D1655">
        <v>4.9029999999999996</v>
      </c>
      <c r="E1655" s="4">
        <v>1569</v>
      </c>
      <c r="F1655" t="str">
        <f>HYPERLINK("https://www.google.com/maps/search/?api=1&amp;query=24.13352099,47.28804134", "View Map")</f>
        <v>View Map</v>
      </c>
      <c r="G1655" s="2">
        <v>0.78098643380309762</v>
      </c>
    </row>
    <row r="1656" spans="1:7" x14ac:dyDescent="0.3">
      <c r="A1656" t="s">
        <v>2248</v>
      </c>
      <c r="B1656" t="s">
        <v>3181</v>
      </c>
      <c r="C1656" t="s">
        <v>30</v>
      </c>
      <c r="D1656">
        <v>4.9029999999999996</v>
      </c>
      <c r="E1656" s="4">
        <v>1569</v>
      </c>
      <c r="F1656" t="str">
        <f>HYPERLINK("https://www.google.com/maps/search/?api=1&amp;query=24.12023,47.29528", "View Map")</f>
        <v>View Map</v>
      </c>
      <c r="G1656" s="2">
        <v>0.75168147028136256</v>
      </c>
    </row>
    <row r="1657" spans="1:7" x14ac:dyDescent="0.3">
      <c r="A1657" t="s">
        <v>4668</v>
      </c>
      <c r="B1657" t="s">
        <v>4669</v>
      </c>
      <c r="C1657" t="s">
        <v>8</v>
      </c>
      <c r="D1657">
        <v>4.9020000000000001</v>
      </c>
      <c r="E1657" s="4">
        <v>1569</v>
      </c>
      <c r="F1657" t="str">
        <f>HYPERLINK("https://www.google.com/maps/search/?api=1&amp;query=24.64139568,46.84214511", "View Map")</f>
        <v>View Map</v>
      </c>
    </row>
    <row r="1658" spans="1:7" x14ac:dyDescent="0.3">
      <c r="A1658" t="s">
        <v>3729</v>
      </c>
      <c r="B1658" t="s">
        <v>3730</v>
      </c>
      <c r="C1658" t="s">
        <v>699</v>
      </c>
      <c r="D1658">
        <v>4.8970000000000002</v>
      </c>
      <c r="E1658" s="4">
        <v>1567</v>
      </c>
      <c r="F1658" t="str">
        <f>HYPERLINK("https://www.google.com/maps/search/?api=1&amp;query=25.0710571,45.45829353", "View Map")</f>
        <v>View Map</v>
      </c>
      <c r="G1658" s="2">
        <v>0.6671833230549441</v>
      </c>
    </row>
    <row r="1659" spans="1:7" x14ac:dyDescent="0.3">
      <c r="A1659" t="s">
        <v>834</v>
      </c>
      <c r="B1659" t="s">
        <v>2491</v>
      </c>
      <c r="C1659" t="s">
        <v>8</v>
      </c>
      <c r="D1659">
        <v>4.8940000000000001</v>
      </c>
      <c r="E1659" s="4">
        <v>1566</v>
      </c>
      <c r="F1659" t="str">
        <f>HYPERLINK("https://www.google.com/maps/search/?api=1&amp;query=24.69798989,46.71405306", "View Map")</f>
        <v>View Map</v>
      </c>
    </row>
    <row r="1660" spans="1:7" x14ac:dyDescent="0.3">
      <c r="A1660" t="s">
        <v>1990</v>
      </c>
      <c r="B1660" t="s">
        <v>1991</v>
      </c>
      <c r="C1660" t="s">
        <v>8</v>
      </c>
      <c r="D1660">
        <v>4.891</v>
      </c>
      <c r="E1660" s="4">
        <v>1565</v>
      </c>
      <c r="F1660" t="str">
        <f>HYPERLINK("https://www.google.com/maps/search/?api=1&amp;query=24.7753332,46.66127253", "View Map")</f>
        <v>View Map</v>
      </c>
    </row>
    <row r="1661" spans="1:7" x14ac:dyDescent="0.3">
      <c r="A1661" t="s">
        <v>146</v>
      </c>
      <c r="B1661" t="s">
        <v>3505</v>
      </c>
      <c r="C1661" t="s">
        <v>8</v>
      </c>
      <c r="D1661">
        <v>4.8890000000000002</v>
      </c>
      <c r="E1661" s="4">
        <v>1565</v>
      </c>
      <c r="F1661" t="str">
        <f>HYPERLINK("https://www.google.com/maps/search/?api=1&amp;query=24.56556101,46.52619138", "View Map")</f>
        <v>View Map</v>
      </c>
      <c r="G1661" s="2">
        <v>0.42733092770671183</v>
      </c>
    </row>
    <row r="1662" spans="1:7" x14ac:dyDescent="0.3">
      <c r="A1662" t="s">
        <v>1162</v>
      </c>
      <c r="B1662" t="s">
        <v>1163</v>
      </c>
      <c r="C1662" t="s">
        <v>8</v>
      </c>
      <c r="D1662">
        <v>4.8879999999999999</v>
      </c>
      <c r="E1662" s="4">
        <v>1564</v>
      </c>
      <c r="F1662" t="str">
        <f>HYPERLINK("https://www.google.com/maps/search/?api=1&amp;query=24.76065,46.73701", "View Map")</f>
        <v>View Map</v>
      </c>
    </row>
    <row r="1663" spans="1:7" x14ac:dyDescent="0.3">
      <c r="A1663" t="s">
        <v>1002</v>
      </c>
      <c r="B1663" t="s">
        <v>3318</v>
      </c>
      <c r="C1663" t="s">
        <v>214</v>
      </c>
      <c r="D1663">
        <v>4.8869999999999996</v>
      </c>
      <c r="E1663" s="4">
        <v>1564</v>
      </c>
      <c r="F1663" t="str">
        <f>HYPERLINK("https://www.google.com/maps/search/?api=1&amp;query=25.91078974,45.39940848", "View Map")</f>
        <v>View Map</v>
      </c>
      <c r="G1663" s="2">
        <v>0.67507226755769656</v>
      </c>
    </row>
    <row r="1664" spans="1:7" x14ac:dyDescent="0.3">
      <c r="A1664" t="s">
        <v>3493</v>
      </c>
      <c r="B1664" t="s">
        <v>3494</v>
      </c>
      <c r="C1664" t="s">
        <v>8</v>
      </c>
      <c r="D1664">
        <v>4.8860000000000001</v>
      </c>
      <c r="E1664" s="4">
        <v>1563</v>
      </c>
      <c r="F1664" t="str">
        <f>HYPERLINK("https://www.google.com/maps/search/?api=1&amp;query=24.63693425,46.66294383", "View Map")</f>
        <v>View Map</v>
      </c>
    </row>
    <row r="1665" spans="1:7" x14ac:dyDescent="0.3">
      <c r="A1665" t="s">
        <v>2996</v>
      </c>
      <c r="B1665" t="s">
        <v>2997</v>
      </c>
      <c r="C1665" t="s">
        <v>8</v>
      </c>
      <c r="D1665">
        <v>4.8849999999999998</v>
      </c>
      <c r="E1665" s="4">
        <v>1563</v>
      </c>
      <c r="F1665" t="str">
        <f>HYPERLINK("https://www.google.com/maps/search/?api=1&amp;query=24.56236108,46.74887174", "View Map")</f>
        <v>View Map</v>
      </c>
      <c r="G1665" s="2">
        <v>0.40862976225195818</v>
      </c>
    </row>
    <row r="1666" spans="1:7" x14ac:dyDescent="0.3">
      <c r="A1666" t="s">
        <v>3167</v>
      </c>
      <c r="B1666" t="s">
        <v>3168</v>
      </c>
      <c r="C1666" t="s">
        <v>21</v>
      </c>
      <c r="D1666">
        <v>4.883</v>
      </c>
      <c r="E1666" s="4">
        <v>1563</v>
      </c>
      <c r="F1666" t="str">
        <f>HYPERLINK("https://www.google.com/maps/search/?api=1&amp;query=26.29511218,44.81476662", "View Map")</f>
        <v>View Map</v>
      </c>
      <c r="G1666" s="2">
        <v>0.70770334164846782</v>
      </c>
    </row>
    <row r="1667" spans="1:7" x14ac:dyDescent="0.3">
      <c r="A1667" t="s">
        <v>73</v>
      </c>
      <c r="B1667" t="s">
        <v>4672</v>
      </c>
      <c r="C1667" t="s">
        <v>8</v>
      </c>
      <c r="D1667">
        <v>4.88</v>
      </c>
      <c r="E1667" s="4">
        <v>1561</v>
      </c>
      <c r="F1667" t="str">
        <f>HYPERLINK("https://www.google.com/maps/search/?api=1&amp;query=24.8265293,46.59987905", "View Map")</f>
        <v>View Map</v>
      </c>
    </row>
    <row r="1668" spans="1:7" x14ac:dyDescent="0.3">
      <c r="A1668" t="s">
        <v>2816</v>
      </c>
      <c r="B1668" t="s">
        <v>2817</v>
      </c>
      <c r="C1668" t="s">
        <v>8</v>
      </c>
      <c r="D1668">
        <v>4.8710000000000004</v>
      </c>
      <c r="E1668" s="4">
        <v>1559</v>
      </c>
      <c r="F1668" t="str">
        <f>HYPERLINK("https://www.google.com/maps/search/?api=1&amp;query=24.7912034,46.68409053", "View Map")</f>
        <v>View Map</v>
      </c>
    </row>
    <row r="1669" spans="1:7" x14ac:dyDescent="0.3">
      <c r="A1669" t="s">
        <v>3545</v>
      </c>
      <c r="B1669" t="s">
        <v>3546</v>
      </c>
      <c r="C1669" t="s">
        <v>291</v>
      </c>
      <c r="D1669">
        <v>4.87</v>
      </c>
      <c r="E1669" s="4">
        <v>1559</v>
      </c>
      <c r="F1669" t="str">
        <f>HYPERLINK("https://www.google.com/maps/search/?api=1&amp;query=23.71634989,44.67237115", "View Map")</f>
        <v>View Map</v>
      </c>
      <c r="G1669" s="2">
        <v>0.80272851702988701</v>
      </c>
    </row>
    <row r="1670" spans="1:7" x14ac:dyDescent="0.3">
      <c r="A1670" t="s">
        <v>6410</v>
      </c>
      <c r="B1670" t="s">
        <v>6411</v>
      </c>
      <c r="C1670" t="s">
        <v>8</v>
      </c>
      <c r="D1670">
        <v>4.8689999999999998</v>
      </c>
      <c r="E1670" s="4">
        <v>1558</v>
      </c>
      <c r="F1670" t="str">
        <f>HYPERLINK("https://www.google.com/maps/search/?api=1&amp;query=24.65238291,46.5725955", "View Map")</f>
        <v>View Map</v>
      </c>
    </row>
    <row r="1671" spans="1:7" x14ac:dyDescent="0.3">
      <c r="A1671" t="s">
        <v>2537</v>
      </c>
      <c r="B1671" t="s">
        <v>2538</v>
      </c>
      <c r="C1671" t="s">
        <v>8</v>
      </c>
      <c r="D1671">
        <v>4.8689999999999998</v>
      </c>
      <c r="E1671" s="4">
        <v>1558</v>
      </c>
      <c r="F1671" t="str">
        <f>HYPERLINK("https://www.google.com/maps/search/?api=1&amp;query=24.72327384,46.81496584", "View Map")</f>
        <v>View Map</v>
      </c>
    </row>
    <row r="1672" spans="1:7" x14ac:dyDescent="0.3">
      <c r="A1672" t="s">
        <v>4216</v>
      </c>
      <c r="B1672" t="s">
        <v>4217</v>
      </c>
      <c r="C1672" t="s">
        <v>8</v>
      </c>
      <c r="D1672">
        <v>4.8680000000000003</v>
      </c>
      <c r="E1672" s="4">
        <v>1558</v>
      </c>
      <c r="F1672" t="str">
        <f>HYPERLINK("https://www.google.com/maps/search/?api=1&amp;query=24.73711757,46.84425704", "View Map")</f>
        <v>View Map</v>
      </c>
    </row>
    <row r="1673" spans="1:7" x14ac:dyDescent="0.3">
      <c r="A1673" t="s">
        <v>613</v>
      </c>
      <c r="B1673" t="s">
        <v>614</v>
      </c>
      <c r="C1673" t="s">
        <v>8</v>
      </c>
      <c r="D1673">
        <v>4.8680000000000003</v>
      </c>
      <c r="E1673" s="4">
        <v>1558</v>
      </c>
      <c r="F1673" t="str">
        <f>HYPERLINK("https://www.google.com/maps/search/?api=1&amp;query=24.77589286,46.68995651", "View Map")</f>
        <v>View Map</v>
      </c>
      <c r="G1673" s="2">
        <v>0.27951095968643508</v>
      </c>
    </row>
    <row r="1674" spans="1:7" x14ac:dyDescent="0.3">
      <c r="A1674" t="s">
        <v>717</v>
      </c>
      <c r="B1674" t="s">
        <v>3618</v>
      </c>
      <c r="C1674" t="s">
        <v>255</v>
      </c>
      <c r="D1674">
        <v>4.8639999999999999</v>
      </c>
      <c r="E1674" s="4">
        <v>1556</v>
      </c>
      <c r="F1674" t="str">
        <f>HYPERLINK("https://www.google.com/maps/search/?api=1&amp;query=24.53293944,44.40189975", "View Map")</f>
        <v>View Map</v>
      </c>
      <c r="G1674" s="2">
        <v>0.7329050462304777</v>
      </c>
    </row>
    <row r="1675" spans="1:7" x14ac:dyDescent="0.3">
      <c r="A1675" t="s">
        <v>2758</v>
      </c>
      <c r="B1675" t="s">
        <v>2759</v>
      </c>
      <c r="C1675" t="s">
        <v>8</v>
      </c>
      <c r="D1675">
        <v>4.8600000000000003</v>
      </c>
      <c r="E1675" s="4">
        <v>1555</v>
      </c>
      <c r="F1675" t="str">
        <f>HYPERLINK("https://www.google.com/maps/search/?api=1&amp;query=24.73709417,46.6789625", "View Map")</f>
        <v>View Map</v>
      </c>
      <c r="G1675" s="2">
        <v>0.3409962382186949</v>
      </c>
    </row>
    <row r="1676" spans="1:7" x14ac:dyDescent="0.3">
      <c r="A1676" t="s">
        <v>46</v>
      </c>
      <c r="B1676" t="s">
        <v>526</v>
      </c>
      <c r="C1676" t="s">
        <v>8</v>
      </c>
      <c r="D1676">
        <v>4.8579999999999997</v>
      </c>
      <c r="E1676" s="4">
        <v>1554</v>
      </c>
      <c r="F1676" t="str">
        <f>HYPERLINK("https://www.google.com/maps/search/?api=1&amp;query=24.83227,46.64166", "View Map")</f>
        <v>View Map</v>
      </c>
      <c r="G1676" s="2">
        <v>0.18019775574026661</v>
      </c>
    </row>
    <row r="1677" spans="1:7" x14ac:dyDescent="0.3">
      <c r="A1677" t="s">
        <v>4468</v>
      </c>
      <c r="B1677" t="s">
        <v>4469</v>
      </c>
      <c r="C1677" t="s">
        <v>8</v>
      </c>
      <c r="D1677">
        <v>4.8570000000000002</v>
      </c>
      <c r="E1677" s="4">
        <v>1554</v>
      </c>
      <c r="F1677" t="str">
        <f>HYPERLINK("https://www.google.com/maps/search/?api=1&amp;query=24.75010793,46.75223719", "View Map")</f>
        <v>View Map</v>
      </c>
    </row>
    <row r="1678" spans="1:7" x14ac:dyDescent="0.3">
      <c r="A1678" t="s">
        <v>28</v>
      </c>
      <c r="B1678" t="s">
        <v>2475</v>
      </c>
      <c r="C1678" t="s">
        <v>30</v>
      </c>
      <c r="D1678">
        <v>4.8550000000000004</v>
      </c>
      <c r="E1678" s="4">
        <v>1553</v>
      </c>
      <c r="F1678" t="str">
        <f>HYPERLINK("https://www.google.com/maps/search/?api=1&amp;query=24.14482656,47.37125849", "View Map")</f>
        <v>View Map</v>
      </c>
      <c r="G1678" s="2">
        <v>0.58213560440164391</v>
      </c>
    </row>
    <row r="1679" spans="1:7" x14ac:dyDescent="0.3">
      <c r="A1679" t="s">
        <v>3086</v>
      </c>
      <c r="B1679" t="s">
        <v>3087</v>
      </c>
      <c r="C1679" t="s">
        <v>8</v>
      </c>
      <c r="D1679">
        <v>4.8550000000000004</v>
      </c>
      <c r="E1679" s="4">
        <v>1554</v>
      </c>
      <c r="F1679" t="str">
        <f>HYPERLINK("https://www.google.com/maps/search/?api=1&amp;query=24.65905346,46.80447859", "View Map")</f>
        <v>View Map</v>
      </c>
      <c r="G1679" s="2">
        <v>0.97732298517841021</v>
      </c>
    </row>
    <row r="1680" spans="1:7" x14ac:dyDescent="0.3">
      <c r="A1680" t="s">
        <v>3408</v>
      </c>
      <c r="B1680" t="s">
        <v>3409</v>
      </c>
      <c r="C1680" t="s">
        <v>214</v>
      </c>
      <c r="D1680">
        <v>4.8540000000000001</v>
      </c>
      <c r="E1680" s="4">
        <v>1553</v>
      </c>
      <c r="F1680" t="str">
        <f>HYPERLINK("https://www.google.com/maps/search/?api=1&amp;query=25.71420621,45.85951628", "View Map")</f>
        <v>View Map</v>
      </c>
      <c r="G1680" s="2">
        <v>0.73370150160352932</v>
      </c>
    </row>
    <row r="1681" spans="1:7" x14ac:dyDescent="0.3">
      <c r="A1681" t="s">
        <v>46</v>
      </c>
      <c r="B1681" t="s">
        <v>3538</v>
      </c>
      <c r="C1681" t="s">
        <v>55</v>
      </c>
      <c r="D1681">
        <v>4.851</v>
      </c>
      <c r="E1681" s="4">
        <v>1552</v>
      </c>
      <c r="F1681" t="str">
        <f>HYPERLINK("https://www.google.com/maps/search/?api=1&amp;query=24.90864,46.43628", "View Map")</f>
        <v>View Map</v>
      </c>
      <c r="G1681" s="2">
        <v>0.62670248416435692</v>
      </c>
    </row>
    <row r="1682" spans="1:7" x14ac:dyDescent="0.3">
      <c r="A1682" t="s">
        <v>3605</v>
      </c>
      <c r="B1682" t="s">
        <v>3606</v>
      </c>
      <c r="C1682" t="s">
        <v>8</v>
      </c>
      <c r="D1682">
        <v>4.8490000000000002</v>
      </c>
      <c r="E1682" s="4">
        <v>1552</v>
      </c>
      <c r="F1682" t="str">
        <f>HYPERLINK("https://www.google.com/maps/search/?api=1&amp;query=24.58383602,46.69042245", "View Map")</f>
        <v>View Map</v>
      </c>
      <c r="G1682" s="2">
        <v>0.4127140597534108</v>
      </c>
    </row>
    <row r="1683" spans="1:7" x14ac:dyDescent="0.3">
      <c r="A1683" t="s">
        <v>4144</v>
      </c>
      <c r="B1683" t="s">
        <v>4145</v>
      </c>
      <c r="C1683" t="s">
        <v>241</v>
      </c>
      <c r="D1683">
        <v>4.8479999999999999</v>
      </c>
      <c r="E1683" s="4">
        <v>1551</v>
      </c>
      <c r="F1683" t="str">
        <f>HYPERLINK("https://www.google.com/maps/search/?api=1&amp;query=20.42278123,45.1332104", "View Map")</f>
        <v>View Map</v>
      </c>
      <c r="G1683" s="2">
        <v>0.9787087065742639</v>
      </c>
    </row>
    <row r="1684" spans="1:7" x14ac:dyDescent="0.3">
      <c r="A1684" t="s">
        <v>4300</v>
      </c>
      <c r="B1684" t="s">
        <v>4301</v>
      </c>
      <c r="C1684" t="s">
        <v>8</v>
      </c>
      <c r="D1684">
        <v>4.8440000000000003</v>
      </c>
      <c r="E1684" s="4">
        <v>1550</v>
      </c>
      <c r="F1684" t="str">
        <f>HYPERLINK("https://www.google.com/maps/search/?api=1&amp;query=24.81930483,46.79105116", "View Map")</f>
        <v>View Map</v>
      </c>
      <c r="G1684" s="2">
        <v>0.41486043396163158</v>
      </c>
    </row>
    <row r="1685" spans="1:7" x14ac:dyDescent="0.3">
      <c r="A1685" t="s">
        <v>7841</v>
      </c>
      <c r="B1685" t="s">
        <v>7842</v>
      </c>
      <c r="C1685" t="s">
        <v>8</v>
      </c>
      <c r="D1685">
        <v>4.8440000000000003</v>
      </c>
      <c r="E1685" s="4">
        <v>1550</v>
      </c>
      <c r="F1685" t="str">
        <f>HYPERLINK("https://www.google.com/maps/search/?api=1&amp;query=24.69657684,46.79283871", "View Map")</f>
        <v>View Map</v>
      </c>
    </row>
    <row r="1686" spans="1:7" x14ac:dyDescent="0.3">
      <c r="A1686" t="s">
        <v>3735</v>
      </c>
      <c r="B1686" t="s">
        <v>3736</v>
      </c>
      <c r="C1686" t="s">
        <v>255</v>
      </c>
      <c r="D1686">
        <v>4.8419999999999996</v>
      </c>
      <c r="E1686" s="4">
        <v>1550</v>
      </c>
      <c r="F1686" t="str">
        <f>HYPERLINK("https://www.google.com/maps/search/?api=1&amp;query=25.20501397,44.59849397", "View Map")</f>
        <v>View Map</v>
      </c>
      <c r="G1686" s="2">
        <v>0.68458846482659608</v>
      </c>
    </row>
    <row r="1687" spans="1:7" x14ac:dyDescent="0.3">
      <c r="A1687" t="s">
        <v>3026</v>
      </c>
      <c r="B1687" t="s">
        <v>3027</v>
      </c>
      <c r="C1687" t="s">
        <v>77</v>
      </c>
      <c r="D1687">
        <v>4.8380000000000001</v>
      </c>
      <c r="E1687" s="4">
        <v>1548</v>
      </c>
      <c r="F1687" t="str">
        <f>HYPERLINK("https://www.google.com/maps/search/?api=1&amp;query=22.30063055,46.71270919", "View Map")</f>
        <v>View Map</v>
      </c>
      <c r="G1687" s="2">
        <v>0.39776276522918458</v>
      </c>
    </row>
    <row r="1688" spans="1:7" x14ac:dyDescent="0.3">
      <c r="A1688" t="s">
        <v>28</v>
      </c>
      <c r="B1688" t="s">
        <v>2067</v>
      </c>
      <c r="C1688" t="s">
        <v>30</v>
      </c>
      <c r="D1688">
        <v>4.8380000000000001</v>
      </c>
      <c r="E1688" s="4">
        <v>1548</v>
      </c>
      <c r="F1688" t="str">
        <f>HYPERLINK("https://www.google.com/maps/search/?api=1&amp;query=24.1384396,47.37256416", "View Map")</f>
        <v>View Map</v>
      </c>
      <c r="G1688" s="2">
        <v>0.30032920156895482</v>
      </c>
    </row>
    <row r="1689" spans="1:7" x14ac:dyDescent="0.3">
      <c r="A1689" t="s">
        <v>5444</v>
      </c>
      <c r="B1689" t="s">
        <v>5445</v>
      </c>
      <c r="C1689" t="s">
        <v>8</v>
      </c>
      <c r="D1689">
        <v>4.8369999999999997</v>
      </c>
      <c r="E1689" s="4">
        <v>1548</v>
      </c>
      <c r="F1689" t="str">
        <f>HYPERLINK("https://www.google.com/maps/search/?api=1&amp;query=24.56071232,46.73629541", "View Map")</f>
        <v>View Map</v>
      </c>
      <c r="G1689" s="2">
        <v>0.52362174789302829</v>
      </c>
    </row>
    <row r="1690" spans="1:7" x14ac:dyDescent="0.3">
      <c r="A1690" t="s">
        <v>1226</v>
      </c>
      <c r="B1690" t="s">
        <v>1227</v>
      </c>
      <c r="C1690" t="s">
        <v>214</v>
      </c>
      <c r="D1690">
        <v>4.835</v>
      </c>
      <c r="E1690" s="4">
        <v>1547</v>
      </c>
      <c r="F1690" t="str">
        <f>HYPERLINK("https://www.google.com/maps/search/?api=1&amp;query=25.90137549,45.33808059", "View Map")</f>
        <v>View Map</v>
      </c>
    </row>
    <row r="1691" spans="1:7" x14ac:dyDescent="0.3">
      <c r="A1691" t="s">
        <v>4441</v>
      </c>
      <c r="B1691" t="s">
        <v>4442</v>
      </c>
      <c r="C1691" t="s">
        <v>393</v>
      </c>
      <c r="D1691">
        <v>4.8310000000000004</v>
      </c>
      <c r="E1691" s="4">
        <v>1546</v>
      </c>
      <c r="F1691" t="str">
        <f>HYPERLINK("https://www.google.com/maps/search/?api=1&amp;query=22.66814461,44.74089466", "View Map")</f>
        <v>View Map</v>
      </c>
      <c r="G1691" s="2">
        <v>0.82035723256204018</v>
      </c>
    </row>
    <row r="1692" spans="1:7" x14ac:dyDescent="0.3">
      <c r="A1692" t="s">
        <v>5296</v>
      </c>
      <c r="B1692" t="s">
        <v>5455</v>
      </c>
      <c r="C1692" t="s">
        <v>8</v>
      </c>
      <c r="D1692">
        <v>4.83</v>
      </c>
      <c r="E1692" s="4">
        <v>1545</v>
      </c>
      <c r="F1692" t="str">
        <f>HYPERLINK("https://www.google.com/maps/search/?api=1&amp;query=24.5863228,46.58387494", "View Map")</f>
        <v>View Map</v>
      </c>
    </row>
    <row r="1693" spans="1:7" x14ac:dyDescent="0.3">
      <c r="A1693" t="s">
        <v>3204</v>
      </c>
      <c r="B1693" t="s">
        <v>3205</v>
      </c>
      <c r="C1693" t="s">
        <v>55</v>
      </c>
      <c r="D1693">
        <v>4.8289999999999997</v>
      </c>
      <c r="E1693" s="4">
        <v>1545</v>
      </c>
      <c r="F1693" t="str">
        <f>HYPERLINK("https://www.google.com/maps/search/?api=1&amp;query=24.89695548,46.29572851", "View Map")</f>
        <v>View Map</v>
      </c>
      <c r="G1693" s="2">
        <v>0.55244764756039533</v>
      </c>
    </row>
    <row r="1694" spans="1:7" x14ac:dyDescent="0.3">
      <c r="A1694" t="s">
        <v>3733</v>
      </c>
      <c r="B1694" t="s">
        <v>3734</v>
      </c>
      <c r="C1694" t="s">
        <v>255</v>
      </c>
      <c r="D1694">
        <v>4.827</v>
      </c>
      <c r="E1694" s="4">
        <v>1545</v>
      </c>
      <c r="F1694" t="str">
        <f>HYPERLINK("https://www.google.com/maps/search/?api=1&amp;query=24.665876,43.66509156", "View Map")</f>
        <v>View Map</v>
      </c>
      <c r="G1694" s="2">
        <v>0.54104649761638546</v>
      </c>
    </row>
    <row r="1695" spans="1:7" x14ac:dyDescent="0.3">
      <c r="A1695" t="s">
        <v>881</v>
      </c>
      <c r="B1695" t="s">
        <v>3497</v>
      </c>
      <c r="C1695" t="s">
        <v>883</v>
      </c>
      <c r="D1695">
        <v>4.827</v>
      </c>
      <c r="E1695" s="4">
        <v>1545</v>
      </c>
      <c r="F1695" t="str">
        <f>HYPERLINK("https://www.google.com/maps/search/?api=1&amp;query=25.56024081,47.15604065", "View Map")</f>
        <v>View Map</v>
      </c>
      <c r="G1695" s="2">
        <v>0.72969651592039209</v>
      </c>
    </row>
    <row r="1696" spans="1:7" x14ac:dyDescent="0.3">
      <c r="A1696" t="s">
        <v>4082</v>
      </c>
      <c r="B1696" t="s">
        <v>4083</v>
      </c>
      <c r="C1696" t="s">
        <v>8</v>
      </c>
      <c r="D1696">
        <v>4.8259999999999996</v>
      </c>
      <c r="E1696" s="4">
        <v>1544</v>
      </c>
      <c r="F1696" t="str">
        <f>HYPERLINK("https://www.google.com/maps/search/?api=1&amp;query=24.65510558,46.68118063", "View Map")</f>
        <v>View Map</v>
      </c>
    </row>
    <row r="1697" spans="1:7" x14ac:dyDescent="0.3">
      <c r="A1697" t="s">
        <v>3127</v>
      </c>
      <c r="B1697" t="s">
        <v>3128</v>
      </c>
      <c r="C1697" t="s">
        <v>8</v>
      </c>
      <c r="D1697">
        <v>4.8250000000000002</v>
      </c>
      <c r="E1697" s="4">
        <v>1544</v>
      </c>
      <c r="F1697" t="str">
        <f>HYPERLINK("https://www.google.com/maps/search/?api=1&amp;query=24.55261447,46.49174604", "View Map")</f>
        <v>View Map</v>
      </c>
      <c r="G1697" s="2">
        <v>0.4027417173127944</v>
      </c>
    </row>
    <row r="1698" spans="1:7" x14ac:dyDescent="0.3">
      <c r="A1698" t="s">
        <v>3431</v>
      </c>
      <c r="B1698" t="s">
        <v>3432</v>
      </c>
      <c r="C1698" t="s">
        <v>255</v>
      </c>
      <c r="D1698">
        <v>4.8209999999999997</v>
      </c>
      <c r="E1698" s="4">
        <v>1543</v>
      </c>
      <c r="F1698" t="str">
        <f>HYPERLINK("https://www.google.com/maps/search/?api=1&amp;query=24.46176493,44.51351203", "View Map")</f>
        <v>View Map</v>
      </c>
      <c r="G1698" s="2">
        <v>0.65722845379825234</v>
      </c>
    </row>
    <row r="1699" spans="1:7" x14ac:dyDescent="0.3">
      <c r="A1699" t="s">
        <v>210</v>
      </c>
      <c r="B1699" t="s">
        <v>3430</v>
      </c>
      <c r="C1699" t="s">
        <v>8</v>
      </c>
      <c r="D1699">
        <v>4.8209999999999997</v>
      </c>
      <c r="E1699" s="4">
        <v>1543</v>
      </c>
      <c r="F1699" t="str">
        <f>HYPERLINK("https://www.google.com/maps/search/?api=1&amp;query=24.67811386,46.70644698", "View Map")</f>
        <v>View Map</v>
      </c>
    </row>
    <row r="1700" spans="1:7" x14ac:dyDescent="0.3">
      <c r="A1700" t="s">
        <v>46</v>
      </c>
      <c r="B1700" t="s">
        <v>2674</v>
      </c>
      <c r="C1700" t="s">
        <v>8</v>
      </c>
      <c r="D1700">
        <v>4.82</v>
      </c>
      <c r="E1700" s="4">
        <v>1542</v>
      </c>
      <c r="F1700" t="str">
        <f>HYPERLINK("https://www.google.com/maps/search/?api=1&amp;query=24.59832019,46.77224332", "View Map")</f>
        <v>View Map</v>
      </c>
      <c r="G1700" s="2">
        <v>0.62617852522471862</v>
      </c>
    </row>
    <row r="1701" spans="1:7" x14ac:dyDescent="0.3">
      <c r="A1701" t="s">
        <v>7522</v>
      </c>
      <c r="B1701" t="s">
        <v>7523</v>
      </c>
      <c r="C1701" t="s">
        <v>30</v>
      </c>
      <c r="D1701">
        <v>4.8099999999999996</v>
      </c>
      <c r="E1701" s="4">
        <v>1539</v>
      </c>
      <c r="F1701" t="str">
        <f>HYPERLINK("https://www.google.com/maps/search/?api=1&amp;query=23.99090964,47.33743806", "View Map")</f>
        <v>View Map</v>
      </c>
      <c r="G1701" s="2">
        <v>0.71350244629364434</v>
      </c>
    </row>
    <row r="1702" spans="1:7" x14ac:dyDescent="0.3">
      <c r="A1702" t="s">
        <v>3451</v>
      </c>
      <c r="B1702" t="s">
        <v>3452</v>
      </c>
      <c r="C1702" t="s">
        <v>442</v>
      </c>
      <c r="D1702">
        <v>4.8090000000000002</v>
      </c>
      <c r="E1702" s="4">
        <v>1539</v>
      </c>
      <c r="F1702" t="str">
        <f>HYPERLINK("https://www.google.com/maps/search/?api=1&amp;query=23.63270452,46.50823466", "View Map")</f>
        <v>View Map</v>
      </c>
      <c r="G1702" s="2">
        <v>0.46395126570630152</v>
      </c>
    </row>
    <row r="1703" spans="1:7" x14ac:dyDescent="0.3">
      <c r="A1703" t="s">
        <v>3152</v>
      </c>
      <c r="B1703" t="s">
        <v>3975</v>
      </c>
      <c r="C1703" t="s">
        <v>8</v>
      </c>
      <c r="D1703">
        <v>4.8079999999999998</v>
      </c>
      <c r="E1703" s="4">
        <v>1538</v>
      </c>
      <c r="F1703" t="str">
        <f>HYPERLINK("https://www.google.com/maps/search/?api=1&amp;query=24.76559333,46.68465678", "View Map")</f>
        <v>View Map</v>
      </c>
      <c r="G1703" s="2">
        <v>0.4440999592331964</v>
      </c>
    </row>
    <row r="1704" spans="1:7" x14ac:dyDescent="0.3">
      <c r="A1704" t="s">
        <v>3526</v>
      </c>
      <c r="B1704" t="s">
        <v>3527</v>
      </c>
      <c r="C1704" t="s">
        <v>255</v>
      </c>
      <c r="D1704">
        <v>4.8070000000000004</v>
      </c>
      <c r="E1704" s="4">
        <v>1538</v>
      </c>
      <c r="F1704" t="str">
        <f>HYPERLINK("https://www.google.com/maps/search/?api=1&amp;query=24.49680345,44.38447465", "View Map")</f>
        <v>View Map</v>
      </c>
      <c r="G1704" s="2">
        <v>0.74362557858336753</v>
      </c>
    </row>
    <row r="1705" spans="1:7" x14ac:dyDescent="0.3">
      <c r="A1705" t="s">
        <v>3172</v>
      </c>
      <c r="B1705" t="s">
        <v>3173</v>
      </c>
      <c r="C1705" t="s">
        <v>8</v>
      </c>
      <c r="D1705">
        <v>4.8029999999999999</v>
      </c>
      <c r="E1705" s="4">
        <v>1537</v>
      </c>
      <c r="F1705" t="str">
        <f>HYPERLINK("https://www.google.com/maps/search/?api=1&amp;query=24.71926343,46.68494767", "View Map")</f>
        <v>View Map</v>
      </c>
    </row>
    <row r="1706" spans="1:7" x14ac:dyDescent="0.3">
      <c r="A1706" t="s">
        <v>3156</v>
      </c>
      <c r="B1706" t="s">
        <v>3157</v>
      </c>
      <c r="C1706" t="s">
        <v>214</v>
      </c>
      <c r="D1706">
        <v>4.8029999999999999</v>
      </c>
      <c r="E1706" s="4">
        <v>1537</v>
      </c>
      <c r="F1706" t="str">
        <f>HYPERLINK("https://www.google.com/maps/search/?api=1&amp;query=25.67378258,45.45701651", "View Map")</f>
        <v>View Map</v>
      </c>
      <c r="G1706" s="2">
        <v>0.70259258992823004</v>
      </c>
    </row>
    <row r="1707" spans="1:7" x14ac:dyDescent="0.3">
      <c r="A1707" t="s">
        <v>3631</v>
      </c>
      <c r="B1707" t="s">
        <v>3632</v>
      </c>
      <c r="C1707" t="s">
        <v>21</v>
      </c>
      <c r="D1707">
        <v>4.8019999999999996</v>
      </c>
      <c r="E1707" s="4">
        <v>1537</v>
      </c>
      <c r="F1707" t="str">
        <f>HYPERLINK("https://www.google.com/maps/search/?api=1&amp;query=26.30819051,44.80069002", "View Map")</f>
        <v>View Map</v>
      </c>
      <c r="G1707" s="2">
        <v>0.74241374892272149</v>
      </c>
    </row>
    <row r="1708" spans="1:7" x14ac:dyDescent="0.3">
      <c r="A1708" t="s">
        <v>11333</v>
      </c>
      <c r="B1708" t="s">
        <v>11334</v>
      </c>
      <c r="C1708" t="s">
        <v>30</v>
      </c>
      <c r="D1708">
        <v>4.7990000000000004</v>
      </c>
      <c r="E1708" s="4">
        <v>1536</v>
      </c>
      <c r="F1708" t="str">
        <f>HYPERLINK("https://www.google.com/maps/search/?api=1&amp;query=24.15224316,47.31949049", "View Map")</f>
        <v>View Map</v>
      </c>
      <c r="G1708" s="2">
        <v>0.4192193526375268</v>
      </c>
    </row>
    <row r="1709" spans="1:7" x14ac:dyDescent="0.3">
      <c r="A1709" t="s">
        <v>3356</v>
      </c>
      <c r="B1709" t="s">
        <v>3357</v>
      </c>
      <c r="C1709" t="s">
        <v>30</v>
      </c>
      <c r="D1709">
        <v>4.798</v>
      </c>
      <c r="E1709" s="4">
        <v>1535</v>
      </c>
      <c r="F1709" t="str">
        <f>HYPERLINK("https://www.google.com/maps/search/?api=1&amp;query=24.14302867,47.29647217", "View Map")</f>
        <v>View Map</v>
      </c>
      <c r="G1709" s="2">
        <v>0.63208345790035492</v>
      </c>
    </row>
    <row r="1710" spans="1:7" x14ac:dyDescent="0.3">
      <c r="A1710" t="s">
        <v>3883</v>
      </c>
      <c r="B1710" t="s">
        <v>3884</v>
      </c>
      <c r="C1710" t="s">
        <v>393</v>
      </c>
      <c r="D1710">
        <v>4.7969999999999997</v>
      </c>
      <c r="E1710" s="4">
        <v>1535</v>
      </c>
      <c r="F1710" t="str">
        <f>HYPERLINK("https://www.google.com/maps/search/?api=1&amp;query=23.0840646,45.02244813", "View Map")</f>
        <v>View Map</v>
      </c>
      <c r="G1710" s="2">
        <v>0.92263321001842835</v>
      </c>
    </row>
    <row r="1711" spans="1:7" x14ac:dyDescent="0.3">
      <c r="A1711" t="s">
        <v>3164</v>
      </c>
      <c r="B1711" t="s">
        <v>3165</v>
      </c>
      <c r="C1711" t="s">
        <v>255</v>
      </c>
      <c r="D1711">
        <v>4.7960000000000003</v>
      </c>
      <c r="E1711" s="4">
        <v>1535</v>
      </c>
      <c r="F1711" t="str">
        <f>HYPERLINK("https://www.google.com/maps/search/?api=1&amp;query=25.0127334,43.83355829", "View Map")</f>
        <v>View Map</v>
      </c>
      <c r="G1711" s="2">
        <v>0.38973554579901509</v>
      </c>
    </row>
    <row r="1712" spans="1:7" x14ac:dyDescent="0.3">
      <c r="A1712" t="s">
        <v>146</v>
      </c>
      <c r="B1712" t="s">
        <v>2881</v>
      </c>
      <c r="C1712" t="s">
        <v>8</v>
      </c>
      <c r="D1712">
        <v>4.7949999999999999</v>
      </c>
      <c r="E1712" s="4">
        <v>1534</v>
      </c>
      <c r="F1712" t="str">
        <f>HYPERLINK("https://www.google.com/maps/search/?api=1&amp;query=24.55584605,46.61643833", "View Map")</f>
        <v>View Map</v>
      </c>
    </row>
    <row r="1713" spans="1:7" x14ac:dyDescent="0.3">
      <c r="A1713" t="s">
        <v>2857</v>
      </c>
      <c r="B1713" t="s">
        <v>4579</v>
      </c>
      <c r="C1713" t="s">
        <v>8</v>
      </c>
      <c r="D1713">
        <v>4.7930000000000001</v>
      </c>
      <c r="E1713" s="4">
        <v>1534</v>
      </c>
      <c r="F1713" t="str">
        <f>HYPERLINK("https://www.google.com/maps/search/?api=1&amp;query=24.80888281,46.65732768", "View Map")</f>
        <v>View Map</v>
      </c>
    </row>
    <row r="1714" spans="1:7" x14ac:dyDescent="0.3">
      <c r="A1714" t="s">
        <v>5599</v>
      </c>
      <c r="B1714" t="s">
        <v>5600</v>
      </c>
      <c r="C1714" t="s">
        <v>8</v>
      </c>
      <c r="D1714">
        <v>4.79</v>
      </c>
      <c r="E1714" s="4">
        <v>1533</v>
      </c>
      <c r="F1714" t="str">
        <f>HYPERLINK("https://www.google.com/maps/search/?api=1&amp;query=24.74849,46.63606", "View Map")</f>
        <v>View Map</v>
      </c>
    </row>
    <row r="1715" spans="1:7" x14ac:dyDescent="0.3">
      <c r="A1715" t="s">
        <v>3343</v>
      </c>
      <c r="B1715" t="s">
        <v>3344</v>
      </c>
      <c r="C1715" t="s">
        <v>137</v>
      </c>
      <c r="D1715">
        <v>4.7880000000000003</v>
      </c>
      <c r="E1715" s="4">
        <v>1532</v>
      </c>
      <c r="F1715" t="str">
        <f>HYPERLINK("https://www.google.com/maps/search/?api=1&amp;query=23.49188929,46.86474432", "View Map")</f>
        <v>View Map</v>
      </c>
      <c r="G1715" s="2">
        <v>0.44489391316986349</v>
      </c>
    </row>
    <row r="1716" spans="1:7" x14ac:dyDescent="0.3">
      <c r="A1716" t="s">
        <v>8001</v>
      </c>
      <c r="B1716" t="s">
        <v>8002</v>
      </c>
      <c r="C1716" t="s">
        <v>8</v>
      </c>
      <c r="D1716">
        <v>4.7850000000000001</v>
      </c>
      <c r="E1716" s="4">
        <v>1531</v>
      </c>
      <c r="F1716" t="str">
        <f>HYPERLINK("https://www.google.com/maps/search/?api=1&amp;query=24.81124286,46.87934113", "View Map")</f>
        <v>View Map</v>
      </c>
    </row>
    <row r="1717" spans="1:7" x14ac:dyDescent="0.3">
      <c r="A1717" t="s">
        <v>2994</v>
      </c>
      <c r="B1717" t="s">
        <v>2995</v>
      </c>
      <c r="C1717" t="s">
        <v>286</v>
      </c>
      <c r="D1717">
        <v>4.7830000000000004</v>
      </c>
      <c r="E1717" s="4">
        <v>1531</v>
      </c>
      <c r="F1717" t="str">
        <f>HYPERLINK("https://www.google.com/maps/search/?api=1&amp;query=25.25102779,45.23360559", "View Map")</f>
        <v>View Map</v>
      </c>
      <c r="G1717" s="2">
        <v>0.42465454521481888</v>
      </c>
    </row>
    <row r="1718" spans="1:7" x14ac:dyDescent="0.3">
      <c r="A1718" t="s">
        <v>3447</v>
      </c>
      <c r="B1718" t="s">
        <v>3448</v>
      </c>
      <c r="C1718" t="s">
        <v>30</v>
      </c>
      <c r="D1718">
        <v>4.7830000000000004</v>
      </c>
      <c r="E1718" s="4">
        <v>1530</v>
      </c>
      <c r="F1718" t="str">
        <f>HYPERLINK("https://www.google.com/maps/search/?api=1&amp;query=24.13698984,47.2831484", "View Map")</f>
        <v>View Map</v>
      </c>
      <c r="G1718" s="2">
        <v>0.52277649093483347</v>
      </c>
    </row>
    <row r="1719" spans="1:7" x14ac:dyDescent="0.3">
      <c r="A1719" t="s">
        <v>4244</v>
      </c>
      <c r="B1719" t="s">
        <v>4245</v>
      </c>
      <c r="C1719" t="s">
        <v>364</v>
      </c>
      <c r="D1719">
        <v>4.782</v>
      </c>
      <c r="E1719" s="4">
        <v>1530</v>
      </c>
      <c r="F1719" t="str">
        <f>HYPERLINK("https://www.google.com/maps/search/?api=1&amp;query=25.27649333,45.86269631", "View Map")</f>
        <v>View Map</v>
      </c>
      <c r="G1719" s="2">
        <v>0.70625950945497673</v>
      </c>
    </row>
    <row r="1720" spans="1:7" x14ac:dyDescent="0.3">
      <c r="A1720" t="s">
        <v>775</v>
      </c>
      <c r="B1720" t="s">
        <v>3422</v>
      </c>
      <c r="C1720" t="s">
        <v>8</v>
      </c>
      <c r="D1720">
        <v>4.78</v>
      </c>
      <c r="E1720" s="4">
        <v>1530</v>
      </c>
      <c r="F1720" t="str">
        <f>HYPERLINK("https://www.google.com/maps/search/?api=1&amp;query=24.5919537,46.7471375", "View Map")</f>
        <v>View Map</v>
      </c>
      <c r="G1720" s="2">
        <v>0.98191287456896181</v>
      </c>
    </row>
    <row r="1721" spans="1:7" x14ac:dyDescent="0.3">
      <c r="A1721" t="s">
        <v>3189</v>
      </c>
      <c r="B1721" t="s">
        <v>3190</v>
      </c>
      <c r="C1721" t="s">
        <v>30</v>
      </c>
      <c r="D1721">
        <v>4.78</v>
      </c>
      <c r="E1721" s="4">
        <v>1530</v>
      </c>
      <c r="F1721" t="str">
        <f>HYPERLINK("https://www.google.com/maps/search/?api=1&amp;query=24.15854041,47.35769802", "View Map")</f>
        <v>View Map</v>
      </c>
      <c r="G1721" s="2">
        <v>0.5644213551261037</v>
      </c>
    </row>
    <row r="1722" spans="1:7" x14ac:dyDescent="0.3">
      <c r="A1722" t="s">
        <v>3957</v>
      </c>
      <c r="B1722" t="s">
        <v>3958</v>
      </c>
      <c r="C1722" t="s">
        <v>8</v>
      </c>
      <c r="D1722">
        <v>4.7789999999999999</v>
      </c>
      <c r="E1722" s="4">
        <v>1529</v>
      </c>
      <c r="F1722" t="str">
        <f>HYPERLINK("https://www.google.com/maps/search/?api=1&amp;query=24.64895845,46.66863506", "View Map")</f>
        <v>View Map</v>
      </c>
    </row>
    <row r="1723" spans="1:7" x14ac:dyDescent="0.3">
      <c r="A1723" t="s">
        <v>6923</v>
      </c>
      <c r="B1723" t="s">
        <v>6924</v>
      </c>
      <c r="C1723" t="s">
        <v>8</v>
      </c>
      <c r="D1723">
        <v>4.7789999999999999</v>
      </c>
      <c r="E1723" s="4">
        <v>1529</v>
      </c>
      <c r="F1723" t="str">
        <f>HYPERLINK("https://www.google.com/maps/search/?api=1&amp;query=24.6040041,46.71884601", "View Map")</f>
        <v>View Map</v>
      </c>
    </row>
    <row r="1724" spans="1:7" x14ac:dyDescent="0.3">
      <c r="A1724" t="s">
        <v>3286</v>
      </c>
      <c r="B1724" t="s">
        <v>3287</v>
      </c>
      <c r="C1724" t="s">
        <v>8</v>
      </c>
      <c r="D1724">
        <v>4.7770000000000001</v>
      </c>
      <c r="E1724" s="4">
        <v>1529</v>
      </c>
      <c r="F1724" t="str">
        <f>HYPERLINK("https://www.google.com/maps/search/?api=1&amp;query=24.61055679,46.67228234", "View Map")</f>
        <v>View Map</v>
      </c>
      <c r="G1724" s="2">
        <v>0.38440795239604281</v>
      </c>
    </row>
    <row r="1725" spans="1:7" x14ac:dyDescent="0.3">
      <c r="A1725" t="s">
        <v>3893</v>
      </c>
      <c r="B1725" t="s">
        <v>3894</v>
      </c>
      <c r="C1725" t="s">
        <v>8</v>
      </c>
      <c r="D1725">
        <v>4.7720000000000002</v>
      </c>
      <c r="E1725" s="4">
        <v>1527</v>
      </c>
      <c r="F1725" t="str">
        <f>HYPERLINK("https://www.google.com/maps/search/?api=1&amp;query=24.60263241,46.66814416", "View Map")</f>
        <v>View Map</v>
      </c>
    </row>
    <row r="1726" spans="1:7" x14ac:dyDescent="0.3">
      <c r="A1726" t="s">
        <v>385</v>
      </c>
      <c r="B1726" t="s">
        <v>11335</v>
      </c>
      <c r="C1726" t="s">
        <v>255</v>
      </c>
      <c r="D1726">
        <v>4.7699999999999996</v>
      </c>
      <c r="E1726" s="4">
        <v>1526</v>
      </c>
      <c r="F1726" t="str">
        <f>HYPERLINK("https://www.google.com/maps/search/?api=1&amp;query=24.5164214,44.37374979", "View Map")</f>
        <v>View Map</v>
      </c>
      <c r="G1726" s="2">
        <v>0.64871677046386045</v>
      </c>
    </row>
    <row r="1727" spans="1:7" x14ac:dyDescent="0.3">
      <c r="A1727" t="s">
        <v>4650</v>
      </c>
      <c r="B1727" t="s">
        <v>4651</v>
      </c>
      <c r="C1727" t="s">
        <v>8</v>
      </c>
      <c r="D1727">
        <v>4.7699999999999996</v>
      </c>
      <c r="E1727" s="4">
        <v>1527</v>
      </c>
      <c r="F1727" t="str">
        <f>HYPERLINK("https://www.google.com/maps/search/?api=1&amp;query=24.76981515,46.78986917", "View Map")</f>
        <v>View Map</v>
      </c>
    </row>
    <row r="1728" spans="1:7" x14ac:dyDescent="0.3">
      <c r="A1728" t="s">
        <v>46</v>
      </c>
      <c r="B1728" t="s">
        <v>5539</v>
      </c>
      <c r="C1728" t="s">
        <v>8</v>
      </c>
      <c r="D1728">
        <v>4.7690000000000001</v>
      </c>
      <c r="E1728" s="4">
        <v>1526</v>
      </c>
      <c r="F1728" t="str">
        <f>HYPERLINK("https://www.google.com/maps/search/?api=1&amp;query=24.92525789,46.82341566", "View Map")</f>
        <v>View Map</v>
      </c>
      <c r="G1728" s="2">
        <v>0.55655541698335975</v>
      </c>
    </row>
    <row r="1729" spans="1:7" x14ac:dyDescent="0.3">
      <c r="A1729" t="s">
        <v>5569</v>
      </c>
      <c r="B1729" t="s">
        <v>5570</v>
      </c>
      <c r="C1729" t="s">
        <v>8</v>
      </c>
      <c r="D1729">
        <v>4.7690000000000001</v>
      </c>
      <c r="E1729" s="4">
        <v>1526</v>
      </c>
      <c r="F1729" t="str">
        <f>HYPERLINK("https://www.google.com/maps/search/?api=1&amp;query=24.63814052,46.55946536", "View Map")</f>
        <v>View Map</v>
      </c>
      <c r="G1729" s="2">
        <v>0.45555208607871261</v>
      </c>
    </row>
    <row r="1730" spans="1:7" x14ac:dyDescent="0.3">
      <c r="A1730" t="s">
        <v>3236</v>
      </c>
      <c r="B1730" t="s">
        <v>3237</v>
      </c>
      <c r="C1730" t="s">
        <v>8</v>
      </c>
      <c r="D1730">
        <v>4.766</v>
      </c>
      <c r="E1730" s="4">
        <v>1525</v>
      </c>
      <c r="F1730" t="str">
        <f>HYPERLINK("https://www.google.com/maps/search/?api=1&amp;query=24.78581512,46.78185771", "View Map")</f>
        <v>View Map</v>
      </c>
    </row>
    <row r="1731" spans="1:7" x14ac:dyDescent="0.3">
      <c r="A1731" t="s">
        <v>1707</v>
      </c>
      <c r="B1731" t="s">
        <v>1708</v>
      </c>
      <c r="C1731" t="s">
        <v>8</v>
      </c>
      <c r="D1731">
        <v>4.766</v>
      </c>
      <c r="E1731" s="4">
        <v>1525</v>
      </c>
      <c r="F1731" t="str">
        <f>HYPERLINK("https://www.google.com/maps/search/?api=1&amp;query=24.75562052,46.79947296", "View Map")</f>
        <v>View Map</v>
      </c>
    </row>
    <row r="1732" spans="1:7" x14ac:dyDescent="0.3">
      <c r="A1732" t="s">
        <v>2833</v>
      </c>
      <c r="B1732" t="s">
        <v>2834</v>
      </c>
      <c r="C1732" t="s">
        <v>21</v>
      </c>
      <c r="D1732">
        <v>4.7640000000000002</v>
      </c>
      <c r="E1732" s="4">
        <v>1525</v>
      </c>
      <c r="F1732" t="str">
        <f>HYPERLINK("https://www.google.com/maps/search/?api=1&amp;query=26.31689516,44.81432644", "View Map")</f>
        <v>View Map</v>
      </c>
      <c r="G1732" s="2">
        <v>0.41381754256749481</v>
      </c>
    </row>
    <row r="1733" spans="1:7" x14ac:dyDescent="0.3">
      <c r="A1733" t="s">
        <v>3164</v>
      </c>
      <c r="B1733" t="s">
        <v>4188</v>
      </c>
      <c r="C1733" t="s">
        <v>255</v>
      </c>
      <c r="D1733">
        <v>4.7640000000000002</v>
      </c>
      <c r="E1733" s="4">
        <v>1524</v>
      </c>
      <c r="F1733" t="str">
        <f>HYPERLINK("https://www.google.com/maps/search/?api=1&amp;query=25.09854744,43.80529854", "View Map")</f>
        <v>View Map</v>
      </c>
      <c r="G1733" s="2">
        <v>0.79179399265026107</v>
      </c>
    </row>
    <row r="1734" spans="1:7" x14ac:dyDescent="0.3">
      <c r="A1734" t="s">
        <v>817</v>
      </c>
      <c r="B1734" t="s">
        <v>3155</v>
      </c>
      <c r="C1734" t="s">
        <v>30</v>
      </c>
      <c r="D1734">
        <v>4.7629999999999999</v>
      </c>
      <c r="E1734" s="4">
        <v>1524</v>
      </c>
      <c r="F1734" t="str">
        <f>HYPERLINK("https://www.google.com/maps/search/?api=1&amp;query=24.13352099,47.28804134", "View Map")</f>
        <v>View Map</v>
      </c>
      <c r="G1734" s="2">
        <v>0.82123113695014704</v>
      </c>
    </row>
    <row r="1735" spans="1:7" x14ac:dyDescent="0.3">
      <c r="A1735" t="s">
        <v>881</v>
      </c>
      <c r="B1735" t="s">
        <v>1928</v>
      </c>
      <c r="C1735" t="s">
        <v>883</v>
      </c>
      <c r="D1735">
        <v>4.7629999999999999</v>
      </c>
      <c r="E1735" s="4">
        <v>1524</v>
      </c>
      <c r="F1735" t="str">
        <f>HYPERLINK("https://www.google.com/maps/search/?api=1&amp;query=25.56690174,47.17696751", "View Map")</f>
        <v>View Map</v>
      </c>
      <c r="G1735" s="2">
        <v>0.45412441582438118</v>
      </c>
    </row>
    <row r="1736" spans="1:7" x14ac:dyDescent="0.3">
      <c r="A1736" t="s">
        <v>2652</v>
      </c>
      <c r="B1736" t="s">
        <v>2653</v>
      </c>
      <c r="C1736" t="s">
        <v>255</v>
      </c>
      <c r="D1736">
        <v>4.7619999999999996</v>
      </c>
      <c r="E1736" s="4">
        <v>1524</v>
      </c>
      <c r="F1736" t="str">
        <f>HYPERLINK("https://www.google.com/maps/search/?api=1&amp;query=24.49543017,44.3764906", "View Map")</f>
        <v>View Map</v>
      </c>
    </row>
    <row r="1737" spans="1:7" x14ac:dyDescent="0.3">
      <c r="A1737" t="s">
        <v>9577</v>
      </c>
      <c r="B1737" t="s">
        <v>9578</v>
      </c>
      <c r="C1737" t="s">
        <v>8</v>
      </c>
      <c r="D1737">
        <v>4.7569999999999997</v>
      </c>
      <c r="E1737" s="4">
        <v>1522</v>
      </c>
      <c r="F1737" t="str">
        <f>HYPERLINK("https://www.google.com/maps/search/?api=1&amp;query=24.73544912,46.83330853", "View Map")</f>
        <v>View Map</v>
      </c>
    </row>
    <row r="1738" spans="1:7" x14ac:dyDescent="0.3">
      <c r="A1738" t="s">
        <v>2848</v>
      </c>
      <c r="B1738" t="s">
        <v>3081</v>
      </c>
      <c r="C1738" t="s">
        <v>214</v>
      </c>
      <c r="D1738">
        <v>4.7549999999999999</v>
      </c>
      <c r="E1738" s="4">
        <v>1522</v>
      </c>
      <c r="F1738" t="str">
        <f>HYPERLINK("https://www.google.com/maps/search/?api=1&amp;query=26.5090677,45.34735978", "View Map")</f>
        <v>View Map</v>
      </c>
      <c r="G1738" s="2">
        <v>0.74635126118243234</v>
      </c>
    </row>
    <row r="1739" spans="1:7" x14ac:dyDescent="0.3">
      <c r="A1739" t="s">
        <v>589</v>
      </c>
      <c r="B1739" t="s">
        <v>590</v>
      </c>
      <c r="C1739" t="s">
        <v>291</v>
      </c>
      <c r="D1739">
        <v>4.7539999999999996</v>
      </c>
      <c r="E1739" s="4">
        <v>1521</v>
      </c>
      <c r="F1739" t="str">
        <f>HYPERLINK("https://www.google.com/maps/search/?api=1&amp;query=24.06063716,45.27954389", "View Map")</f>
        <v>View Map</v>
      </c>
      <c r="G1739" s="2">
        <v>0.24156535590383241</v>
      </c>
    </row>
    <row r="1740" spans="1:7" x14ac:dyDescent="0.3">
      <c r="A1740" t="s">
        <v>46</v>
      </c>
      <c r="B1740" t="s">
        <v>4869</v>
      </c>
      <c r="C1740" t="s">
        <v>8</v>
      </c>
      <c r="D1740">
        <v>4.7489999999999997</v>
      </c>
      <c r="E1740" s="4">
        <v>1520</v>
      </c>
      <c r="F1740" t="str">
        <f>HYPERLINK("https://www.google.com/maps/search/?api=1&amp;query=24.80897062,46.82532211", "View Map")</f>
        <v>View Map</v>
      </c>
    </row>
    <row r="1741" spans="1:7" x14ac:dyDescent="0.3">
      <c r="A1741" t="s">
        <v>2473</v>
      </c>
      <c r="B1741" t="s">
        <v>2474</v>
      </c>
      <c r="C1741" t="s">
        <v>8</v>
      </c>
      <c r="D1741">
        <v>4.7469999999999999</v>
      </c>
      <c r="E1741" s="4">
        <v>1519</v>
      </c>
      <c r="F1741" t="str">
        <f>HYPERLINK("https://www.google.com/maps/search/?api=1&amp;query=24.73660421,46.76481192", "View Map")</f>
        <v>View Map</v>
      </c>
    </row>
    <row r="1742" spans="1:7" x14ac:dyDescent="0.3">
      <c r="A1742" t="s">
        <v>3423</v>
      </c>
      <c r="B1742" t="s">
        <v>3424</v>
      </c>
      <c r="C1742" t="s">
        <v>21</v>
      </c>
      <c r="D1742">
        <v>4.7460000000000004</v>
      </c>
      <c r="E1742" s="4">
        <v>1519</v>
      </c>
      <c r="F1742" t="str">
        <f>HYPERLINK("https://www.google.com/maps/search/?api=1&amp;query=26.29852686,44.82937323", "View Map")</f>
        <v>View Map</v>
      </c>
      <c r="G1742" s="2">
        <v>0.70400232072436564</v>
      </c>
    </row>
    <row r="1743" spans="1:7" x14ac:dyDescent="0.3">
      <c r="A1743" t="s">
        <v>1154</v>
      </c>
      <c r="B1743" t="s">
        <v>1155</v>
      </c>
      <c r="C1743" t="s">
        <v>8</v>
      </c>
      <c r="D1743">
        <v>4.7460000000000004</v>
      </c>
      <c r="E1743" s="4">
        <v>1519</v>
      </c>
      <c r="F1743" t="str">
        <f>HYPERLINK("https://www.google.com/maps/search/?api=1&amp;query=24.64746215,46.79678856", "View Map")</f>
        <v>View Map</v>
      </c>
      <c r="G1743" s="2">
        <v>0.27032960347394019</v>
      </c>
    </row>
    <row r="1744" spans="1:7" x14ac:dyDescent="0.3">
      <c r="A1744" t="s">
        <v>1208</v>
      </c>
      <c r="B1744" t="s">
        <v>1209</v>
      </c>
      <c r="C1744" t="s">
        <v>8</v>
      </c>
      <c r="D1744">
        <v>4.7450000000000001</v>
      </c>
      <c r="E1744" s="4">
        <v>1518</v>
      </c>
      <c r="F1744" t="str">
        <f>HYPERLINK("https://www.google.com/maps/search/?api=1&amp;query=24.62,46.6947", "View Map")</f>
        <v>View Map</v>
      </c>
    </row>
    <row r="1745" spans="1:7" x14ac:dyDescent="0.3">
      <c r="A1745" t="s">
        <v>4165</v>
      </c>
      <c r="B1745" t="s">
        <v>4166</v>
      </c>
      <c r="C1745" t="s">
        <v>8</v>
      </c>
      <c r="D1745">
        <v>4.7439999999999998</v>
      </c>
      <c r="E1745" s="4">
        <v>1518</v>
      </c>
      <c r="F1745" t="str">
        <f>HYPERLINK("https://www.google.com/maps/search/?api=1&amp;query=24.69888548,46.81699186", "View Map")</f>
        <v>View Map</v>
      </c>
    </row>
    <row r="1746" spans="1:7" x14ac:dyDescent="0.3">
      <c r="A1746" t="s">
        <v>3071</v>
      </c>
      <c r="B1746" t="s">
        <v>3072</v>
      </c>
      <c r="C1746" t="s">
        <v>21</v>
      </c>
      <c r="D1746">
        <v>4.7430000000000003</v>
      </c>
      <c r="E1746" s="4">
        <v>1518</v>
      </c>
      <c r="F1746" t="str">
        <f>HYPERLINK("https://www.google.com/maps/search/?api=1&amp;query=26.30608873,44.83163698", "View Map")</f>
        <v>View Map</v>
      </c>
      <c r="G1746" s="2">
        <v>0.85883716361428242</v>
      </c>
    </row>
    <row r="1747" spans="1:7" x14ac:dyDescent="0.3">
      <c r="A1747" t="s">
        <v>46</v>
      </c>
      <c r="B1747" t="s">
        <v>4853</v>
      </c>
      <c r="C1747" t="s">
        <v>8</v>
      </c>
      <c r="D1747">
        <v>4.742</v>
      </c>
      <c r="E1747" s="4">
        <v>1518</v>
      </c>
      <c r="F1747" t="str">
        <f>HYPERLINK("https://www.google.com/maps/search/?api=1&amp;query=24.83867618,46.77747984", "View Map")</f>
        <v>View Map</v>
      </c>
    </row>
    <row r="1748" spans="1:7" x14ac:dyDescent="0.3">
      <c r="A1748" t="s">
        <v>2146</v>
      </c>
      <c r="B1748" t="s">
        <v>2147</v>
      </c>
      <c r="C1748" t="s">
        <v>8</v>
      </c>
      <c r="D1748">
        <v>4.74</v>
      </c>
      <c r="E1748" s="4">
        <v>1517</v>
      </c>
      <c r="F1748" t="str">
        <f>HYPERLINK("https://www.google.com/maps/search/?api=1&amp;query=24.5483376,46.70362731", "View Map")</f>
        <v>View Map</v>
      </c>
    </row>
    <row r="1749" spans="1:7" x14ac:dyDescent="0.3">
      <c r="A1749" t="s">
        <v>4331</v>
      </c>
      <c r="B1749" t="s">
        <v>4332</v>
      </c>
      <c r="C1749" t="s">
        <v>8</v>
      </c>
      <c r="D1749">
        <v>4.7380000000000004</v>
      </c>
      <c r="E1749" s="4">
        <v>1516</v>
      </c>
      <c r="F1749" t="str">
        <f>HYPERLINK("https://www.google.com/maps/search/?api=1&amp;query=24.65299869,46.67011321", "View Map")</f>
        <v>View Map</v>
      </c>
    </row>
    <row r="1750" spans="1:7" x14ac:dyDescent="0.3">
      <c r="A1750" t="s">
        <v>2568</v>
      </c>
      <c r="B1750" t="s">
        <v>2569</v>
      </c>
      <c r="C1750" t="s">
        <v>8</v>
      </c>
      <c r="D1750">
        <v>4.7380000000000004</v>
      </c>
      <c r="E1750" s="4">
        <v>1516</v>
      </c>
      <c r="F1750" t="str">
        <f>HYPERLINK("https://www.google.com/maps/search/?api=1&amp;query=24.5557612,46.72303303", "View Map")</f>
        <v>View Map</v>
      </c>
      <c r="G1750" s="2">
        <v>0.44029508116855842</v>
      </c>
    </row>
    <row r="1751" spans="1:7" x14ac:dyDescent="0.3">
      <c r="A1751" t="s">
        <v>1750</v>
      </c>
      <c r="B1751" t="s">
        <v>1751</v>
      </c>
      <c r="C1751" t="s">
        <v>8</v>
      </c>
      <c r="D1751">
        <v>4.7320000000000002</v>
      </c>
      <c r="E1751" s="4">
        <v>1514</v>
      </c>
      <c r="F1751" t="str">
        <f>HYPERLINK("https://www.google.com/maps/search/?api=1&amp;query=24.7043586,46.81605043", "View Map")</f>
        <v>View Map</v>
      </c>
      <c r="G1751" s="2">
        <v>0.27502450480582258</v>
      </c>
    </row>
    <row r="1752" spans="1:7" x14ac:dyDescent="0.3">
      <c r="A1752" t="s">
        <v>5262</v>
      </c>
      <c r="B1752" t="s">
        <v>5263</v>
      </c>
      <c r="C1752" t="s">
        <v>8</v>
      </c>
      <c r="D1752">
        <v>4.7290000000000001</v>
      </c>
      <c r="E1752" s="4">
        <v>1513</v>
      </c>
      <c r="F1752" t="str">
        <f>HYPERLINK("https://www.google.com/maps/search/?api=1&amp;query=24.58096773,46.68390103", "View Map")</f>
        <v>View Map</v>
      </c>
    </row>
    <row r="1753" spans="1:7" x14ac:dyDescent="0.3">
      <c r="A1753" t="s">
        <v>146</v>
      </c>
      <c r="B1753" t="s">
        <v>2746</v>
      </c>
      <c r="C1753" t="s">
        <v>8</v>
      </c>
      <c r="D1753">
        <v>4.7279999999999998</v>
      </c>
      <c r="E1753" s="4">
        <v>1513</v>
      </c>
      <c r="F1753" t="str">
        <f>HYPERLINK("https://www.google.com/maps/search/?api=1&amp;query=24.64706997,46.69197153", "View Map")</f>
        <v>View Map</v>
      </c>
    </row>
    <row r="1754" spans="1:7" x14ac:dyDescent="0.3">
      <c r="A1754" t="s">
        <v>46</v>
      </c>
      <c r="B1754" t="s">
        <v>4890</v>
      </c>
      <c r="C1754" t="s">
        <v>8</v>
      </c>
      <c r="D1754">
        <v>4.7270000000000003</v>
      </c>
      <c r="E1754" s="4">
        <v>1513</v>
      </c>
      <c r="F1754" t="str">
        <f>HYPERLINK("https://www.google.com/maps/search/?api=1&amp;query=24.8261,46.6792", "View Map")</f>
        <v>View Map</v>
      </c>
    </row>
    <row r="1755" spans="1:7" x14ac:dyDescent="0.3">
      <c r="A1755" t="s">
        <v>4429</v>
      </c>
      <c r="B1755" t="s">
        <v>4430</v>
      </c>
      <c r="C1755" t="s">
        <v>255</v>
      </c>
      <c r="D1755">
        <v>4.7270000000000003</v>
      </c>
      <c r="E1755" s="4">
        <v>1513</v>
      </c>
      <c r="F1755" t="str">
        <f>HYPERLINK("https://www.google.com/maps/search/?api=1&amp;query=25.18606944,44.59945533", "View Map")</f>
        <v>View Map</v>
      </c>
    </row>
    <row r="1756" spans="1:7" x14ac:dyDescent="0.3">
      <c r="A1756" t="s">
        <v>5019</v>
      </c>
      <c r="B1756" t="s">
        <v>5020</v>
      </c>
      <c r="C1756" t="s">
        <v>8</v>
      </c>
      <c r="D1756">
        <v>4.726</v>
      </c>
      <c r="E1756" s="4">
        <v>1512</v>
      </c>
      <c r="F1756" t="str">
        <f>HYPERLINK("https://www.google.com/maps/search/?api=1&amp;query=24.66503208,46.72114448", "View Map")</f>
        <v>View Map</v>
      </c>
    </row>
    <row r="1757" spans="1:7" x14ac:dyDescent="0.3">
      <c r="A1757" t="s">
        <v>3955</v>
      </c>
      <c r="B1757" t="s">
        <v>3956</v>
      </c>
      <c r="C1757" t="s">
        <v>214</v>
      </c>
      <c r="D1757">
        <v>4.7240000000000002</v>
      </c>
      <c r="E1757" s="4">
        <v>1512</v>
      </c>
      <c r="F1757" t="str">
        <f>HYPERLINK("https://www.google.com/maps/search/?api=1&amp;query=25.57531292,45.66060232", "View Map")</f>
        <v>View Map</v>
      </c>
      <c r="G1757" s="2">
        <v>0.82655954231331952</v>
      </c>
    </row>
    <row r="1758" spans="1:7" x14ac:dyDescent="0.3">
      <c r="A1758" t="s">
        <v>3000</v>
      </c>
      <c r="B1758" t="s">
        <v>3001</v>
      </c>
      <c r="C1758" t="s">
        <v>8</v>
      </c>
      <c r="D1758">
        <v>4.7220000000000004</v>
      </c>
      <c r="E1758" s="4">
        <v>1511</v>
      </c>
      <c r="F1758" t="str">
        <f>HYPERLINK("https://www.google.com/maps/search/?api=1&amp;query=24.71718451,46.77474608", "View Map")</f>
        <v>View Map</v>
      </c>
      <c r="G1758" s="2">
        <v>0.63650331955321282</v>
      </c>
    </row>
    <row r="1759" spans="1:7" x14ac:dyDescent="0.3">
      <c r="A1759" t="s">
        <v>3378</v>
      </c>
      <c r="B1759" t="s">
        <v>3379</v>
      </c>
      <c r="C1759" t="s">
        <v>255</v>
      </c>
      <c r="D1759">
        <v>4.7190000000000003</v>
      </c>
      <c r="E1759" s="4">
        <v>1510</v>
      </c>
      <c r="F1759" t="str">
        <f>HYPERLINK("https://www.google.com/maps/search/?api=1&amp;query=24.52425217,43.87994738", "View Map")</f>
        <v>View Map</v>
      </c>
      <c r="G1759" s="2">
        <v>0.84925854439633042</v>
      </c>
    </row>
    <row r="1760" spans="1:7" x14ac:dyDescent="0.3">
      <c r="A1760" t="s">
        <v>2168</v>
      </c>
      <c r="B1760" t="s">
        <v>6900</v>
      </c>
      <c r="C1760" t="s">
        <v>393</v>
      </c>
      <c r="D1760">
        <v>4.718</v>
      </c>
      <c r="E1760" s="4">
        <v>1510</v>
      </c>
      <c r="F1760" t="str">
        <f>HYPERLINK("https://www.google.com/maps/search/?api=1&amp;query=23.54523402,45.50866128", "View Map")</f>
        <v>View Map</v>
      </c>
      <c r="G1760" s="2">
        <v>0.7991374447504862</v>
      </c>
    </row>
    <row r="1761" spans="1:7" x14ac:dyDescent="0.3">
      <c r="A1761" t="s">
        <v>4208</v>
      </c>
      <c r="B1761" t="s">
        <v>4209</v>
      </c>
      <c r="C1761" t="s">
        <v>8</v>
      </c>
      <c r="D1761">
        <v>4.7169999999999996</v>
      </c>
      <c r="E1761" s="4">
        <v>1509</v>
      </c>
      <c r="F1761" t="str">
        <f>HYPERLINK("https://www.google.com/maps/search/?api=1&amp;query=24.62794486,46.75450609", "View Map")</f>
        <v>View Map</v>
      </c>
      <c r="G1761" s="2">
        <v>0.59679572873088294</v>
      </c>
    </row>
    <row r="1762" spans="1:7" x14ac:dyDescent="0.3">
      <c r="A1762" t="s">
        <v>73</v>
      </c>
      <c r="B1762" t="s">
        <v>5334</v>
      </c>
      <c r="C1762" t="s">
        <v>8</v>
      </c>
      <c r="D1762">
        <v>4.7160000000000002</v>
      </c>
      <c r="E1762" s="4">
        <v>1509</v>
      </c>
      <c r="F1762" t="str">
        <f>HYPERLINK("https://www.google.com/maps/search/?api=1&amp;query=24.82283085,46.59988485", "View Map")</f>
        <v>View Map</v>
      </c>
    </row>
    <row r="1763" spans="1:7" x14ac:dyDescent="0.3">
      <c r="A1763" t="s">
        <v>46</v>
      </c>
      <c r="B1763" t="s">
        <v>6138</v>
      </c>
      <c r="C1763" t="s">
        <v>8</v>
      </c>
      <c r="D1763">
        <v>4.7149999999999999</v>
      </c>
      <c r="E1763" s="4">
        <v>1509</v>
      </c>
      <c r="F1763" t="str">
        <f>HYPERLINK("https://www.google.com/maps/search/?api=1&amp;query=24.83262768,46.81771632", "View Map")</f>
        <v>View Map</v>
      </c>
    </row>
    <row r="1764" spans="1:7" x14ac:dyDescent="0.3">
      <c r="A1764" t="s">
        <v>3394</v>
      </c>
      <c r="B1764" t="s">
        <v>3395</v>
      </c>
      <c r="C1764" t="s">
        <v>8</v>
      </c>
      <c r="D1764">
        <v>4.7140000000000004</v>
      </c>
      <c r="E1764" s="4">
        <v>1509</v>
      </c>
      <c r="F1764" t="str">
        <f>HYPERLINK("https://www.google.com/maps/search/?api=1&amp;query=24.7248084,46.80294878", "View Map")</f>
        <v>View Map</v>
      </c>
    </row>
    <row r="1765" spans="1:7" x14ac:dyDescent="0.3">
      <c r="A1765" t="s">
        <v>4504</v>
      </c>
      <c r="B1765" t="s">
        <v>4505</v>
      </c>
      <c r="C1765" t="s">
        <v>8</v>
      </c>
      <c r="D1765">
        <v>4.71</v>
      </c>
      <c r="E1765" s="4">
        <v>1507</v>
      </c>
      <c r="F1765" t="str">
        <f>HYPERLINK("https://www.google.com/maps/search/?api=1&amp;query=24.61407213,46.85477443", "View Map")</f>
        <v>View Map</v>
      </c>
    </row>
    <row r="1766" spans="1:7" x14ac:dyDescent="0.3">
      <c r="A1766" t="s">
        <v>6221</v>
      </c>
      <c r="B1766" t="s">
        <v>6222</v>
      </c>
      <c r="C1766" t="s">
        <v>255</v>
      </c>
      <c r="D1766">
        <v>4.71</v>
      </c>
      <c r="E1766" s="4">
        <v>1507</v>
      </c>
      <c r="F1766" t="str">
        <f>HYPERLINK("https://www.google.com/maps/search/?api=1&amp;query=24.49979615,44.38185918", "View Map")</f>
        <v>View Map</v>
      </c>
    </row>
    <row r="1767" spans="1:7" x14ac:dyDescent="0.3">
      <c r="A1767" t="s">
        <v>3403</v>
      </c>
      <c r="B1767" t="s">
        <v>3404</v>
      </c>
      <c r="C1767" t="s">
        <v>291</v>
      </c>
      <c r="D1767">
        <v>4.71</v>
      </c>
      <c r="E1767" s="4">
        <v>1507</v>
      </c>
      <c r="F1767" t="str">
        <f>HYPERLINK("https://www.google.com/maps/search/?api=1&amp;query=24.28023226,45.18065942", "View Map")</f>
        <v>View Map</v>
      </c>
      <c r="G1767" s="2">
        <v>0.9441809888376107</v>
      </c>
    </row>
    <row r="1768" spans="1:7" x14ac:dyDescent="0.3">
      <c r="A1768" t="s">
        <v>146</v>
      </c>
      <c r="B1768" t="s">
        <v>7123</v>
      </c>
      <c r="C1768" t="s">
        <v>8</v>
      </c>
      <c r="D1768">
        <v>4.7069999999999999</v>
      </c>
      <c r="E1768" s="4">
        <v>1506</v>
      </c>
      <c r="F1768" t="str">
        <f>HYPERLINK("https://www.google.com/maps/search/?api=1&amp;query=24.557567,46.55944384", "View Map")</f>
        <v>View Map</v>
      </c>
    </row>
    <row r="1769" spans="1:7" x14ac:dyDescent="0.3">
      <c r="A1769" t="s">
        <v>2444</v>
      </c>
      <c r="B1769" t="s">
        <v>2445</v>
      </c>
      <c r="C1769" t="s">
        <v>8</v>
      </c>
      <c r="D1769">
        <v>4.7060000000000004</v>
      </c>
      <c r="E1769" s="4">
        <v>1506</v>
      </c>
      <c r="F1769" t="str">
        <f>HYPERLINK("https://www.google.com/maps/search/?api=1&amp;query=24.56964938,46.79819056", "View Map")</f>
        <v>View Map</v>
      </c>
    </row>
    <row r="1770" spans="1:7" x14ac:dyDescent="0.3">
      <c r="A1770" t="s">
        <v>5305</v>
      </c>
      <c r="B1770" t="s">
        <v>5306</v>
      </c>
      <c r="C1770" t="s">
        <v>8</v>
      </c>
      <c r="D1770">
        <v>4.7060000000000004</v>
      </c>
      <c r="E1770" s="4">
        <v>1506</v>
      </c>
      <c r="F1770" t="str">
        <f>HYPERLINK("https://www.google.com/maps/search/?api=1&amp;query=24.64328185,46.57308951", "View Map")</f>
        <v>View Map</v>
      </c>
    </row>
    <row r="1771" spans="1:7" x14ac:dyDescent="0.3">
      <c r="A1771" t="s">
        <v>469</v>
      </c>
      <c r="B1771" t="s">
        <v>2853</v>
      </c>
      <c r="C1771" t="s">
        <v>8</v>
      </c>
      <c r="D1771">
        <v>4.7030000000000003</v>
      </c>
      <c r="E1771" s="4">
        <v>1505</v>
      </c>
      <c r="F1771" t="str">
        <f>HYPERLINK("https://www.google.com/maps/search/?api=1&amp;query=24.69257482,46.75386476", "View Map")</f>
        <v>View Map</v>
      </c>
      <c r="G1771" s="2">
        <v>0.46650699224680903</v>
      </c>
    </row>
    <row r="1772" spans="1:7" x14ac:dyDescent="0.3">
      <c r="A1772" t="s">
        <v>1959</v>
      </c>
      <c r="B1772" t="s">
        <v>3169</v>
      </c>
      <c r="C1772" t="s">
        <v>8</v>
      </c>
      <c r="D1772">
        <v>4.6989999999999998</v>
      </c>
      <c r="E1772" s="4">
        <v>1504</v>
      </c>
      <c r="F1772" t="str">
        <f>HYPERLINK("https://www.google.com/maps/search/?api=1&amp;query=24.67533,46.85330097", "View Map")</f>
        <v>View Map</v>
      </c>
    </row>
    <row r="1773" spans="1:7" x14ac:dyDescent="0.3">
      <c r="A1773" t="s">
        <v>1228</v>
      </c>
      <c r="B1773" t="s">
        <v>1229</v>
      </c>
      <c r="C1773" t="s">
        <v>296</v>
      </c>
      <c r="D1773">
        <v>4.6980000000000004</v>
      </c>
      <c r="E1773" s="4">
        <v>1504</v>
      </c>
      <c r="F1773" t="str">
        <f>HYPERLINK("https://www.google.com/maps/search/?api=1&amp;query=24.47012967,46.27849951", "View Map")</f>
        <v>View Map</v>
      </c>
      <c r="G1773" s="2">
        <v>0.30281547677724707</v>
      </c>
    </row>
    <row r="1774" spans="1:7" x14ac:dyDescent="0.3">
      <c r="A1774" t="s">
        <v>963</v>
      </c>
      <c r="B1774" t="s">
        <v>3777</v>
      </c>
      <c r="C1774" t="s">
        <v>241</v>
      </c>
      <c r="D1774">
        <v>4.6950000000000003</v>
      </c>
      <c r="E1774" s="4">
        <v>1502</v>
      </c>
      <c r="F1774" t="str">
        <f>HYPERLINK("https://www.google.com/maps/search/?api=1&amp;query=20.48474575,44.77605821", "View Map")</f>
        <v>View Map</v>
      </c>
      <c r="G1774" s="2">
        <v>0.71351358976296642</v>
      </c>
    </row>
    <row r="1775" spans="1:7" x14ac:dyDescent="0.3">
      <c r="A1775" t="s">
        <v>3981</v>
      </c>
      <c r="B1775" t="s">
        <v>3982</v>
      </c>
      <c r="C1775" t="s">
        <v>8</v>
      </c>
      <c r="D1775">
        <v>4.6890000000000001</v>
      </c>
      <c r="E1775" s="4">
        <v>1500</v>
      </c>
      <c r="F1775" t="str">
        <f>HYPERLINK("https://www.google.com/maps/search/?api=1&amp;query=24.75652679,46.82470708", "View Map")</f>
        <v>View Map</v>
      </c>
    </row>
    <row r="1776" spans="1:7" x14ac:dyDescent="0.3">
      <c r="A1776" t="s">
        <v>4180</v>
      </c>
      <c r="B1776" t="s">
        <v>4181</v>
      </c>
      <c r="C1776" t="s">
        <v>8</v>
      </c>
      <c r="D1776">
        <v>4.6859999999999999</v>
      </c>
      <c r="E1776" s="4">
        <v>1500</v>
      </c>
      <c r="F1776" t="str">
        <f>HYPERLINK("https://www.google.com/maps/search/?api=1&amp;query=24.62079175,46.68137504", "View Map")</f>
        <v>View Map</v>
      </c>
      <c r="G1776" s="2">
        <v>0.49662075288761492</v>
      </c>
    </row>
    <row r="1777" spans="1:7" x14ac:dyDescent="0.3">
      <c r="A1777" t="s">
        <v>5714</v>
      </c>
      <c r="B1777" t="s">
        <v>5715</v>
      </c>
      <c r="C1777" t="s">
        <v>738</v>
      </c>
      <c r="D1777">
        <v>4.6840000000000002</v>
      </c>
      <c r="E1777" s="4">
        <v>1499</v>
      </c>
      <c r="F1777" t="str">
        <f>HYPERLINK("https://www.google.com/maps/search/?api=1&amp;query=25.16750577,46.32772719", "View Map")</f>
        <v>View Map</v>
      </c>
      <c r="G1777" s="2">
        <v>0.41847386493266719</v>
      </c>
    </row>
    <row r="1778" spans="1:7" x14ac:dyDescent="0.3">
      <c r="A1778" t="s">
        <v>8946</v>
      </c>
      <c r="B1778" t="s">
        <v>8947</v>
      </c>
      <c r="C1778" t="s">
        <v>16</v>
      </c>
      <c r="D1778">
        <v>4.6829999999999998</v>
      </c>
      <c r="E1778" s="4">
        <v>1499</v>
      </c>
      <c r="F1778" t="str">
        <f>HYPERLINK("https://www.google.com/maps/search/?api=1&amp;query=24.0248851,43.05213037", "View Map")</f>
        <v>View Map</v>
      </c>
      <c r="G1778" s="2">
        <v>0.4558585856364305</v>
      </c>
    </row>
    <row r="1779" spans="1:7" x14ac:dyDescent="0.3">
      <c r="A1779" t="s">
        <v>11336</v>
      </c>
      <c r="B1779" t="s">
        <v>11337</v>
      </c>
      <c r="C1779" t="s">
        <v>241</v>
      </c>
      <c r="D1779">
        <v>4.6820000000000004</v>
      </c>
      <c r="E1779" s="4">
        <v>1498</v>
      </c>
      <c r="F1779" t="str">
        <f>HYPERLINK("https://www.google.com/maps/search/?api=1&amp;query=20.49513101,44.74228422", "View Map")</f>
        <v>View Map</v>
      </c>
      <c r="G1779" s="2">
        <v>0.41945450197032469</v>
      </c>
    </row>
    <row r="1780" spans="1:7" x14ac:dyDescent="0.3">
      <c r="A1780" t="s">
        <v>4403</v>
      </c>
      <c r="B1780" t="s">
        <v>4404</v>
      </c>
      <c r="C1780" t="s">
        <v>255</v>
      </c>
      <c r="D1780">
        <v>4.6820000000000004</v>
      </c>
      <c r="E1780" s="4">
        <v>1498</v>
      </c>
      <c r="F1780" t="str">
        <f>HYPERLINK("https://www.google.com/maps/search/?api=1&amp;query=24.67497996,43.68389488", "View Map")</f>
        <v>View Map</v>
      </c>
    </row>
    <row r="1781" spans="1:7" x14ac:dyDescent="0.3">
      <c r="A1781" t="s">
        <v>1756</v>
      </c>
      <c r="B1781" t="s">
        <v>1757</v>
      </c>
      <c r="C1781" t="s">
        <v>8</v>
      </c>
      <c r="D1781">
        <v>4.68</v>
      </c>
      <c r="E1781" s="4">
        <v>1498</v>
      </c>
      <c r="F1781" t="str">
        <f>HYPERLINK("https://www.google.com/maps/search/?api=1&amp;query=24.67307386,46.81517151", "View Map")</f>
        <v>View Map</v>
      </c>
      <c r="G1781" s="2">
        <v>0.33074191224838889</v>
      </c>
    </row>
    <row r="1782" spans="1:7" x14ac:dyDescent="0.3">
      <c r="A1782" t="s">
        <v>3933</v>
      </c>
      <c r="B1782" t="s">
        <v>3934</v>
      </c>
      <c r="C1782" t="s">
        <v>8</v>
      </c>
      <c r="D1782">
        <v>4.6769999999999996</v>
      </c>
      <c r="E1782" s="4">
        <v>1497</v>
      </c>
      <c r="F1782" t="str">
        <f>HYPERLINK("https://www.google.com/maps/search/?api=1&amp;query=24.79834279,46.79397272", "View Map")</f>
        <v>View Map</v>
      </c>
    </row>
    <row r="1783" spans="1:7" x14ac:dyDescent="0.3">
      <c r="A1783" t="s">
        <v>3720</v>
      </c>
      <c r="B1783" t="s">
        <v>3721</v>
      </c>
      <c r="C1783" t="s">
        <v>8</v>
      </c>
      <c r="D1783">
        <v>4.6740000000000004</v>
      </c>
      <c r="E1783" s="4">
        <v>1496</v>
      </c>
      <c r="F1783" t="str">
        <f>HYPERLINK("https://www.google.com/maps/search/?api=1&amp;query=24.7672,46.675", "View Map")</f>
        <v>View Map</v>
      </c>
      <c r="G1783" s="2">
        <v>0.48047567283724307</v>
      </c>
    </row>
    <row r="1784" spans="1:7" x14ac:dyDescent="0.3">
      <c r="A1784" t="s">
        <v>4536</v>
      </c>
      <c r="B1784" t="s">
        <v>4537</v>
      </c>
      <c r="C1784" t="s">
        <v>8</v>
      </c>
      <c r="D1784">
        <v>4.673</v>
      </c>
      <c r="E1784" s="4">
        <v>1495</v>
      </c>
      <c r="F1784" t="str">
        <f>HYPERLINK("https://www.google.com/maps/search/?api=1&amp;query=24.58720564,46.78842017", "View Map")</f>
        <v>View Map</v>
      </c>
    </row>
    <row r="1785" spans="1:7" x14ac:dyDescent="0.3">
      <c r="A1785" t="s">
        <v>46</v>
      </c>
      <c r="B1785" t="s">
        <v>8367</v>
      </c>
      <c r="C1785" t="s">
        <v>8</v>
      </c>
      <c r="D1785">
        <v>4.6710000000000003</v>
      </c>
      <c r="E1785" s="4">
        <v>1495</v>
      </c>
      <c r="F1785" t="str">
        <f>HYPERLINK("https://www.google.com/maps/search/?api=1&amp;query=24.92525789,46.82341566", "View Map")</f>
        <v>View Map</v>
      </c>
    </row>
    <row r="1786" spans="1:7" x14ac:dyDescent="0.3">
      <c r="A1786" t="s">
        <v>3212</v>
      </c>
      <c r="B1786" t="s">
        <v>3213</v>
      </c>
      <c r="C1786" t="s">
        <v>8</v>
      </c>
      <c r="D1786">
        <v>4.67</v>
      </c>
      <c r="E1786" s="4">
        <v>1494</v>
      </c>
      <c r="F1786" t="str">
        <f>HYPERLINK("https://www.google.com/maps/search/?api=1&amp;query=24.63914295,46.70451745", "View Map")</f>
        <v>View Map</v>
      </c>
    </row>
    <row r="1787" spans="1:7" x14ac:dyDescent="0.3">
      <c r="A1787" t="s">
        <v>3543</v>
      </c>
      <c r="B1787" t="s">
        <v>3544</v>
      </c>
      <c r="C1787" t="s">
        <v>364</v>
      </c>
      <c r="D1787">
        <v>4.67</v>
      </c>
      <c r="E1787" s="4">
        <v>1494</v>
      </c>
      <c r="F1787" t="str">
        <f>HYPERLINK("https://www.google.com/maps/search/?api=1&amp;query=25.41745454,46.09906737", "View Map")</f>
        <v>View Map</v>
      </c>
      <c r="G1787" s="2">
        <v>0.80898314168180752</v>
      </c>
    </row>
    <row r="1788" spans="1:7" x14ac:dyDescent="0.3">
      <c r="A1788" t="s">
        <v>6579</v>
      </c>
      <c r="B1788" t="s">
        <v>6580</v>
      </c>
      <c r="C1788" t="s">
        <v>8</v>
      </c>
      <c r="D1788">
        <v>4.6689999999999996</v>
      </c>
      <c r="E1788" s="4">
        <v>1494</v>
      </c>
      <c r="F1788" t="str">
        <f>HYPERLINK("https://www.google.com/maps/search/?api=1&amp;query=24.57743291,46.61506174", "View Map")</f>
        <v>View Map</v>
      </c>
    </row>
    <row r="1789" spans="1:7" x14ac:dyDescent="0.3">
      <c r="A1789" t="s">
        <v>3333</v>
      </c>
      <c r="B1789" t="s">
        <v>3334</v>
      </c>
      <c r="C1789" t="s">
        <v>21</v>
      </c>
      <c r="D1789">
        <v>4.6669999999999998</v>
      </c>
      <c r="E1789" s="4">
        <v>1494</v>
      </c>
      <c r="F1789" t="str">
        <f>HYPERLINK("https://www.google.com/maps/search/?api=1&amp;query=26.26407745,44.80352869", "View Map")</f>
        <v>View Map</v>
      </c>
      <c r="G1789" s="2">
        <v>0.75807433618221876</v>
      </c>
    </row>
    <row r="1790" spans="1:7" x14ac:dyDescent="0.3">
      <c r="A1790" t="s">
        <v>2851</v>
      </c>
      <c r="B1790" t="s">
        <v>2852</v>
      </c>
      <c r="C1790" t="s">
        <v>883</v>
      </c>
      <c r="D1790">
        <v>4.6660000000000004</v>
      </c>
      <c r="E1790" s="4">
        <v>1493</v>
      </c>
      <c r="F1790" t="str">
        <f>HYPERLINK("https://www.google.com/maps/search/?api=1&amp;query=25.57397179,47.15612234", "View Map")</f>
        <v>View Map</v>
      </c>
    </row>
    <row r="1791" spans="1:7" x14ac:dyDescent="0.3">
      <c r="A1791" t="s">
        <v>2928</v>
      </c>
      <c r="B1791" t="s">
        <v>2929</v>
      </c>
      <c r="C1791" t="s">
        <v>8</v>
      </c>
      <c r="D1791">
        <v>4.6660000000000004</v>
      </c>
      <c r="E1791" s="4">
        <v>1493</v>
      </c>
      <c r="F1791" t="str">
        <f>HYPERLINK("https://www.google.com/maps/search/?api=1&amp;query=24.7194477,46.67688108", "View Map")</f>
        <v>View Map</v>
      </c>
    </row>
    <row r="1792" spans="1:7" x14ac:dyDescent="0.3">
      <c r="A1792" t="s">
        <v>3695</v>
      </c>
      <c r="B1792" t="s">
        <v>3696</v>
      </c>
      <c r="C1792" t="s">
        <v>21</v>
      </c>
      <c r="D1792">
        <v>4.665</v>
      </c>
      <c r="E1792" s="4">
        <v>1493</v>
      </c>
      <c r="F1792" t="str">
        <f>HYPERLINK("https://www.google.com/maps/search/?api=1&amp;query=26.30088647,44.81922226", "View Map")</f>
        <v>View Map</v>
      </c>
      <c r="G1792" s="2">
        <v>0.54634185661187906</v>
      </c>
    </row>
    <row r="1793" spans="1:7" x14ac:dyDescent="0.3">
      <c r="A1793" t="s">
        <v>46</v>
      </c>
      <c r="B1793" t="s">
        <v>6954</v>
      </c>
      <c r="C1793" t="s">
        <v>8</v>
      </c>
      <c r="D1793">
        <v>4.6630000000000003</v>
      </c>
      <c r="E1793" s="4">
        <v>1492</v>
      </c>
      <c r="F1793" t="str">
        <f>HYPERLINK("https://www.google.com/maps/search/?api=1&amp;query=24.806819,46.82055937", "View Map")</f>
        <v>View Map</v>
      </c>
    </row>
    <row r="1794" spans="1:7" x14ac:dyDescent="0.3">
      <c r="A1794" t="s">
        <v>1364</v>
      </c>
      <c r="B1794" t="s">
        <v>1365</v>
      </c>
      <c r="C1794" t="s">
        <v>137</v>
      </c>
      <c r="D1794">
        <v>4.66</v>
      </c>
      <c r="E1794" s="4">
        <v>1491</v>
      </c>
      <c r="F1794" t="str">
        <f>HYPERLINK("https://www.google.com/maps/search/?api=1&amp;query=23.48823798,46.85188467", "View Map")</f>
        <v>View Map</v>
      </c>
    </row>
    <row r="1795" spans="1:7" x14ac:dyDescent="0.3">
      <c r="A1795" t="s">
        <v>1101</v>
      </c>
      <c r="B1795" t="s">
        <v>1102</v>
      </c>
      <c r="C1795" t="s">
        <v>8</v>
      </c>
      <c r="D1795">
        <v>4.66</v>
      </c>
      <c r="E1795" s="4">
        <v>1491</v>
      </c>
      <c r="F1795" t="str">
        <f>HYPERLINK("https://www.google.com/maps/search/?api=1&amp;query=24.80595262,46.60508968", "View Map")</f>
        <v>View Map</v>
      </c>
      <c r="G1795" s="2">
        <v>0.21623810227842491</v>
      </c>
    </row>
    <row r="1796" spans="1:7" x14ac:dyDescent="0.3">
      <c r="A1796" t="s">
        <v>2572</v>
      </c>
      <c r="B1796" t="s">
        <v>2573</v>
      </c>
      <c r="C1796" t="s">
        <v>30</v>
      </c>
      <c r="D1796">
        <v>4.6559999999999997</v>
      </c>
      <c r="E1796" s="4">
        <v>1490</v>
      </c>
      <c r="F1796" t="str">
        <f>HYPERLINK("https://www.google.com/maps/search/?api=1&amp;query=24.30191579,47.17265259", "View Map")</f>
        <v>View Map</v>
      </c>
    </row>
    <row r="1797" spans="1:7" x14ac:dyDescent="0.3">
      <c r="A1797" t="s">
        <v>3791</v>
      </c>
      <c r="B1797" t="s">
        <v>3792</v>
      </c>
      <c r="C1797" t="s">
        <v>55</v>
      </c>
      <c r="D1797">
        <v>4.6550000000000002</v>
      </c>
      <c r="E1797" s="4">
        <v>1490</v>
      </c>
      <c r="F1797" t="str">
        <f>HYPERLINK("https://www.google.com/maps/search/?api=1&amp;query=24.90711903,46.44101417", "View Map")</f>
        <v>View Map</v>
      </c>
      <c r="G1797" s="2">
        <v>0.73430512268564729</v>
      </c>
    </row>
    <row r="1798" spans="1:7" x14ac:dyDescent="0.3">
      <c r="A1798" t="s">
        <v>2415</v>
      </c>
      <c r="B1798" t="s">
        <v>2416</v>
      </c>
      <c r="C1798" t="s">
        <v>8</v>
      </c>
      <c r="D1798">
        <v>4.6539999999999999</v>
      </c>
      <c r="E1798" s="4">
        <v>1489</v>
      </c>
      <c r="F1798" t="str">
        <f>HYPERLINK("https://www.google.com/maps/search/?api=1&amp;query=24.65445903,46.73400105", "View Map")</f>
        <v>View Map</v>
      </c>
    </row>
    <row r="1799" spans="1:7" x14ac:dyDescent="0.3">
      <c r="A1799" t="s">
        <v>3532</v>
      </c>
      <c r="B1799" t="s">
        <v>3533</v>
      </c>
      <c r="C1799" t="s">
        <v>393</v>
      </c>
      <c r="D1799">
        <v>4.6539999999999999</v>
      </c>
      <c r="E1799" s="4">
        <v>1489</v>
      </c>
      <c r="F1799" t="str">
        <f>HYPERLINK("https://www.google.com/maps/search/?api=1&amp;query=23.60666817,45.13127342", "View Map")</f>
        <v>View Map</v>
      </c>
      <c r="G1799" s="2">
        <v>0.88378123272778908</v>
      </c>
    </row>
    <row r="1800" spans="1:7" x14ac:dyDescent="0.3">
      <c r="A1800" t="s">
        <v>3420</v>
      </c>
      <c r="B1800" t="s">
        <v>3421</v>
      </c>
      <c r="C1800" t="s">
        <v>21</v>
      </c>
      <c r="D1800">
        <v>4.6529999999999996</v>
      </c>
      <c r="E1800" s="4">
        <v>1489</v>
      </c>
      <c r="F1800" t="str">
        <f>HYPERLINK("https://www.google.com/maps/search/?api=1&amp;query=26.29904227,44.80084273", "View Map")</f>
        <v>View Map</v>
      </c>
      <c r="G1800" s="2">
        <v>0.56433944823059146</v>
      </c>
    </row>
    <row r="1801" spans="1:7" x14ac:dyDescent="0.3">
      <c r="A1801" t="s">
        <v>46</v>
      </c>
      <c r="B1801" t="s">
        <v>4287</v>
      </c>
      <c r="C1801" t="s">
        <v>8</v>
      </c>
      <c r="D1801">
        <v>4.6520000000000001</v>
      </c>
      <c r="E1801" s="4">
        <v>1489</v>
      </c>
      <c r="F1801" t="str">
        <f>HYPERLINK("https://www.google.com/maps/search/?api=1&amp;query=24.89525512,46.61977105", "View Map")</f>
        <v>View Map</v>
      </c>
      <c r="G1801" s="2">
        <v>0.59930109825182132</v>
      </c>
    </row>
    <row r="1802" spans="1:7" x14ac:dyDescent="0.3">
      <c r="A1802" t="s">
        <v>945</v>
      </c>
      <c r="B1802" t="s">
        <v>946</v>
      </c>
      <c r="C1802" t="s">
        <v>8</v>
      </c>
      <c r="D1802">
        <v>4.6509999999999998</v>
      </c>
      <c r="E1802" s="4">
        <v>1488</v>
      </c>
      <c r="F1802" t="str">
        <f>HYPERLINK("https://www.google.com/maps/search/?api=1&amp;query=24.63565497,46.73478913", "View Map")</f>
        <v>View Map</v>
      </c>
      <c r="G1802" s="2">
        <v>0.22764168051713421</v>
      </c>
    </row>
    <row r="1803" spans="1:7" x14ac:dyDescent="0.3">
      <c r="A1803" t="s">
        <v>146</v>
      </c>
      <c r="B1803" t="s">
        <v>8241</v>
      </c>
      <c r="C1803" t="s">
        <v>8</v>
      </c>
      <c r="D1803">
        <v>4.6500000000000004</v>
      </c>
      <c r="E1803" s="4">
        <v>1488</v>
      </c>
      <c r="F1803" t="str">
        <f>HYPERLINK("https://www.google.com/maps/search/?api=1&amp;query=24.55448358,46.67532304", "View Map")</f>
        <v>View Map</v>
      </c>
      <c r="G1803" s="2">
        <v>0.57922351912043435</v>
      </c>
    </row>
    <row r="1804" spans="1:7" x14ac:dyDescent="0.3">
      <c r="A1804" t="s">
        <v>46</v>
      </c>
      <c r="B1804" t="s">
        <v>4969</v>
      </c>
      <c r="C1804" t="s">
        <v>8</v>
      </c>
      <c r="D1804">
        <v>4.6500000000000004</v>
      </c>
      <c r="E1804" s="4">
        <v>1488</v>
      </c>
      <c r="F1804" t="str">
        <f>HYPERLINK("https://www.google.com/maps/search/?api=1&amp;query=24.65252,46.52495", "View Map")</f>
        <v>View Map</v>
      </c>
    </row>
    <row r="1805" spans="1:7" x14ac:dyDescent="0.3">
      <c r="A1805" t="s">
        <v>46</v>
      </c>
      <c r="B1805" t="s">
        <v>3475</v>
      </c>
      <c r="C1805" t="s">
        <v>8</v>
      </c>
      <c r="D1805">
        <v>4.649</v>
      </c>
      <c r="E1805" s="4">
        <v>1488</v>
      </c>
      <c r="F1805" t="str">
        <f>HYPERLINK("https://www.google.com/maps/search/?api=1&amp;query=24.81007111,46.77214236", "View Map")</f>
        <v>View Map</v>
      </c>
      <c r="G1805" s="2">
        <v>0.44188311479329351</v>
      </c>
    </row>
    <row r="1806" spans="1:7" x14ac:dyDescent="0.3">
      <c r="A1806" t="s">
        <v>4376</v>
      </c>
      <c r="B1806" t="s">
        <v>4377</v>
      </c>
      <c r="C1806" t="s">
        <v>8</v>
      </c>
      <c r="D1806">
        <v>4.6479999999999997</v>
      </c>
      <c r="E1806" s="4">
        <v>1487</v>
      </c>
      <c r="F1806" t="str">
        <f>HYPERLINK("https://www.google.com/maps/search/?api=1&amp;query=24.68583329,46.80294072", "View Map")</f>
        <v>View Map</v>
      </c>
    </row>
    <row r="1807" spans="1:7" x14ac:dyDescent="0.3">
      <c r="A1807" t="s">
        <v>479</v>
      </c>
      <c r="B1807" t="s">
        <v>1627</v>
      </c>
      <c r="C1807" t="s">
        <v>738</v>
      </c>
      <c r="D1807">
        <v>4.6479999999999997</v>
      </c>
      <c r="E1807" s="4">
        <v>1487</v>
      </c>
      <c r="F1807" t="str">
        <f>HYPERLINK("https://www.google.com/maps/search/?api=1&amp;query=25.17266616,46.33868616", "View Map")</f>
        <v>View Map</v>
      </c>
    </row>
    <row r="1808" spans="1:7" x14ac:dyDescent="0.3">
      <c r="A1808" t="s">
        <v>1070</v>
      </c>
      <c r="B1808" t="s">
        <v>4578</v>
      </c>
      <c r="C1808" t="s">
        <v>8</v>
      </c>
      <c r="D1808">
        <v>4.6459999999999999</v>
      </c>
      <c r="E1808" s="4">
        <v>1487</v>
      </c>
      <c r="F1808" t="str">
        <f>HYPERLINK("https://www.google.com/maps/search/?api=1&amp;query=24.789881,46.81354787", "View Map")</f>
        <v>View Map</v>
      </c>
      <c r="G1808" s="2">
        <v>0.82813646116908979</v>
      </c>
    </row>
    <row r="1809" spans="1:7" x14ac:dyDescent="0.3">
      <c r="A1809" t="s">
        <v>3028</v>
      </c>
      <c r="B1809" t="s">
        <v>3029</v>
      </c>
      <c r="C1809" t="s">
        <v>241</v>
      </c>
      <c r="D1809">
        <v>4.6449999999999996</v>
      </c>
      <c r="E1809" s="4">
        <v>1486</v>
      </c>
      <c r="F1809" t="str">
        <f>HYPERLINK("https://www.google.com/maps/search/?api=1&amp;query=20.49206405,44.74902214", "View Map")</f>
        <v>View Map</v>
      </c>
      <c r="G1809" s="2">
        <v>0.56979101635547191</v>
      </c>
    </row>
    <row r="1810" spans="1:7" x14ac:dyDescent="0.3">
      <c r="A1810" t="s">
        <v>4227</v>
      </c>
      <c r="B1810" t="s">
        <v>4228</v>
      </c>
      <c r="C1810" t="s">
        <v>255</v>
      </c>
      <c r="D1810">
        <v>4.6440000000000001</v>
      </c>
      <c r="E1810" s="4">
        <v>1486</v>
      </c>
      <c r="F1810" t="str">
        <f>HYPERLINK("https://www.google.com/maps/search/?api=1&amp;query=25.01220989,43.83563369", "View Map")</f>
        <v>View Map</v>
      </c>
      <c r="G1810" s="2">
        <v>0.68696440929119629</v>
      </c>
    </row>
    <row r="1811" spans="1:7" x14ac:dyDescent="0.3">
      <c r="A1811" t="s">
        <v>4010</v>
      </c>
      <c r="B1811" t="s">
        <v>4011</v>
      </c>
      <c r="C1811" t="s">
        <v>241</v>
      </c>
      <c r="D1811">
        <v>4.6429999999999998</v>
      </c>
      <c r="E1811" s="4">
        <v>1486</v>
      </c>
      <c r="F1811" t="str">
        <f>HYPERLINK("https://www.google.com/maps/search/?api=1&amp;query=20.41554377,44.8387717", "View Map")</f>
        <v>View Map</v>
      </c>
      <c r="G1811" s="2">
        <v>0.8680726327955296</v>
      </c>
    </row>
    <row r="1812" spans="1:7" x14ac:dyDescent="0.3">
      <c r="A1812" t="s">
        <v>8129</v>
      </c>
      <c r="B1812" t="s">
        <v>8130</v>
      </c>
      <c r="C1812" t="s">
        <v>8</v>
      </c>
      <c r="D1812">
        <v>4.6420000000000003</v>
      </c>
      <c r="E1812" s="4">
        <v>1485</v>
      </c>
      <c r="F1812" t="str">
        <f>HYPERLINK("https://www.google.com/maps/search/?api=1&amp;query=24.7181423,46.80661594", "View Map")</f>
        <v>View Map</v>
      </c>
    </row>
    <row r="1813" spans="1:7" x14ac:dyDescent="0.3">
      <c r="A1813" t="s">
        <v>3643</v>
      </c>
      <c r="B1813" t="s">
        <v>3644</v>
      </c>
      <c r="C1813" t="s">
        <v>291</v>
      </c>
      <c r="D1813">
        <v>4.6420000000000003</v>
      </c>
      <c r="E1813" s="4">
        <v>1486</v>
      </c>
      <c r="F1813" t="str">
        <f>HYPERLINK("https://www.google.com/maps/search/?api=1&amp;query=24.05432298,45.2659814", "View Map")</f>
        <v>View Map</v>
      </c>
    </row>
    <row r="1814" spans="1:7" x14ac:dyDescent="0.3">
      <c r="A1814" t="s">
        <v>2781</v>
      </c>
      <c r="B1814" t="s">
        <v>3414</v>
      </c>
      <c r="C1814" t="s">
        <v>8</v>
      </c>
      <c r="D1814">
        <v>4.6420000000000003</v>
      </c>
      <c r="E1814" s="4">
        <v>1485</v>
      </c>
      <c r="F1814" t="str">
        <f>HYPERLINK("https://www.google.com/maps/search/?api=1&amp;query=24.69945577,46.78283113", "View Map")</f>
        <v>View Map</v>
      </c>
      <c r="G1814" s="2">
        <v>0.46914339382950399</v>
      </c>
    </row>
    <row r="1815" spans="1:7" x14ac:dyDescent="0.3">
      <c r="A1815" t="s">
        <v>11338</v>
      </c>
      <c r="B1815" t="s">
        <v>11339</v>
      </c>
      <c r="C1815" t="s">
        <v>255</v>
      </c>
      <c r="D1815">
        <v>4.641</v>
      </c>
      <c r="E1815" s="4">
        <v>1485</v>
      </c>
      <c r="F1815" t="str">
        <f>HYPERLINK("https://www.google.com/maps/search/?api=1&amp;query=24.5322159,44.41345395", "View Map")</f>
        <v>View Map</v>
      </c>
      <c r="G1815" s="2">
        <v>0.43681741806046692</v>
      </c>
    </row>
    <row r="1816" spans="1:7" x14ac:dyDescent="0.3">
      <c r="A1816" t="s">
        <v>2781</v>
      </c>
      <c r="B1816" t="s">
        <v>4240</v>
      </c>
      <c r="C1816" t="s">
        <v>8</v>
      </c>
      <c r="D1816">
        <v>4.641</v>
      </c>
      <c r="E1816" s="4">
        <v>1485</v>
      </c>
      <c r="F1816" t="str">
        <f>HYPERLINK("https://www.google.com/maps/search/?api=1&amp;query=24.70415088,46.78257565", "View Map")</f>
        <v>View Map</v>
      </c>
    </row>
    <row r="1817" spans="1:7" x14ac:dyDescent="0.3">
      <c r="A1817" t="s">
        <v>6998</v>
      </c>
      <c r="B1817" t="s">
        <v>6999</v>
      </c>
      <c r="C1817" t="s">
        <v>8</v>
      </c>
      <c r="D1817">
        <v>4.6379999999999999</v>
      </c>
      <c r="E1817" s="4">
        <v>1484</v>
      </c>
      <c r="F1817" t="str">
        <f>HYPERLINK("https://www.google.com/maps/search/?api=1&amp;query=24.76169465,46.70262289", "View Map")</f>
        <v>View Map</v>
      </c>
    </row>
    <row r="1818" spans="1:7" x14ac:dyDescent="0.3">
      <c r="A1818" t="s">
        <v>3735</v>
      </c>
      <c r="B1818" t="s">
        <v>4974</v>
      </c>
      <c r="C1818" t="s">
        <v>255</v>
      </c>
      <c r="D1818">
        <v>4.6379999999999999</v>
      </c>
      <c r="E1818" s="4">
        <v>1484</v>
      </c>
      <c r="F1818" t="str">
        <f>HYPERLINK("https://www.google.com/maps/search/?api=1&amp;query=25.20792934,44.59124785", "View Map")</f>
        <v>View Map</v>
      </c>
      <c r="G1818" s="2">
        <v>0.55500019499464559</v>
      </c>
    </row>
    <row r="1819" spans="1:7" x14ac:dyDescent="0.3">
      <c r="A1819" t="s">
        <v>3611</v>
      </c>
      <c r="B1819" t="s">
        <v>3612</v>
      </c>
      <c r="C1819" t="s">
        <v>8</v>
      </c>
      <c r="D1819">
        <v>4.6369999999999996</v>
      </c>
      <c r="E1819" s="4">
        <v>1484</v>
      </c>
      <c r="F1819" t="str">
        <f>HYPERLINK("https://www.google.com/maps/search/?api=1&amp;query=24.73015142,46.79506593", "View Map")</f>
        <v>View Map</v>
      </c>
    </row>
    <row r="1820" spans="1:7" x14ac:dyDescent="0.3">
      <c r="A1820" t="s">
        <v>3868</v>
      </c>
      <c r="B1820" t="s">
        <v>3869</v>
      </c>
      <c r="C1820" t="s">
        <v>291</v>
      </c>
      <c r="D1820">
        <v>4.6360000000000001</v>
      </c>
      <c r="E1820" s="4">
        <v>1483</v>
      </c>
      <c r="F1820" t="str">
        <f>HYPERLINK("https://www.google.com/maps/search/?api=1&amp;query=24.3174192,45.83763332", "View Map")</f>
        <v>View Map</v>
      </c>
      <c r="G1820" s="2">
        <v>0.84177235894711333</v>
      </c>
    </row>
    <row r="1821" spans="1:7" x14ac:dyDescent="0.3">
      <c r="A1821" t="s">
        <v>3059</v>
      </c>
      <c r="B1821" t="s">
        <v>3889</v>
      </c>
      <c r="C1821" t="s">
        <v>291</v>
      </c>
      <c r="D1821">
        <v>4.6319999999999997</v>
      </c>
      <c r="E1821" s="4">
        <v>1482</v>
      </c>
      <c r="F1821" t="str">
        <f>HYPERLINK("https://www.google.com/maps/search/?api=1&amp;query=24.07827295,45.28418758", "View Map")</f>
        <v>View Map</v>
      </c>
      <c r="G1821" s="2">
        <v>0.42093921450520128</v>
      </c>
    </row>
    <row r="1822" spans="1:7" x14ac:dyDescent="0.3">
      <c r="A1822" t="s">
        <v>3341</v>
      </c>
      <c r="B1822" t="s">
        <v>3342</v>
      </c>
      <c r="C1822" t="s">
        <v>364</v>
      </c>
      <c r="D1822">
        <v>4.63</v>
      </c>
      <c r="E1822" s="4">
        <v>1482</v>
      </c>
      <c r="F1822" t="str">
        <f>HYPERLINK("https://www.google.com/maps/search/?api=1&amp;query=25.41378054,46.04784435", "View Map")</f>
        <v>View Map</v>
      </c>
      <c r="G1822" s="2">
        <v>0.67943684129181958</v>
      </c>
    </row>
    <row r="1823" spans="1:7" x14ac:dyDescent="0.3">
      <c r="A1823" t="s">
        <v>46</v>
      </c>
      <c r="B1823" t="s">
        <v>2507</v>
      </c>
      <c r="C1823" t="s">
        <v>8</v>
      </c>
      <c r="D1823">
        <v>4.63</v>
      </c>
      <c r="E1823" s="4">
        <v>1482</v>
      </c>
      <c r="F1823" t="str">
        <f>HYPERLINK("https://www.google.com/maps/search/?api=1&amp;query=24.74721727,46.62628386", "View Map")</f>
        <v>View Map</v>
      </c>
    </row>
    <row r="1824" spans="1:7" x14ac:dyDescent="0.3">
      <c r="A1824" t="s">
        <v>11340</v>
      </c>
      <c r="B1824" t="s">
        <v>11341</v>
      </c>
      <c r="C1824" t="s">
        <v>8</v>
      </c>
      <c r="D1824">
        <v>4.6289999999999996</v>
      </c>
      <c r="E1824" s="4">
        <v>1481</v>
      </c>
      <c r="F1824" t="str">
        <f>HYPERLINK("https://www.google.com/maps/search/?api=1&amp;query=24.81972307,46.79670673", "View Map")</f>
        <v>View Map</v>
      </c>
    </row>
    <row r="1825" spans="1:7" x14ac:dyDescent="0.3">
      <c r="A1825" t="s">
        <v>28</v>
      </c>
      <c r="B1825" t="s">
        <v>3492</v>
      </c>
      <c r="C1825" t="s">
        <v>30</v>
      </c>
      <c r="D1825">
        <v>4.6269999999999998</v>
      </c>
      <c r="E1825" s="4">
        <v>1481</v>
      </c>
      <c r="F1825" t="str">
        <f>HYPERLINK("https://www.google.com/maps/search/?api=1&amp;query=24.09442,47.27492", "View Map")</f>
        <v>View Map</v>
      </c>
      <c r="G1825" s="2">
        <v>0.5986693171791142</v>
      </c>
    </row>
    <row r="1826" spans="1:7" x14ac:dyDescent="0.3">
      <c r="A1826" t="s">
        <v>6840</v>
      </c>
      <c r="B1826" t="s">
        <v>6841</v>
      </c>
      <c r="C1826" t="s">
        <v>8</v>
      </c>
      <c r="D1826">
        <v>4.625</v>
      </c>
      <c r="E1826" s="4">
        <v>1480</v>
      </c>
      <c r="F1826" t="str">
        <f>HYPERLINK("https://www.google.com/maps/search/?api=1&amp;query=24.85381109,46.77516928", "View Map")</f>
        <v>View Map</v>
      </c>
    </row>
    <row r="1827" spans="1:7" x14ac:dyDescent="0.3">
      <c r="A1827" t="s">
        <v>3565</v>
      </c>
      <c r="B1827" t="s">
        <v>3566</v>
      </c>
      <c r="C1827" t="s">
        <v>8</v>
      </c>
      <c r="D1827">
        <v>4.625</v>
      </c>
      <c r="E1827" s="4">
        <v>1480</v>
      </c>
      <c r="F1827" t="str">
        <f>HYPERLINK("https://www.google.com/maps/search/?api=1&amp;query=24.52691321,46.68525378", "View Map")</f>
        <v>View Map</v>
      </c>
    </row>
    <row r="1828" spans="1:7" x14ac:dyDescent="0.3">
      <c r="A1828" t="s">
        <v>46</v>
      </c>
      <c r="B1828" t="s">
        <v>2114</v>
      </c>
      <c r="C1828" t="s">
        <v>8</v>
      </c>
      <c r="D1828">
        <v>4.6239999999999997</v>
      </c>
      <c r="E1828" s="4">
        <v>1480</v>
      </c>
      <c r="F1828" t="str">
        <f>HYPERLINK("https://www.google.com/maps/search/?api=1&amp;query=24.77526334,46.8374993", "View Map")</f>
        <v>View Map</v>
      </c>
      <c r="G1828" s="2">
        <v>0.42815277606932878</v>
      </c>
    </row>
    <row r="1829" spans="1:7" x14ac:dyDescent="0.3">
      <c r="A1829" t="s">
        <v>1873</v>
      </c>
      <c r="B1829" t="s">
        <v>1874</v>
      </c>
      <c r="C1829" t="s">
        <v>8</v>
      </c>
      <c r="D1829">
        <v>4.6239999999999997</v>
      </c>
      <c r="E1829" s="4">
        <v>1480</v>
      </c>
      <c r="F1829" t="str">
        <f>HYPERLINK("https://www.google.com/maps/search/?api=1&amp;query=24.62314321,46.55773407", "View Map")</f>
        <v>View Map</v>
      </c>
    </row>
    <row r="1830" spans="1:7" x14ac:dyDescent="0.3">
      <c r="A1830" t="s">
        <v>3984</v>
      </c>
      <c r="B1830" t="s">
        <v>3985</v>
      </c>
      <c r="C1830" t="s">
        <v>286</v>
      </c>
      <c r="D1830">
        <v>4.6230000000000002</v>
      </c>
      <c r="E1830" s="4">
        <v>1479</v>
      </c>
      <c r="F1830" t="str">
        <f>HYPERLINK("https://www.google.com/maps/search/?api=1&amp;query=25.29043174,45.52422908", "View Map")</f>
        <v>View Map</v>
      </c>
      <c r="G1830" s="2">
        <v>0.70466460694151012</v>
      </c>
    </row>
    <row r="1831" spans="1:7" x14ac:dyDescent="0.3">
      <c r="A1831" t="s">
        <v>46</v>
      </c>
      <c r="B1831" t="s">
        <v>6901</v>
      </c>
      <c r="C1831" t="s">
        <v>8</v>
      </c>
      <c r="D1831">
        <v>4.6230000000000002</v>
      </c>
      <c r="E1831" s="4">
        <v>1479</v>
      </c>
      <c r="F1831" t="str">
        <f>HYPERLINK("https://www.google.com/maps/search/?api=1&amp;query=24.7251261,46.75134483", "View Map")</f>
        <v>View Map</v>
      </c>
    </row>
    <row r="1832" spans="1:7" x14ac:dyDescent="0.3">
      <c r="A1832" t="s">
        <v>951</v>
      </c>
      <c r="B1832" t="s">
        <v>952</v>
      </c>
      <c r="C1832" t="s">
        <v>8</v>
      </c>
      <c r="D1832">
        <v>4.6210000000000004</v>
      </c>
      <c r="E1832" s="4">
        <v>1479</v>
      </c>
      <c r="F1832" t="str">
        <f>HYPERLINK("https://www.google.com/maps/search/?api=1&amp;query=24.77867952,46.65492895", "View Map")</f>
        <v>View Map</v>
      </c>
    </row>
    <row r="1833" spans="1:7" x14ac:dyDescent="0.3">
      <c r="A1833" t="s">
        <v>3658</v>
      </c>
      <c r="B1833" t="s">
        <v>3659</v>
      </c>
      <c r="C1833" t="s">
        <v>393</v>
      </c>
      <c r="D1833">
        <v>4.6189999999999998</v>
      </c>
      <c r="E1833" s="4">
        <v>1478</v>
      </c>
      <c r="F1833" t="str">
        <f>HYPERLINK("https://www.google.com/maps/search/?api=1&amp;query=23.55098985,45.50455748", "View Map")</f>
        <v>View Map</v>
      </c>
      <c r="G1833" s="2">
        <v>0.45309312227168841</v>
      </c>
    </row>
    <row r="1834" spans="1:7" x14ac:dyDescent="0.3">
      <c r="A1834" t="s">
        <v>3316</v>
      </c>
      <c r="B1834" t="s">
        <v>3317</v>
      </c>
      <c r="C1834" t="s">
        <v>270</v>
      </c>
      <c r="D1834">
        <v>4.6180000000000003</v>
      </c>
      <c r="E1834" s="4">
        <v>1478</v>
      </c>
      <c r="F1834" t="str">
        <f>HYPERLINK("https://www.google.com/maps/search/?api=1&amp;query=23.99573483,47.13340157", "View Map")</f>
        <v>View Map</v>
      </c>
      <c r="G1834" s="2">
        <v>0.43196538091385678</v>
      </c>
    </row>
    <row r="1835" spans="1:7" x14ac:dyDescent="0.3">
      <c r="A1835" t="s">
        <v>11342</v>
      </c>
      <c r="B1835" t="s">
        <v>11343</v>
      </c>
      <c r="C1835" t="s">
        <v>241</v>
      </c>
      <c r="D1835">
        <v>4.617</v>
      </c>
      <c r="E1835" s="4">
        <v>1478</v>
      </c>
      <c r="F1835" t="str">
        <f>HYPERLINK("https://www.google.com/maps/search/?api=1&amp;query=20.43862471,44.77779391", "View Map")</f>
        <v>View Map</v>
      </c>
      <c r="G1835" s="2">
        <v>0.85277046561072878</v>
      </c>
    </row>
    <row r="1836" spans="1:7" x14ac:dyDescent="0.3">
      <c r="A1836" t="s">
        <v>4095</v>
      </c>
      <c r="B1836" t="s">
        <v>4510</v>
      </c>
      <c r="C1836" t="s">
        <v>8</v>
      </c>
      <c r="D1836">
        <v>4.617</v>
      </c>
      <c r="E1836" s="4">
        <v>1477</v>
      </c>
      <c r="F1836" t="str">
        <f>HYPERLINK("https://www.google.com/maps/search/?api=1&amp;query=24.7972609,46.65974272", "View Map")</f>
        <v>View Map</v>
      </c>
    </row>
    <row r="1837" spans="1:7" x14ac:dyDescent="0.3">
      <c r="A1837" t="s">
        <v>8578</v>
      </c>
      <c r="B1837" t="s">
        <v>8579</v>
      </c>
      <c r="C1837" t="s">
        <v>8</v>
      </c>
      <c r="D1837">
        <v>4.6159999999999997</v>
      </c>
      <c r="E1837" s="4">
        <v>1477</v>
      </c>
      <c r="F1837" t="str">
        <f>HYPERLINK("https://www.google.com/maps/search/?api=1&amp;query=24.78182289,46.77324776", "View Map")</f>
        <v>View Map</v>
      </c>
    </row>
    <row r="1838" spans="1:7" x14ac:dyDescent="0.3">
      <c r="A1838" t="s">
        <v>5638</v>
      </c>
      <c r="B1838" t="s">
        <v>5639</v>
      </c>
      <c r="C1838" t="s">
        <v>8</v>
      </c>
      <c r="D1838">
        <v>4.6139999999999999</v>
      </c>
      <c r="E1838" s="4">
        <v>1476</v>
      </c>
      <c r="F1838" t="str">
        <f>HYPERLINK("https://www.google.com/maps/search/?api=1&amp;query=24.78142229,46.71765395", "View Map")</f>
        <v>View Map</v>
      </c>
    </row>
    <row r="1839" spans="1:7" x14ac:dyDescent="0.3">
      <c r="A1839" t="s">
        <v>46</v>
      </c>
      <c r="B1839" t="s">
        <v>3197</v>
      </c>
      <c r="C1839" t="s">
        <v>8</v>
      </c>
      <c r="D1839">
        <v>4.6120000000000001</v>
      </c>
      <c r="E1839" s="4">
        <v>1476</v>
      </c>
      <c r="F1839" t="str">
        <f>HYPERLINK("https://www.google.com/maps/search/?api=1&amp;query=24.78781431,46.60127892", "View Map")</f>
        <v>View Map</v>
      </c>
    </row>
    <row r="1840" spans="1:7" x14ac:dyDescent="0.3">
      <c r="A1840" t="s">
        <v>817</v>
      </c>
      <c r="B1840" t="s">
        <v>3234</v>
      </c>
      <c r="C1840" t="s">
        <v>30</v>
      </c>
      <c r="D1840">
        <v>4.6109999999999998</v>
      </c>
      <c r="E1840" s="4">
        <v>1476</v>
      </c>
      <c r="F1840" t="str">
        <f>HYPERLINK("https://www.google.com/maps/search/?api=1&amp;query=24.13352099,47.28804134", "View Map")</f>
        <v>View Map</v>
      </c>
      <c r="G1840" s="2">
        <v>0.70910155756076065</v>
      </c>
    </row>
    <row r="1841" spans="1:7" x14ac:dyDescent="0.3">
      <c r="A1841" t="s">
        <v>817</v>
      </c>
      <c r="B1841" t="s">
        <v>3321</v>
      </c>
      <c r="C1841" t="s">
        <v>30</v>
      </c>
      <c r="D1841">
        <v>4.6100000000000003</v>
      </c>
      <c r="E1841" s="4">
        <v>1475</v>
      </c>
      <c r="F1841" t="str">
        <f>HYPERLINK("https://www.google.com/maps/search/?api=1&amp;query=24.13352099,47.28804134", "View Map")</f>
        <v>View Map</v>
      </c>
      <c r="G1841" s="2">
        <v>0.78537042385507017</v>
      </c>
    </row>
    <row r="1842" spans="1:7" x14ac:dyDescent="0.3">
      <c r="A1842" t="s">
        <v>11344</v>
      </c>
      <c r="B1842" t="s">
        <v>11345</v>
      </c>
      <c r="C1842" t="s">
        <v>883</v>
      </c>
      <c r="D1842">
        <v>4.6079999999999997</v>
      </c>
      <c r="E1842" s="4">
        <v>1475</v>
      </c>
      <c r="F1842" t="str">
        <f>HYPERLINK("https://www.google.com/maps/search/?api=1&amp;query=25.51984047,47.18150794", "View Map")</f>
        <v>View Map</v>
      </c>
      <c r="G1842" s="2">
        <v>0.48956595008024512</v>
      </c>
    </row>
    <row r="1843" spans="1:7" x14ac:dyDescent="0.3">
      <c r="A1843" t="s">
        <v>7639</v>
      </c>
      <c r="B1843" t="s">
        <v>7640</v>
      </c>
      <c r="C1843" t="s">
        <v>30</v>
      </c>
      <c r="D1843">
        <v>4.6079999999999997</v>
      </c>
      <c r="E1843" s="4">
        <v>1475</v>
      </c>
      <c r="F1843" t="str">
        <f>HYPERLINK("https://www.google.com/maps/search/?api=1&amp;query=24.15467045,47.3694341", "View Map")</f>
        <v>View Map</v>
      </c>
      <c r="G1843" s="2">
        <v>0.57835053667569702</v>
      </c>
    </row>
    <row r="1844" spans="1:7" x14ac:dyDescent="0.3">
      <c r="A1844" t="s">
        <v>73</v>
      </c>
      <c r="B1844" t="s">
        <v>6371</v>
      </c>
      <c r="C1844" t="s">
        <v>8</v>
      </c>
      <c r="D1844">
        <v>4.6070000000000002</v>
      </c>
      <c r="E1844" s="4">
        <v>1474</v>
      </c>
      <c r="F1844" t="str">
        <f>HYPERLINK("https://www.google.com/maps/search/?api=1&amp;query=24.76525771,46.68196386", "View Map")</f>
        <v>View Map</v>
      </c>
      <c r="G1844" s="2">
        <v>0.9345759157917003</v>
      </c>
    </row>
    <row r="1845" spans="1:7" x14ac:dyDescent="0.3">
      <c r="A1845" t="s">
        <v>1002</v>
      </c>
      <c r="B1845" t="s">
        <v>5214</v>
      </c>
      <c r="C1845" t="s">
        <v>820</v>
      </c>
      <c r="D1845">
        <v>4.6059999999999999</v>
      </c>
      <c r="E1845" s="4">
        <v>1474</v>
      </c>
      <c r="F1845" t="str">
        <f>HYPERLINK("https://www.google.com/maps/search/?api=1&amp;query=0.0,0.0", "View Map")</f>
        <v>View Map</v>
      </c>
      <c r="G1845" s="2">
        <v>0.66206766219240254</v>
      </c>
    </row>
    <row r="1846" spans="1:7" x14ac:dyDescent="0.3">
      <c r="A1846" t="s">
        <v>2340</v>
      </c>
      <c r="B1846" t="s">
        <v>11346</v>
      </c>
      <c r="C1846" t="s">
        <v>270</v>
      </c>
      <c r="D1846">
        <v>4.6050000000000004</v>
      </c>
      <c r="E1846" s="4">
        <v>1473</v>
      </c>
      <c r="F1846" t="str">
        <f>HYPERLINK("https://www.google.com/maps/search/?api=1&amp;query=24.00022086,47.11608889", "View Map")</f>
        <v>View Map</v>
      </c>
      <c r="G1846" s="2">
        <v>0.44407927751716081</v>
      </c>
    </row>
    <row r="1847" spans="1:7" x14ac:dyDescent="0.3">
      <c r="A1847" t="s">
        <v>46</v>
      </c>
      <c r="B1847" t="s">
        <v>3011</v>
      </c>
      <c r="C1847" t="s">
        <v>8</v>
      </c>
      <c r="D1847">
        <v>4.6040000000000001</v>
      </c>
      <c r="E1847" s="4">
        <v>1473</v>
      </c>
      <c r="F1847" t="str">
        <f>HYPERLINK("https://www.google.com/maps/search/?api=1&amp;query=24.6110802,46.5055734", "View Map")</f>
        <v>View Map</v>
      </c>
    </row>
    <row r="1848" spans="1:7" x14ac:dyDescent="0.3">
      <c r="A1848" t="s">
        <v>5685</v>
      </c>
      <c r="B1848" t="s">
        <v>5686</v>
      </c>
      <c r="C1848" t="s">
        <v>8</v>
      </c>
      <c r="D1848">
        <v>4.5999999999999996</v>
      </c>
      <c r="E1848" s="4">
        <v>1472</v>
      </c>
      <c r="F1848" t="str">
        <f>HYPERLINK("https://www.google.com/maps/search/?api=1&amp;query=24.82127642,46.80905241", "View Map")</f>
        <v>View Map</v>
      </c>
    </row>
    <row r="1849" spans="1:7" x14ac:dyDescent="0.3">
      <c r="A1849" t="s">
        <v>4564</v>
      </c>
      <c r="B1849" t="s">
        <v>6277</v>
      </c>
      <c r="C1849" t="s">
        <v>8</v>
      </c>
      <c r="D1849">
        <v>4.5960000000000001</v>
      </c>
      <c r="E1849" s="4">
        <v>1471</v>
      </c>
      <c r="F1849" t="str">
        <f>HYPERLINK("https://www.google.com/maps/search/?api=1&amp;query=24.5344,46.6981", "View Map")</f>
        <v>View Map</v>
      </c>
    </row>
    <row r="1850" spans="1:7" x14ac:dyDescent="0.3">
      <c r="A1850" t="s">
        <v>7007</v>
      </c>
      <c r="B1850" t="s">
        <v>7008</v>
      </c>
      <c r="C1850" t="s">
        <v>8</v>
      </c>
      <c r="D1850">
        <v>4.5940000000000003</v>
      </c>
      <c r="E1850" s="4">
        <v>1470</v>
      </c>
      <c r="F1850" t="str">
        <f>HYPERLINK("https://www.google.com/maps/search/?api=1&amp;query=24.62234533,46.71892535", "View Map")</f>
        <v>View Map</v>
      </c>
    </row>
    <row r="1851" spans="1:7" x14ac:dyDescent="0.3">
      <c r="A1851" t="s">
        <v>2818</v>
      </c>
      <c r="B1851" t="s">
        <v>2819</v>
      </c>
      <c r="C1851" t="s">
        <v>8</v>
      </c>
      <c r="D1851">
        <v>4.5910000000000002</v>
      </c>
      <c r="E1851" s="4">
        <v>1469</v>
      </c>
      <c r="F1851" t="str">
        <f>HYPERLINK("https://www.google.com/maps/search/?api=1&amp;query=24.6705034,46.73703973", "View Map")</f>
        <v>View Map</v>
      </c>
      <c r="G1851" s="2">
        <v>0.41442850284505522</v>
      </c>
    </row>
    <row r="1852" spans="1:7" x14ac:dyDescent="0.3">
      <c r="A1852" t="s">
        <v>3472</v>
      </c>
      <c r="B1852" t="s">
        <v>3473</v>
      </c>
      <c r="C1852" t="s">
        <v>21</v>
      </c>
      <c r="D1852">
        <v>4.5910000000000002</v>
      </c>
      <c r="E1852" s="4">
        <v>1469</v>
      </c>
      <c r="F1852" t="str">
        <f>HYPERLINK("https://www.google.com/maps/search/?api=1&amp;query=26.29073093,44.83169088", "View Map")</f>
        <v>View Map</v>
      </c>
      <c r="G1852" s="2">
        <v>0.71832416447470948</v>
      </c>
    </row>
    <row r="1853" spans="1:7" x14ac:dyDescent="0.3">
      <c r="A1853" t="s">
        <v>46</v>
      </c>
      <c r="B1853" t="s">
        <v>4738</v>
      </c>
      <c r="C1853" t="s">
        <v>8</v>
      </c>
      <c r="D1853">
        <v>4.59</v>
      </c>
      <c r="E1853" s="4">
        <v>1469</v>
      </c>
      <c r="F1853" t="str">
        <f>HYPERLINK("https://www.google.com/maps/search/?api=1&amp;query=24.85225717,46.77450288", "View Map")</f>
        <v>View Map</v>
      </c>
    </row>
    <row r="1854" spans="1:7" x14ac:dyDescent="0.3">
      <c r="A1854" t="s">
        <v>3549</v>
      </c>
      <c r="B1854" t="s">
        <v>3550</v>
      </c>
      <c r="C1854" t="s">
        <v>393</v>
      </c>
      <c r="D1854">
        <v>4.59</v>
      </c>
      <c r="E1854" s="4">
        <v>1469</v>
      </c>
      <c r="F1854" t="str">
        <f>HYPERLINK("https://www.google.com/maps/search/?api=1&amp;query=22.82058666,45.17199068", "View Map")</f>
        <v>View Map</v>
      </c>
      <c r="G1854" s="2">
        <v>0.8746963764336535</v>
      </c>
    </row>
    <row r="1855" spans="1:7" x14ac:dyDescent="0.3">
      <c r="A1855" t="s">
        <v>73</v>
      </c>
      <c r="B1855" t="s">
        <v>4241</v>
      </c>
      <c r="C1855" t="s">
        <v>8</v>
      </c>
      <c r="D1855">
        <v>4.5880000000000001</v>
      </c>
      <c r="E1855" s="4">
        <v>1468</v>
      </c>
      <c r="F1855" t="str">
        <f>HYPERLINK("https://www.google.com/maps/search/?api=1&amp;query=24.8443878,46.66892788", "View Map")</f>
        <v>View Map</v>
      </c>
    </row>
    <row r="1856" spans="1:7" x14ac:dyDescent="0.3">
      <c r="A1856" t="s">
        <v>1277</v>
      </c>
      <c r="B1856" t="s">
        <v>1278</v>
      </c>
      <c r="C1856" t="s">
        <v>8</v>
      </c>
      <c r="D1856">
        <v>4.5869999999999997</v>
      </c>
      <c r="E1856" s="4">
        <v>1468</v>
      </c>
      <c r="F1856" t="str">
        <f>HYPERLINK("https://www.google.com/maps/search/?api=1&amp;query=24.61662277,46.75131974", "View Map")</f>
        <v>View Map</v>
      </c>
    </row>
    <row r="1857" spans="1:7" x14ac:dyDescent="0.3">
      <c r="A1857" t="s">
        <v>2877</v>
      </c>
      <c r="B1857" t="s">
        <v>2878</v>
      </c>
      <c r="C1857" t="s">
        <v>8</v>
      </c>
      <c r="D1857">
        <v>4.5819999999999999</v>
      </c>
      <c r="E1857" s="4">
        <v>1466</v>
      </c>
      <c r="F1857" t="str">
        <f>HYPERLINK("https://www.google.com/maps/search/?api=1&amp;query=24.80937133,46.65371925", "View Map")</f>
        <v>View Map</v>
      </c>
    </row>
    <row r="1858" spans="1:7" x14ac:dyDescent="0.3">
      <c r="A1858" t="s">
        <v>150</v>
      </c>
      <c r="B1858" t="s">
        <v>11347</v>
      </c>
      <c r="C1858" t="s">
        <v>8</v>
      </c>
      <c r="D1858">
        <v>4.5819999999999999</v>
      </c>
      <c r="E1858" s="4">
        <v>1466</v>
      </c>
      <c r="F1858" t="str">
        <f>HYPERLINK("https://www.google.com/maps/search/?api=1&amp;query=24.82533509,46.74783763", "View Map")</f>
        <v>View Map</v>
      </c>
    </row>
    <row r="1859" spans="1:7" x14ac:dyDescent="0.3">
      <c r="A1859" t="s">
        <v>4153</v>
      </c>
      <c r="B1859" t="s">
        <v>4154</v>
      </c>
      <c r="C1859" t="s">
        <v>255</v>
      </c>
      <c r="D1859">
        <v>4.5789999999999997</v>
      </c>
      <c r="E1859" s="4">
        <v>1465</v>
      </c>
      <c r="F1859" t="str">
        <f>HYPERLINK("https://www.google.com/maps/search/?api=1&amp;query=25.07936054,44.61354989", "View Map")</f>
        <v>View Map</v>
      </c>
      <c r="G1859" s="2">
        <v>0.88129474543516484</v>
      </c>
    </row>
    <row r="1860" spans="1:7" x14ac:dyDescent="0.3">
      <c r="A1860" t="s">
        <v>4008</v>
      </c>
      <c r="B1860" t="s">
        <v>4009</v>
      </c>
      <c r="C1860" t="s">
        <v>8</v>
      </c>
      <c r="D1860">
        <v>4.5789999999999997</v>
      </c>
      <c r="E1860" s="4">
        <v>1465</v>
      </c>
      <c r="F1860" t="str">
        <f>HYPERLINK("https://www.google.com/maps/search/?api=1&amp;query=24.63808177,46.68976008", "View Map")</f>
        <v>View Map</v>
      </c>
      <c r="G1860" s="2">
        <v>0.86152312143771748</v>
      </c>
    </row>
    <row r="1861" spans="1:7" x14ac:dyDescent="0.3">
      <c r="A1861" t="s">
        <v>1959</v>
      </c>
      <c r="B1861" t="s">
        <v>2747</v>
      </c>
      <c r="C1861" t="s">
        <v>8</v>
      </c>
      <c r="D1861">
        <v>4.5780000000000003</v>
      </c>
      <c r="E1861" s="4">
        <v>1465</v>
      </c>
      <c r="F1861" t="str">
        <f>HYPERLINK("https://www.google.com/maps/search/?api=1&amp;query=24.60279927,46.83682335", "View Map")</f>
        <v>View Map</v>
      </c>
    </row>
    <row r="1862" spans="1:7" x14ac:dyDescent="0.3">
      <c r="A1862" t="s">
        <v>46</v>
      </c>
      <c r="B1862" t="s">
        <v>2775</v>
      </c>
      <c r="C1862" t="s">
        <v>8</v>
      </c>
      <c r="D1862">
        <v>4.577</v>
      </c>
      <c r="E1862" s="4">
        <v>1465</v>
      </c>
      <c r="F1862" t="str">
        <f>HYPERLINK("https://www.google.com/maps/search/?api=1&amp;query=24.7949643,46.6001964", "View Map")</f>
        <v>View Map</v>
      </c>
      <c r="G1862" s="2">
        <v>0.47680454602952199</v>
      </c>
    </row>
    <row r="1863" spans="1:7" x14ac:dyDescent="0.3">
      <c r="A1863" t="s">
        <v>2093</v>
      </c>
      <c r="B1863" t="s">
        <v>2094</v>
      </c>
      <c r="C1863" t="s">
        <v>8</v>
      </c>
      <c r="D1863">
        <v>4.5759999999999996</v>
      </c>
      <c r="E1863" s="4">
        <v>1464</v>
      </c>
      <c r="F1863" t="str">
        <f>HYPERLINK("https://www.google.com/maps/search/?api=1&amp;query=24.62032215,46.53586158", "View Map")</f>
        <v>View Map</v>
      </c>
      <c r="G1863" s="2">
        <v>0.51203649387198347</v>
      </c>
    </row>
    <row r="1864" spans="1:7" x14ac:dyDescent="0.3">
      <c r="A1864" t="s">
        <v>46</v>
      </c>
      <c r="B1864" t="s">
        <v>560</v>
      </c>
      <c r="C1864" t="s">
        <v>8</v>
      </c>
      <c r="D1864">
        <v>4.5759999999999996</v>
      </c>
      <c r="E1864" s="4">
        <v>1464</v>
      </c>
      <c r="F1864" t="str">
        <f>HYPERLINK("https://www.google.com/maps/search/?api=1&amp;query=24.83368578,46.78245431", "View Map")</f>
        <v>View Map</v>
      </c>
    </row>
    <row r="1865" spans="1:7" x14ac:dyDescent="0.3">
      <c r="A1865" t="s">
        <v>2919</v>
      </c>
      <c r="B1865" t="s">
        <v>2920</v>
      </c>
      <c r="C1865" t="s">
        <v>8</v>
      </c>
      <c r="D1865">
        <v>4.5739999999999998</v>
      </c>
      <c r="E1865" s="4">
        <v>1464</v>
      </c>
      <c r="F1865" t="str">
        <f>HYPERLINK("https://www.google.com/maps/search/?api=1&amp;query=24.59147088,46.68608856", "View Map")</f>
        <v>View Map</v>
      </c>
    </row>
    <row r="1866" spans="1:7" x14ac:dyDescent="0.3">
      <c r="A1866" t="s">
        <v>4071</v>
      </c>
      <c r="B1866" t="s">
        <v>4072</v>
      </c>
      <c r="C1866" t="s">
        <v>241</v>
      </c>
      <c r="D1866">
        <v>4.5739999999999998</v>
      </c>
      <c r="E1866" s="4">
        <v>1464</v>
      </c>
      <c r="F1866" t="str">
        <f>HYPERLINK("https://www.google.com/maps/search/?api=1&amp;query=20.4457031,44.84813005", "View Map")</f>
        <v>View Map</v>
      </c>
      <c r="G1866" s="2">
        <v>0.64578650504802393</v>
      </c>
    </row>
    <row r="1867" spans="1:7" x14ac:dyDescent="0.3">
      <c r="A1867" t="s">
        <v>2737</v>
      </c>
      <c r="B1867" t="s">
        <v>5192</v>
      </c>
      <c r="C1867" t="s">
        <v>8</v>
      </c>
      <c r="D1867">
        <v>4.5730000000000004</v>
      </c>
      <c r="E1867" s="4">
        <v>1464</v>
      </c>
      <c r="F1867" t="str">
        <f>HYPERLINK("https://www.google.com/maps/search/?api=1&amp;query=24.68331671,46.82461256", "View Map")</f>
        <v>View Map</v>
      </c>
    </row>
    <row r="1868" spans="1:7" x14ac:dyDescent="0.3">
      <c r="A1868" t="s">
        <v>10707</v>
      </c>
      <c r="B1868" t="s">
        <v>10708</v>
      </c>
      <c r="C1868" t="s">
        <v>8</v>
      </c>
      <c r="D1868">
        <v>4.57</v>
      </c>
      <c r="E1868" s="4">
        <v>1462</v>
      </c>
      <c r="F1868" t="str">
        <f>HYPERLINK("https://www.google.com/maps/search/?api=1&amp;query=24.53604199,46.6909334", "View Map")</f>
        <v>View Map</v>
      </c>
    </row>
    <row r="1869" spans="1:7" x14ac:dyDescent="0.3">
      <c r="A1869" t="s">
        <v>5236</v>
      </c>
      <c r="B1869" t="s">
        <v>5237</v>
      </c>
      <c r="C1869" t="s">
        <v>255</v>
      </c>
      <c r="D1869">
        <v>4.57</v>
      </c>
      <c r="E1869" s="4">
        <v>1462</v>
      </c>
      <c r="F1869" t="str">
        <f>HYPERLINK("https://www.google.com/maps/search/?api=1&amp;query=25.19333282,44.59811952", "View Map")</f>
        <v>View Map</v>
      </c>
      <c r="G1869" s="2">
        <v>0.745060682935902</v>
      </c>
    </row>
    <row r="1870" spans="1:7" x14ac:dyDescent="0.3">
      <c r="A1870" t="s">
        <v>3779</v>
      </c>
      <c r="B1870" t="s">
        <v>3780</v>
      </c>
      <c r="C1870" t="s">
        <v>8</v>
      </c>
      <c r="D1870">
        <v>4.569</v>
      </c>
      <c r="E1870" s="4">
        <v>1462</v>
      </c>
      <c r="F1870" t="str">
        <f>HYPERLINK("https://www.google.com/maps/search/?api=1&amp;query=24.61892393,46.65474334", "View Map")</f>
        <v>View Map</v>
      </c>
      <c r="G1870" s="2">
        <v>0.84030735471431728</v>
      </c>
    </row>
    <row r="1871" spans="1:7" x14ac:dyDescent="0.3">
      <c r="A1871" t="s">
        <v>661</v>
      </c>
      <c r="B1871" t="s">
        <v>3776</v>
      </c>
      <c r="C1871" t="s">
        <v>214</v>
      </c>
      <c r="D1871">
        <v>4.5679999999999996</v>
      </c>
      <c r="E1871" s="4">
        <v>1462</v>
      </c>
      <c r="F1871" t="str">
        <f>HYPERLINK("https://www.google.com/maps/search/?api=1&amp;query=25.70068353,45.46803088", "View Map")</f>
        <v>View Map</v>
      </c>
    </row>
    <row r="1872" spans="1:7" x14ac:dyDescent="0.3">
      <c r="A1872" t="s">
        <v>2843</v>
      </c>
      <c r="B1872" t="s">
        <v>2844</v>
      </c>
      <c r="C1872" t="s">
        <v>8</v>
      </c>
      <c r="D1872">
        <v>4.5670000000000002</v>
      </c>
      <c r="E1872" s="4">
        <v>1462</v>
      </c>
      <c r="F1872" t="str">
        <f>HYPERLINK("https://www.google.com/maps/search/?api=1&amp;query=24.76137489,46.81414004", "View Map")</f>
        <v>View Map</v>
      </c>
    </row>
    <row r="1873" spans="1:7" x14ac:dyDescent="0.3">
      <c r="A1873" t="s">
        <v>7058</v>
      </c>
      <c r="B1873" t="s">
        <v>7059</v>
      </c>
      <c r="C1873" t="s">
        <v>8</v>
      </c>
      <c r="D1873">
        <v>4.5599999999999996</v>
      </c>
      <c r="E1873" s="4">
        <v>1459</v>
      </c>
      <c r="F1873" t="str">
        <f>HYPERLINK("https://www.google.com/maps/search/?api=1&amp;query=24.5976122,46.86700742", "View Map")</f>
        <v>View Map</v>
      </c>
    </row>
    <row r="1874" spans="1:7" x14ac:dyDescent="0.3">
      <c r="A1874" t="s">
        <v>2417</v>
      </c>
      <c r="B1874" t="s">
        <v>2959</v>
      </c>
      <c r="C1874" t="s">
        <v>8</v>
      </c>
      <c r="D1874">
        <v>4.5599999999999996</v>
      </c>
      <c r="E1874" s="4">
        <v>1459</v>
      </c>
      <c r="F1874" t="str">
        <f>HYPERLINK("https://www.google.com/maps/search/?api=1&amp;query=24.79177462,46.6289388", "View Map")</f>
        <v>View Map</v>
      </c>
    </row>
    <row r="1875" spans="1:7" x14ac:dyDescent="0.3">
      <c r="A1875" t="s">
        <v>2947</v>
      </c>
      <c r="B1875" t="s">
        <v>2948</v>
      </c>
      <c r="C1875" t="s">
        <v>8</v>
      </c>
      <c r="D1875">
        <v>4.5590000000000002</v>
      </c>
      <c r="E1875" s="4">
        <v>1459</v>
      </c>
      <c r="F1875" t="str">
        <f>HYPERLINK("https://www.google.com/maps/search/?api=1&amp;query=24.60464948,46.63196645", "View Map")</f>
        <v>View Map</v>
      </c>
    </row>
    <row r="1876" spans="1:7" x14ac:dyDescent="0.3">
      <c r="A1876" t="s">
        <v>1594</v>
      </c>
      <c r="B1876" t="s">
        <v>3417</v>
      </c>
      <c r="C1876" t="s">
        <v>296</v>
      </c>
      <c r="D1876">
        <v>4.5579999999999998</v>
      </c>
      <c r="E1876" s="4">
        <v>1459</v>
      </c>
      <c r="F1876" t="str">
        <f>HYPERLINK("https://www.google.com/maps/search/?api=1&amp;query=24.46488858,46.22744825", "View Map")</f>
        <v>View Map</v>
      </c>
      <c r="G1876" s="2">
        <v>0.62350119337301069</v>
      </c>
    </row>
    <row r="1877" spans="1:7" x14ac:dyDescent="0.3">
      <c r="A1877" t="s">
        <v>3857</v>
      </c>
      <c r="B1877" t="s">
        <v>3858</v>
      </c>
      <c r="C1877" t="s">
        <v>738</v>
      </c>
      <c r="D1877">
        <v>4.5570000000000004</v>
      </c>
      <c r="E1877" s="4">
        <v>1458</v>
      </c>
      <c r="F1877" t="str">
        <f>HYPERLINK("https://www.google.com/maps/search/?api=1&amp;query=25.14251227,46.26969448", "View Map")</f>
        <v>View Map</v>
      </c>
      <c r="G1877" s="2">
        <v>0.65485348725176007</v>
      </c>
    </row>
    <row r="1878" spans="1:7" x14ac:dyDescent="0.3">
      <c r="A1878" t="s">
        <v>2839</v>
      </c>
      <c r="B1878" t="s">
        <v>2840</v>
      </c>
      <c r="C1878" t="s">
        <v>8</v>
      </c>
      <c r="D1878">
        <v>4.556</v>
      </c>
      <c r="E1878" s="4">
        <v>1458</v>
      </c>
      <c r="F1878" t="str">
        <f>HYPERLINK("https://www.google.com/maps/search/?api=1&amp;query=24.71110268,46.60522311", "View Map")</f>
        <v>View Map</v>
      </c>
      <c r="G1878" s="2">
        <v>0.34412858015310588</v>
      </c>
    </row>
    <row r="1879" spans="1:7" x14ac:dyDescent="0.3">
      <c r="A1879" t="s">
        <v>6741</v>
      </c>
      <c r="B1879" t="s">
        <v>6742</v>
      </c>
      <c r="C1879" t="s">
        <v>8</v>
      </c>
      <c r="D1879">
        <v>4.5549999999999997</v>
      </c>
      <c r="E1879" s="4">
        <v>1458</v>
      </c>
      <c r="F1879" t="str">
        <f>HYPERLINK("https://www.google.com/maps/search/?api=1&amp;query=24.82214281,46.63325997", "View Map")</f>
        <v>View Map</v>
      </c>
    </row>
    <row r="1880" spans="1:7" x14ac:dyDescent="0.3">
      <c r="A1880" t="s">
        <v>1349</v>
      </c>
      <c r="B1880" t="s">
        <v>3400</v>
      </c>
      <c r="C1880" t="s">
        <v>270</v>
      </c>
      <c r="D1880">
        <v>4.5549999999999997</v>
      </c>
      <c r="E1880" s="4">
        <v>1458</v>
      </c>
      <c r="F1880" t="str">
        <f>HYPERLINK("https://www.google.com/maps/search/?api=1&amp;query=24.00146067,47.101394", "View Map")</f>
        <v>View Map</v>
      </c>
      <c r="G1880" s="2">
        <v>0.76350773903237712</v>
      </c>
    </row>
    <row r="1881" spans="1:7" x14ac:dyDescent="0.3">
      <c r="A1881" t="s">
        <v>1788</v>
      </c>
      <c r="B1881" t="s">
        <v>2611</v>
      </c>
      <c r="C1881" t="s">
        <v>291</v>
      </c>
      <c r="D1881">
        <v>4.5540000000000003</v>
      </c>
      <c r="E1881" s="4">
        <v>1457</v>
      </c>
      <c r="F1881" t="str">
        <f>HYPERLINK("https://www.google.com/maps/search/?api=1&amp;query=24.08258881,45.3255726", "View Map")</f>
        <v>View Map</v>
      </c>
      <c r="G1881" s="2">
        <v>0.5196811505817075</v>
      </c>
    </row>
    <row r="1882" spans="1:7" x14ac:dyDescent="0.3">
      <c r="A1882" t="s">
        <v>2279</v>
      </c>
      <c r="B1882" t="s">
        <v>2280</v>
      </c>
      <c r="C1882" t="s">
        <v>214</v>
      </c>
      <c r="D1882">
        <v>4.5519999999999996</v>
      </c>
      <c r="E1882" s="4">
        <v>1457</v>
      </c>
      <c r="F1882" t="str">
        <f>HYPERLINK("https://www.google.com/maps/search/?api=1&amp;query=25.91657669,45.35381858", "View Map")</f>
        <v>View Map</v>
      </c>
      <c r="G1882" s="2">
        <v>0.49349767377216103</v>
      </c>
    </row>
    <row r="1883" spans="1:7" x14ac:dyDescent="0.3">
      <c r="A1883" t="s">
        <v>7760</v>
      </c>
      <c r="B1883" t="s">
        <v>7761</v>
      </c>
      <c r="C1883" t="s">
        <v>8</v>
      </c>
      <c r="D1883">
        <v>4.5510000000000002</v>
      </c>
      <c r="E1883" s="4">
        <v>1456</v>
      </c>
      <c r="F1883" t="str">
        <f>HYPERLINK("https://www.google.com/maps/search/?api=1&amp;query=24.69885739,46.75856164", "View Map")</f>
        <v>View Map</v>
      </c>
    </row>
    <row r="1884" spans="1:7" x14ac:dyDescent="0.3">
      <c r="A1884" t="s">
        <v>947</v>
      </c>
      <c r="B1884" t="s">
        <v>948</v>
      </c>
      <c r="C1884" t="s">
        <v>8</v>
      </c>
      <c r="D1884">
        <v>4.5510000000000002</v>
      </c>
      <c r="E1884" s="4">
        <v>1456</v>
      </c>
      <c r="F1884" t="str">
        <f>HYPERLINK("https://www.google.com/maps/search/?api=1&amp;query=24.5711092,46.8365653", "View Map")</f>
        <v>View Map</v>
      </c>
      <c r="G1884" s="2">
        <v>0.91320040747350828</v>
      </c>
    </row>
    <row r="1885" spans="1:7" x14ac:dyDescent="0.3">
      <c r="A1885" t="s">
        <v>4280</v>
      </c>
      <c r="B1885" t="s">
        <v>4281</v>
      </c>
      <c r="C1885" t="s">
        <v>255</v>
      </c>
      <c r="D1885">
        <v>4.55</v>
      </c>
      <c r="E1885" s="4">
        <v>1456</v>
      </c>
      <c r="F1885" t="str">
        <f>HYPERLINK("https://www.google.com/maps/search/?api=1&amp;query=25.18412565,44.59703076", "View Map")</f>
        <v>View Map</v>
      </c>
      <c r="G1885" s="2">
        <v>0.50842847350352915</v>
      </c>
    </row>
    <row r="1886" spans="1:7" x14ac:dyDescent="0.3">
      <c r="A1886" t="s">
        <v>6398</v>
      </c>
      <c r="B1886" t="s">
        <v>6399</v>
      </c>
      <c r="C1886" t="s">
        <v>8</v>
      </c>
      <c r="D1886">
        <v>4.5490000000000004</v>
      </c>
      <c r="E1886" s="4">
        <v>1456</v>
      </c>
      <c r="F1886" t="str">
        <f>HYPERLINK("https://www.google.com/maps/search/?api=1&amp;query=24.72103852,46.85780052", "View Map")</f>
        <v>View Map</v>
      </c>
    </row>
    <row r="1887" spans="1:7" x14ac:dyDescent="0.3">
      <c r="A1887" t="s">
        <v>3350</v>
      </c>
      <c r="B1887" t="s">
        <v>5005</v>
      </c>
      <c r="C1887" t="s">
        <v>8</v>
      </c>
      <c r="D1887">
        <v>4.5449999999999999</v>
      </c>
      <c r="E1887" s="4">
        <v>1454</v>
      </c>
      <c r="F1887" t="str">
        <f>HYPERLINK("https://www.google.com/maps/search/?api=1&amp;query=24.6036851,46.62268977", "View Map")</f>
        <v>View Map</v>
      </c>
    </row>
    <row r="1888" spans="1:7" x14ac:dyDescent="0.3">
      <c r="A1888" t="s">
        <v>1273</v>
      </c>
      <c r="B1888" t="s">
        <v>4933</v>
      </c>
      <c r="C1888" t="s">
        <v>241</v>
      </c>
      <c r="D1888">
        <v>4.5380000000000003</v>
      </c>
      <c r="E1888" s="4">
        <v>1452</v>
      </c>
      <c r="F1888" t="str">
        <f>HYPERLINK("https://www.google.com/maps/search/?api=1&amp;query=20.4503241,44.8405842", "View Map")</f>
        <v>View Map</v>
      </c>
      <c r="G1888" s="2">
        <v>0.77903763163885731</v>
      </c>
    </row>
    <row r="1889" spans="1:7" x14ac:dyDescent="0.3">
      <c r="A1889" t="s">
        <v>3870</v>
      </c>
      <c r="B1889" t="s">
        <v>3871</v>
      </c>
      <c r="C1889" t="s">
        <v>255</v>
      </c>
      <c r="D1889">
        <v>4.5380000000000003</v>
      </c>
      <c r="E1889" s="4">
        <v>1452</v>
      </c>
      <c r="F1889" t="str">
        <f>HYPERLINK("https://www.google.com/maps/search/?api=1&amp;query=25.1701483,44.22521572", "View Map")</f>
        <v>View Map</v>
      </c>
      <c r="G1889" s="2">
        <v>0.61583078641555333</v>
      </c>
    </row>
    <row r="1890" spans="1:7" x14ac:dyDescent="0.3">
      <c r="A1890" t="s">
        <v>2905</v>
      </c>
      <c r="B1890" t="s">
        <v>2906</v>
      </c>
      <c r="C1890" t="s">
        <v>8</v>
      </c>
      <c r="D1890">
        <v>4.5369999999999999</v>
      </c>
      <c r="E1890" s="4">
        <v>1452</v>
      </c>
      <c r="F1890" t="str">
        <f>HYPERLINK("https://www.google.com/maps/search/?api=1&amp;query=24.77770008,46.82086736", "View Map")</f>
        <v>View Map</v>
      </c>
      <c r="G1890" s="2">
        <v>0.35353330958260237</v>
      </c>
    </row>
    <row r="1891" spans="1:7" x14ac:dyDescent="0.3">
      <c r="A1891" t="s">
        <v>4039</v>
      </c>
      <c r="B1891" t="s">
        <v>4040</v>
      </c>
      <c r="C1891" t="s">
        <v>466</v>
      </c>
      <c r="D1891">
        <v>4.5369999999999999</v>
      </c>
      <c r="E1891" s="4">
        <v>1452</v>
      </c>
      <c r="F1891" t="str">
        <f>HYPERLINK("https://www.google.com/maps/search/?api=1&amp;query=24.51813153,46.1340055", "View Map")</f>
        <v>View Map</v>
      </c>
      <c r="G1891" s="2">
        <v>0.9449365256397293</v>
      </c>
    </row>
    <row r="1892" spans="1:7" x14ac:dyDescent="0.3">
      <c r="A1892" t="s">
        <v>4659</v>
      </c>
      <c r="B1892" t="s">
        <v>4660</v>
      </c>
      <c r="C1892" t="s">
        <v>883</v>
      </c>
      <c r="D1892">
        <v>4.5359999999999996</v>
      </c>
      <c r="E1892" s="4">
        <v>1451</v>
      </c>
      <c r="F1892" t="str">
        <f>HYPERLINK("https://www.google.com/maps/search/?api=1&amp;query=25.4060951,47.20939746", "View Map")</f>
        <v>View Map</v>
      </c>
      <c r="G1892" s="2">
        <v>0.93231272475309168</v>
      </c>
    </row>
    <row r="1893" spans="1:7" x14ac:dyDescent="0.3">
      <c r="A1893" t="s">
        <v>3195</v>
      </c>
      <c r="B1893" t="s">
        <v>3196</v>
      </c>
      <c r="C1893" t="s">
        <v>738</v>
      </c>
      <c r="D1893">
        <v>4.5359999999999996</v>
      </c>
      <c r="E1893" s="4">
        <v>1451</v>
      </c>
      <c r="F1893" t="str">
        <f>HYPERLINK("https://www.google.com/maps/search/?api=1&amp;query=25.10840808,46.1022231", "View Map")</f>
        <v>View Map</v>
      </c>
      <c r="G1893" s="2">
        <v>0.43640690811830513</v>
      </c>
    </row>
    <row r="1894" spans="1:7" x14ac:dyDescent="0.3">
      <c r="A1894" t="s">
        <v>630</v>
      </c>
      <c r="B1894" t="s">
        <v>631</v>
      </c>
      <c r="C1894" t="s">
        <v>8</v>
      </c>
      <c r="D1894">
        <v>4.5339999999999998</v>
      </c>
      <c r="E1894" s="4">
        <v>1451</v>
      </c>
      <c r="F1894" t="str">
        <f>HYPERLINK("https://www.google.com/maps/search/?api=1&amp;query=24.61632806,46.64672449", "View Map")</f>
        <v>View Map</v>
      </c>
      <c r="G1894" s="2">
        <v>0.1133734885225342</v>
      </c>
    </row>
    <row r="1895" spans="1:7" x14ac:dyDescent="0.3">
      <c r="A1895" t="s">
        <v>2992</v>
      </c>
      <c r="B1895" t="s">
        <v>2993</v>
      </c>
      <c r="C1895" t="s">
        <v>8</v>
      </c>
      <c r="D1895">
        <v>4.5309999999999997</v>
      </c>
      <c r="E1895" s="4">
        <v>1450</v>
      </c>
      <c r="F1895" t="str">
        <f>HYPERLINK("https://www.google.com/maps/search/?api=1&amp;query=24.79765983,46.80032423", "View Map")</f>
        <v>View Map</v>
      </c>
    </row>
    <row r="1896" spans="1:7" x14ac:dyDescent="0.3">
      <c r="A1896" t="s">
        <v>4086</v>
      </c>
      <c r="B1896" t="s">
        <v>4087</v>
      </c>
      <c r="C1896" t="s">
        <v>77</v>
      </c>
      <c r="D1896">
        <v>4.5309999999999997</v>
      </c>
      <c r="E1896" s="4">
        <v>1450</v>
      </c>
      <c r="F1896" t="str">
        <f>HYPERLINK("https://www.google.com/maps/search/?api=1&amp;query=22.27284345,46.71608131", "View Map")</f>
        <v>View Map</v>
      </c>
      <c r="G1896" s="2">
        <v>0.82547195317943522</v>
      </c>
    </row>
    <row r="1897" spans="1:7" x14ac:dyDescent="0.3">
      <c r="A1897" t="s">
        <v>3449</v>
      </c>
      <c r="B1897" t="s">
        <v>3450</v>
      </c>
      <c r="C1897" t="s">
        <v>291</v>
      </c>
      <c r="D1897">
        <v>4.5279999999999996</v>
      </c>
      <c r="E1897" s="4">
        <v>1449</v>
      </c>
      <c r="F1897" t="str">
        <f>HYPERLINK("https://www.google.com/maps/search/?api=1&amp;query=23.76431816,44.76264936", "View Map")</f>
        <v>View Map</v>
      </c>
    </row>
    <row r="1898" spans="1:7" x14ac:dyDescent="0.3">
      <c r="A1898" t="s">
        <v>4292</v>
      </c>
      <c r="B1898" t="s">
        <v>4293</v>
      </c>
      <c r="C1898" t="s">
        <v>8</v>
      </c>
      <c r="D1898">
        <v>4.5209999999999999</v>
      </c>
      <c r="E1898" s="4">
        <v>1447</v>
      </c>
      <c r="F1898" t="str">
        <f>HYPERLINK("https://www.google.com/maps/search/?api=1&amp;query=24.68219483,46.79184304", "View Map")</f>
        <v>View Map</v>
      </c>
    </row>
    <row r="1899" spans="1:7" x14ac:dyDescent="0.3">
      <c r="A1899" t="s">
        <v>5069</v>
      </c>
      <c r="B1899" t="s">
        <v>5070</v>
      </c>
      <c r="C1899" t="s">
        <v>8</v>
      </c>
      <c r="D1899">
        <v>4.5199999999999996</v>
      </c>
      <c r="E1899" s="4">
        <v>1446</v>
      </c>
      <c r="F1899" t="str">
        <f>HYPERLINK("https://www.google.com/maps/search/?api=1&amp;query=24.6325,46.7125", "View Map")</f>
        <v>View Map</v>
      </c>
    </row>
    <row r="1900" spans="1:7" x14ac:dyDescent="0.3">
      <c r="A1900" t="s">
        <v>2807</v>
      </c>
      <c r="B1900" t="s">
        <v>2808</v>
      </c>
      <c r="C1900" t="s">
        <v>255</v>
      </c>
      <c r="D1900">
        <v>4.5190000000000001</v>
      </c>
      <c r="E1900" s="4">
        <v>1446</v>
      </c>
      <c r="F1900" t="str">
        <f>HYPERLINK("https://www.google.com/maps/search/?api=1&amp;query=24.7045442,44.88839119", "View Map")</f>
        <v>View Map</v>
      </c>
      <c r="G1900" s="2">
        <v>0.62321049817097685</v>
      </c>
    </row>
    <row r="1901" spans="1:7" x14ac:dyDescent="0.3">
      <c r="A1901" t="s">
        <v>2989</v>
      </c>
      <c r="B1901" t="s">
        <v>2990</v>
      </c>
      <c r="C1901" t="s">
        <v>8</v>
      </c>
      <c r="D1901">
        <v>4.5179999999999998</v>
      </c>
      <c r="E1901" s="4">
        <v>1446</v>
      </c>
      <c r="F1901" t="str">
        <f>HYPERLINK("https://www.google.com/maps/search/?api=1&amp;query=24.76982841,46.75012222", "View Map")</f>
        <v>View Map</v>
      </c>
    </row>
    <row r="1902" spans="1:7" x14ac:dyDescent="0.3">
      <c r="A1902" t="s">
        <v>3593</v>
      </c>
      <c r="B1902" t="s">
        <v>3594</v>
      </c>
      <c r="C1902" t="s">
        <v>8</v>
      </c>
      <c r="D1902">
        <v>4.5170000000000003</v>
      </c>
      <c r="E1902" s="4">
        <v>1445</v>
      </c>
      <c r="F1902" t="str">
        <f>HYPERLINK("https://www.google.com/maps/search/?api=1&amp;query=24.75759672,46.78977717", "View Map")</f>
        <v>View Map</v>
      </c>
    </row>
    <row r="1903" spans="1:7" x14ac:dyDescent="0.3">
      <c r="A1903" t="s">
        <v>464</v>
      </c>
      <c r="B1903" t="s">
        <v>4472</v>
      </c>
      <c r="C1903" t="s">
        <v>466</v>
      </c>
      <c r="D1903">
        <v>4.5170000000000003</v>
      </c>
      <c r="E1903" s="4">
        <v>1445</v>
      </c>
      <c r="F1903" t="str">
        <f>HYPERLINK("https://www.google.com/maps/search/?api=1&amp;query=24.5908024,46.13035834", "View Map")</f>
        <v>View Map</v>
      </c>
      <c r="G1903" s="2">
        <v>0.56092353929675431</v>
      </c>
    </row>
    <row r="1904" spans="1:7" x14ac:dyDescent="0.3">
      <c r="A1904" t="s">
        <v>3305</v>
      </c>
      <c r="B1904" t="s">
        <v>3306</v>
      </c>
      <c r="C1904" t="s">
        <v>8</v>
      </c>
      <c r="D1904">
        <v>4.516</v>
      </c>
      <c r="E1904" s="4">
        <v>1445</v>
      </c>
      <c r="F1904" t="str">
        <f>HYPERLINK("https://www.google.com/maps/search/?api=1&amp;query=24.70416107,46.61735232", "View Map")</f>
        <v>View Map</v>
      </c>
      <c r="G1904" s="2">
        <v>0.81890231891217236</v>
      </c>
    </row>
    <row r="1905" spans="1:7" x14ac:dyDescent="0.3">
      <c r="A1905" t="s">
        <v>4885</v>
      </c>
      <c r="B1905" t="s">
        <v>4886</v>
      </c>
      <c r="C1905" t="s">
        <v>8</v>
      </c>
      <c r="D1905">
        <v>4.5140000000000002</v>
      </c>
      <c r="E1905" s="4">
        <v>1444</v>
      </c>
      <c r="F1905" t="str">
        <f>HYPERLINK("https://www.google.com/maps/search/?api=1&amp;query=24.58916402,46.5319198", "View Map")</f>
        <v>View Map</v>
      </c>
      <c r="G1905" s="2">
        <v>0.6456423328384423</v>
      </c>
    </row>
    <row r="1906" spans="1:7" x14ac:dyDescent="0.3">
      <c r="A1906" t="s">
        <v>11348</v>
      </c>
      <c r="B1906" t="s">
        <v>11349</v>
      </c>
      <c r="C1906" t="s">
        <v>55</v>
      </c>
      <c r="D1906">
        <v>4.5129999999999999</v>
      </c>
      <c r="E1906" s="4">
        <v>1444</v>
      </c>
      <c r="F1906" t="str">
        <f>HYPERLINK("https://www.google.com/maps/search/?api=1&amp;query=24.74071721,46.58029102", "View Map")</f>
        <v>View Map</v>
      </c>
    </row>
    <row r="1907" spans="1:7" x14ac:dyDescent="0.3">
      <c r="A1907" t="s">
        <v>5386</v>
      </c>
      <c r="B1907" t="s">
        <v>5387</v>
      </c>
      <c r="C1907" t="s">
        <v>8</v>
      </c>
      <c r="D1907">
        <v>4.5110000000000001</v>
      </c>
      <c r="E1907" s="4">
        <v>1443</v>
      </c>
      <c r="F1907" t="str">
        <f>HYPERLINK("https://www.google.com/maps/search/?api=1&amp;query=24.55760724,46.6878584", "View Map")</f>
        <v>View Map</v>
      </c>
    </row>
    <row r="1908" spans="1:7" x14ac:dyDescent="0.3">
      <c r="A1908" t="s">
        <v>4037</v>
      </c>
      <c r="B1908" t="s">
        <v>4038</v>
      </c>
      <c r="C1908" t="s">
        <v>8</v>
      </c>
      <c r="D1908">
        <v>4.51</v>
      </c>
      <c r="E1908" s="4">
        <v>1443</v>
      </c>
      <c r="F1908" t="str">
        <f>HYPERLINK("https://www.google.com/maps/search/?api=1&amp;query=24.57997846,46.83406915", "View Map")</f>
        <v>View Map</v>
      </c>
    </row>
    <row r="1909" spans="1:7" x14ac:dyDescent="0.3">
      <c r="A1909" t="s">
        <v>46</v>
      </c>
      <c r="B1909" t="s">
        <v>6772</v>
      </c>
      <c r="C1909" t="s">
        <v>8</v>
      </c>
      <c r="D1909">
        <v>4.51</v>
      </c>
      <c r="E1909" s="4">
        <v>1443</v>
      </c>
      <c r="F1909" t="str">
        <f>HYPERLINK("https://www.google.com/maps/search/?api=1&amp;query=24.92525789,46.82341566", "View Map")</f>
        <v>View Map</v>
      </c>
    </row>
    <row r="1910" spans="1:7" x14ac:dyDescent="0.3">
      <c r="A1910" t="s">
        <v>3222</v>
      </c>
      <c r="B1910" t="s">
        <v>3223</v>
      </c>
      <c r="C1910" t="s">
        <v>8</v>
      </c>
      <c r="D1910">
        <v>4.5090000000000003</v>
      </c>
      <c r="E1910" s="4">
        <v>1443</v>
      </c>
      <c r="F1910" t="str">
        <f>HYPERLINK("https://www.google.com/maps/search/?api=1&amp;query=24.74364401,46.77466416", "View Map")</f>
        <v>View Map</v>
      </c>
    </row>
    <row r="1911" spans="1:7" x14ac:dyDescent="0.3">
      <c r="A1911" t="s">
        <v>4992</v>
      </c>
      <c r="B1911" t="s">
        <v>4993</v>
      </c>
      <c r="C1911" t="s">
        <v>8</v>
      </c>
      <c r="D1911">
        <v>4.508</v>
      </c>
      <c r="E1911" s="4">
        <v>1443</v>
      </c>
      <c r="F1911" t="str">
        <f>HYPERLINK("https://www.google.com/maps/search/?api=1&amp;query=24.62797559,46.70421321", "View Map")</f>
        <v>View Map</v>
      </c>
    </row>
    <row r="1912" spans="1:7" x14ac:dyDescent="0.3">
      <c r="A1912" t="s">
        <v>3902</v>
      </c>
      <c r="B1912" t="s">
        <v>3903</v>
      </c>
      <c r="C1912" t="s">
        <v>214</v>
      </c>
      <c r="D1912">
        <v>4.5030000000000001</v>
      </c>
      <c r="E1912" s="4">
        <v>1441</v>
      </c>
      <c r="F1912" t="str">
        <f>HYPERLINK("https://www.google.com/maps/search/?api=1&amp;query=25.70170109,45.45054606", "View Map")</f>
        <v>View Map</v>
      </c>
      <c r="G1912" s="2">
        <v>0.83971974499923296</v>
      </c>
    </row>
    <row r="1913" spans="1:7" x14ac:dyDescent="0.3">
      <c r="A1913" t="s">
        <v>405</v>
      </c>
      <c r="B1913" t="s">
        <v>7976</v>
      </c>
      <c r="C1913" t="s">
        <v>8</v>
      </c>
      <c r="D1913">
        <v>4.5030000000000001</v>
      </c>
      <c r="E1913" s="4">
        <v>1441</v>
      </c>
      <c r="F1913" t="str">
        <f>HYPERLINK("https://www.google.com/maps/search/?api=1&amp;query=24.69643018,46.86031652", "View Map")</f>
        <v>View Map</v>
      </c>
      <c r="G1913" s="2">
        <v>1.0005529441397769</v>
      </c>
    </row>
    <row r="1914" spans="1:7" x14ac:dyDescent="0.3">
      <c r="A1914" t="s">
        <v>3347</v>
      </c>
      <c r="B1914" t="s">
        <v>3348</v>
      </c>
      <c r="C1914" t="s">
        <v>8</v>
      </c>
      <c r="D1914">
        <v>4.5030000000000001</v>
      </c>
      <c r="E1914" s="4">
        <v>1441</v>
      </c>
      <c r="F1914" t="str">
        <f>HYPERLINK("https://www.google.com/maps/search/?api=1&amp;query=24.66714119,46.75608582", "View Map")</f>
        <v>View Map</v>
      </c>
      <c r="G1914" s="2">
        <v>0.37753793270666092</v>
      </c>
    </row>
    <row r="1915" spans="1:7" x14ac:dyDescent="0.3">
      <c r="A1915" t="s">
        <v>4322</v>
      </c>
      <c r="B1915" t="s">
        <v>4323</v>
      </c>
      <c r="C1915" t="s">
        <v>393</v>
      </c>
      <c r="D1915">
        <v>4.5010000000000003</v>
      </c>
      <c r="E1915" s="4">
        <v>1440</v>
      </c>
      <c r="F1915" t="str">
        <f>HYPERLINK("https://www.google.com/maps/search/?api=1&amp;query=22.74332077,44.97755932", "View Map")</f>
        <v>View Map</v>
      </c>
      <c r="G1915" s="2">
        <v>0.85181381385019006</v>
      </c>
    </row>
    <row r="1916" spans="1:7" x14ac:dyDescent="0.3">
      <c r="A1916" t="s">
        <v>479</v>
      </c>
      <c r="B1916" t="s">
        <v>3468</v>
      </c>
      <c r="C1916" t="s">
        <v>738</v>
      </c>
      <c r="D1916">
        <v>4.5</v>
      </c>
      <c r="E1916" s="4">
        <v>1440</v>
      </c>
      <c r="F1916" t="str">
        <f>HYPERLINK("https://www.google.com/maps/search/?api=1&amp;query=25.12644658,46.08275716", "View Map")</f>
        <v>View Map</v>
      </c>
    </row>
    <row r="1917" spans="1:7" x14ac:dyDescent="0.3">
      <c r="A1917" t="s">
        <v>2625</v>
      </c>
      <c r="B1917" t="s">
        <v>2626</v>
      </c>
      <c r="C1917" t="s">
        <v>8</v>
      </c>
      <c r="D1917">
        <v>4.5</v>
      </c>
      <c r="E1917" s="4">
        <v>1440</v>
      </c>
      <c r="F1917" t="str">
        <f>HYPERLINK("https://www.google.com/maps/search/?api=1&amp;query=24.63558934,46.68807658", "View Map")</f>
        <v>View Map</v>
      </c>
      <c r="G1917" s="2">
        <v>0.42573726481672541</v>
      </c>
    </row>
    <row r="1918" spans="1:7" x14ac:dyDescent="0.3">
      <c r="A1918" t="s">
        <v>3759</v>
      </c>
      <c r="B1918" t="s">
        <v>3760</v>
      </c>
      <c r="C1918" t="s">
        <v>21</v>
      </c>
      <c r="D1918">
        <v>4.4950000000000001</v>
      </c>
      <c r="E1918" s="4">
        <v>1438</v>
      </c>
      <c r="F1918" t="str">
        <f>HYPERLINK("https://www.google.com/maps/search/?api=1&amp;query=26.29669067,44.79880356", "View Map")</f>
        <v>View Map</v>
      </c>
      <c r="G1918" s="2">
        <v>0.54096726439196774</v>
      </c>
    </row>
    <row r="1919" spans="1:7" x14ac:dyDescent="0.3">
      <c r="A1919" t="s">
        <v>3140</v>
      </c>
      <c r="B1919" t="s">
        <v>3141</v>
      </c>
      <c r="C1919" t="s">
        <v>214</v>
      </c>
      <c r="D1919">
        <v>4.4939999999999998</v>
      </c>
      <c r="E1919" s="4">
        <v>1438</v>
      </c>
      <c r="F1919" t="str">
        <f>HYPERLINK("https://www.google.com/maps/search/?api=1&amp;query=25.61805656,45.55171753", "View Map")</f>
        <v>View Map</v>
      </c>
      <c r="G1919" s="2">
        <v>0.60197349171725667</v>
      </c>
    </row>
    <row r="1920" spans="1:7" x14ac:dyDescent="0.3">
      <c r="A1920" t="s">
        <v>11350</v>
      </c>
      <c r="B1920" t="s">
        <v>11351</v>
      </c>
      <c r="C1920" t="s">
        <v>255</v>
      </c>
      <c r="D1920">
        <v>4.4870000000000001</v>
      </c>
      <c r="E1920" s="4">
        <v>1436</v>
      </c>
      <c r="F1920" t="str">
        <f>HYPERLINK("https://www.google.com/maps/search/?api=1&amp;query=24.50714578,44.38790569", "View Map")</f>
        <v>View Map</v>
      </c>
      <c r="G1920" s="2">
        <v>0.48256014056620611</v>
      </c>
    </row>
    <row r="1921" spans="1:7" x14ac:dyDescent="0.3">
      <c r="A1921" t="s">
        <v>28</v>
      </c>
      <c r="B1921" t="s">
        <v>1435</v>
      </c>
      <c r="C1921" t="s">
        <v>270</v>
      </c>
      <c r="D1921">
        <v>4.4850000000000003</v>
      </c>
      <c r="E1921" s="4">
        <v>1435</v>
      </c>
      <c r="F1921" t="str">
        <f>HYPERLINK("https://www.google.com/maps/search/?api=1&amp;query=24.1028556,47.17585787", "View Map")</f>
        <v>View Map</v>
      </c>
      <c r="G1921" s="2">
        <v>0.25653061098189472</v>
      </c>
    </row>
    <row r="1922" spans="1:7" x14ac:dyDescent="0.3">
      <c r="A1922" t="s">
        <v>3969</v>
      </c>
      <c r="B1922" t="s">
        <v>3970</v>
      </c>
      <c r="C1922" t="s">
        <v>8</v>
      </c>
      <c r="D1922">
        <v>4.4850000000000003</v>
      </c>
      <c r="E1922" s="4">
        <v>1435</v>
      </c>
      <c r="F1922" t="str">
        <f>HYPERLINK("https://www.google.com/maps/search/?api=1&amp;query=24.60033597,46.59390248", "View Map")</f>
        <v>View Map</v>
      </c>
    </row>
    <row r="1923" spans="1:7" x14ac:dyDescent="0.3">
      <c r="A1923" t="s">
        <v>1902</v>
      </c>
      <c r="B1923" t="s">
        <v>1903</v>
      </c>
      <c r="C1923" t="s">
        <v>8</v>
      </c>
      <c r="D1923">
        <v>4.484</v>
      </c>
      <c r="E1923" s="4">
        <v>1435</v>
      </c>
      <c r="F1923" t="str">
        <f>HYPERLINK("https://www.google.com/maps/search/?api=1&amp;query=24.62082927,46.68125453", "View Map")</f>
        <v>View Map</v>
      </c>
    </row>
    <row r="1924" spans="1:7" x14ac:dyDescent="0.3">
      <c r="A1924" t="s">
        <v>1594</v>
      </c>
      <c r="B1924" t="s">
        <v>8320</v>
      </c>
      <c r="C1924" t="s">
        <v>296</v>
      </c>
      <c r="D1924">
        <v>4.4820000000000002</v>
      </c>
      <c r="E1924" s="4">
        <v>1434</v>
      </c>
      <c r="F1924" t="str">
        <f>HYPERLINK("https://www.google.com/maps/search/?api=1&amp;query=24.50711365,46.07075512", "View Map")</f>
        <v>View Map</v>
      </c>
      <c r="G1924" s="2">
        <v>0.86184475333581501</v>
      </c>
    </row>
    <row r="1925" spans="1:7" x14ac:dyDescent="0.3">
      <c r="A1925" t="s">
        <v>3685</v>
      </c>
      <c r="B1925" t="s">
        <v>3686</v>
      </c>
      <c r="C1925" t="s">
        <v>8</v>
      </c>
      <c r="D1925">
        <v>4.4820000000000002</v>
      </c>
      <c r="E1925" s="4">
        <v>1434</v>
      </c>
      <c r="F1925" t="str">
        <f>HYPERLINK("https://www.google.com/maps/search/?api=1&amp;query=24.58493332,46.69495538", "View Map")</f>
        <v>View Map</v>
      </c>
    </row>
    <row r="1926" spans="1:7" x14ac:dyDescent="0.3">
      <c r="A1926" t="s">
        <v>4045</v>
      </c>
      <c r="B1926" t="s">
        <v>4046</v>
      </c>
      <c r="C1926" t="s">
        <v>214</v>
      </c>
      <c r="D1926">
        <v>4.4820000000000002</v>
      </c>
      <c r="E1926" s="4">
        <v>1434</v>
      </c>
      <c r="F1926" t="str">
        <f>HYPERLINK("https://www.google.com/maps/search/?api=1&amp;query=25.69840994,45.88300229", "View Map")</f>
        <v>View Map</v>
      </c>
      <c r="G1926" s="2">
        <v>0.61934561365627949</v>
      </c>
    </row>
    <row r="1927" spans="1:7" x14ac:dyDescent="0.3">
      <c r="A1927" t="s">
        <v>2547</v>
      </c>
      <c r="B1927" t="s">
        <v>2548</v>
      </c>
      <c r="C1927" t="s">
        <v>8</v>
      </c>
      <c r="D1927">
        <v>4.4820000000000002</v>
      </c>
      <c r="E1927" s="4">
        <v>1434</v>
      </c>
      <c r="F1927" t="str">
        <f>HYPERLINK("https://www.google.com/maps/search/?api=1&amp;query=24.75037532,46.67545665", "View Map")</f>
        <v>View Map</v>
      </c>
    </row>
    <row r="1928" spans="1:7" x14ac:dyDescent="0.3">
      <c r="A1928" t="s">
        <v>3806</v>
      </c>
      <c r="B1928" t="s">
        <v>3807</v>
      </c>
      <c r="C1928" t="s">
        <v>8</v>
      </c>
      <c r="D1928">
        <v>4.4770000000000003</v>
      </c>
      <c r="E1928" s="4">
        <v>1433</v>
      </c>
      <c r="F1928" t="str">
        <f>HYPERLINK("https://www.google.com/maps/search/?api=1&amp;query=24.7594251,46.77266034", "View Map")</f>
        <v>View Map</v>
      </c>
    </row>
    <row r="1929" spans="1:7" x14ac:dyDescent="0.3">
      <c r="A1929" t="s">
        <v>4344</v>
      </c>
      <c r="B1929" t="s">
        <v>4345</v>
      </c>
      <c r="C1929" t="s">
        <v>8</v>
      </c>
      <c r="D1929">
        <v>4.4749999999999996</v>
      </c>
      <c r="E1929" s="4">
        <v>1432</v>
      </c>
      <c r="F1929" t="str">
        <f>HYPERLINK("https://www.google.com/maps/search/?api=1&amp;query=24.79165838,46.79803889", "View Map")</f>
        <v>View Map</v>
      </c>
    </row>
    <row r="1930" spans="1:7" x14ac:dyDescent="0.3">
      <c r="A1930" t="s">
        <v>4003</v>
      </c>
      <c r="B1930" t="s">
        <v>4004</v>
      </c>
      <c r="C1930" t="s">
        <v>137</v>
      </c>
      <c r="D1930">
        <v>4.4749999999999996</v>
      </c>
      <c r="E1930" s="4">
        <v>1432</v>
      </c>
      <c r="F1930" t="str">
        <f>HYPERLINK("https://www.google.com/maps/search/?api=1&amp;query=23.47530964,46.87300362", "View Map")</f>
        <v>View Map</v>
      </c>
      <c r="G1930" s="2">
        <v>0.70209408573956378</v>
      </c>
    </row>
    <row r="1931" spans="1:7" x14ac:dyDescent="0.3">
      <c r="A1931" t="s">
        <v>4129</v>
      </c>
      <c r="B1931" t="s">
        <v>4130</v>
      </c>
      <c r="C1931" t="s">
        <v>214</v>
      </c>
      <c r="D1931">
        <v>4.4729999999999999</v>
      </c>
      <c r="E1931" s="4">
        <v>1431</v>
      </c>
      <c r="F1931" t="str">
        <f>HYPERLINK("https://www.google.com/maps/search/?api=1&amp;query=26.49391375,45.34523976", "View Map")</f>
        <v>View Map</v>
      </c>
      <c r="G1931" s="2">
        <v>0.71842555303431899</v>
      </c>
    </row>
    <row r="1932" spans="1:7" x14ac:dyDescent="0.3">
      <c r="A1932" t="s">
        <v>2623</v>
      </c>
      <c r="B1932" t="s">
        <v>2624</v>
      </c>
      <c r="C1932" t="s">
        <v>8</v>
      </c>
      <c r="D1932">
        <v>4.4729999999999999</v>
      </c>
      <c r="E1932" s="4">
        <v>1431</v>
      </c>
      <c r="F1932" t="str">
        <f>HYPERLINK("https://www.google.com/maps/search/?api=1&amp;query=24.57482822,46.7925692", "View Map")</f>
        <v>View Map</v>
      </c>
      <c r="G1932" s="2">
        <v>0.35408639935663772</v>
      </c>
    </row>
    <row r="1933" spans="1:7" x14ac:dyDescent="0.3">
      <c r="A1933" t="s">
        <v>10790</v>
      </c>
      <c r="B1933" t="s">
        <v>10791</v>
      </c>
      <c r="C1933" t="s">
        <v>214</v>
      </c>
      <c r="D1933">
        <v>4.4710000000000001</v>
      </c>
      <c r="E1933" s="4">
        <v>1431</v>
      </c>
      <c r="F1933" t="str">
        <f>HYPERLINK("https://www.google.com/maps/search/?api=1&amp;query=25.70857297,45.8672867", "View Map")</f>
        <v>View Map</v>
      </c>
    </row>
    <row r="1934" spans="1:7" x14ac:dyDescent="0.3">
      <c r="A1934" t="s">
        <v>3199</v>
      </c>
      <c r="B1934" t="s">
        <v>3200</v>
      </c>
      <c r="C1934" t="s">
        <v>364</v>
      </c>
      <c r="D1934">
        <v>4.4710000000000001</v>
      </c>
      <c r="E1934" s="4">
        <v>1431</v>
      </c>
      <c r="F1934" t="str">
        <f>HYPERLINK("https://www.google.com/maps/search/?api=1&amp;query=25.41914458,46.10101351", "View Map")</f>
        <v>View Map</v>
      </c>
      <c r="G1934" s="2">
        <v>0.44378025930175569</v>
      </c>
    </row>
    <row r="1935" spans="1:7" x14ac:dyDescent="0.3">
      <c r="A1935" t="s">
        <v>2998</v>
      </c>
      <c r="B1935" t="s">
        <v>2999</v>
      </c>
      <c r="C1935" t="s">
        <v>8</v>
      </c>
      <c r="D1935">
        <v>4.4710000000000001</v>
      </c>
      <c r="E1935" s="4">
        <v>1431</v>
      </c>
      <c r="F1935" t="str">
        <f>HYPERLINK("https://www.google.com/maps/search/?api=1&amp;query=24.63608326,46.70658558", "View Map")</f>
        <v>View Map</v>
      </c>
    </row>
    <row r="1936" spans="1:7" x14ac:dyDescent="0.3">
      <c r="A1936" t="s">
        <v>4828</v>
      </c>
      <c r="B1936" t="s">
        <v>4829</v>
      </c>
      <c r="C1936" t="s">
        <v>8</v>
      </c>
      <c r="D1936">
        <v>4.47</v>
      </c>
      <c r="E1936" s="4">
        <v>1431</v>
      </c>
      <c r="F1936" t="str">
        <f>HYPERLINK("https://www.google.com/maps/search/?api=1&amp;query=24.59798563,46.68248764", "View Map")</f>
        <v>View Map</v>
      </c>
    </row>
    <row r="1937" spans="1:7" x14ac:dyDescent="0.3">
      <c r="A1937" t="s">
        <v>3771</v>
      </c>
      <c r="B1937" t="s">
        <v>3772</v>
      </c>
      <c r="C1937" t="s">
        <v>738</v>
      </c>
      <c r="D1937">
        <v>4.47</v>
      </c>
      <c r="E1937" s="4">
        <v>1430</v>
      </c>
      <c r="F1937" t="str">
        <f>HYPERLINK("https://www.google.com/maps/search/?api=1&amp;query=25.10456961,46.08982338", "View Map")</f>
        <v>View Map</v>
      </c>
      <c r="G1937" s="2">
        <v>0.77057213451467366</v>
      </c>
    </row>
    <row r="1938" spans="1:7" x14ac:dyDescent="0.3">
      <c r="A1938" t="s">
        <v>46</v>
      </c>
      <c r="B1938" t="s">
        <v>1650</v>
      </c>
      <c r="C1938" t="s">
        <v>8</v>
      </c>
      <c r="D1938">
        <v>4.4690000000000003</v>
      </c>
      <c r="E1938" s="4">
        <v>1430</v>
      </c>
      <c r="F1938" t="str">
        <f>HYPERLINK("https://www.google.com/maps/search/?api=1&amp;query=24.84402774,46.82158765", "View Map")</f>
        <v>View Map</v>
      </c>
    </row>
    <row r="1939" spans="1:7" x14ac:dyDescent="0.3">
      <c r="A1939" t="s">
        <v>5164</v>
      </c>
      <c r="B1939" t="s">
        <v>5165</v>
      </c>
      <c r="C1939" t="s">
        <v>8</v>
      </c>
      <c r="D1939">
        <v>4.468</v>
      </c>
      <c r="E1939" s="4">
        <v>1430</v>
      </c>
      <c r="F1939" t="str">
        <f>HYPERLINK("https://www.google.com/maps/search/?api=1&amp;query=24.62817747,46.7545185", "View Map")</f>
        <v>View Map</v>
      </c>
    </row>
    <row r="1940" spans="1:7" x14ac:dyDescent="0.3">
      <c r="A1940" t="s">
        <v>963</v>
      </c>
      <c r="B1940" t="s">
        <v>4925</v>
      </c>
      <c r="C1940" t="s">
        <v>241</v>
      </c>
      <c r="D1940">
        <v>4.4660000000000002</v>
      </c>
      <c r="E1940" s="4">
        <v>1429</v>
      </c>
      <c r="F1940" t="str">
        <f>HYPERLINK("https://www.google.com/maps/search/?api=1&amp;query=20.4986618,44.72718531", "View Map")</f>
        <v>View Map</v>
      </c>
      <c r="G1940" s="2">
        <v>0.53994652544519617</v>
      </c>
    </row>
    <row r="1941" spans="1:7" x14ac:dyDescent="0.3">
      <c r="A1941" t="s">
        <v>3620</v>
      </c>
      <c r="B1941" t="s">
        <v>3621</v>
      </c>
      <c r="C1941" t="s">
        <v>21</v>
      </c>
      <c r="D1941">
        <v>4.4640000000000004</v>
      </c>
      <c r="E1941" s="4">
        <v>1429</v>
      </c>
      <c r="F1941" t="str">
        <f>HYPERLINK("https://www.google.com/maps/search/?api=1&amp;query=26.38812117,44.72207058", "View Map")</f>
        <v>View Map</v>
      </c>
      <c r="G1941" s="2">
        <v>0.66714458589902492</v>
      </c>
    </row>
    <row r="1942" spans="1:7" x14ac:dyDescent="0.3">
      <c r="A1942" t="s">
        <v>4111</v>
      </c>
      <c r="B1942" t="s">
        <v>4112</v>
      </c>
      <c r="C1942" t="s">
        <v>8</v>
      </c>
      <c r="D1942">
        <v>4.4640000000000004</v>
      </c>
      <c r="E1942" s="4">
        <v>1428</v>
      </c>
      <c r="F1942" t="str">
        <f>HYPERLINK("https://www.google.com/maps/search/?api=1&amp;query=24.57125773,46.83668385", "View Map")</f>
        <v>View Map</v>
      </c>
    </row>
    <row r="1943" spans="1:7" x14ac:dyDescent="0.3">
      <c r="A1943" t="s">
        <v>2863</v>
      </c>
      <c r="B1943" t="s">
        <v>2864</v>
      </c>
      <c r="C1943" t="s">
        <v>8</v>
      </c>
      <c r="D1943">
        <v>4.4640000000000004</v>
      </c>
      <c r="E1943" s="4">
        <v>1428</v>
      </c>
      <c r="F1943" t="str">
        <f>HYPERLINK("https://www.google.com/maps/search/?api=1&amp;query=24.57897636,46.75765783", "View Map")</f>
        <v>View Map</v>
      </c>
    </row>
    <row r="1944" spans="1:7" x14ac:dyDescent="0.3">
      <c r="A1944" t="s">
        <v>28</v>
      </c>
      <c r="B1944" t="s">
        <v>8080</v>
      </c>
      <c r="C1944" t="s">
        <v>30</v>
      </c>
      <c r="D1944">
        <v>4.4610000000000003</v>
      </c>
      <c r="E1944" s="4">
        <v>1427</v>
      </c>
      <c r="F1944" t="str">
        <f>HYPERLINK("https://www.google.com/maps/search/?api=1&amp;query=24.0945035,47.27503035", "View Map")</f>
        <v>View Map</v>
      </c>
    </row>
    <row r="1945" spans="1:7" x14ac:dyDescent="0.3">
      <c r="A1945" t="s">
        <v>3668</v>
      </c>
      <c r="B1945" t="s">
        <v>3669</v>
      </c>
      <c r="C1945" t="s">
        <v>30</v>
      </c>
      <c r="D1945">
        <v>4.4610000000000003</v>
      </c>
      <c r="E1945" s="4">
        <v>1427</v>
      </c>
      <c r="F1945" t="str">
        <f>HYPERLINK("https://www.google.com/maps/search/?api=1&amp;query=24.19323192,47.2867596", "View Map")</f>
        <v>View Map</v>
      </c>
      <c r="G1945" s="2">
        <v>0.7424282529468238</v>
      </c>
    </row>
    <row r="1946" spans="1:7" x14ac:dyDescent="0.3">
      <c r="A1946" t="s">
        <v>5029</v>
      </c>
      <c r="B1946" t="s">
        <v>5030</v>
      </c>
      <c r="C1946" t="s">
        <v>255</v>
      </c>
      <c r="D1946">
        <v>4.46</v>
      </c>
      <c r="E1946" s="4">
        <v>1427</v>
      </c>
      <c r="F1946" t="str">
        <f>HYPERLINK("https://www.google.com/maps/search/?api=1&amp;query=24.64116214,43.63271777", "View Map")</f>
        <v>View Map</v>
      </c>
      <c r="G1946" s="2">
        <v>0.63663145541175237</v>
      </c>
    </row>
    <row r="1947" spans="1:7" x14ac:dyDescent="0.3">
      <c r="A1947" t="s">
        <v>5555</v>
      </c>
      <c r="B1947" t="s">
        <v>5556</v>
      </c>
      <c r="C1947" t="s">
        <v>8</v>
      </c>
      <c r="D1947">
        <v>4.4530000000000003</v>
      </c>
      <c r="E1947" s="4">
        <v>1425</v>
      </c>
      <c r="F1947" t="str">
        <f>HYPERLINK("https://www.google.com/maps/search/?api=1&amp;query=24.75253842,46.77390533", "View Map")</f>
        <v>View Map</v>
      </c>
    </row>
    <row r="1948" spans="1:7" x14ac:dyDescent="0.3">
      <c r="A1948" t="s">
        <v>146</v>
      </c>
      <c r="B1948" t="s">
        <v>6233</v>
      </c>
      <c r="C1948" t="s">
        <v>8</v>
      </c>
      <c r="D1948">
        <v>4.4530000000000003</v>
      </c>
      <c r="E1948" s="4">
        <v>1425</v>
      </c>
      <c r="F1948" t="str">
        <f>HYPERLINK("https://www.google.com/maps/search/?api=1&amp;query=24.52301129,46.64291644", "View Map")</f>
        <v>View Map</v>
      </c>
    </row>
    <row r="1949" spans="1:7" x14ac:dyDescent="0.3">
      <c r="A1949" t="s">
        <v>11352</v>
      </c>
      <c r="B1949" t="s">
        <v>11353</v>
      </c>
      <c r="C1949" t="s">
        <v>8</v>
      </c>
      <c r="D1949">
        <v>4.4530000000000003</v>
      </c>
      <c r="E1949" s="4">
        <v>1425</v>
      </c>
      <c r="F1949" t="str">
        <f>HYPERLINK("https://www.google.com/maps/search/?api=1&amp;query=24.41224594,46.83913201", "View Map")</f>
        <v>View Map</v>
      </c>
      <c r="G1949" s="2">
        <v>0.45589628482998062</v>
      </c>
    </row>
    <row r="1950" spans="1:7" x14ac:dyDescent="0.3">
      <c r="A1950" t="s">
        <v>3670</v>
      </c>
      <c r="B1950" t="s">
        <v>3671</v>
      </c>
      <c r="C1950" t="s">
        <v>8</v>
      </c>
      <c r="D1950">
        <v>4.4530000000000003</v>
      </c>
      <c r="E1950" s="4">
        <v>1425</v>
      </c>
      <c r="F1950" t="str">
        <f>HYPERLINK("https://www.google.com/maps/search/?api=1&amp;query=24.68988938,46.8142836", "View Map")</f>
        <v>View Map</v>
      </c>
      <c r="G1950" s="2">
        <v>0.45678825350203578</v>
      </c>
    </row>
    <row r="1951" spans="1:7" x14ac:dyDescent="0.3">
      <c r="A1951" t="s">
        <v>9915</v>
      </c>
      <c r="B1951" t="s">
        <v>9916</v>
      </c>
      <c r="C1951" t="s">
        <v>30</v>
      </c>
      <c r="D1951">
        <v>4.4509999999999996</v>
      </c>
      <c r="E1951" s="4">
        <v>1424</v>
      </c>
      <c r="F1951" t="str">
        <f>HYPERLINK("https://www.google.com/maps/search/?api=1&amp;query=24.15857421,47.32944498", "View Map")</f>
        <v>View Map</v>
      </c>
    </row>
    <row r="1952" spans="1:7" x14ac:dyDescent="0.3">
      <c r="A1952" t="s">
        <v>5716</v>
      </c>
      <c r="B1952" t="s">
        <v>5717</v>
      </c>
      <c r="C1952" t="s">
        <v>8</v>
      </c>
      <c r="D1952">
        <v>4.45</v>
      </c>
      <c r="E1952" s="4">
        <v>1424</v>
      </c>
      <c r="F1952" t="str">
        <f>HYPERLINK("https://www.google.com/maps/search/?api=1&amp;query=24.54167953,46.73054959", "View Map")</f>
        <v>View Map</v>
      </c>
    </row>
    <row r="1953" spans="1:7" x14ac:dyDescent="0.3">
      <c r="A1953" t="s">
        <v>46</v>
      </c>
      <c r="B1953" t="s">
        <v>4477</v>
      </c>
      <c r="C1953" t="s">
        <v>8</v>
      </c>
      <c r="D1953">
        <v>4.45</v>
      </c>
      <c r="E1953" s="4">
        <v>1424</v>
      </c>
      <c r="F1953" t="str">
        <f>HYPERLINK("https://www.google.com/maps/search/?api=1&amp;query=24.89741797,46.95056237", "View Map")</f>
        <v>View Map</v>
      </c>
    </row>
    <row r="1954" spans="1:7" x14ac:dyDescent="0.3">
      <c r="A1954" t="s">
        <v>8355</v>
      </c>
      <c r="B1954" t="s">
        <v>8356</v>
      </c>
      <c r="C1954" t="s">
        <v>8</v>
      </c>
      <c r="D1954">
        <v>4.4489999999999998</v>
      </c>
      <c r="E1954" s="4">
        <v>1424</v>
      </c>
      <c r="F1954" t="str">
        <f>HYPERLINK("https://www.google.com/maps/search/?api=1&amp;query=24.71792452,46.81783059", "View Map")</f>
        <v>View Map</v>
      </c>
    </row>
    <row r="1955" spans="1:7" x14ac:dyDescent="0.3">
      <c r="A1955" t="s">
        <v>4119</v>
      </c>
      <c r="B1955" t="s">
        <v>4120</v>
      </c>
      <c r="C1955" t="s">
        <v>8</v>
      </c>
      <c r="D1955">
        <v>4.4470000000000001</v>
      </c>
      <c r="E1955" s="4">
        <v>1423</v>
      </c>
      <c r="F1955" t="str">
        <f>HYPERLINK("https://www.google.com/maps/search/?api=1&amp;query=24.66092715,46.79239513", "View Map")</f>
        <v>View Map</v>
      </c>
    </row>
    <row r="1956" spans="1:7" x14ac:dyDescent="0.3">
      <c r="A1956" t="s">
        <v>5230</v>
      </c>
      <c r="B1956" t="s">
        <v>5231</v>
      </c>
      <c r="C1956" t="s">
        <v>8</v>
      </c>
      <c r="D1956">
        <v>4.4459999999999997</v>
      </c>
      <c r="E1956" s="4">
        <v>1423</v>
      </c>
      <c r="F1956" t="str">
        <f>HYPERLINK("https://www.google.com/maps/search/?api=1&amp;query=24.57908343,46.59316279", "View Map")</f>
        <v>View Map</v>
      </c>
    </row>
    <row r="1957" spans="1:7" x14ac:dyDescent="0.3">
      <c r="A1957" t="s">
        <v>2306</v>
      </c>
      <c r="B1957" t="s">
        <v>2307</v>
      </c>
      <c r="C1957" t="s">
        <v>8</v>
      </c>
      <c r="D1957">
        <v>4.444</v>
      </c>
      <c r="E1957" s="4">
        <v>1422</v>
      </c>
      <c r="F1957" t="str">
        <f>HYPERLINK("https://www.google.com/maps/search/?api=1&amp;query=24.6907496,46.79423356", "View Map")</f>
        <v>View Map</v>
      </c>
      <c r="G1957" s="2">
        <v>0.29005590472381759</v>
      </c>
    </row>
    <row r="1958" spans="1:7" x14ac:dyDescent="0.3">
      <c r="A1958" t="s">
        <v>2080</v>
      </c>
      <c r="B1958" t="s">
        <v>2081</v>
      </c>
      <c r="C1958" t="s">
        <v>8</v>
      </c>
      <c r="D1958">
        <v>4.444</v>
      </c>
      <c r="E1958" s="4">
        <v>1422</v>
      </c>
      <c r="F1958" t="str">
        <f>HYPERLINK("https://www.google.com/maps/search/?api=1&amp;query=24.5689183,46.70834998", "View Map")</f>
        <v>View Map</v>
      </c>
    </row>
    <row r="1959" spans="1:7" x14ac:dyDescent="0.3">
      <c r="A1959" t="s">
        <v>7211</v>
      </c>
      <c r="B1959" t="s">
        <v>7212</v>
      </c>
      <c r="C1959" t="s">
        <v>8</v>
      </c>
      <c r="D1959">
        <v>4.4429999999999996</v>
      </c>
      <c r="E1959" s="4">
        <v>1422</v>
      </c>
      <c r="F1959" t="str">
        <f>HYPERLINK("https://www.google.com/maps/search/?api=1&amp;query=24.71551367,46.67279954", "View Map")</f>
        <v>View Map</v>
      </c>
    </row>
    <row r="1960" spans="1:7" x14ac:dyDescent="0.3">
      <c r="A1960" t="s">
        <v>4035</v>
      </c>
      <c r="B1960" t="s">
        <v>4036</v>
      </c>
      <c r="C1960" t="s">
        <v>21</v>
      </c>
      <c r="D1960">
        <v>4.4420000000000002</v>
      </c>
      <c r="E1960" s="4">
        <v>1421</v>
      </c>
      <c r="F1960" t="str">
        <f>HYPERLINK("https://www.google.com/maps/search/?api=1&amp;query=26.2776909,44.82753168", "View Map")</f>
        <v>View Map</v>
      </c>
      <c r="G1960" s="2">
        <v>0.76717807112329528</v>
      </c>
    </row>
    <row r="1961" spans="1:7" x14ac:dyDescent="0.3">
      <c r="A1961" t="s">
        <v>3245</v>
      </c>
      <c r="B1961" t="s">
        <v>3246</v>
      </c>
      <c r="C1961" t="s">
        <v>738</v>
      </c>
      <c r="D1961">
        <v>4.4409999999999998</v>
      </c>
      <c r="E1961" s="4">
        <v>1421</v>
      </c>
      <c r="F1961" t="str">
        <f>HYPERLINK("https://www.google.com/maps/search/?api=1&amp;query=25.11742741,46.36196024", "View Map")</f>
        <v>View Map</v>
      </c>
      <c r="G1961" s="2">
        <v>0.56372424851080338</v>
      </c>
    </row>
    <row r="1962" spans="1:7" x14ac:dyDescent="0.3">
      <c r="A1962" t="s">
        <v>484</v>
      </c>
      <c r="B1962" t="s">
        <v>485</v>
      </c>
      <c r="C1962" t="s">
        <v>8</v>
      </c>
      <c r="D1962">
        <v>4.4400000000000004</v>
      </c>
      <c r="E1962" s="4">
        <v>1421</v>
      </c>
      <c r="F1962" t="str">
        <f>HYPERLINK("https://www.google.com/maps/search/?api=1&amp;query=24.81650648,46.77273439", "View Map")</f>
        <v>View Map</v>
      </c>
      <c r="G1962" s="2">
        <v>0.14544268921560879</v>
      </c>
    </row>
    <row r="1963" spans="1:7" x14ac:dyDescent="0.3">
      <c r="A1963" t="s">
        <v>3967</v>
      </c>
      <c r="B1963" t="s">
        <v>3968</v>
      </c>
      <c r="C1963" t="s">
        <v>291</v>
      </c>
      <c r="D1963">
        <v>4.4370000000000003</v>
      </c>
      <c r="E1963" s="4">
        <v>1420</v>
      </c>
      <c r="F1963" t="str">
        <f>HYPERLINK("https://www.google.com/maps/search/?api=1&amp;query=23.99576447,45.45705306", "View Map")</f>
        <v>View Map</v>
      </c>
      <c r="G1963" s="2">
        <v>0.78220369262343692</v>
      </c>
    </row>
    <row r="1964" spans="1:7" x14ac:dyDescent="0.3">
      <c r="A1964" t="s">
        <v>7479</v>
      </c>
      <c r="B1964" t="s">
        <v>7480</v>
      </c>
      <c r="C1964" t="s">
        <v>296</v>
      </c>
      <c r="D1964">
        <v>4.4329999999999998</v>
      </c>
      <c r="E1964" s="4">
        <v>1419</v>
      </c>
      <c r="F1964" t="str">
        <f>HYPERLINK("https://www.google.com/maps/search/?api=1&amp;query=24.47357178,46.30125989", "View Map")</f>
        <v>View Map</v>
      </c>
    </row>
    <row r="1965" spans="1:7" x14ac:dyDescent="0.3">
      <c r="A1965" t="s">
        <v>3560</v>
      </c>
      <c r="B1965" t="s">
        <v>3561</v>
      </c>
      <c r="C1965" t="s">
        <v>77</v>
      </c>
      <c r="D1965">
        <v>4.43</v>
      </c>
      <c r="E1965" s="4">
        <v>1418</v>
      </c>
      <c r="F1965" t="str">
        <f>HYPERLINK("https://www.google.com/maps/search/?api=1&amp;query=22.02198044,46.55615188", "View Map")</f>
        <v>View Map</v>
      </c>
      <c r="G1965" s="2">
        <v>0.58438509149355322</v>
      </c>
    </row>
    <row r="1966" spans="1:7" x14ac:dyDescent="0.3">
      <c r="A1966" t="s">
        <v>4670</v>
      </c>
      <c r="B1966" t="s">
        <v>4671</v>
      </c>
      <c r="C1966" t="s">
        <v>8</v>
      </c>
      <c r="D1966">
        <v>4.4290000000000003</v>
      </c>
      <c r="E1966" s="4">
        <v>1417</v>
      </c>
      <c r="F1966" t="str">
        <f>HYPERLINK("https://www.google.com/maps/search/?api=1&amp;query=24.81315951,46.79012088", "View Map")</f>
        <v>View Map</v>
      </c>
      <c r="G1966" s="2">
        <v>0.44457804559229541</v>
      </c>
    </row>
    <row r="1967" spans="1:7" x14ac:dyDescent="0.3">
      <c r="A1967" t="s">
        <v>46</v>
      </c>
      <c r="B1967" t="s">
        <v>4054</v>
      </c>
      <c r="C1967" t="s">
        <v>8</v>
      </c>
      <c r="D1967">
        <v>4.4260000000000002</v>
      </c>
      <c r="E1967" s="4">
        <v>1416</v>
      </c>
      <c r="F1967" t="str">
        <f>HYPERLINK("https://www.google.com/maps/search/?api=1&amp;query=24.644647,46.5516618", "View Map")</f>
        <v>View Map</v>
      </c>
      <c r="G1967" s="2">
        <v>0.95527589945089952</v>
      </c>
    </row>
    <row r="1968" spans="1:7" x14ac:dyDescent="0.3">
      <c r="A1968" t="s">
        <v>46</v>
      </c>
      <c r="B1968" t="s">
        <v>4649</v>
      </c>
      <c r="C1968" t="s">
        <v>8</v>
      </c>
      <c r="D1968">
        <v>4.4249999999999998</v>
      </c>
      <c r="E1968" s="4">
        <v>1416</v>
      </c>
      <c r="F1968" t="str">
        <f>HYPERLINK("https://www.google.com/maps/search/?api=1&amp;query=24.84132377,46.75461212", "View Map")</f>
        <v>View Map</v>
      </c>
    </row>
    <row r="1969" spans="1:7" x14ac:dyDescent="0.3">
      <c r="A1969" t="s">
        <v>2446</v>
      </c>
      <c r="B1969" t="s">
        <v>2447</v>
      </c>
      <c r="C1969" t="s">
        <v>8</v>
      </c>
      <c r="D1969">
        <v>4.4249999999999998</v>
      </c>
      <c r="E1969" s="4">
        <v>1416</v>
      </c>
      <c r="F1969" t="str">
        <f>HYPERLINK("https://www.google.com/maps/search/?api=1&amp;query=24.62070451,46.74350791", "View Map")</f>
        <v>View Map</v>
      </c>
    </row>
    <row r="1970" spans="1:7" x14ac:dyDescent="0.3">
      <c r="A1970" t="s">
        <v>3742</v>
      </c>
      <c r="B1970" t="s">
        <v>3743</v>
      </c>
      <c r="C1970" t="s">
        <v>8</v>
      </c>
      <c r="D1970">
        <v>4.423</v>
      </c>
      <c r="E1970" s="4">
        <v>1415</v>
      </c>
      <c r="F1970" t="str">
        <f>HYPERLINK("https://www.google.com/maps/search/?api=1&amp;query=24.59554867,46.67081579", "View Map")</f>
        <v>View Map</v>
      </c>
    </row>
    <row r="1971" spans="1:7" x14ac:dyDescent="0.3">
      <c r="A1971" t="s">
        <v>9018</v>
      </c>
      <c r="B1971" t="s">
        <v>9019</v>
      </c>
      <c r="C1971" t="s">
        <v>291</v>
      </c>
      <c r="D1971">
        <v>4.4219999999999997</v>
      </c>
      <c r="E1971" s="4">
        <v>1415</v>
      </c>
      <c r="F1971" t="str">
        <f>HYPERLINK("https://www.google.com/maps/search/?api=1&amp;query=24.38119852,45.89596541", "View Map")</f>
        <v>View Map</v>
      </c>
    </row>
    <row r="1972" spans="1:7" x14ac:dyDescent="0.3">
      <c r="A1972" t="s">
        <v>5819</v>
      </c>
      <c r="B1972" t="s">
        <v>5820</v>
      </c>
      <c r="C1972" t="s">
        <v>291</v>
      </c>
      <c r="D1972">
        <v>4.4189999999999996</v>
      </c>
      <c r="E1972" s="4">
        <v>1414</v>
      </c>
      <c r="F1972" t="str">
        <f>HYPERLINK("https://www.google.com/maps/search/?api=1&amp;query=24.3970045,45.32037439", "View Map")</f>
        <v>View Map</v>
      </c>
      <c r="G1972" s="2">
        <v>0.70702683704729519</v>
      </c>
    </row>
    <row r="1973" spans="1:7" x14ac:dyDescent="0.3">
      <c r="A1973" t="s">
        <v>4029</v>
      </c>
      <c r="B1973" t="s">
        <v>4030</v>
      </c>
      <c r="C1973" t="s">
        <v>255</v>
      </c>
      <c r="D1973">
        <v>4.415</v>
      </c>
      <c r="E1973" s="4">
        <v>1413</v>
      </c>
      <c r="F1973" t="str">
        <f>HYPERLINK("https://www.google.com/maps/search/?api=1&amp;query=24.6604698,43.76585388", "View Map")</f>
        <v>View Map</v>
      </c>
      <c r="G1973" s="2">
        <v>0.7960492610393376</v>
      </c>
    </row>
    <row r="1974" spans="1:7" x14ac:dyDescent="0.3">
      <c r="A1974" t="s">
        <v>3693</v>
      </c>
      <c r="B1974" t="s">
        <v>3694</v>
      </c>
      <c r="C1974" t="s">
        <v>393</v>
      </c>
      <c r="D1974">
        <v>4.4130000000000003</v>
      </c>
      <c r="E1974" s="4">
        <v>1412</v>
      </c>
      <c r="F1974" t="str">
        <f>HYPERLINK("https://www.google.com/maps/search/?api=1&amp;query=23.26260241,45.22045478", "View Map")</f>
        <v>View Map</v>
      </c>
      <c r="G1974" s="2">
        <v>0.84878197428977442</v>
      </c>
    </row>
    <row r="1975" spans="1:7" x14ac:dyDescent="0.3">
      <c r="A1975" t="s">
        <v>3992</v>
      </c>
      <c r="B1975" t="s">
        <v>3993</v>
      </c>
      <c r="C1975" t="s">
        <v>21</v>
      </c>
      <c r="D1975">
        <v>4.407</v>
      </c>
      <c r="E1975" s="4">
        <v>1410</v>
      </c>
      <c r="F1975" t="str">
        <f>HYPERLINK("https://www.google.com/maps/search/?api=1&amp;query=26.31386753,44.87653478", "View Map")</f>
        <v>View Map</v>
      </c>
      <c r="G1975" s="2">
        <v>0.64603496468792698</v>
      </c>
    </row>
    <row r="1976" spans="1:7" x14ac:dyDescent="0.3">
      <c r="A1976" t="s">
        <v>3530</v>
      </c>
      <c r="B1976" t="s">
        <v>3531</v>
      </c>
      <c r="C1976" t="s">
        <v>270</v>
      </c>
      <c r="D1976">
        <v>4.4059999999999997</v>
      </c>
      <c r="E1976" s="4">
        <v>1410</v>
      </c>
      <c r="F1976" t="str">
        <f>HYPERLINK("https://www.google.com/maps/search/?api=1&amp;query=24.11225051,46.80593327", "View Map")</f>
        <v>View Map</v>
      </c>
      <c r="G1976" s="2">
        <v>0.51455387905429484</v>
      </c>
    </row>
    <row r="1977" spans="1:7" x14ac:dyDescent="0.3">
      <c r="A1977" t="s">
        <v>4720</v>
      </c>
      <c r="B1977" t="s">
        <v>4721</v>
      </c>
      <c r="C1977" t="s">
        <v>214</v>
      </c>
      <c r="D1977">
        <v>4.4059999999999997</v>
      </c>
      <c r="E1977" s="4">
        <v>1410</v>
      </c>
      <c r="F1977" t="str">
        <f>HYPERLINK("https://www.google.com/maps/search/?api=1&amp;query=25.60077785,45.62651126", "View Map")</f>
        <v>View Map</v>
      </c>
      <c r="G1977" s="2">
        <v>0.66547679035487051</v>
      </c>
    </row>
    <row r="1978" spans="1:7" x14ac:dyDescent="0.3">
      <c r="A1978" t="s">
        <v>8156</v>
      </c>
      <c r="B1978" t="s">
        <v>8157</v>
      </c>
      <c r="C1978" t="s">
        <v>8</v>
      </c>
      <c r="D1978">
        <v>4.4050000000000002</v>
      </c>
      <c r="E1978" s="4">
        <v>1410</v>
      </c>
      <c r="F1978" t="str">
        <f>HYPERLINK("https://www.google.com/maps/search/?api=1&amp;query=24.60534966,46.75245119", "View Map")</f>
        <v>View Map</v>
      </c>
    </row>
    <row r="1979" spans="1:7" x14ac:dyDescent="0.3">
      <c r="A1979" t="s">
        <v>5966</v>
      </c>
      <c r="B1979" t="s">
        <v>5967</v>
      </c>
      <c r="C1979" t="s">
        <v>21</v>
      </c>
      <c r="D1979">
        <v>4.4029999999999996</v>
      </c>
      <c r="E1979" s="4">
        <v>1409</v>
      </c>
      <c r="F1979" t="str">
        <f>HYPERLINK("https://www.google.com/maps/search/?api=1&amp;query=26.307408,44.81225835", "View Map")</f>
        <v>View Map</v>
      </c>
      <c r="G1979" s="2">
        <v>0.59520422597029421</v>
      </c>
    </row>
    <row r="1980" spans="1:7" x14ac:dyDescent="0.3">
      <c r="A1980" t="s">
        <v>5649</v>
      </c>
      <c r="B1980" t="s">
        <v>5650</v>
      </c>
      <c r="C1980" t="s">
        <v>8</v>
      </c>
      <c r="D1980">
        <v>4.4029999999999996</v>
      </c>
      <c r="E1980" s="4">
        <v>1409</v>
      </c>
      <c r="F1980" t="str">
        <f>HYPERLINK("https://www.google.com/maps/search/?api=1&amp;query=24.56246162,46.76567181", "View Map")</f>
        <v>View Map</v>
      </c>
      <c r="G1980" s="2">
        <v>0.93168126941837048</v>
      </c>
    </row>
    <row r="1981" spans="1:7" x14ac:dyDescent="0.3">
      <c r="A1981" t="s">
        <v>3352</v>
      </c>
      <c r="B1981" t="s">
        <v>3353</v>
      </c>
      <c r="C1981" t="s">
        <v>8</v>
      </c>
      <c r="D1981">
        <v>4.4020000000000001</v>
      </c>
      <c r="E1981" s="4">
        <v>1409</v>
      </c>
      <c r="F1981" t="str">
        <f>HYPERLINK("https://www.google.com/maps/search/?api=1&amp;query=24.53179082,46.68905157", "View Map")</f>
        <v>View Map</v>
      </c>
    </row>
    <row r="1982" spans="1:7" x14ac:dyDescent="0.3">
      <c r="A1982" t="s">
        <v>2951</v>
      </c>
      <c r="B1982" t="s">
        <v>2952</v>
      </c>
      <c r="C1982" t="s">
        <v>646</v>
      </c>
      <c r="D1982">
        <v>4.4000000000000004</v>
      </c>
      <c r="E1982" s="4">
        <v>1408</v>
      </c>
      <c r="F1982" t="str">
        <f>HYPERLINK("https://www.google.com/maps/search/?api=1&amp;query=20.44875011,45.58904253", "View Map")</f>
        <v>View Map</v>
      </c>
      <c r="G1982" s="2">
        <v>0.52984280686792828</v>
      </c>
    </row>
    <row r="1983" spans="1:7" x14ac:dyDescent="0.3">
      <c r="A1983" t="s">
        <v>3591</v>
      </c>
      <c r="B1983" t="s">
        <v>3592</v>
      </c>
      <c r="C1983" t="s">
        <v>30</v>
      </c>
      <c r="D1983">
        <v>4.4000000000000004</v>
      </c>
      <c r="E1983" s="4">
        <v>1408</v>
      </c>
      <c r="F1983" t="str">
        <f>HYPERLINK("https://www.google.com/maps/search/?api=1&amp;query=24.1951985,47.26233441", "View Map")</f>
        <v>View Map</v>
      </c>
      <c r="G1983" s="2">
        <v>0.64045957914289398</v>
      </c>
    </row>
    <row r="1984" spans="1:7" x14ac:dyDescent="0.3">
      <c r="A1984" t="s">
        <v>46</v>
      </c>
      <c r="B1984" t="s">
        <v>4936</v>
      </c>
      <c r="C1984" t="s">
        <v>8</v>
      </c>
      <c r="D1984">
        <v>4.3970000000000002</v>
      </c>
      <c r="E1984" s="4">
        <v>1407</v>
      </c>
      <c r="F1984" t="str">
        <f>HYPERLINK("https://www.google.com/maps/search/?api=1&amp;query=24.73900405,46.85128239", "View Map")</f>
        <v>View Map</v>
      </c>
    </row>
    <row r="1985" spans="1:7" x14ac:dyDescent="0.3">
      <c r="A1985" t="s">
        <v>5779</v>
      </c>
      <c r="B1985" t="s">
        <v>5780</v>
      </c>
      <c r="C1985" t="s">
        <v>8</v>
      </c>
      <c r="D1985">
        <v>4.3959999999999999</v>
      </c>
      <c r="E1985" s="4">
        <v>1407</v>
      </c>
      <c r="F1985" t="str">
        <f>HYPERLINK("https://www.google.com/maps/search/?api=1&amp;query=24.70693913,46.81537689", "View Map")</f>
        <v>View Map</v>
      </c>
    </row>
    <row r="1986" spans="1:7" x14ac:dyDescent="0.3">
      <c r="A1986" t="s">
        <v>4099</v>
      </c>
      <c r="B1986" t="s">
        <v>4100</v>
      </c>
      <c r="C1986" t="s">
        <v>255</v>
      </c>
      <c r="D1986">
        <v>4.3949999999999996</v>
      </c>
      <c r="E1986" s="4">
        <v>1406</v>
      </c>
      <c r="F1986" t="str">
        <f>HYPERLINK("https://www.google.com/maps/search/?api=1&amp;query=24.4270094,43.70240778", "View Map")</f>
        <v>View Map</v>
      </c>
      <c r="G1986" s="2">
        <v>0.74622031280871193</v>
      </c>
    </row>
    <row r="1987" spans="1:7" x14ac:dyDescent="0.3">
      <c r="A1987" t="s">
        <v>150</v>
      </c>
      <c r="B1987" t="s">
        <v>1739</v>
      </c>
      <c r="C1987" t="s">
        <v>8</v>
      </c>
      <c r="D1987">
        <v>4.3920000000000003</v>
      </c>
      <c r="E1987" s="4">
        <v>1405</v>
      </c>
      <c r="F1987" t="str">
        <f>HYPERLINK("https://www.google.com/maps/search/?api=1&amp;query=24.82267215,46.78085607", "View Map")</f>
        <v>View Map</v>
      </c>
      <c r="G1987" s="2">
        <v>0.24217059744479261</v>
      </c>
    </row>
    <row r="1988" spans="1:7" x14ac:dyDescent="0.3">
      <c r="A1988" t="s">
        <v>28</v>
      </c>
      <c r="B1988" t="s">
        <v>2930</v>
      </c>
      <c r="C1988" t="s">
        <v>30</v>
      </c>
      <c r="D1988">
        <v>4.3890000000000002</v>
      </c>
      <c r="E1988" s="4">
        <v>1405</v>
      </c>
      <c r="F1988" t="str">
        <f>HYPERLINK("https://www.google.com/maps/search/?api=1&amp;query=24.15644239,47.28409537", "View Map")</f>
        <v>View Map</v>
      </c>
      <c r="G1988" s="2">
        <v>0.47070995137113358</v>
      </c>
    </row>
    <row r="1989" spans="1:7" x14ac:dyDescent="0.3">
      <c r="A1989" t="s">
        <v>11354</v>
      </c>
      <c r="B1989" t="s">
        <v>11355</v>
      </c>
      <c r="C1989" t="s">
        <v>16</v>
      </c>
      <c r="D1989">
        <v>4.3890000000000002</v>
      </c>
      <c r="E1989" s="4">
        <v>1405</v>
      </c>
      <c r="F1989" t="str">
        <f>HYPERLINK("https://www.google.com/maps/search/?api=1&amp;query=24.3484842,43.27362424", "View Map")</f>
        <v>View Map</v>
      </c>
      <c r="G1989" s="2">
        <v>0.5395016451010578</v>
      </c>
    </row>
    <row r="1990" spans="1:7" x14ac:dyDescent="0.3">
      <c r="A1990" t="s">
        <v>5932</v>
      </c>
      <c r="B1990" t="s">
        <v>5933</v>
      </c>
      <c r="C1990" t="s">
        <v>8</v>
      </c>
      <c r="D1990">
        <v>4.3879999999999999</v>
      </c>
      <c r="E1990" s="4">
        <v>1404</v>
      </c>
      <c r="F1990" t="str">
        <f>HYPERLINK("https://www.google.com/maps/search/?api=1&amp;query=24.57122094,46.69226542", "View Map")</f>
        <v>View Map</v>
      </c>
    </row>
    <row r="1991" spans="1:7" x14ac:dyDescent="0.3">
      <c r="A1991" t="s">
        <v>46</v>
      </c>
      <c r="B1991" t="s">
        <v>5340</v>
      </c>
      <c r="C1991" t="s">
        <v>8</v>
      </c>
      <c r="D1991">
        <v>4.3879999999999999</v>
      </c>
      <c r="E1991" s="4">
        <v>1404</v>
      </c>
      <c r="F1991" t="str">
        <f>HYPERLINK("https://www.google.com/maps/search/?api=1&amp;query=24.55736,46.78215", "View Map")</f>
        <v>View Map</v>
      </c>
    </row>
    <row r="1992" spans="1:7" x14ac:dyDescent="0.3">
      <c r="A1992" t="s">
        <v>4405</v>
      </c>
      <c r="B1992" t="s">
        <v>4406</v>
      </c>
      <c r="C1992" t="s">
        <v>8</v>
      </c>
      <c r="D1992">
        <v>4.3869999999999996</v>
      </c>
      <c r="E1992" s="4">
        <v>1404</v>
      </c>
      <c r="F1992" t="str">
        <f>HYPERLINK("https://www.google.com/maps/search/?api=1&amp;query=24.61272913,46.69543896", "View Map")</f>
        <v>View Map</v>
      </c>
    </row>
    <row r="1993" spans="1:7" x14ac:dyDescent="0.3">
      <c r="A1993" t="s">
        <v>46</v>
      </c>
      <c r="B1993" t="s">
        <v>11356</v>
      </c>
      <c r="C1993" t="s">
        <v>8</v>
      </c>
      <c r="D1993">
        <v>4.3860000000000001</v>
      </c>
      <c r="E1993" s="4">
        <v>1403</v>
      </c>
      <c r="F1993" t="str">
        <f>HYPERLINK("https://www.google.com/maps/search/?api=1&amp;query=24.82386127,46.73049295", "View Map")</f>
        <v>View Map</v>
      </c>
    </row>
    <row r="1994" spans="1:7" x14ac:dyDescent="0.3">
      <c r="A1994" t="s">
        <v>3927</v>
      </c>
      <c r="B1994" t="s">
        <v>3928</v>
      </c>
      <c r="C1994" t="s">
        <v>466</v>
      </c>
      <c r="D1994">
        <v>4.38</v>
      </c>
      <c r="E1994" s="4">
        <v>1402</v>
      </c>
      <c r="F1994" t="str">
        <f>HYPERLINK("https://www.google.com/maps/search/?api=1&amp;query=24.60548017,46.14302458", "View Map")</f>
        <v>View Map</v>
      </c>
      <c r="G1994" s="2">
        <v>0.58094890689513645</v>
      </c>
    </row>
    <row r="1995" spans="1:7" x14ac:dyDescent="0.3">
      <c r="A1995" t="s">
        <v>2600</v>
      </c>
      <c r="B1995" t="s">
        <v>2601</v>
      </c>
      <c r="C1995" t="s">
        <v>296</v>
      </c>
      <c r="D1995">
        <v>4.38</v>
      </c>
      <c r="E1995" s="4">
        <v>1402</v>
      </c>
      <c r="F1995" t="str">
        <f>HYPERLINK("https://www.google.com/maps/search/?api=1&amp;query=24.45073409,46.30022976", "View Map")</f>
        <v>View Map</v>
      </c>
    </row>
    <row r="1996" spans="1:7" x14ac:dyDescent="0.3">
      <c r="A1996" t="s">
        <v>8048</v>
      </c>
      <c r="B1996" t="s">
        <v>8049</v>
      </c>
      <c r="C1996" t="s">
        <v>255</v>
      </c>
      <c r="D1996">
        <v>4.3769999999999998</v>
      </c>
      <c r="E1996" s="4">
        <v>1401</v>
      </c>
      <c r="F1996" t="str">
        <f>HYPERLINK("https://www.google.com/maps/search/?api=1&amp;query=24.7369979,44.2965343", "View Map")</f>
        <v>View Map</v>
      </c>
      <c r="G1996" s="2">
        <v>0.53345162529261425</v>
      </c>
    </row>
    <row r="1997" spans="1:7" x14ac:dyDescent="0.3">
      <c r="A1997" t="s">
        <v>3230</v>
      </c>
      <c r="B1997" t="s">
        <v>3231</v>
      </c>
      <c r="C1997" t="s">
        <v>8</v>
      </c>
      <c r="D1997">
        <v>4.3730000000000002</v>
      </c>
      <c r="E1997" s="4">
        <v>1399</v>
      </c>
      <c r="F1997" t="str">
        <f>HYPERLINK("https://www.google.com/maps/search/?api=1&amp;query=24.72159569,46.8461449", "View Map")</f>
        <v>View Map</v>
      </c>
    </row>
    <row r="1998" spans="1:7" x14ac:dyDescent="0.3">
      <c r="A1998" t="s">
        <v>46</v>
      </c>
      <c r="B1998" t="s">
        <v>3754</v>
      </c>
      <c r="C1998" t="s">
        <v>8</v>
      </c>
      <c r="D1998">
        <v>4.3719999999999999</v>
      </c>
      <c r="E1998" s="4">
        <v>1399</v>
      </c>
      <c r="F1998" t="str">
        <f>HYPERLINK("https://www.google.com/maps/search/?api=1&amp;query=24.79748,46.59821", "View Map")</f>
        <v>View Map</v>
      </c>
      <c r="G1998" s="2">
        <v>0.7940197548943384</v>
      </c>
    </row>
    <row r="1999" spans="1:7" x14ac:dyDescent="0.3">
      <c r="A1999" t="s">
        <v>6330</v>
      </c>
      <c r="B1999" t="s">
        <v>6331</v>
      </c>
      <c r="C1999" t="s">
        <v>8</v>
      </c>
      <c r="D1999">
        <v>4.3719999999999999</v>
      </c>
      <c r="E1999" s="4">
        <v>1399</v>
      </c>
      <c r="F1999" t="str">
        <f>HYPERLINK("https://www.google.com/maps/search/?api=1&amp;query=24.78367714,46.71603454", "View Map")</f>
        <v>View Map</v>
      </c>
    </row>
    <row r="2000" spans="1:7" x14ac:dyDescent="0.3">
      <c r="A2000" t="s">
        <v>6111</v>
      </c>
      <c r="B2000" t="s">
        <v>6112</v>
      </c>
      <c r="C2000" t="s">
        <v>241</v>
      </c>
      <c r="D2000">
        <v>4.3710000000000004</v>
      </c>
      <c r="E2000" s="4">
        <v>1399</v>
      </c>
      <c r="F2000" t="str">
        <f>HYPERLINK("https://www.google.com/maps/search/?api=1&amp;query=20.45077323,44.98005124", "View Map")</f>
        <v>View Map</v>
      </c>
      <c r="G2000" s="2">
        <v>0.75214724332804139</v>
      </c>
    </row>
    <row r="2001" spans="1:7" x14ac:dyDescent="0.3">
      <c r="A2001" t="s">
        <v>46</v>
      </c>
      <c r="B2001" t="s">
        <v>4335</v>
      </c>
      <c r="C2001" t="s">
        <v>8</v>
      </c>
      <c r="D2001">
        <v>4.3710000000000004</v>
      </c>
      <c r="E2001" s="4">
        <v>1399</v>
      </c>
      <c r="F2001" t="str">
        <f>HYPERLINK("https://www.google.com/maps/search/?api=1&amp;query=24.87142205,46.62866069", "View Map")</f>
        <v>View Map</v>
      </c>
    </row>
    <row r="2002" spans="1:7" x14ac:dyDescent="0.3">
      <c r="A2002" t="s">
        <v>146</v>
      </c>
      <c r="B2002" t="s">
        <v>4846</v>
      </c>
      <c r="C2002" t="s">
        <v>8</v>
      </c>
      <c r="D2002">
        <v>4.3689999999999998</v>
      </c>
      <c r="E2002" s="4">
        <v>1398</v>
      </c>
      <c r="F2002" t="str">
        <f>HYPERLINK("https://www.google.com/maps/search/?api=1&amp;query=24.50563991,46.62900741", "View Map")</f>
        <v>View Map</v>
      </c>
    </row>
    <row r="2003" spans="1:7" x14ac:dyDescent="0.3">
      <c r="A2003" t="s">
        <v>2202</v>
      </c>
      <c r="B2003" t="s">
        <v>2203</v>
      </c>
      <c r="C2003" t="s">
        <v>8</v>
      </c>
      <c r="D2003">
        <v>4.3680000000000003</v>
      </c>
      <c r="E2003" s="4">
        <v>1398</v>
      </c>
      <c r="F2003" t="str">
        <f>HYPERLINK("https://www.google.com/maps/search/?api=1&amp;query=24.8054749,46.86762852", "View Map")</f>
        <v>View Map</v>
      </c>
    </row>
    <row r="2004" spans="1:7" x14ac:dyDescent="0.3">
      <c r="A2004" t="s">
        <v>3691</v>
      </c>
      <c r="B2004" t="s">
        <v>3692</v>
      </c>
      <c r="C2004" t="s">
        <v>255</v>
      </c>
      <c r="D2004">
        <v>4.3659999999999997</v>
      </c>
      <c r="E2004" s="4">
        <v>1397</v>
      </c>
      <c r="F2004" t="str">
        <f>HYPERLINK("https://www.google.com/maps/search/?api=1&amp;query=25.37826036,44.4947739", "View Map")</f>
        <v>View Map</v>
      </c>
    </row>
    <row r="2005" spans="1:7" x14ac:dyDescent="0.3">
      <c r="A2005" t="s">
        <v>4628</v>
      </c>
      <c r="B2005" t="s">
        <v>4629</v>
      </c>
      <c r="C2005" t="s">
        <v>8</v>
      </c>
      <c r="D2005">
        <v>4.3650000000000002</v>
      </c>
      <c r="E2005" s="4">
        <v>1397</v>
      </c>
      <c r="F2005" t="str">
        <f>HYPERLINK("https://www.google.com/maps/search/?api=1&amp;query=24.56372838,46.78322256", "View Map")</f>
        <v>View Map</v>
      </c>
    </row>
    <row r="2006" spans="1:7" x14ac:dyDescent="0.3">
      <c r="A2006" t="s">
        <v>46</v>
      </c>
      <c r="B2006" t="s">
        <v>1889</v>
      </c>
      <c r="C2006" t="s">
        <v>8</v>
      </c>
      <c r="D2006">
        <v>4.3639999999999999</v>
      </c>
      <c r="E2006" s="4">
        <v>1397</v>
      </c>
      <c r="F2006" t="str">
        <f>HYPERLINK("https://www.google.com/maps/search/?api=1&amp;query=24.76861819,46.69715248", "View Map")</f>
        <v>View Map</v>
      </c>
    </row>
    <row r="2007" spans="1:7" x14ac:dyDescent="0.3">
      <c r="A2007" t="s">
        <v>380</v>
      </c>
      <c r="B2007" t="s">
        <v>3833</v>
      </c>
      <c r="C2007" t="s">
        <v>214</v>
      </c>
      <c r="D2007">
        <v>4.3639999999999999</v>
      </c>
      <c r="E2007" s="4">
        <v>1396</v>
      </c>
      <c r="F2007" t="str">
        <f>HYPERLINK("https://www.google.com/maps/search/?api=1&amp;query=25.69664192,45.88027634", "View Map")</f>
        <v>View Map</v>
      </c>
      <c r="G2007" s="2">
        <v>0.72469283908509785</v>
      </c>
    </row>
    <row r="2008" spans="1:7" x14ac:dyDescent="0.3">
      <c r="A2008" t="s">
        <v>362</v>
      </c>
      <c r="B2008" t="s">
        <v>8200</v>
      </c>
      <c r="C2008" t="s">
        <v>364</v>
      </c>
      <c r="D2008">
        <v>4.3639999999999999</v>
      </c>
      <c r="E2008" s="4">
        <v>1396</v>
      </c>
      <c r="F2008" t="str">
        <f>HYPERLINK("https://www.google.com/maps/search/?api=1&amp;query=25.21279172,45.86798379", "View Map")</f>
        <v>View Map</v>
      </c>
    </row>
    <row r="2009" spans="1:7" x14ac:dyDescent="0.3">
      <c r="A2009" t="s">
        <v>150</v>
      </c>
      <c r="B2009" t="s">
        <v>3539</v>
      </c>
      <c r="C2009" t="s">
        <v>8</v>
      </c>
      <c r="D2009">
        <v>4.3630000000000004</v>
      </c>
      <c r="E2009" s="4">
        <v>1396</v>
      </c>
      <c r="F2009" t="str">
        <f>HYPERLINK("https://www.google.com/maps/search/?api=1&amp;query=24.75113039,46.76851452", "View Map")</f>
        <v>View Map</v>
      </c>
      <c r="G2009" s="2">
        <v>0.9180847484824548</v>
      </c>
    </row>
    <row r="2010" spans="1:7" x14ac:dyDescent="0.3">
      <c r="A2010" t="s">
        <v>6242</v>
      </c>
      <c r="B2010" t="s">
        <v>6243</v>
      </c>
      <c r="C2010" t="s">
        <v>8</v>
      </c>
      <c r="D2010">
        <v>4.3630000000000004</v>
      </c>
      <c r="E2010" s="4">
        <v>1396</v>
      </c>
      <c r="F2010" t="str">
        <f>HYPERLINK("https://www.google.com/maps/search/?api=1&amp;query=24.59932821,46.71034877", "View Map")</f>
        <v>View Map</v>
      </c>
    </row>
    <row r="2011" spans="1:7" x14ac:dyDescent="0.3">
      <c r="A2011" t="s">
        <v>1230</v>
      </c>
      <c r="B2011" t="s">
        <v>10902</v>
      </c>
      <c r="C2011" t="s">
        <v>466</v>
      </c>
      <c r="D2011">
        <v>4.3620000000000001</v>
      </c>
      <c r="E2011" s="4">
        <v>1396</v>
      </c>
      <c r="F2011" t="str">
        <f>HYPERLINK("https://www.google.com/maps/search/?api=1&amp;query=24.59191803,46.14981991", "View Map")</f>
        <v>View Map</v>
      </c>
      <c r="G2011" s="2">
        <v>0.41785262796056871</v>
      </c>
    </row>
    <row r="2012" spans="1:7" x14ac:dyDescent="0.3">
      <c r="A2012" t="s">
        <v>46</v>
      </c>
      <c r="B2012" t="s">
        <v>2425</v>
      </c>
      <c r="C2012" t="s">
        <v>8</v>
      </c>
      <c r="D2012">
        <v>4.3620000000000001</v>
      </c>
      <c r="E2012" s="4">
        <v>1396</v>
      </c>
      <c r="F2012" t="str">
        <f>HYPERLINK("https://www.google.com/maps/search/?api=1&amp;query=24.79557939,46.61727517", "View Map")</f>
        <v>View Map</v>
      </c>
    </row>
    <row r="2013" spans="1:7" x14ac:dyDescent="0.3">
      <c r="A2013" t="s">
        <v>46</v>
      </c>
      <c r="B2013" t="s">
        <v>5841</v>
      </c>
      <c r="C2013" t="s">
        <v>820</v>
      </c>
      <c r="D2013">
        <v>4.3609999999999998</v>
      </c>
      <c r="E2013" s="4">
        <v>1396</v>
      </c>
      <c r="F2013" t="str">
        <f>HYPERLINK("https://www.google.com/maps/search/?api=1&amp;query=0.0,0.0", "View Map")</f>
        <v>View Map</v>
      </c>
    </row>
    <row r="2014" spans="1:7" x14ac:dyDescent="0.3">
      <c r="A2014" t="s">
        <v>5173</v>
      </c>
      <c r="B2014" t="s">
        <v>5174</v>
      </c>
      <c r="C2014" t="s">
        <v>8</v>
      </c>
      <c r="D2014">
        <v>4.3609999999999998</v>
      </c>
      <c r="E2014" s="4">
        <v>1396</v>
      </c>
      <c r="F2014" t="str">
        <f>HYPERLINK("https://www.google.com/maps/search/?api=1&amp;query=24.71972893,46.66681519", "View Map")</f>
        <v>View Map</v>
      </c>
      <c r="G2014" s="2">
        <v>0.58683026655598092</v>
      </c>
    </row>
    <row r="2015" spans="1:7" x14ac:dyDescent="0.3">
      <c r="A2015" t="s">
        <v>146</v>
      </c>
      <c r="B2015" t="s">
        <v>4804</v>
      </c>
      <c r="C2015" t="s">
        <v>8</v>
      </c>
      <c r="D2015">
        <v>4.3600000000000003</v>
      </c>
      <c r="E2015" s="4">
        <v>1395</v>
      </c>
      <c r="F2015" t="str">
        <f>HYPERLINK("https://www.google.com/maps/search/?api=1&amp;query=24.55488805,46.58872846", "View Map")</f>
        <v>View Map</v>
      </c>
    </row>
    <row r="2016" spans="1:7" x14ac:dyDescent="0.3">
      <c r="A2016" t="s">
        <v>4174</v>
      </c>
      <c r="B2016" t="s">
        <v>4175</v>
      </c>
      <c r="C2016" t="s">
        <v>8</v>
      </c>
      <c r="D2016">
        <v>4.3600000000000003</v>
      </c>
      <c r="E2016" s="4">
        <v>1395</v>
      </c>
      <c r="F2016" t="str">
        <f>HYPERLINK("https://www.google.com/maps/search/?api=1&amp;query=24.69361629,46.77754291", "View Map")</f>
        <v>View Map</v>
      </c>
    </row>
    <row r="2017" spans="1:7" x14ac:dyDescent="0.3">
      <c r="A2017" t="s">
        <v>3699</v>
      </c>
      <c r="B2017" t="s">
        <v>3700</v>
      </c>
      <c r="C2017" t="s">
        <v>8</v>
      </c>
      <c r="D2017">
        <v>4.359</v>
      </c>
      <c r="E2017" s="4">
        <v>1395</v>
      </c>
      <c r="F2017" t="str">
        <f>HYPERLINK("https://www.google.com/maps/search/?api=1&amp;query=24.69763043,46.67411699", "View Map")</f>
        <v>View Map</v>
      </c>
    </row>
    <row r="2018" spans="1:7" x14ac:dyDescent="0.3">
      <c r="A2018" t="s">
        <v>5270</v>
      </c>
      <c r="B2018" t="s">
        <v>5271</v>
      </c>
      <c r="C2018" t="s">
        <v>393</v>
      </c>
      <c r="D2018">
        <v>4.359</v>
      </c>
      <c r="E2018" s="4">
        <v>1395</v>
      </c>
      <c r="F2018" t="str">
        <f>HYPERLINK("https://www.google.com/maps/search/?api=1&amp;query=22.48780746,44.5087281", "View Map")</f>
        <v>View Map</v>
      </c>
      <c r="G2018" s="2">
        <v>0.89675920299704703</v>
      </c>
    </row>
    <row r="2019" spans="1:7" x14ac:dyDescent="0.3">
      <c r="A2019" t="s">
        <v>3672</v>
      </c>
      <c r="B2019" t="s">
        <v>3673</v>
      </c>
      <c r="C2019" t="s">
        <v>296</v>
      </c>
      <c r="D2019">
        <v>4.359</v>
      </c>
      <c r="E2019" s="4">
        <v>1395</v>
      </c>
      <c r="F2019" t="str">
        <f>HYPERLINK("https://www.google.com/maps/search/?api=1&amp;query=24.45880199,46.29016549", "View Map")</f>
        <v>View Map</v>
      </c>
      <c r="G2019" s="2">
        <v>0.44761553347329641</v>
      </c>
    </row>
    <row r="2020" spans="1:7" x14ac:dyDescent="0.3">
      <c r="A2020" t="s">
        <v>6649</v>
      </c>
      <c r="B2020" t="s">
        <v>6650</v>
      </c>
      <c r="C2020" t="s">
        <v>291</v>
      </c>
      <c r="D2020">
        <v>4.3570000000000002</v>
      </c>
      <c r="E2020" s="4">
        <v>1394</v>
      </c>
      <c r="F2020" t="str">
        <f>HYPERLINK("https://www.google.com/maps/search/?api=1&amp;query=23.25306255,44.64946744", "View Map")</f>
        <v>View Map</v>
      </c>
    </row>
    <row r="2021" spans="1:7" x14ac:dyDescent="0.3">
      <c r="A2021" t="s">
        <v>146</v>
      </c>
      <c r="B2021" t="s">
        <v>4748</v>
      </c>
      <c r="C2021" t="s">
        <v>8</v>
      </c>
      <c r="D2021">
        <v>4.3559999999999999</v>
      </c>
      <c r="E2021" s="4">
        <v>1394</v>
      </c>
      <c r="F2021" t="str">
        <f>HYPERLINK("https://www.google.com/maps/search/?api=1&amp;query=24.55389683,46.52898021", "View Map")</f>
        <v>View Map</v>
      </c>
    </row>
    <row r="2022" spans="1:7" x14ac:dyDescent="0.3">
      <c r="A2022" t="s">
        <v>973</v>
      </c>
      <c r="B2022" t="s">
        <v>974</v>
      </c>
      <c r="C2022" t="s">
        <v>8</v>
      </c>
      <c r="D2022">
        <v>4.3540000000000001</v>
      </c>
      <c r="E2022" s="4">
        <v>1393</v>
      </c>
      <c r="F2022" t="str">
        <f>HYPERLINK("https://www.google.com/maps/search/?api=1&amp;query=24.84124936,46.8070651", "View Map")</f>
        <v>View Map</v>
      </c>
      <c r="G2022" s="2">
        <v>0.19700417012693611</v>
      </c>
    </row>
    <row r="2023" spans="1:7" x14ac:dyDescent="0.3">
      <c r="A2023" t="s">
        <v>146</v>
      </c>
      <c r="B2023" t="s">
        <v>4018</v>
      </c>
      <c r="C2023" t="s">
        <v>8</v>
      </c>
      <c r="D2023">
        <v>4.3540000000000001</v>
      </c>
      <c r="E2023" s="4">
        <v>1393</v>
      </c>
      <c r="F2023" t="str">
        <f>HYPERLINK("https://www.google.com/maps/search/?api=1&amp;query=24.55827063,46.55290224", "View Map")</f>
        <v>View Map</v>
      </c>
    </row>
    <row r="2024" spans="1:7" x14ac:dyDescent="0.3">
      <c r="A2024" t="s">
        <v>3950</v>
      </c>
      <c r="B2024" t="s">
        <v>3951</v>
      </c>
      <c r="C2024" t="s">
        <v>214</v>
      </c>
      <c r="D2024">
        <v>4.351</v>
      </c>
      <c r="E2024" s="4">
        <v>1392</v>
      </c>
      <c r="F2024" t="str">
        <f>HYPERLINK("https://www.google.com/maps/search/?api=1&amp;query=25.693875,45.88890338", "View Map")</f>
        <v>View Map</v>
      </c>
      <c r="G2024" s="2">
        <v>0.63049868504515028</v>
      </c>
    </row>
    <row r="2025" spans="1:7" x14ac:dyDescent="0.3">
      <c r="A2025" t="s">
        <v>3401</v>
      </c>
      <c r="B2025" t="s">
        <v>3402</v>
      </c>
      <c r="C2025" t="s">
        <v>291</v>
      </c>
      <c r="D2025">
        <v>4.3490000000000002</v>
      </c>
      <c r="E2025" s="4">
        <v>1392</v>
      </c>
      <c r="F2025" t="str">
        <f>HYPERLINK("https://www.google.com/maps/search/?api=1&amp;query=24.07860563,45.28627419", "View Map")</f>
        <v>View Map</v>
      </c>
    </row>
    <row r="2026" spans="1:7" x14ac:dyDescent="0.3">
      <c r="A2026" t="s">
        <v>3551</v>
      </c>
      <c r="B2026" t="s">
        <v>3552</v>
      </c>
      <c r="C2026" t="s">
        <v>21</v>
      </c>
      <c r="D2026">
        <v>4.3490000000000002</v>
      </c>
      <c r="E2026" s="4">
        <v>1392</v>
      </c>
      <c r="F2026" t="str">
        <f>HYPERLINK("https://www.google.com/maps/search/?api=1&amp;query=26.30604042,44.80007916", "View Map")</f>
        <v>View Map</v>
      </c>
      <c r="G2026" s="2">
        <v>0.58377746222723037</v>
      </c>
    </row>
    <row r="2027" spans="1:7" x14ac:dyDescent="0.3">
      <c r="A2027" t="s">
        <v>3660</v>
      </c>
      <c r="B2027" t="s">
        <v>3661</v>
      </c>
      <c r="C2027" t="s">
        <v>8</v>
      </c>
      <c r="D2027">
        <v>4.3479999999999999</v>
      </c>
      <c r="E2027" s="4">
        <v>1391</v>
      </c>
      <c r="F2027" t="str">
        <f>HYPERLINK("https://www.google.com/maps/search/?api=1&amp;query=24.59739254,46.70651971", "View Map")</f>
        <v>View Map</v>
      </c>
      <c r="G2027" s="2">
        <v>0.43626837342818081</v>
      </c>
    </row>
    <row r="2028" spans="1:7" x14ac:dyDescent="0.3">
      <c r="A2028" t="s">
        <v>1269</v>
      </c>
      <c r="B2028" t="s">
        <v>1270</v>
      </c>
      <c r="C2028" t="s">
        <v>8</v>
      </c>
      <c r="D2028">
        <v>4.3479999999999999</v>
      </c>
      <c r="E2028" s="4">
        <v>1391</v>
      </c>
      <c r="F2028" t="str">
        <f>HYPERLINK("https://www.google.com/maps/search/?api=1&amp;query=24.57652756,46.56808213", "View Map")</f>
        <v>View Map</v>
      </c>
    </row>
    <row r="2029" spans="1:7" x14ac:dyDescent="0.3">
      <c r="A2029" t="s">
        <v>2365</v>
      </c>
      <c r="B2029" t="s">
        <v>2366</v>
      </c>
      <c r="C2029" t="s">
        <v>8</v>
      </c>
      <c r="D2029">
        <v>4.3479999999999999</v>
      </c>
      <c r="E2029" s="4">
        <v>1391</v>
      </c>
      <c r="F2029" t="str">
        <f>HYPERLINK("https://www.google.com/maps/search/?api=1&amp;query=24.57878307,46.6626018", "View Map")</f>
        <v>View Map</v>
      </c>
    </row>
    <row r="2030" spans="1:7" x14ac:dyDescent="0.3">
      <c r="A2030" t="s">
        <v>46</v>
      </c>
      <c r="B2030" t="s">
        <v>5213</v>
      </c>
      <c r="C2030" t="s">
        <v>820</v>
      </c>
      <c r="D2030">
        <v>4.3470000000000004</v>
      </c>
      <c r="E2030" s="4">
        <v>1391</v>
      </c>
      <c r="F2030" t="str">
        <f>HYPERLINK("https://www.google.com/maps/search/?api=1&amp;query=0.0,0.0", "View Map")</f>
        <v>View Map</v>
      </c>
    </row>
    <row r="2031" spans="1:7" x14ac:dyDescent="0.3">
      <c r="A2031" t="s">
        <v>6737</v>
      </c>
      <c r="B2031" t="s">
        <v>6738</v>
      </c>
      <c r="C2031" t="s">
        <v>8</v>
      </c>
      <c r="D2031">
        <v>4.3460000000000001</v>
      </c>
      <c r="E2031" s="4">
        <v>1391</v>
      </c>
      <c r="F2031" t="str">
        <f>HYPERLINK("https://www.google.com/maps/search/?api=1&amp;query=24.56969289,46.77974741", "View Map")</f>
        <v>View Map</v>
      </c>
    </row>
    <row r="2032" spans="1:7" x14ac:dyDescent="0.3">
      <c r="A2032" t="s">
        <v>706</v>
      </c>
      <c r="B2032" t="s">
        <v>11357</v>
      </c>
      <c r="C2032" t="s">
        <v>8</v>
      </c>
      <c r="D2032">
        <v>4.3460000000000001</v>
      </c>
      <c r="E2032" s="4">
        <v>1391</v>
      </c>
      <c r="F2032" t="str">
        <f>HYPERLINK("https://www.google.com/maps/search/?api=1&amp;query=24.59258883,46.53948231", "View Map")</f>
        <v>View Map</v>
      </c>
    </row>
    <row r="2033" spans="1:7" x14ac:dyDescent="0.3">
      <c r="A2033" t="s">
        <v>2295</v>
      </c>
      <c r="B2033" t="s">
        <v>2296</v>
      </c>
      <c r="C2033" t="s">
        <v>8</v>
      </c>
      <c r="D2033">
        <v>4.3440000000000003</v>
      </c>
      <c r="E2033" s="4">
        <v>1390</v>
      </c>
      <c r="F2033" t="str">
        <f>HYPERLINK("https://www.google.com/maps/search/?api=1&amp;query=24.62772558,46.78719619", "View Map")</f>
        <v>View Map</v>
      </c>
    </row>
    <row r="2034" spans="1:7" x14ac:dyDescent="0.3">
      <c r="A2034" t="s">
        <v>46</v>
      </c>
      <c r="B2034" t="s">
        <v>6679</v>
      </c>
      <c r="C2034" t="s">
        <v>8</v>
      </c>
      <c r="D2034">
        <v>4.343</v>
      </c>
      <c r="E2034" s="4">
        <v>1390</v>
      </c>
      <c r="F2034" t="str">
        <f>HYPERLINK("https://www.google.com/maps/search/?api=1&amp;query=24.91110172,46.6178097", "View Map")</f>
        <v>View Map</v>
      </c>
    </row>
    <row r="2035" spans="1:7" x14ac:dyDescent="0.3">
      <c r="A2035" t="s">
        <v>6234</v>
      </c>
      <c r="B2035" t="s">
        <v>6235</v>
      </c>
      <c r="C2035" t="s">
        <v>8</v>
      </c>
      <c r="D2035">
        <v>4.34</v>
      </c>
      <c r="E2035" s="4">
        <v>1389</v>
      </c>
      <c r="F2035" t="str">
        <f>HYPERLINK("https://www.google.com/maps/search/?api=1&amp;query=24.68163196,46.76580946", "View Map")</f>
        <v>View Map</v>
      </c>
    </row>
    <row r="2036" spans="1:7" x14ac:dyDescent="0.3">
      <c r="A2036" t="s">
        <v>1788</v>
      </c>
      <c r="B2036" t="s">
        <v>5012</v>
      </c>
      <c r="C2036" t="s">
        <v>393</v>
      </c>
      <c r="D2036">
        <v>4.3380000000000001</v>
      </c>
      <c r="E2036" s="4">
        <v>1388</v>
      </c>
      <c r="F2036" t="str">
        <f>HYPERLINK("https://www.google.com/maps/search/?api=1&amp;query=23.5632186,45.45001926", "View Map")</f>
        <v>View Map</v>
      </c>
      <c r="G2036" s="2">
        <v>0.72084716074963462</v>
      </c>
    </row>
    <row r="2037" spans="1:7" x14ac:dyDescent="0.3">
      <c r="A2037" t="s">
        <v>11358</v>
      </c>
      <c r="B2037" t="s">
        <v>11359</v>
      </c>
      <c r="C2037" t="s">
        <v>8</v>
      </c>
      <c r="D2037">
        <v>4.3369999999999997</v>
      </c>
      <c r="E2037" s="4">
        <v>1388</v>
      </c>
      <c r="F2037" t="str">
        <f>HYPERLINK("https://www.google.com/maps/search/?api=1&amp;query=24.57131171,46.63469077", "View Map")</f>
        <v>View Map</v>
      </c>
    </row>
    <row r="2038" spans="1:7" x14ac:dyDescent="0.3">
      <c r="A2038" t="s">
        <v>4169</v>
      </c>
      <c r="B2038" t="s">
        <v>4170</v>
      </c>
      <c r="C2038" t="s">
        <v>8</v>
      </c>
      <c r="D2038">
        <v>4.3360000000000003</v>
      </c>
      <c r="E2038" s="4">
        <v>1387</v>
      </c>
      <c r="F2038" t="str">
        <f>HYPERLINK("https://www.google.com/maps/search/?api=1&amp;query=24.77233472,46.76407745", "View Map")</f>
        <v>View Map</v>
      </c>
    </row>
    <row r="2039" spans="1:7" x14ac:dyDescent="0.3">
      <c r="A2039" t="s">
        <v>5139</v>
      </c>
      <c r="B2039" t="s">
        <v>5140</v>
      </c>
      <c r="C2039" t="s">
        <v>699</v>
      </c>
      <c r="D2039">
        <v>4.3360000000000003</v>
      </c>
      <c r="E2039" s="4">
        <v>1387</v>
      </c>
      <c r="F2039" t="str">
        <f>HYPERLINK("https://www.google.com/maps/search/?api=1&amp;query=25.07266508,45.46108788", "View Map")</f>
        <v>View Map</v>
      </c>
    </row>
    <row r="2040" spans="1:7" x14ac:dyDescent="0.3">
      <c r="A2040" t="s">
        <v>5084</v>
      </c>
      <c r="B2040" t="s">
        <v>5085</v>
      </c>
      <c r="C2040" t="s">
        <v>255</v>
      </c>
      <c r="D2040">
        <v>4.3330000000000002</v>
      </c>
      <c r="E2040" s="4">
        <v>1387</v>
      </c>
      <c r="F2040" t="str">
        <f>HYPERLINK("https://www.google.com/maps/search/?api=1&amp;query=25.19885511,44.59492049", "View Map")</f>
        <v>View Map</v>
      </c>
      <c r="G2040" s="2">
        <v>0.76924828323271455</v>
      </c>
    </row>
    <row r="2041" spans="1:7" x14ac:dyDescent="0.3">
      <c r="A2041" t="s">
        <v>3376</v>
      </c>
      <c r="B2041" t="s">
        <v>3377</v>
      </c>
      <c r="C2041" t="s">
        <v>21</v>
      </c>
      <c r="D2041">
        <v>4.33</v>
      </c>
      <c r="E2041" s="4">
        <v>1386</v>
      </c>
      <c r="F2041" t="str">
        <f>HYPERLINK("https://www.google.com/maps/search/?api=1&amp;query=26.32287771,44.80793044", "View Map")</f>
        <v>View Map</v>
      </c>
      <c r="G2041" s="2">
        <v>0.8187380982821989</v>
      </c>
    </row>
    <row r="2042" spans="1:7" x14ac:dyDescent="0.3">
      <c r="A2042" t="s">
        <v>4150</v>
      </c>
      <c r="B2042" t="s">
        <v>4151</v>
      </c>
      <c r="C2042" t="s">
        <v>8</v>
      </c>
      <c r="D2042">
        <v>4.33</v>
      </c>
      <c r="E2042" s="4">
        <v>1386</v>
      </c>
      <c r="F2042" t="str">
        <f>HYPERLINK("https://www.google.com/maps/search/?api=1&amp;query=24.57717269,46.70086496", "View Map")</f>
        <v>View Map</v>
      </c>
    </row>
    <row r="2043" spans="1:7" x14ac:dyDescent="0.3">
      <c r="A2043" t="s">
        <v>6369</v>
      </c>
      <c r="B2043" t="s">
        <v>6370</v>
      </c>
      <c r="C2043" t="s">
        <v>296</v>
      </c>
      <c r="D2043">
        <v>4.3289999999999997</v>
      </c>
      <c r="E2043" s="4">
        <v>1385</v>
      </c>
      <c r="F2043" t="str">
        <f>HYPERLINK("https://www.google.com/maps/search/?api=1&amp;query=24.48198469,46.24808255", "View Map")</f>
        <v>View Map</v>
      </c>
      <c r="G2043" s="2">
        <v>0.60958198193572743</v>
      </c>
    </row>
    <row r="2044" spans="1:7" x14ac:dyDescent="0.3">
      <c r="A2044" t="s">
        <v>4212</v>
      </c>
      <c r="B2044" t="s">
        <v>4213</v>
      </c>
      <c r="C2044" t="s">
        <v>8</v>
      </c>
      <c r="D2044">
        <v>4.3280000000000003</v>
      </c>
      <c r="E2044" s="4">
        <v>1385</v>
      </c>
      <c r="F2044" t="str">
        <f>HYPERLINK("https://www.google.com/maps/search/?api=1&amp;query=24.55741485,46.69213812", "View Map")</f>
        <v>View Map</v>
      </c>
    </row>
    <row r="2045" spans="1:7" x14ac:dyDescent="0.3">
      <c r="A2045" t="s">
        <v>189</v>
      </c>
      <c r="B2045" t="s">
        <v>190</v>
      </c>
      <c r="C2045" t="s">
        <v>8</v>
      </c>
      <c r="D2045">
        <v>4.3280000000000003</v>
      </c>
      <c r="E2045" s="4">
        <v>1385</v>
      </c>
      <c r="F2045" t="str">
        <f>HYPERLINK("https://www.google.com/maps/search/?api=1&amp;query=24.58332673,46.77322263", "View Map")</f>
        <v>View Map</v>
      </c>
      <c r="G2045" s="2">
        <v>0.27462420849826452</v>
      </c>
    </row>
    <row r="2046" spans="1:7" x14ac:dyDescent="0.3">
      <c r="A2046" t="s">
        <v>2903</v>
      </c>
      <c r="B2046" t="s">
        <v>2904</v>
      </c>
      <c r="C2046" t="s">
        <v>8</v>
      </c>
      <c r="D2046">
        <v>4.3250000000000002</v>
      </c>
      <c r="E2046" s="4">
        <v>1384</v>
      </c>
      <c r="F2046" t="str">
        <f>HYPERLINK("https://www.google.com/maps/search/?api=1&amp;query=24.4126395,46.84482336", "View Map")</f>
        <v>View Map</v>
      </c>
      <c r="G2046" s="2">
        <v>0.38454408478092511</v>
      </c>
    </row>
    <row r="2047" spans="1:7" x14ac:dyDescent="0.3">
      <c r="A2047" t="s">
        <v>6540</v>
      </c>
      <c r="B2047" t="s">
        <v>6541</v>
      </c>
      <c r="C2047" t="s">
        <v>393</v>
      </c>
      <c r="D2047">
        <v>4.3230000000000004</v>
      </c>
      <c r="E2047" s="4">
        <v>1383</v>
      </c>
      <c r="F2047" t="str">
        <f>HYPERLINK("https://www.google.com/maps/search/?api=1&amp;query=23.57427657,45.91960459", "View Map")</f>
        <v>View Map</v>
      </c>
      <c r="G2047" s="2">
        <v>0.83792582301403684</v>
      </c>
    </row>
    <row r="2048" spans="1:7" x14ac:dyDescent="0.3">
      <c r="A2048" t="s">
        <v>7052</v>
      </c>
      <c r="B2048" t="s">
        <v>7053</v>
      </c>
      <c r="C2048" t="s">
        <v>8</v>
      </c>
      <c r="D2048">
        <v>4.32</v>
      </c>
      <c r="E2048" s="4">
        <v>1382</v>
      </c>
      <c r="F2048" t="str">
        <f>HYPERLINK("https://www.google.com/maps/search/?api=1&amp;query=24.73937506,46.70818929", "View Map")</f>
        <v>View Map</v>
      </c>
    </row>
    <row r="2049" spans="1:7" x14ac:dyDescent="0.3">
      <c r="A2049" t="s">
        <v>46</v>
      </c>
      <c r="B2049" t="s">
        <v>8848</v>
      </c>
      <c r="C2049" t="s">
        <v>8</v>
      </c>
      <c r="D2049">
        <v>4.319</v>
      </c>
      <c r="E2049" s="4">
        <v>1382</v>
      </c>
      <c r="F2049" t="str">
        <f>HYPERLINK("https://www.google.com/maps/search/?api=1&amp;query=24.74721727,46.62628386", "View Map")</f>
        <v>View Map</v>
      </c>
    </row>
    <row r="2050" spans="1:7" x14ac:dyDescent="0.3">
      <c r="A2050" t="s">
        <v>352</v>
      </c>
      <c r="B2050" t="s">
        <v>4870</v>
      </c>
      <c r="C2050" t="s">
        <v>8</v>
      </c>
      <c r="D2050">
        <v>4.3150000000000004</v>
      </c>
      <c r="E2050" s="4">
        <v>1381</v>
      </c>
      <c r="F2050" t="str">
        <f>HYPERLINK("https://www.google.com/maps/search/?api=1&amp;query=24.74873106,46.80280011", "View Map")</f>
        <v>View Map</v>
      </c>
    </row>
    <row r="2051" spans="1:7" x14ac:dyDescent="0.3">
      <c r="A2051" t="s">
        <v>3607</v>
      </c>
      <c r="B2051" t="s">
        <v>3608</v>
      </c>
      <c r="C2051" t="s">
        <v>8</v>
      </c>
      <c r="D2051">
        <v>4.3140000000000001</v>
      </c>
      <c r="E2051" s="4">
        <v>1381</v>
      </c>
      <c r="F2051" t="str">
        <f>HYPERLINK("https://www.google.com/maps/search/?api=1&amp;query=24.65714737,46.70770269", "View Map")</f>
        <v>View Map</v>
      </c>
    </row>
    <row r="2052" spans="1:7" x14ac:dyDescent="0.3">
      <c r="A2052" t="s">
        <v>1809</v>
      </c>
      <c r="B2052" t="s">
        <v>1810</v>
      </c>
      <c r="C2052" t="s">
        <v>8</v>
      </c>
      <c r="D2052">
        <v>4.3140000000000001</v>
      </c>
      <c r="E2052" s="4">
        <v>1381</v>
      </c>
      <c r="F2052" t="str">
        <f>HYPERLINK("https://www.google.com/maps/search/?api=1&amp;query=24.75281494,46.8119573", "View Map")</f>
        <v>View Map</v>
      </c>
      <c r="G2052" s="2">
        <v>0.25008861363871948</v>
      </c>
    </row>
    <row r="2053" spans="1:7" x14ac:dyDescent="0.3">
      <c r="A2053" t="s">
        <v>2579</v>
      </c>
      <c r="B2053" t="s">
        <v>6687</v>
      </c>
      <c r="C2053" t="s">
        <v>8</v>
      </c>
      <c r="D2053">
        <v>4.3129999999999997</v>
      </c>
      <c r="E2053" s="4">
        <v>1380</v>
      </c>
      <c r="F2053" t="str">
        <f>HYPERLINK("https://www.google.com/maps/search/?api=1&amp;query=24.61086386,46.7418818", "View Map")</f>
        <v>View Map</v>
      </c>
    </row>
    <row r="2054" spans="1:7" x14ac:dyDescent="0.3">
      <c r="A2054" t="s">
        <v>22</v>
      </c>
      <c r="B2054" t="s">
        <v>5772</v>
      </c>
      <c r="C2054" t="s">
        <v>8</v>
      </c>
      <c r="D2054">
        <v>4.3129999999999997</v>
      </c>
      <c r="E2054" s="4">
        <v>1380</v>
      </c>
      <c r="F2054" t="str">
        <f>HYPERLINK("https://www.google.com/maps/search/?api=1&amp;query=24.62634079,46.55282724", "View Map")</f>
        <v>View Map</v>
      </c>
    </row>
    <row r="2055" spans="1:7" x14ac:dyDescent="0.3">
      <c r="A2055" t="s">
        <v>5666</v>
      </c>
      <c r="B2055" t="s">
        <v>5667</v>
      </c>
      <c r="C2055" t="s">
        <v>214</v>
      </c>
      <c r="D2055">
        <v>4.3120000000000003</v>
      </c>
      <c r="E2055" s="4">
        <v>1380</v>
      </c>
      <c r="F2055" t="str">
        <f>HYPERLINK("https://www.google.com/maps/search/?api=1&amp;query=25.70170102,45.8733683", "View Map")</f>
        <v>View Map</v>
      </c>
      <c r="G2055" s="2">
        <v>0.42211372196949559</v>
      </c>
    </row>
    <row r="2056" spans="1:7" x14ac:dyDescent="0.3">
      <c r="A2056" t="s">
        <v>1608</v>
      </c>
      <c r="B2056" t="s">
        <v>4878</v>
      </c>
      <c r="C2056" t="s">
        <v>8</v>
      </c>
      <c r="D2056">
        <v>4.3120000000000003</v>
      </c>
      <c r="E2056" s="4">
        <v>1380</v>
      </c>
      <c r="F2056" t="str">
        <f>HYPERLINK("https://www.google.com/maps/search/?api=1&amp;query=24.705896,46.61826581", "View Map")</f>
        <v>View Map</v>
      </c>
    </row>
    <row r="2057" spans="1:7" x14ac:dyDescent="0.3">
      <c r="A2057" t="s">
        <v>6004</v>
      </c>
      <c r="B2057" t="s">
        <v>6005</v>
      </c>
      <c r="C2057" t="s">
        <v>214</v>
      </c>
      <c r="D2057">
        <v>4.3120000000000003</v>
      </c>
      <c r="E2057" s="4">
        <v>1380</v>
      </c>
      <c r="F2057" t="str">
        <f>HYPERLINK("https://www.google.com/maps/search/?api=1&amp;query=25.63169,45.5849", "View Map")</f>
        <v>View Map</v>
      </c>
      <c r="G2057" s="2">
        <v>0.64932617002924242</v>
      </c>
    </row>
    <row r="2058" spans="1:7" x14ac:dyDescent="0.3">
      <c r="A2058" t="s">
        <v>6300</v>
      </c>
      <c r="B2058" t="s">
        <v>6301</v>
      </c>
      <c r="C2058" t="s">
        <v>8</v>
      </c>
      <c r="D2058">
        <v>4.306</v>
      </c>
      <c r="E2058" s="4">
        <v>1378</v>
      </c>
      <c r="F2058" t="str">
        <f>HYPERLINK("https://www.google.com/maps/search/?api=1&amp;query=24.67134361,46.71365382", "View Map")</f>
        <v>View Map</v>
      </c>
    </row>
    <row r="2059" spans="1:7" x14ac:dyDescent="0.3">
      <c r="A2059" t="s">
        <v>7342</v>
      </c>
      <c r="B2059" t="s">
        <v>7343</v>
      </c>
      <c r="C2059" t="s">
        <v>255</v>
      </c>
      <c r="D2059">
        <v>4.3019999999999996</v>
      </c>
      <c r="E2059" s="4">
        <v>1377</v>
      </c>
      <c r="F2059" t="str">
        <f>HYPERLINK("https://www.google.com/maps/search/?api=1&amp;query=24.60389947,43.61729692", "View Map")</f>
        <v>View Map</v>
      </c>
      <c r="G2059" s="2">
        <v>0.75075865949009357</v>
      </c>
    </row>
    <row r="2060" spans="1:7" x14ac:dyDescent="0.3">
      <c r="A2060" t="s">
        <v>2677</v>
      </c>
      <c r="B2060" t="s">
        <v>2678</v>
      </c>
      <c r="C2060" t="s">
        <v>8</v>
      </c>
      <c r="D2060">
        <v>4.2990000000000004</v>
      </c>
      <c r="E2060" s="4">
        <v>1376</v>
      </c>
      <c r="F2060" t="str">
        <f>HYPERLINK("https://www.google.com/maps/search/?api=1&amp;query=24.55287095,46.71891376", "View Map")</f>
        <v>View Map</v>
      </c>
      <c r="G2060" s="2">
        <v>0.2890249190710058</v>
      </c>
    </row>
    <row r="2061" spans="1:7" x14ac:dyDescent="0.3">
      <c r="A2061" t="s">
        <v>2756</v>
      </c>
      <c r="B2061" t="s">
        <v>2757</v>
      </c>
      <c r="C2061" t="s">
        <v>8</v>
      </c>
      <c r="D2061">
        <v>4.298</v>
      </c>
      <c r="E2061" s="4">
        <v>1375</v>
      </c>
      <c r="F2061" t="str">
        <f>HYPERLINK("https://www.google.com/maps/search/?api=1&amp;query=24.74701065,46.77937003", "View Map")</f>
        <v>View Map</v>
      </c>
      <c r="G2061" s="2">
        <v>0.3774420263292062</v>
      </c>
    </row>
    <row r="2062" spans="1:7" x14ac:dyDescent="0.3">
      <c r="A2062" t="s">
        <v>1150</v>
      </c>
      <c r="B2062" t="s">
        <v>1151</v>
      </c>
      <c r="C2062" t="s">
        <v>8</v>
      </c>
      <c r="D2062">
        <v>4.2960000000000003</v>
      </c>
      <c r="E2062" s="4">
        <v>1375</v>
      </c>
      <c r="F2062" t="str">
        <f>HYPERLINK("https://www.google.com/maps/search/?api=1&amp;query=24.69643018,46.86031652", "View Map")</f>
        <v>View Map</v>
      </c>
      <c r="G2062" s="2">
        <v>0.22650804192013951</v>
      </c>
    </row>
    <row r="2063" spans="1:7" x14ac:dyDescent="0.3">
      <c r="A2063" t="s">
        <v>4266</v>
      </c>
      <c r="B2063" t="s">
        <v>4267</v>
      </c>
      <c r="C2063" t="s">
        <v>8</v>
      </c>
      <c r="D2063">
        <v>4.2949999999999999</v>
      </c>
      <c r="E2063" s="4">
        <v>1374</v>
      </c>
      <c r="F2063" t="str">
        <f>HYPERLINK("https://www.google.com/maps/search/?api=1&amp;query=24.63094506,46.6990335", "View Map")</f>
        <v>View Map</v>
      </c>
      <c r="G2063" s="2">
        <v>0.93687892482670065</v>
      </c>
    </row>
    <row r="2064" spans="1:7" x14ac:dyDescent="0.3">
      <c r="A2064" t="s">
        <v>3580</v>
      </c>
      <c r="B2064" t="s">
        <v>3581</v>
      </c>
      <c r="C2064" t="s">
        <v>8</v>
      </c>
      <c r="D2064">
        <v>4.2930000000000001</v>
      </c>
      <c r="E2064" s="4">
        <v>1374</v>
      </c>
      <c r="F2064" t="str">
        <f>HYPERLINK("https://www.google.com/maps/search/?api=1&amp;query=24.59204651,46.59561194", "View Map")</f>
        <v>View Map</v>
      </c>
    </row>
    <row r="2065" spans="1:7" x14ac:dyDescent="0.3">
      <c r="A2065" t="s">
        <v>4614</v>
      </c>
      <c r="B2065" t="s">
        <v>4615</v>
      </c>
      <c r="C2065" t="s">
        <v>255</v>
      </c>
      <c r="D2065">
        <v>4.2910000000000004</v>
      </c>
      <c r="E2065" s="4">
        <v>1373</v>
      </c>
      <c r="F2065" t="str">
        <f>HYPERLINK("https://www.google.com/maps/search/?api=1&amp;query=24.83731415,43.65222538", "View Map")</f>
        <v>View Map</v>
      </c>
      <c r="G2065" s="2">
        <v>0.90882343758629314</v>
      </c>
    </row>
    <row r="2066" spans="1:7" x14ac:dyDescent="0.3">
      <c r="A2066" t="s">
        <v>8073</v>
      </c>
      <c r="B2066" t="s">
        <v>8074</v>
      </c>
      <c r="C2066" t="s">
        <v>8</v>
      </c>
      <c r="D2066">
        <v>4.29</v>
      </c>
      <c r="E2066" s="4">
        <v>1373</v>
      </c>
      <c r="F2066" t="str">
        <f>HYPERLINK("https://www.google.com/maps/search/?api=1&amp;query=24.62594388,46.69826527", "View Map")</f>
        <v>View Map</v>
      </c>
    </row>
    <row r="2067" spans="1:7" x14ac:dyDescent="0.3">
      <c r="A2067" t="s">
        <v>1790</v>
      </c>
      <c r="B2067" t="s">
        <v>5330</v>
      </c>
      <c r="C2067" t="s">
        <v>8</v>
      </c>
      <c r="D2067">
        <v>4.29</v>
      </c>
      <c r="E2067" s="4">
        <v>1373</v>
      </c>
      <c r="F2067" t="str">
        <f>HYPERLINK("https://www.google.com/maps/search/?api=1&amp;query=24.71151969,46.81877496", "View Map")</f>
        <v>View Map</v>
      </c>
    </row>
    <row r="2068" spans="1:7" x14ac:dyDescent="0.3">
      <c r="A2068" t="s">
        <v>2138</v>
      </c>
      <c r="B2068" t="s">
        <v>2139</v>
      </c>
      <c r="C2068" t="s">
        <v>30</v>
      </c>
      <c r="D2068">
        <v>4.2880000000000003</v>
      </c>
      <c r="E2068" s="4">
        <v>1372</v>
      </c>
      <c r="F2068" t="str">
        <f>HYPERLINK("https://www.google.com/maps/search/?api=1&amp;query=24.15109138,47.36192047", "View Map")</f>
        <v>View Map</v>
      </c>
      <c r="G2068" s="2">
        <v>0.47519339808201178</v>
      </c>
    </row>
    <row r="2069" spans="1:7" x14ac:dyDescent="0.3">
      <c r="A2069" t="s">
        <v>3683</v>
      </c>
      <c r="B2069" t="s">
        <v>3684</v>
      </c>
      <c r="C2069" t="s">
        <v>214</v>
      </c>
      <c r="D2069">
        <v>4.2880000000000003</v>
      </c>
      <c r="E2069" s="4">
        <v>1372</v>
      </c>
      <c r="F2069" t="str">
        <f>HYPERLINK("https://www.google.com/maps/search/?api=1&amp;query=25.69664192,45.88027634", "View Map")</f>
        <v>View Map</v>
      </c>
      <c r="G2069" s="2">
        <v>0.69512916383412626</v>
      </c>
    </row>
    <row r="2070" spans="1:7" x14ac:dyDescent="0.3">
      <c r="A2070" t="s">
        <v>4074</v>
      </c>
      <c r="B2070" t="s">
        <v>4075</v>
      </c>
      <c r="C2070" t="s">
        <v>8</v>
      </c>
      <c r="D2070">
        <v>4.2880000000000003</v>
      </c>
      <c r="E2070" s="4">
        <v>1372</v>
      </c>
      <c r="F2070" t="str">
        <f>HYPERLINK("https://www.google.com/maps/search/?api=1&amp;query=24.60513594,46.74396006", "View Map")</f>
        <v>View Map</v>
      </c>
    </row>
    <row r="2071" spans="1:7" x14ac:dyDescent="0.3">
      <c r="A2071" t="s">
        <v>4508</v>
      </c>
      <c r="B2071" t="s">
        <v>4509</v>
      </c>
      <c r="C2071" t="s">
        <v>214</v>
      </c>
      <c r="D2071">
        <v>4.2869999999999999</v>
      </c>
      <c r="E2071" s="4">
        <v>1372</v>
      </c>
      <c r="F2071" t="str">
        <f>HYPERLINK("https://www.google.com/maps/search/?api=1&amp;query=25.60174848,45.62442469", "View Map")</f>
        <v>View Map</v>
      </c>
      <c r="G2071" s="2">
        <v>0.77537985842352863</v>
      </c>
    </row>
    <row r="2072" spans="1:7" x14ac:dyDescent="0.3">
      <c r="A2072" t="s">
        <v>2176</v>
      </c>
      <c r="B2072" t="s">
        <v>2177</v>
      </c>
      <c r="C2072" t="s">
        <v>241</v>
      </c>
      <c r="D2072">
        <v>4.282</v>
      </c>
      <c r="E2072" s="4">
        <v>1370</v>
      </c>
      <c r="F2072" t="str">
        <f>HYPERLINK("https://www.google.com/maps/search/?api=1&amp;query=20.40133781,45.18385742", "View Map")</f>
        <v>View Map</v>
      </c>
      <c r="G2072" s="2">
        <v>0.4118134074167274</v>
      </c>
    </row>
    <row r="2073" spans="1:7" x14ac:dyDescent="0.3">
      <c r="A2073" t="s">
        <v>3814</v>
      </c>
      <c r="B2073" t="s">
        <v>3815</v>
      </c>
      <c r="C2073" t="s">
        <v>8</v>
      </c>
      <c r="D2073">
        <v>4.282</v>
      </c>
      <c r="E2073" s="4">
        <v>1370</v>
      </c>
      <c r="F2073" t="str">
        <f>HYPERLINK("https://www.google.com/maps/search/?api=1&amp;query=24.57053949,46.76688472", "View Map")</f>
        <v>View Map</v>
      </c>
    </row>
    <row r="2074" spans="1:7" x14ac:dyDescent="0.3">
      <c r="A2074" t="s">
        <v>4407</v>
      </c>
      <c r="B2074" t="s">
        <v>4408</v>
      </c>
      <c r="C2074" t="s">
        <v>8</v>
      </c>
      <c r="D2074">
        <v>4.2809999999999997</v>
      </c>
      <c r="E2074" s="4">
        <v>1370</v>
      </c>
      <c r="F2074" t="str">
        <f>HYPERLINK("https://www.google.com/maps/search/?api=1&amp;query=24.70771,46.67637", "View Map")</f>
        <v>View Map</v>
      </c>
    </row>
    <row r="2075" spans="1:7" x14ac:dyDescent="0.3">
      <c r="A2075" t="s">
        <v>717</v>
      </c>
      <c r="B2075" t="s">
        <v>3826</v>
      </c>
      <c r="C2075" t="s">
        <v>255</v>
      </c>
      <c r="D2075">
        <v>4.28</v>
      </c>
      <c r="E2075" s="4">
        <v>1369</v>
      </c>
      <c r="F2075" t="str">
        <f>HYPERLINK("https://www.google.com/maps/search/?api=1&amp;query=24.5408922,44.41220806", "View Map")</f>
        <v>View Map</v>
      </c>
      <c r="G2075" s="2">
        <v>0.36169753068851518</v>
      </c>
    </row>
    <row r="2076" spans="1:7" x14ac:dyDescent="0.3">
      <c r="A2076" t="s">
        <v>28</v>
      </c>
      <c r="B2076" t="s">
        <v>4632</v>
      </c>
      <c r="C2076" t="s">
        <v>30</v>
      </c>
      <c r="D2076">
        <v>4.28</v>
      </c>
      <c r="E2076" s="4">
        <v>1370</v>
      </c>
      <c r="F2076" t="str">
        <f>HYPERLINK("https://www.google.com/maps/search/?api=1&amp;query=24.09442,47.27492", "View Map")</f>
        <v>View Map</v>
      </c>
      <c r="G2076" s="2">
        <v>0.65211737453436214</v>
      </c>
    </row>
    <row r="2077" spans="1:7" x14ac:dyDescent="0.3">
      <c r="A2077" t="s">
        <v>528</v>
      </c>
      <c r="B2077" t="s">
        <v>6351</v>
      </c>
      <c r="C2077" t="s">
        <v>8</v>
      </c>
      <c r="D2077">
        <v>4.2779999999999996</v>
      </c>
      <c r="E2077" s="4">
        <v>1369</v>
      </c>
      <c r="F2077" t="str">
        <f>HYPERLINK("https://www.google.com/maps/search/?api=1&amp;query=24.72986227,46.84066102", "View Map")</f>
        <v>View Map</v>
      </c>
    </row>
    <row r="2078" spans="1:7" x14ac:dyDescent="0.3">
      <c r="A2078" t="s">
        <v>4234</v>
      </c>
      <c r="B2078" t="s">
        <v>4235</v>
      </c>
      <c r="C2078" t="s">
        <v>8</v>
      </c>
      <c r="D2078">
        <v>4.2759999999999998</v>
      </c>
      <c r="E2078" s="4">
        <v>1368</v>
      </c>
      <c r="F2078" t="str">
        <f>HYPERLINK("https://www.google.com/maps/search/?api=1&amp;query=24.81695611,46.78756522", "View Map")</f>
        <v>View Map</v>
      </c>
      <c r="G2078" s="2">
        <v>0.42460640810626821</v>
      </c>
    </row>
    <row r="2079" spans="1:7" x14ac:dyDescent="0.3">
      <c r="A2079" t="s">
        <v>5061</v>
      </c>
      <c r="B2079" t="s">
        <v>5062</v>
      </c>
      <c r="C2079" t="s">
        <v>8</v>
      </c>
      <c r="D2079">
        <v>4.2759999999999998</v>
      </c>
      <c r="E2079" s="4">
        <v>1368</v>
      </c>
      <c r="F2079" t="str">
        <f>HYPERLINK("https://www.google.com/maps/search/?api=1&amp;query=24.59689984,46.72986151", "View Map")</f>
        <v>View Map</v>
      </c>
    </row>
    <row r="2080" spans="1:7" x14ac:dyDescent="0.3">
      <c r="A2080" t="s">
        <v>150</v>
      </c>
      <c r="B2080" t="s">
        <v>2894</v>
      </c>
      <c r="C2080" t="s">
        <v>8</v>
      </c>
      <c r="D2080">
        <v>4.2750000000000004</v>
      </c>
      <c r="E2080" s="4">
        <v>1368</v>
      </c>
      <c r="F2080" t="str">
        <f>HYPERLINK("https://www.google.com/maps/search/?api=1&amp;query=24.82851438,46.65938841", "View Map")</f>
        <v>View Map</v>
      </c>
    </row>
    <row r="2081" spans="1:7" x14ac:dyDescent="0.3">
      <c r="A2081" t="s">
        <v>28</v>
      </c>
      <c r="B2081" t="s">
        <v>233</v>
      </c>
      <c r="C2081" t="s">
        <v>30</v>
      </c>
      <c r="D2081">
        <v>4.2720000000000002</v>
      </c>
      <c r="E2081" s="4">
        <v>1367</v>
      </c>
      <c r="F2081" t="str">
        <f>HYPERLINK("https://www.google.com/maps/search/?api=1&amp;query=24.16007137,47.23464169", "View Map")</f>
        <v>View Map</v>
      </c>
    </row>
    <row r="2082" spans="1:7" x14ac:dyDescent="0.3">
      <c r="A2082" t="s">
        <v>1349</v>
      </c>
      <c r="B2082" t="s">
        <v>2501</v>
      </c>
      <c r="C2082" t="s">
        <v>270</v>
      </c>
      <c r="D2082">
        <v>4.2720000000000002</v>
      </c>
      <c r="E2082" s="4">
        <v>1367</v>
      </c>
      <c r="F2082" t="str">
        <f>HYPERLINK("https://www.google.com/maps/search/?api=1&amp;query=23.96111,47.17606", "View Map")</f>
        <v>View Map</v>
      </c>
      <c r="G2082" s="2">
        <v>0.28651529525945152</v>
      </c>
    </row>
    <row r="2083" spans="1:7" x14ac:dyDescent="0.3">
      <c r="A2083" t="s">
        <v>2707</v>
      </c>
      <c r="B2083" t="s">
        <v>2708</v>
      </c>
      <c r="C2083" t="s">
        <v>8</v>
      </c>
      <c r="D2083">
        <v>4.2699999999999996</v>
      </c>
      <c r="E2083" s="4">
        <v>1366</v>
      </c>
      <c r="F2083" t="str">
        <f>HYPERLINK("https://www.google.com/maps/search/?api=1&amp;query=24.74552817,46.83964266", "View Map")</f>
        <v>View Map</v>
      </c>
    </row>
    <row r="2084" spans="1:7" x14ac:dyDescent="0.3">
      <c r="A2084" t="s">
        <v>2348</v>
      </c>
      <c r="B2084" t="s">
        <v>2349</v>
      </c>
      <c r="C2084" t="s">
        <v>8</v>
      </c>
      <c r="D2084">
        <v>4.2699999999999996</v>
      </c>
      <c r="E2084" s="4">
        <v>1366</v>
      </c>
      <c r="F2084" t="str">
        <f>HYPERLINK("https://www.google.com/maps/search/?api=1&amp;query=24.78601768,46.66993738", "View Map")</f>
        <v>View Map</v>
      </c>
    </row>
    <row r="2085" spans="1:7" x14ac:dyDescent="0.3">
      <c r="A2085" t="s">
        <v>2258</v>
      </c>
      <c r="B2085" t="s">
        <v>2259</v>
      </c>
      <c r="C2085" t="s">
        <v>8</v>
      </c>
      <c r="D2085">
        <v>4.2670000000000003</v>
      </c>
      <c r="E2085" s="4">
        <v>1366</v>
      </c>
      <c r="F2085" t="str">
        <f>HYPERLINK("https://www.google.com/maps/search/?api=1&amp;query=24.80817482,46.85859346", "View Map")</f>
        <v>View Map</v>
      </c>
      <c r="G2085" s="2">
        <v>0.57201566721822183</v>
      </c>
    </row>
    <row r="2086" spans="1:7" x14ac:dyDescent="0.3">
      <c r="A2086" t="s">
        <v>3781</v>
      </c>
      <c r="B2086" t="s">
        <v>3782</v>
      </c>
      <c r="C2086" t="s">
        <v>270</v>
      </c>
      <c r="D2086">
        <v>4.266</v>
      </c>
      <c r="E2086" s="4">
        <v>1365</v>
      </c>
      <c r="F2086" t="str">
        <f>HYPERLINK("https://www.google.com/maps/search/?api=1&amp;query=24.18040743,47.13783689", "View Map")</f>
        <v>View Map</v>
      </c>
      <c r="G2086" s="2">
        <v>0.70742019985491611</v>
      </c>
    </row>
    <row r="2087" spans="1:7" x14ac:dyDescent="0.3">
      <c r="A2087" t="s">
        <v>4545</v>
      </c>
      <c r="B2087" t="s">
        <v>4546</v>
      </c>
      <c r="C2087" t="s">
        <v>214</v>
      </c>
      <c r="D2087">
        <v>4.2619999999999996</v>
      </c>
      <c r="E2087" s="4">
        <v>1364</v>
      </c>
      <c r="F2087" t="str">
        <f>HYPERLINK("https://www.google.com/maps/search/?api=1&amp;query=25.69707417,45.87855716", "View Map")</f>
        <v>View Map</v>
      </c>
      <c r="G2087" s="2">
        <v>0.66198333261191167</v>
      </c>
    </row>
    <row r="2088" spans="1:7" x14ac:dyDescent="0.3">
      <c r="A2088" t="s">
        <v>210</v>
      </c>
      <c r="B2088" t="s">
        <v>612</v>
      </c>
      <c r="C2088" t="s">
        <v>8</v>
      </c>
      <c r="D2088">
        <v>4.26</v>
      </c>
      <c r="E2088" s="4">
        <v>1363</v>
      </c>
      <c r="F2088" t="str">
        <f>HYPERLINK("https://www.google.com/maps/search/?api=1&amp;query=24.63679652,46.75307336", "View Map")</f>
        <v>View Map</v>
      </c>
      <c r="G2088" s="2">
        <v>0.21239793094539769</v>
      </c>
    </row>
    <row r="2089" spans="1:7" x14ac:dyDescent="0.3">
      <c r="A2089" t="s">
        <v>2748</v>
      </c>
      <c r="B2089" t="s">
        <v>2749</v>
      </c>
      <c r="C2089" t="s">
        <v>8</v>
      </c>
      <c r="D2089">
        <v>4.2590000000000003</v>
      </c>
      <c r="E2089" s="4">
        <v>1363</v>
      </c>
      <c r="F2089" t="str">
        <f>HYPERLINK("https://www.google.com/maps/search/?api=1&amp;query=24.57631085,46.66646059", "View Map")</f>
        <v>View Map</v>
      </c>
      <c r="G2089" s="2">
        <v>0.33083227023985767</v>
      </c>
    </row>
    <row r="2090" spans="1:7" x14ac:dyDescent="0.3">
      <c r="A2090" t="s">
        <v>2728</v>
      </c>
      <c r="B2090" t="s">
        <v>2729</v>
      </c>
      <c r="C2090" t="s">
        <v>8</v>
      </c>
      <c r="D2090">
        <v>4.2590000000000003</v>
      </c>
      <c r="E2090" s="4">
        <v>1363</v>
      </c>
      <c r="F2090" t="str">
        <f>HYPERLINK("https://www.google.com/maps/search/?api=1&amp;query=24.39639471,46.83362787", "View Map")</f>
        <v>View Map</v>
      </c>
    </row>
    <row r="2091" spans="1:7" x14ac:dyDescent="0.3">
      <c r="A2091" t="s">
        <v>3744</v>
      </c>
      <c r="B2091" t="s">
        <v>3745</v>
      </c>
      <c r="C2091" t="s">
        <v>21</v>
      </c>
      <c r="D2091">
        <v>4.258</v>
      </c>
      <c r="E2091" s="4">
        <v>1363</v>
      </c>
      <c r="F2091" t="str">
        <f>HYPERLINK("https://www.google.com/maps/search/?api=1&amp;query=26.3004516,44.82262688", "View Map")</f>
        <v>View Map</v>
      </c>
      <c r="G2091" s="2">
        <v>0.75035834189310036</v>
      </c>
    </row>
    <row r="2092" spans="1:7" x14ac:dyDescent="0.3">
      <c r="A2092" t="s">
        <v>533</v>
      </c>
      <c r="B2092" t="s">
        <v>534</v>
      </c>
      <c r="C2092" t="s">
        <v>8</v>
      </c>
      <c r="D2092">
        <v>4.2569999999999997</v>
      </c>
      <c r="E2092" s="4">
        <v>1362</v>
      </c>
      <c r="F2092" t="str">
        <f>HYPERLINK("https://www.google.com/maps/search/?api=1&amp;query=24.81903905,46.72484647", "View Map")</f>
        <v>View Map</v>
      </c>
      <c r="G2092" s="2">
        <v>0.21205648988540279</v>
      </c>
    </row>
    <row r="2093" spans="1:7" x14ac:dyDescent="0.3">
      <c r="A2093" t="s">
        <v>3931</v>
      </c>
      <c r="B2093" t="s">
        <v>3932</v>
      </c>
      <c r="C2093" t="s">
        <v>137</v>
      </c>
      <c r="D2093">
        <v>4.2569999999999997</v>
      </c>
      <c r="E2093" s="4">
        <v>1362</v>
      </c>
      <c r="F2093" t="str">
        <f>HYPERLINK("https://www.google.com/maps/search/?api=1&amp;query=23.21699585,46.9041293", "View Map")</f>
        <v>View Map</v>
      </c>
      <c r="G2093" s="2">
        <v>0.56141534417867278</v>
      </c>
    </row>
    <row r="2094" spans="1:7" x14ac:dyDescent="0.3">
      <c r="A2094" t="s">
        <v>4123</v>
      </c>
      <c r="B2094" t="s">
        <v>4124</v>
      </c>
      <c r="C2094" t="s">
        <v>1112</v>
      </c>
      <c r="D2094">
        <v>4.2549999999999999</v>
      </c>
      <c r="E2094" s="4">
        <v>1362</v>
      </c>
      <c r="F2094" t="str">
        <f>HYPERLINK("https://www.google.com/maps/search/?api=1&amp;query=26.03175122,44.95006188", "View Map")</f>
        <v>View Map</v>
      </c>
      <c r="G2094" s="2">
        <v>0.50048286551985111</v>
      </c>
    </row>
    <row r="2095" spans="1:7" x14ac:dyDescent="0.3">
      <c r="A2095" t="s">
        <v>510</v>
      </c>
      <c r="B2095" t="s">
        <v>4963</v>
      </c>
      <c r="C2095" t="s">
        <v>291</v>
      </c>
      <c r="D2095">
        <v>4.2549999999999999</v>
      </c>
      <c r="E2095" s="4">
        <v>1362</v>
      </c>
      <c r="F2095" t="str">
        <f>HYPERLINK("https://www.google.com/maps/search/?api=1&amp;query=24.52463718,45.76798693", "View Map")</f>
        <v>View Map</v>
      </c>
      <c r="G2095" s="2">
        <v>0.74176663717914759</v>
      </c>
    </row>
    <row r="2096" spans="1:7" x14ac:dyDescent="0.3">
      <c r="A2096" t="s">
        <v>1273</v>
      </c>
      <c r="B2096" t="s">
        <v>6392</v>
      </c>
      <c r="C2096" t="s">
        <v>241</v>
      </c>
      <c r="D2096">
        <v>4.2530000000000001</v>
      </c>
      <c r="E2096" s="4">
        <v>1361</v>
      </c>
      <c r="F2096" t="str">
        <f>HYPERLINK("https://www.google.com/maps/search/?api=1&amp;query=20.44161227,44.88167314", "View Map")</f>
        <v>View Map</v>
      </c>
      <c r="G2096" s="2">
        <v>1.070563001518025</v>
      </c>
    </row>
    <row r="2097" spans="1:7" x14ac:dyDescent="0.3">
      <c r="A2097" t="s">
        <v>5137</v>
      </c>
      <c r="B2097" t="s">
        <v>5138</v>
      </c>
      <c r="C2097" t="s">
        <v>8</v>
      </c>
      <c r="D2097">
        <v>4.25</v>
      </c>
      <c r="E2097" s="4">
        <v>1360</v>
      </c>
      <c r="F2097" t="str">
        <f>HYPERLINK("https://www.google.com/maps/search/?api=1&amp;query=24.57704057,46.84532887", "View Map")</f>
        <v>View Map</v>
      </c>
    </row>
    <row r="2098" spans="1:7" x14ac:dyDescent="0.3">
      <c r="A2098" t="s">
        <v>5816</v>
      </c>
      <c r="B2098" t="s">
        <v>5817</v>
      </c>
      <c r="C2098" t="s">
        <v>8</v>
      </c>
      <c r="D2098">
        <v>4.2480000000000002</v>
      </c>
      <c r="E2098" s="4">
        <v>1359</v>
      </c>
      <c r="F2098" t="str">
        <f>HYPERLINK("https://www.google.com/maps/search/?api=1&amp;query=24.62184641,46.67882586", "View Map")</f>
        <v>View Map</v>
      </c>
      <c r="G2098" s="2">
        <v>0.41401395361917209</v>
      </c>
    </row>
    <row r="2099" spans="1:7" x14ac:dyDescent="0.3">
      <c r="A2099" t="s">
        <v>4016</v>
      </c>
      <c r="B2099" t="s">
        <v>4017</v>
      </c>
      <c r="C2099" t="s">
        <v>8</v>
      </c>
      <c r="D2099">
        <v>4.2480000000000002</v>
      </c>
      <c r="E2099" s="4">
        <v>1359</v>
      </c>
      <c r="F2099" t="str">
        <f>HYPERLINK("https://www.google.com/maps/search/?api=1&amp;query=24.60505422,46.72086313", "View Map")</f>
        <v>View Map</v>
      </c>
    </row>
    <row r="2100" spans="1:7" x14ac:dyDescent="0.3">
      <c r="A2100" t="s">
        <v>5487</v>
      </c>
      <c r="B2100" t="s">
        <v>5488</v>
      </c>
      <c r="C2100" t="s">
        <v>291</v>
      </c>
      <c r="D2100">
        <v>4.2430000000000003</v>
      </c>
      <c r="E2100" s="4">
        <v>1358</v>
      </c>
      <c r="F2100" t="str">
        <f>HYPERLINK("https://www.google.com/maps/search/?api=1&amp;query=24.5205376,45.59900369", "View Map")</f>
        <v>View Map</v>
      </c>
      <c r="G2100" s="2">
        <v>0.62830322907417335</v>
      </c>
    </row>
    <row r="2101" spans="1:7" x14ac:dyDescent="0.3">
      <c r="A2101" t="s">
        <v>196</v>
      </c>
      <c r="B2101" t="s">
        <v>4837</v>
      </c>
      <c r="C2101" t="s">
        <v>8</v>
      </c>
      <c r="D2101">
        <v>4.242</v>
      </c>
      <c r="E2101" s="4">
        <v>1357</v>
      </c>
      <c r="F2101" t="str">
        <f>HYPERLINK("https://www.google.com/maps/search/?api=1&amp;query=24.60020806,46.7691024", "View Map")</f>
        <v>View Map</v>
      </c>
    </row>
    <row r="2102" spans="1:7" x14ac:dyDescent="0.3">
      <c r="A2102" t="s">
        <v>5710</v>
      </c>
      <c r="B2102" t="s">
        <v>5711</v>
      </c>
      <c r="C2102" t="s">
        <v>8</v>
      </c>
      <c r="D2102">
        <v>4.242</v>
      </c>
      <c r="E2102" s="4">
        <v>1358</v>
      </c>
      <c r="F2102" t="str">
        <f>HYPERLINK("https://www.google.com/maps/search/?api=1&amp;query=24.70567047,46.797484", "View Map")</f>
        <v>View Map</v>
      </c>
    </row>
    <row r="2103" spans="1:7" x14ac:dyDescent="0.3">
      <c r="A2103" t="s">
        <v>5723</v>
      </c>
      <c r="B2103" t="s">
        <v>5724</v>
      </c>
      <c r="C2103" t="s">
        <v>291</v>
      </c>
      <c r="D2103">
        <v>4.24</v>
      </c>
      <c r="E2103" s="4">
        <v>1357</v>
      </c>
      <c r="F2103" t="str">
        <f>HYPERLINK("https://www.google.com/maps/search/?api=1&amp;query=23.8114714,44.83836985", "View Map")</f>
        <v>View Map</v>
      </c>
      <c r="G2103" s="2">
        <v>0.99095689306259382</v>
      </c>
    </row>
    <row r="2104" spans="1:7" x14ac:dyDescent="0.3">
      <c r="A2104" t="s">
        <v>46</v>
      </c>
      <c r="B2104" t="s">
        <v>4707</v>
      </c>
      <c r="C2104" t="s">
        <v>8</v>
      </c>
      <c r="D2104">
        <v>4.2359999999999998</v>
      </c>
      <c r="E2104" s="4">
        <v>1356</v>
      </c>
      <c r="F2104" t="str">
        <f>HYPERLINK("https://www.google.com/maps/search/?api=1&amp;query=24.8501347,46.8425871", "View Map")</f>
        <v>View Map</v>
      </c>
    </row>
    <row r="2105" spans="1:7" x14ac:dyDescent="0.3">
      <c r="A2105" t="s">
        <v>4621</v>
      </c>
      <c r="B2105" t="s">
        <v>4622</v>
      </c>
      <c r="C2105" t="s">
        <v>8</v>
      </c>
      <c r="D2105">
        <v>4.2350000000000003</v>
      </c>
      <c r="E2105" s="4">
        <v>1355</v>
      </c>
      <c r="F2105" t="str">
        <f>HYPERLINK("https://www.google.com/maps/search/?api=1&amp;query=24.78804605,46.70861209", "View Map")</f>
        <v>View Map</v>
      </c>
      <c r="G2105" s="2">
        <v>0.65201705516614483</v>
      </c>
    </row>
    <row r="2106" spans="1:7" x14ac:dyDescent="0.3">
      <c r="A2106" t="s">
        <v>2183</v>
      </c>
      <c r="B2106" t="s">
        <v>2184</v>
      </c>
      <c r="C2106" t="s">
        <v>466</v>
      </c>
      <c r="D2106">
        <v>4.2320000000000002</v>
      </c>
      <c r="E2106" s="4">
        <v>1354</v>
      </c>
      <c r="F2106" t="str">
        <f>HYPERLINK("https://www.google.com/maps/search/?api=1&amp;query=24.6039,46.1256", "View Map")</f>
        <v>View Map</v>
      </c>
      <c r="G2106" s="2">
        <v>0.38912491536318539</v>
      </c>
    </row>
    <row r="2107" spans="1:7" x14ac:dyDescent="0.3">
      <c r="A2107" t="s">
        <v>4318</v>
      </c>
      <c r="B2107" t="s">
        <v>4319</v>
      </c>
      <c r="C2107" t="s">
        <v>466</v>
      </c>
      <c r="D2107">
        <v>4.2300000000000004</v>
      </c>
      <c r="E2107" s="4">
        <v>1354</v>
      </c>
      <c r="F2107" t="str">
        <f>HYPERLINK("https://www.google.com/maps/search/?api=1&amp;query=24.67075057,45.84167794", "View Map")</f>
        <v>View Map</v>
      </c>
      <c r="G2107" s="2">
        <v>0.53136648821641386</v>
      </c>
    </row>
    <row r="2108" spans="1:7" x14ac:dyDescent="0.3">
      <c r="A2108" t="s">
        <v>4253</v>
      </c>
      <c r="B2108" t="s">
        <v>4254</v>
      </c>
      <c r="C2108" t="s">
        <v>364</v>
      </c>
      <c r="D2108">
        <v>4.2300000000000004</v>
      </c>
      <c r="E2108" s="4">
        <v>1354</v>
      </c>
      <c r="F2108" t="str">
        <f>HYPERLINK("https://www.google.com/maps/search/?api=1&amp;query=25.28071726,45.86699026", "View Map")</f>
        <v>View Map</v>
      </c>
      <c r="G2108" s="2">
        <v>0.61988052708404462</v>
      </c>
    </row>
    <row r="2109" spans="1:7" x14ac:dyDescent="0.3">
      <c r="A2109" t="s">
        <v>28</v>
      </c>
      <c r="B2109" t="s">
        <v>1651</v>
      </c>
      <c r="C2109" t="s">
        <v>30</v>
      </c>
      <c r="D2109">
        <v>4.2279999999999998</v>
      </c>
      <c r="E2109" s="4">
        <v>1353</v>
      </c>
      <c r="F2109" t="str">
        <f>HYPERLINK("https://www.google.com/maps/search/?api=1&amp;query=24.16007137,47.23464169", "View Map")</f>
        <v>View Map</v>
      </c>
      <c r="G2109" s="2">
        <v>0.37472313996398898</v>
      </c>
    </row>
    <row r="2110" spans="1:7" x14ac:dyDescent="0.3">
      <c r="A2110" t="s">
        <v>146</v>
      </c>
      <c r="B2110" t="s">
        <v>4788</v>
      </c>
      <c r="C2110" t="s">
        <v>8</v>
      </c>
      <c r="D2110">
        <v>4.2279999999999998</v>
      </c>
      <c r="E2110" s="4">
        <v>1353</v>
      </c>
      <c r="F2110" t="str">
        <f>HYPERLINK("https://www.google.com/maps/search/?api=1&amp;query=24.55673478,46.61292399", "View Map")</f>
        <v>View Map</v>
      </c>
    </row>
    <row r="2111" spans="1:7" x14ac:dyDescent="0.3">
      <c r="A2111" t="s">
        <v>46</v>
      </c>
      <c r="B2111" t="s">
        <v>4184</v>
      </c>
      <c r="C2111" t="s">
        <v>8</v>
      </c>
      <c r="D2111">
        <v>4.2249999999999996</v>
      </c>
      <c r="E2111" s="4">
        <v>1352</v>
      </c>
      <c r="F2111" t="str">
        <f>HYPERLINK("https://www.google.com/maps/search/?api=1&amp;query=24.93034518,46.78340554", "View Map")</f>
        <v>View Map</v>
      </c>
    </row>
    <row r="2112" spans="1:7" x14ac:dyDescent="0.3">
      <c r="A2112" t="s">
        <v>5193</v>
      </c>
      <c r="B2112" t="s">
        <v>5194</v>
      </c>
      <c r="C2112" t="s">
        <v>8</v>
      </c>
      <c r="D2112">
        <v>4.2229999999999999</v>
      </c>
      <c r="E2112" s="4">
        <v>1351</v>
      </c>
      <c r="F2112" t="str">
        <f>HYPERLINK("https://www.google.com/maps/search/?api=1&amp;query=24.77164775,46.83430954", "View Map")</f>
        <v>View Map</v>
      </c>
    </row>
    <row r="2113" spans="1:7" x14ac:dyDescent="0.3">
      <c r="A2113" t="s">
        <v>4412</v>
      </c>
      <c r="B2113" t="s">
        <v>4413</v>
      </c>
      <c r="C2113" t="s">
        <v>16</v>
      </c>
      <c r="D2113">
        <v>4.2220000000000004</v>
      </c>
      <c r="E2113" s="4">
        <v>1351</v>
      </c>
      <c r="F2113" t="str">
        <f>HYPERLINK("https://www.google.com/maps/search/?api=1&amp;query=23.91884862,42.91626417", "View Map")</f>
        <v>View Map</v>
      </c>
    </row>
    <row r="2114" spans="1:7" x14ac:dyDescent="0.3">
      <c r="A2114" t="s">
        <v>459</v>
      </c>
      <c r="B2114" t="s">
        <v>4353</v>
      </c>
      <c r="C2114" t="s">
        <v>286</v>
      </c>
      <c r="D2114">
        <v>4.2220000000000004</v>
      </c>
      <c r="E2114" s="4">
        <v>1351</v>
      </c>
      <c r="F2114" t="str">
        <f>HYPERLINK("https://www.google.com/maps/search/?api=1&amp;query=25.21279976,45.26649344", "View Map")</f>
        <v>View Map</v>
      </c>
      <c r="G2114" s="2">
        <v>0.77504673700883009</v>
      </c>
    </row>
    <row r="2115" spans="1:7" x14ac:dyDescent="0.3">
      <c r="A2115" t="s">
        <v>700</v>
      </c>
      <c r="B2115" t="s">
        <v>701</v>
      </c>
      <c r="C2115" t="s">
        <v>55</v>
      </c>
      <c r="D2115">
        <v>4.22</v>
      </c>
      <c r="E2115" s="4">
        <v>1350</v>
      </c>
      <c r="F2115" t="str">
        <f>HYPERLINK("https://www.google.com/maps/search/?api=1&amp;query=24.74095,46.57136", "View Map")</f>
        <v>View Map</v>
      </c>
      <c r="G2115" s="2">
        <v>0.1137380487322463</v>
      </c>
    </row>
    <row r="2116" spans="1:7" x14ac:dyDescent="0.3">
      <c r="A2116" t="s">
        <v>9091</v>
      </c>
      <c r="B2116" t="s">
        <v>9092</v>
      </c>
      <c r="C2116" t="s">
        <v>8</v>
      </c>
      <c r="D2116">
        <v>4.22</v>
      </c>
      <c r="E2116" s="4">
        <v>1350</v>
      </c>
      <c r="F2116" t="str">
        <f>HYPERLINK("https://www.google.com/maps/search/?api=1&amp;query=24.69553753,46.69833547", "View Map")</f>
        <v>View Map</v>
      </c>
      <c r="G2116" s="2">
        <v>0.49280923399671628</v>
      </c>
    </row>
    <row r="2117" spans="1:7" x14ac:dyDescent="0.3">
      <c r="A2117" t="s">
        <v>3904</v>
      </c>
      <c r="B2117" t="s">
        <v>3905</v>
      </c>
      <c r="C2117" t="s">
        <v>8</v>
      </c>
      <c r="D2117">
        <v>4.2190000000000003</v>
      </c>
      <c r="E2117" s="4">
        <v>1350</v>
      </c>
      <c r="F2117" t="str">
        <f>HYPERLINK("https://www.google.com/maps/search/?api=1&amp;query=24.69826097,46.80339704", "View Map")</f>
        <v>View Map</v>
      </c>
    </row>
    <row r="2118" spans="1:7" x14ac:dyDescent="0.3">
      <c r="A2118" t="s">
        <v>4768</v>
      </c>
      <c r="B2118" t="s">
        <v>4769</v>
      </c>
      <c r="C2118" t="s">
        <v>214</v>
      </c>
      <c r="D2118">
        <v>4.2190000000000003</v>
      </c>
      <c r="E2118" s="4">
        <v>1350</v>
      </c>
      <c r="F2118" t="str">
        <f>HYPERLINK("https://www.google.com/maps/search/?api=1&amp;query=26.41777721,45.17324209", "View Map")</f>
        <v>View Map</v>
      </c>
      <c r="G2118" s="2">
        <v>0.73265984010578167</v>
      </c>
    </row>
    <row r="2119" spans="1:7" x14ac:dyDescent="0.3">
      <c r="A2119" t="s">
        <v>46</v>
      </c>
      <c r="B2119" t="s">
        <v>6188</v>
      </c>
      <c r="C2119" t="s">
        <v>8</v>
      </c>
      <c r="D2119">
        <v>4.2190000000000003</v>
      </c>
      <c r="E2119" s="4">
        <v>1350</v>
      </c>
      <c r="F2119" t="str">
        <f>HYPERLINK("https://www.google.com/maps/search/?api=1&amp;query=24.61595565,46.81474386", "View Map")</f>
        <v>View Map</v>
      </c>
    </row>
    <row r="2120" spans="1:7" x14ac:dyDescent="0.3">
      <c r="A2120" t="s">
        <v>4490</v>
      </c>
      <c r="B2120" t="s">
        <v>4491</v>
      </c>
      <c r="C2120" t="s">
        <v>291</v>
      </c>
      <c r="D2120">
        <v>4.2169999999999996</v>
      </c>
      <c r="E2120" s="4">
        <v>1350</v>
      </c>
      <c r="F2120" t="str">
        <f>HYPERLINK("https://www.google.com/maps/search/?api=1&amp;query=24.31393185,45.85156619", "View Map")</f>
        <v>View Map</v>
      </c>
      <c r="G2120" s="2">
        <v>0.85457207264253687</v>
      </c>
    </row>
    <row r="2121" spans="1:7" x14ac:dyDescent="0.3">
      <c r="A2121" t="s">
        <v>1778</v>
      </c>
      <c r="B2121" t="s">
        <v>3365</v>
      </c>
      <c r="C2121" t="s">
        <v>8</v>
      </c>
      <c r="D2121">
        <v>4.2169999999999996</v>
      </c>
      <c r="E2121" s="4">
        <v>1349</v>
      </c>
      <c r="F2121" t="str">
        <f>HYPERLINK("https://www.google.com/maps/search/?api=1&amp;query=24.77802,46.81731", "View Map")</f>
        <v>View Map</v>
      </c>
    </row>
    <row r="2122" spans="1:7" x14ac:dyDescent="0.3">
      <c r="A2122" t="s">
        <v>6396</v>
      </c>
      <c r="B2122" t="s">
        <v>6397</v>
      </c>
      <c r="C2122" t="s">
        <v>8</v>
      </c>
      <c r="D2122">
        <v>4.2160000000000002</v>
      </c>
      <c r="E2122" s="4">
        <v>1349</v>
      </c>
      <c r="F2122" t="str">
        <f>HYPERLINK("https://www.google.com/maps/search/?api=1&amp;query=24.75511331,46.72560344", "View Map")</f>
        <v>View Map</v>
      </c>
    </row>
    <row r="2123" spans="1:7" x14ac:dyDescent="0.3">
      <c r="A2123" t="s">
        <v>8127</v>
      </c>
      <c r="B2123" t="s">
        <v>8128</v>
      </c>
      <c r="C2123" t="s">
        <v>291</v>
      </c>
      <c r="D2123">
        <v>4.2110000000000003</v>
      </c>
      <c r="E2123" s="4">
        <v>1347</v>
      </c>
      <c r="F2123" t="str">
        <f>HYPERLINK("https://www.google.com/maps/search/?api=1&amp;query=24.33868661,45.80102998", "View Map")</f>
        <v>View Map</v>
      </c>
      <c r="G2123" s="2">
        <v>0.65832839223315842</v>
      </c>
    </row>
    <row r="2124" spans="1:7" x14ac:dyDescent="0.3">
      <c r="A2124" t="s">
        <v>3498</v>
      </c>
      <c r="B2124" t="s">
        <v>3499</v>
      </c>
      <c r="C2124" t="s">
        <v>255</v>
      </c>
      <c r="D2124">
        <v>4.21</v>
      </c>
      <c r="E2124" s="4">
        <v>1347</v>
      </c>
      <c r="F2124" t="str">
        <f>HYPERLINK("https://www.google.com/maps/search/?api=1&amp;query=24.69591121,44.30393957", "View Map")</f>
        <v>View Map</v>
      </c>
    </row>
    <row r="2125" spans="1:7" x14ac:dyDescent="0.3">
      <c r="A2125" t="s">
        <v>3609</v>
      </c>
      <c r="B2125" t="s">
        <v>3610</v>
      </c>
      <c r="C2125" t="s">
        <v>21</v>
      </c>
      <c r="D2125">
        <v>4.2089999999999996</v>
      </c>
      <c r="E2125" s="4">
        <v>1347</v>
      </c>
      <c r="F2125" t="str">
        <f>HYPERLINK("https://www.google.com/maps/search/?api=1&amp;query=26.2940491,44.81174828", "View Map")</f>
        <v>View Map</v>
      </c>
    </row>
    <row r="2126" spans="1:7" x14ac:dyDescent="0.3">
      <c r="A2126" t="s">
        <v>9999</v>
      </c>
      <c r="B2126" t="s">
        <v>10000</v>
      </c>
      <c r="C2126" t="s">
        <v>466</v>
      </c>
      <c r="D2126">
        <v>4.2080000000000002</v>
      </c>
      <c r="E2126" s="4">
        <v>1346</v>
      </c>
      <c r="F2126" t="str">
        <f>HYPERLINK("https://www.google.com/maps/search/?api=1&amp;query=24.61034417,46.12456146", "View Map")</f>
        <v>View Map</v>
      </c>
    </row>
    <row r="2127" spans="1:7" x14ac:dyDescent="0.3">
      <c r="A2127" t="s">
        <v>1774</v>
      </c>
      <c r="B2127" t="s">
        <v>1775</v>
      </c>
      <c r="C2127" t="s">
        <v>8</v>
      </c>
      <c r="D2127">
        <v>4.2050000000000001</v>
      </c>
      <c r="E2127" s="4">
        <v>1346</v>
      </c>
      <c r="F2127" t="str">
        <f>HYPERLINK("https://www.google.com/maps/search/?api=1&amp;query=24.57608323,46.83532588", "View Map")</f>
        <v>View Map</v>
      </c>
    </row>
    <row r="2128" spans="1:7" x14ac:dyDescent="0.3">
      <c r="A2128" t="s">
        <v>1202</v>
      </c>
      <c r="B2128" t="s">
        <v>1203</v>
      </c>
      <c r="C2128" t="s">
        <v>8</v>
      </c>
      <c r="D2128">
        <v>4.2009999999999996</v>
      </c>
      <c r="E2128" s="4">
        <v>1344</v>
      </c>
      <c r="F2128" t="str">
        <f>HYPERLINK("https://www.google.com/maps/search/?api=1&amp;query=24.78433462,46.79192822", "View Map")</f>
        <v>View Map</v>
      </c>
      <c r="G2128" s="2">
        <v>0.19696160178165181</v>
      </c>
    </row>
    <row r="2129" spans="1:7" x14ac:dyDescent="0.3">
      <c r="A2129" t="s">
        <v>3763</v>
      </c>
      <c r="B2129" t="s">
        <v>3764</v>
      </c>
      <c r="C2129" t="s">
        <v>21</v>
      </c>
      <c r="D2129">
        <v>4.2009999999999996</v>
      </c>
      <c r="E2129" s="4">
        <v>1344</v>
      </c>
      <c r="F2129" t="str">
        <f>HYPERLINK("https://www.google.com/maps/search/?api=1&amp;query=26.31151623,44.81868327", "View Map")</f>
        <v>View Map</v>
      </c>
      <c r="G2129" s="2">
        <v>0.68622017587072304</v>
      </c>
    </row>
    <row r="2130" spans="1:7" x14ac:dyDescent="0.3">
      <c r="A2130" t="s">
        <v>1788</v>
      </c>
      <c r="B2130" t="s">
        <v>4749</v>
      </c>
      <c r="C2130" t="s">
        <v>393</v>
      </c>
      <c r="D2130">
        <v>4.2</v>
      </c>
      <c r="E2130" s="4">
        <v>1344</v>
      </c>
      <c r="F2130" t="str">
        <f>HYPERLINK("https://www.google.com/maps/search/?api=1&amp;query=23.22202517,45.52271093", "View Map")</f>
        <v>View Map</v>
      </c>
      <c r="G2130" s="2">
        <v>0.75553316300852824</v>
      </c>
    </row>
    <row r="2131" spans="1:7" x14ac:dyDescent="0.3">
      <c r="A2131" t="s">
        <v>1830</v>
      </c>
      <c r="B2131" t="s">
        <v>1831</v>
      </c>
      <c r="C2131" t="s">
        <v>8</v>
      </c>
      <c r="D2131">
        <v>4.1980000000000004</v>
      </c>
      <c r="E2131" s="4">
        <v>1343</v>
      </c>
      <c r="F2131" t="str">
        <f>HYPERLINK("https://www.google.com/maps/search/?api=1&amp;query=24.59597354,46.74231397", "View Map")</f>
        <v>View Map</v>
      </c>
      <c r="G2131" s="2">
        <v>0.21731269567087561</v>
      </c>
    </row>
    <row r="2132" spans="1:7" x14ac:dyDescent="0.3">
      <c r="A2132" t="s">
        <v>3569</v>
      </c>
      <c r="B2132" t="s">
        <v>3570</v>
      </c>
      <c r="C2132" t="s">
        <v>8</v>
      </c>
      <c r="D2132">
        <v>4.1929999999999996</v>
      </c>
      <c r="E2132" s="4">
        <v>1342</v>
      </c>
      <c r="F2132" t="str">
        <f>HYPERLINK("https://www.google.com/maps/search/?api=1&amp;query=24.63417627,46.71832189", "View Map")</f>
        <v>View Map</v>
      </c>
    </row>
    <row r="2133" spans="1:7" x14ac:dyDescent="0.3">
      <c r="A2133" t="s">
        <v>889</v>
      </c>
      <c r="B2133" t="s">
        <v>2188</v>
      </c>
      <c r="C2133" t="s">
        <v>8</v>
      </c>
      <c r="D2133">
        <v>4.1920000000000002</v>
      </c>
      <c r="E2133" s="4">
        <v>1341</v>
      </c>
      <c r="F2133" t="str">
        <f>HYPERLINK("https://www.google.com/maps/search/?api=1&amp;query=24.78410798,46.6294559", "View Map")</f>
        <v>View Map</v>
      </c>
      <c r="G2133" s="2">
        <v>0.27742780714141191</v>
      </c>
    </row>
    <row r="2134" spans="1:7" x14ac:dyDescent="0.3">
      <c r="A2134" t="s">
        <v>3148</v>
      </c>
      <c r="B2134" t="s">
        <v>3945</v>
      </c>
      <c r="C2134" t="s">
        <v>8</v>
      </c>
      <c r="D2134">
        <v>4.1920000000000002</v>
      </c>
      <c r="E2134" s="4">
        <v>1341</v>
      </c>
      <c r="F2134" t="str">
        <f>HYPERLINK("https://www.google.com/maps/search/?api=1&amp;query=24.61720633,46.76049055", "View Map")</f>
        <v>View Map</v>
      </c>
    </row>
    <row r="2135" spans="1:7" x14ac:dyDescent="0.3">
      <c r="A2135" t="s">
        <v>6214</v>
      </c>
      <c r="B2135" t="s">
        <v>6215</v>
      </c>
      <c r="C2135" t="s">
        <v>8</v>
      </c>
      <c r="D2135">
        <v>4.1909999999999998</v>
      </c>
      <c r="E2135" s="4">
        <v>1341</v>
      </c>
      <c r="F2135" t="str">
        <f>HYPERLINK("https://www.google.com/maps/search/?api=1&amp;query=24.52720619,46.67962957", "View Map")</f>
        <v>View Map</v>
      </c>
    </row>
    <row r="2136" spans="1:7" x14ac:dyDescent="0.3">
      <c r="A2136" t="s">
        <v>1262</v>
      </c>
      <c r="B2136" t="s">
        <v>4384</v>
      </c>
      <c r="C2136" t="s">
        <v>8</v>
      </c>
      <c r="D2136">
        <v>4.1859999999999999</v>
      </c>
      <c r="E2136" s="4">
        <v>1340</v>
      </c>
      <c r="F2136" t="str">
        <f>HYPERLINK("https://www.google.com/maps/search/?api=1&amp;query=24.75402241,46.8084702", "View Map")</f>
        <v>View Map</v>
      </c>
    </row>
    <row r="2137" spans="1:7" x14ac:dyDescent="0.3">
      <c r="A2137" t="s">
        <v>4127</v>
      </c>
      <c r="B2137" t="s">
        <v>4128</v>
      </c>
      <c r="C2137" t="s">
        <v>8</v>
      </c>
      <c r="D2137">
        <v>4.1829999999999998</v>
      </c>
      <c r="E2137" s="4">
        <v>1338</v>
      </c>
      <c r="F2137" t="str">
        <f>HYPERLINK("https://www.google.com/maps/search/?api=1&amp;query=24.77998574,46.70175442", "View Map")</f>
        <v>View Map</v>
      </c>
    </row>
    <row r="2138" spans="1:7" x14ac:dyDescent="0.3">
      <c r="A2138" t="s">
        <v>3844</v>
      </c>
      <c r="B2138" t="s">
        <v>3845</v>
      </c>
      <c r="C2138" t="s">
        <v>291</v>
      </c>
      <c r="D2138">
        <v>4.1829999999999998</v>
      </c>
      <c r="E2138" s="4">
        <v>1339</v>
      </c>
      <c r="F2138" t="str">
        <f>HYPERLINK("https://www.google.com/maps/search/?api=1&amp;query=24.24255934,45.81325304", "View Map")</f>
        <v>View Map</v>
      </c>
      <c r="G2138" s="2">
        <v>0.84170295154479779</v>
      </c>
    </row>
    <row r="2139" spans="1:7" x14ac:dyDescent="0.3">
      <c r="A2139" t="s">
        <v>46</v>
      </c>
      <c r="B2139" t="s">
        <v>5021</v>
      </c>
      <c r="C2139" t="s">
        <v>8</v>
      </c>
      <c r="D2139">
        <v>4.181</v>
      </c>
      <c r="E2139" s="4">
        <v>1338</v>
      </c>
      <c r="F2139" t="str">
        <f>HYPERLINK("https://www.google.com/maps/search/?api=1&amp;query=24.82316485,46.66212999", "View Map")</f>
        <v>View Map</v>
      </c>
    </row>
    <row r="2140" spans="1:7" x14ac:dyDescent="0.3">
      <c r="A2140" t="s">
        <v>6442</v>
      </c>
      <c r="B2140" t="s">
        <v>6443</v>
      </c>
      <c r="C2140" t="s">
        <v>30</v>
      </c>
      <c r="D2140">
        <v>4.18</v>
      </c>
      <c r="E2140" s="4">
        <v>1338</v>
      </c>
      <c r="F2140" t="str">
        <f>HYPERLINK("https://www.google.com/maps/search/?api=1&amp;query=24.11432,47.28085", "View Map")</f>
        <v>View Map</v>
      </c>
    </row>
    <row r="2141" spans="1:7" x14ac:dyDescent="0.3">
      <c r="A2141" t="s">
        <v>5934</v>
      </c>
      <c r="B2141" t="s">
        <v>5935</v>
      </c>
      <c r="C2141" t="s">
        <v>291</v>
      </c>
      <c r="D2141">
        <v>4.1779999999999999</v>
      </c>
      <c r="E2141" s="4">
        <v>1337</v>
      </c>
      <c r="F2141" t="str">
        <f>HYPERLINK("https://www.google.com/maps/search/?api=1&amp;query=23.71268304,44.5949604", "View Map")</f>
        <v>View Map</v>
      </c>
      <c r="G2141" s="2">
        <v>0.68614788696984663</v>
      </c>
    </row>
    <row r="2142" spans="1:7" x14ac:dyDescent="0.3">
      <c r="A2142" t="s">
        <v>1273</v>
      </c>
      <c r="B2142" t="s">
        <v>6980</v>
      </c>
      <c r="C2142" t="s">
        <v>241</v>
      </c>
      <c r="D2142">
        <v>4.1749999999999998</v>
      </c>
      <c r="E2142" s="4">
        <v>1336</v>
      </c>
      <c r="F2142" t="str">
        <f>HYPERLINK("https://www.google.com/maps/search/?api=1&amp;query=20.420367,44.76540525", "View Map")</f>
        <v>View Map</v>
      </c>
    </row>
    <row r="2143" spans="1:7" x14ac:dyDescent="0.3">
      <c r="A2143" t="s">
        <v>3063</v>
      </c>
      <c r="B2143" t="s">
        <v>3064</v>
      </c>
      <c r="C2143" t="s">
        <v>30</v>
      </c>
      <c r="D2143">
        <v>4.1689999999999996</v>
      </c>
      <c r="E2143" s="4">
        <v>1334</v>
      </c>
      <c r="F2143" t="str">
        <f>HYPERLINK("https://www.google.com/maps/search/?api=1&amp;query=24.13984213,47.34107527", "View Map")</f>
        <v>View Map</v>
      </c>
      <c r="G2143" s="2">
        <v>0.51035000915688578</v>
      </c>
    </row>
    <row r="2144" spans="1:7" x14ac:dyDescent="0.3">
      <c r="A2144" t="s">
        <v>1391</v>
      </c>
      <c r="B2144" t="s">
        <v>5478</v>
      </c>
      <c r="C2144" t="s">
        <v>8</v>
      </c>
      <c r="D2144">
        <v>4.1669999999999998</v>
      </c>
      <c r="E2144" s="4">
        <v>1334</v>
      </c>
      <c r="F2144" t="str">
        <f>HYPERLINK("https://www.google.com/maps/search/?api=1&amp;query=24.7343666,46.8383035", "View Map")</f>
        <v>View Map</v>
      </c>
    </row>
    <row r="2145" spans="1:7" x14ac:dyDescent="0.3">
      <c r="A2145" t="s">
        <v>10260</v>
      </c>
      <c r="B2145" t="s">
        <v>10261</v>
      </c>
      <c r="C2145" t="s">
        <v>8</v>
      </c>
      <c r="D2145">
        <v>4.1669999999999998</v>
      </c>
      <c r="E2145" s="4">
        <v>1333</v>
      </c>
      <c r="F2145" t="str">
        <f>HYPERLINK("https://www.google.com/maps/search/?api=1&amp;query=24.7306116,46.69007696", "View Map")</f>
        <v>View Map</v>
      </c>
    </row>
    <row r="2146" spans="1:7" x14ac:dyDescent="0.3">
      <c r="A2146" t="s">
        <v>3331</v>
      </c>
      <c r="B2146" t="s">
        <v>3332</v>
      </c>
      <c r="C2146" t="s">
        <v>8</v>
      </c>
      <c r="D2146">
        <v>4.1609999999999996</v>
      </c>
      <c r="E2146" s="4">
        <v>1332</v>
      </c>
      <c r="F2146" t="str">
        <f>HYPERLINK("https://www.google.com/maps/search/?api=1&amp;query=24.67908754,46.59760152", "View Map")</f>
        <v>View Map</v>
      </c>
    </row>
    <row r="2147" spans="1:7" x14ac:dyDescent="0.3">
      <c r="A2147" t="s">
        <v>46</v>
      </c>
      <c r="B2147" t="s">
        <v>10142</v>
      </c>
      <c r="C2147" t="s">
        <v>8</v>
      </c>
      <c r="D2147">
        <v>4.16</v>
      </c>
      <c r="E2147" s="4">
        <v>1331</v>
      </c>
      <c r="F2147" t="str">
        <f>HYPERLINK("https://www.google.com/maps/search/?api=1&amp;query=24.76863869,46.6986284", "View Map")</f>
        <v>View Map</v>
      </c>
    </row>
    <row r="2148" spans="1:7" x14ac:dyDescent="0.3">
      <c r="A2148" t="s">
        <v>5120</v>
      </c>
      <c r="B2148" t="s">
        <v>5121</v>
      </c>
      <c r="C2148" t="s">
        <v>255</v>
      </c>
      <c r="D2148">
        <v>4.16</v>
      </c>
      <c r="E2148" s="4">
        <v>1331</v>
      </c>
      <c r="F2148" t="str">
        <f>HYPERLINK("https://www.google.com/maps/search/?api=1&amp;query=25.37883621,44.46317791", "View Map")</f>
        <v>View Map</v>
      </c>
      <c r="G2148" s="2">
        <v>0.67483392507525375</v>
      </c>
    </row>
    <row r="2149" spans="1:7" x14ac:dyDescent="0.3">
      <c r="A2149" t="s">
        <v>2361</v>
      </c>
      <c r="B2149" t="s">
        <v>2362</v>
      </c>
      <c r="C2149" t="s">
        <v>466</v>
      </c>
      <c r="D2149">
        <v>4.1580000000000004</v>
      </c>
      <c r="E2149" s="4">
        <v>1330</v>
      </c>
      <c r="F2149" t="str">
        <f>HYPERLINK("https://www.google.com/maps/search/?api=1&amp;query=24.59130884,46.13438279", "View Map")</f>
        <v>View Map</v>
      </c>
      <c r="G2149" s="2">
        <v>0.53116363055295923</v>
      </c>
    </row>
    <row r="2150" spans="1:7" x14ac:dyDescent="0.3">
      <c r="A2150" t="s">
        <v>4031</v>
      </c>
      <c r="B2150" t="s">
        <v>5399</v>
      </c>
      <c r="C2150" t="s">
        <v>8</v>
      </c>
      <c r="D2150">
        <v>4.1580000000000004</v>
      </c>
      <c r="E2150" s="4">
        <v>1331</v>
      </c>
      <c r="F2150" t="str">
        <f>HYPERLINK("https://www.google.com/maps/search/?api=1&amp;query=24.52815283,46.66129411", "View Map")</f>
        <v>View Map</v>
      </c>
    </row>
    <row r="2151" spans="1:7" x14ac:dyDescent="0.3">
      <c r="A2151" t="s">
        <v>627</v>
      </c>
      <c r="B2151" t="s">
        <v>4801</v>
      </c>
      <c r="C2151" t="s">
        <v>8</v>
      </c>
      <c r="D2151">
        <v>4.157</v>
      </c>
      <c r="E2151" s="4">
        <v>1330</v>
      </c>
      <c r="F2151" t="str">
        <f>HYPERLINK("https://www.google.com/maps/search/?api=1&amp;query=24.63869558,46.59641028", "View Map")</f>
        <v>View Map</v>
      </c>
    </row>
    <row r="2152" spans="1:7" x14ac:dyDescent="0.3">
      <c r="A2152" t="s">
        <v>7157</v>
      </c>
      <c r="B2152" t="s">
        <v>7158</v>
      </c>
      <c r="C2152" t="s">
        <v>393</v>
      </c>
      <c r="D2152">
        <v>4.1550000000000002</v>
      </c>
      <c r="E2152" s="4">
        <v>1330</v>
      </c>
      <c r="F2152" t="str">
        <f>HYPERLINK("https://www.google.com/maps/search/?api=1&amp;query=23.56696507,45.44158408", "View Map")</f>
        <v>View Map</v>
      </c>
      <c r="G2152" s="2">
        <v>0.77606338741069847</v>
      </c>
    </row>
    <row r="2153" spans="1:7" x14ac:dyDescent="0.3">
      <c r="A2153" t="s">
        <v>9322</v>
      </c>
      <c r="B2153" t="s">
        <v>9323</v>
      </c>
      <c r="C2153" t="s">
        <v>8</v>
      </c>
      <c r="D2153">
        <v>4.1550000000000002</v>
      </c>
      <c r="E2153" s="4">
        <v>1330</v>
      </c>
      <c r="F2153" t="str">
        <f>HYPERLINK("https://www.google.com/maps/search/?api=1&amp;query=24.76968857,46.80777119", "View Map")</f>
        <v>View Map</v>
      </c>
    </row>
    <row r="2154" spans="1:7" x14ac:dyDescent="0.3">
      <c r="A2154" t="s">
        <v>6704</v>
      </c>
      <c r="B2154" t="s">
        <v>6705</v>
      </c>
      <c r="C2154" t="s">
        <v>8</v>
      </c>
      <c r="D2154">
        <v>4.1500000000000004</v>
      </c>
      <c r="E2154" s="4">
        <v>1328</v>
      </c>
      <c r="F2154" t="str">
        <f>HYPERLINK("https://www.google.com/maps/search/?api=1&amp;query=24.67174456,46.80004021", "View Map")</f>
        <v>View Map</v>
      </c>
    </row>
    <row r="2155" spans="1:7" x14ac:dyDescent="0.3">
      <c r="A2155" t="s">
        <v>3821</v>
      </c>
      <c r="B2155" t="s">
        <v>3822</v>
      </c>
      <c r="C2155" t="s">
        <v>8</v>
      </c>
      <c r="D2155">
        <v>4.1500000000000004</v>
      </c>
      <c r="E2155" s="4">
        <v>1328</v>
      </c>
      <c r="F2155" t="str">
        <f>HYPERLINK("https://www.google.com/maps/search/?api=1&amp;query=24.56147312,46.68505211", "View Map")</f>
        <v>View Map</v>
      </c>
      <c r="G2155" s="2">
        <v>0.4649273949346861</v>
      </c>
    </row>
    <row r="2156" spans="1:7" x14ac:dyDescent="0.3">
      <c r="A2156" t="s">
        <v>5435</v>
      </c>
      <c r="B2156" t="s">
        <v>5436</v>
      </c>
      <c r="C2156" t="s">
        <v>30</v>
      </c>
      <c r="D2156">
        <v>4.1479999999999997</v>
      </c>
      <c r="E2156" s="4">
        <v>1327</v>
      </c>
      <c r="F2156" t="str">
        <f>HYPERLINK("https://www.google.com/maps/search/?api=1&amp;query=24.12786959,47.27723517", "View Map")</f>
        <v>View Map</v>
      </c>
    </row>
    <row r="2157" spans="1:7" x14ac:dyDescent="0.3">
      <c r="A2157" t="s">
        <v>22</v>
      </c>
      <c r="B2157" t="s">
        <v>5124</v>
      </c>
      <c r="C2157" t="s">
        <v>8</v>
      </c>
      <c r="D2157">
        <v>4.1479999999999997</v>
      </c>
      <c r="E2157" s="4">
        <v>1327</v>
      </c>
      <c r="F2157" t="str">
        <f>HYPERLINK("https://www.google.com/maps/search/?api=1&amp;query=24.76691639,46.76630882", "View Map")</f>
        <v>View Map</v>
      </c>
    </row>
    <row r="2158" spans="1:7" x14ac:dyDescent="0.3">
      <c r="A2158" t="s">
        <v>7763</v>
      </c>
      <c r="B2158" t="s">
        <v>7764</v>
      </c>
      <c r="C2158" t="s">
        <v>8</v>
      </c>
      <c r="D2158">
        <v>4.1479999999999997</v>
      </c>
      <c r="E2158" s="4">
        <v>1327</v>
      </c>
      <c r="F2158" t="str">
        <f>HYPERLINK("https://www.google.com/maps/search/?api=1&amp;query=24.58993496,46.78168271", "View Map")</f>
        <v>View Map</v>
      </c>
    </row>
    <row r="2159" spans="1:7" x14ac:dyDescent="0.3">
      <c r="A2159" t="s">
        <v>3653</v>
      </c>
      <c r="B2159" t="s">
        <v>3654</v>
      </c>
      <c r="C2159" t="s">
        <v>8</v>
      </c>
      <c r="D2159">
        <v>4.1470000000000002</v>
      </c>
      <c r="E2159" s="4">
        <v>1327</v>
      </c>
      <c r="F2159" t="str">
        <f>HYPERLINK("https://www.google.com/maps/search/?api=1&amp;query=24.62540948,46.70816725", "View Map")</f>
        <v>View Map</v>
      </c>
    </row>
    <row r="2160" spans="1:7" x14ac:dyDescent="0.3">
      <c r="A2160" t="s">
        <v>6183</v>
      </c>
      <c r="B2160" t="s">
        <v>6184</v>
      </c>
      <c r="C2160" t="s">
        <v>8</v>
      </c>
      <c r="D2160">
        <v>4.1470000000000002</v>
      </c>
      <c r="E2160" s="4">
        <v>1327</v>
      </c>
      <c r="F2160" t="str">
        <f>HYPERLINK("https://www.google.com/maps/search/?api=1&amp;query=24.69021976,46.60102555", "View Map")</f>
        <v>View Map</v>
      </c>
    </row>
    <row r="2161" spans="1:7" x14ac:dyDescent="0.3">
      <c r="A2161" t="s">
        <v>46</v>
      </c>
      <c r="B2161" t="s">
        <v>1463</v>
      </c>
      <c r="C2161" t="s">
        <v>8</v>
      </c>
      <c r="D2161">
        <v>4.1459999999999999</v>
      </c>
      <c r="E2161" s="4">
        <v>1327</v>
      </c>
      <c r="F2161" t="str">
        <f>HYPERLINK("https://www.google.com/maps/search/?api=1&amp;query=24.85169586,46.79771996", "View Map")</f>
        <v>View Map</v>
      </c>
      <c r="G2161" s="2">
        <v>0.2294705989764422</v>
      </c>
    </row>
    <row r="2162" spans="1:7" x14ac:dyDescent="0.3">
      <c r="A2162" t="s">
        <v>5658</v>
      </c>
      <c r="B2162" t="s">
        <v>5659</v>
      </c>
      <c r="C2162" t="s">
        <v>8</v>
      </c>
      <c r="D2162">
        <v>4.1449999999999996</v>
      </c>
      <c r="E2162" s="4">
        <v>1326</v>
      </c>
      <c r="F2162" t="str">
        <f>HYPERLINK("https://www.google.com/maps/search/?api=1&amp;query=24.6075,46.6644", "View Map")</f>
        <v>View Map</v>
      </c>
    </row>
    <row r="2163" spans="1:7" x14ac:dyDescent="0.3">
      <c r="A2163" t="s">
        <v>22</v>
      </c>
      <c r="B2163" t="s">
        <v>6823</v>
      </c>
      <c r="C2163" t="s">
        <v>8</v>
      </c>
      <c r="D2163">
        <v>4.1449999999999996</v>
      </c>
      <c r="E2163" s="4">
        <v>1326</v>
      </c>
      <c r="F2163" t="str">
        <f>HYPERLINK("https://www.google.com/maps/search/?api=1&amp;query=24.74831454,46.770672", "View Map")</f>
        <v>View Map</v>
      </c>
    </row>
    <row r="2164" spans="1:7" x14ac:dyDescent="0.3">
      <c r="A2164" t="s">
        <v>10121</v>
      </c>
      <c r="B2164" t="s">
        <v>10122</v>
      </c>
      <c r="C2164" t="s">
        <v>241</v>
      </c>
      <c r="D2164">
        <v>4.1449999999999996</v>
      </c>
      <c r="E2164" s="4">
        <v>1327</v>
      </c>
      <c r="F2164" t="str">
        <f>HYPERLINK("https://www.google.com/maps/search/?api=1&amp;query=21.97257853,44.9686352", "View Map")</f>
        <v>View Map</v>
      </c>
      <c r="G2164" s="2">
        <v>0.80848473691850264</v>
      </c>
    </row>
    <row r="2165" spans="1:7" x14ac:dyDescent="0.3">
      <c r="A2165" t="s">
        <v>3990</v>
      </c>
      <c r="B2165" t="s">
        <v>3991</v>
      </c>
      <c r="C2165" t="s">
        <v>8</v>
      </c>
      <c r="D2165">
        <v>4.1440000000000001</v>
      </c>
      <c r="E2165" s="4">
        <v>1326</v>
      </c>
      <c r="F2165" t="str">
        <f>HYPERLINK("https://www.google.com/maps/search/?api=1&amp;query=24.54333926,46.66521239", "View Map")</f>
        <v>View Map</v>
      </c>
    </row>
    <row r="2166" spans="1:7" x14ac:dyDescent="0.3">
      <c r="A2166" t="s">
        <v>46</v>
      </c>
      <c r="B2166" t="s">
        <v>2613</v>
      </c>
      <c r="C2166" t="s">
        <v>8</v>
      </c>
      <c r="D2166">
        <v>4.1440000000000001</v>
      </c>
      <c r="E2166" s="4">
        <v>1326</v>
      </c>
      <c r="F2166" t="str">
        <f>HYPERLINK("https://www.google.com/maps/search/?api=1&amp;query=24.6564,46.5778", "View Map")</f>
        <v>View Map</v>
      </c>
      <c r="G2166" s="2">
        <v>0.29338098757492342</v>
      </c>
    </row>
    <row r="2167" spans="1:7" x14ac:dyDescent="0.3">
      <c r="A2167" t="s">
        <v>4488</v>
      </c>
      <c r="B2167" t="s">
        <v>4489</v>
      </c>
      <c r="C2167" t="s">
        <v>255</v>
      </c>
      <c r="D2167">
        <v>4.1440000000000001</v>
      </c>
      <c r="E2167" s="4">
        <v>1326</v>
      </c>
      <c r="F2167" t="str">
        <f>HYPERLINK("https://www.google.com/maps/search/?api=1&amp;query=24.30664571,43.72427232", "View Map")</f>
        <v>View Map</v>
      </c>
      <c r="G2167" s="2">
        <v>0.80990751508683734</v>
      </c>
    </row>
    <row r="2168" spans="1:7" x14ac:dyDescent="0.3">
      <c r="A2168" t="s">
        <v>11360</v>
      </c>
      <c r="B2168" t="s">
        <v>11361</v>
      </c>
      <c r="C2168" t="s">
        <v>646</v>
      </c>
      <c r="D2168">
        <v>4.1429999999999998</v>
      </c>
      <c r="E2168" s="4">
        <v>1326</v>
      </c>
      <c r="F2168" t="str">
        <f>HYPERLINK("https://www.google.com/maps/search/?api=1&amp;query=20.46847848,45.57421134", "View Map")</f>
        <v>View Map</v>
      </c>
    </row>
    <row r="2169" spans="1:7" x14ac:dyDescent="0.3">
      <c r="A2169" t="s">
        <v>786</v>
      </c>
      <c r="B2169" t="s">
        <v>787</v>
      </c>
      <c r="C2169" t="s">
        <v>8</v>
      </c>
      <c r="D2169">
        <v>4.1420000000000003</v>
      </c>
      <c r="E2169" s="4">
        <v>1325</v>
      </c>
      <c r="F2169" t="str">
        <f>HYPERLINK("https://www.google.com/maps/search/?api=1&amp;query=24.64,46.6964", "View Map")</f>
        <v>View Map</v>
      </c>
      <c r="G2169" s="2">
        <v>0.21563535177437049</v>
      </c>
    </row>
    <row r="2170" spans="1:7" x14ac:dyDescent="0.3">
      <c r="A2170" t="s">
        <v>840</v>
      </c>
      <c r="B2170" t="s">
        <v>841</v>
      </c>
      <c r="C2170" t="s">
        <v>8</v>
      </c>
      <c r="D2170">
        <v>4.1379999999999999</v>
      </c>
      <c r="E2170" s="4">
        <v>1324</v>
      </c>
      <c r="F2170" t="str">
        <f>HYPERLINK("https://www.google.com/maps/search/?api=1&amp;query=24.5489,46.7144", "View Map")</f>
        <v>View Map</v>
      </c>
      <c r="G2170" s="2">
        <v>0.21823180391319341</v>
      </c>
    </row>
    <row r="2171" spans="1:7" x14ac:dyDescent="0.3">
      <c r="A2171" t="s">
        <v>3041</v>
      </c>
      <c r="B2171" t="s">
        <v>3042</v>
      </c>
      <c r="C2171" t="s">
        <v>8</v>
      </c>
      <c r="D2171">
        <v>4.1360000000000001</v>
      </c>
      <c r="E2171" s="4">
        <v>1323</v>
      </c>
      <c r="F2171" t="str">
        <f>HYPERLINK("https://www.google.com/maps/search/?api=1&amp;query=24.79302535,46.88215924", "View Map")</f>
        <v>View Map</v>
      </c>
    </row>
    <row r="2172" spans="1:7" x14ac:dyDescent="0.3">
      <c r="A2172" t="s">
        <v>3765</v>
      </c>
      <c r="B2172" t="s">
        <v>3766</v>
      </c>
      <c r="C2172" t="s">
        <v>214</v>
      </c>
      <c r="D2172">
        <v>4.1340000000000003</v>
      </c>
      <c r="E2172" s="4">
        <v>1323</v>
      </c>
      <c r="F2172" t="str">
        <f>HYPERLINK("https://www.google.com/maps/search/?api=1&amp;query=25.87491233,45.14135158", "View Map")</f>
        <v>View Map</v>
      </c>
      <c r="G2172" s="2">
        <v>0.7715872251910707</v>
      </c>
    </row>
    <row r="2173" spans="1:7" x14ac:dyDescent="0.3">
      <c r="A2173" t="s">
        <v>2122</v>
      </c>
      <c r="B2173" t="s">
        <v>4073</v>
      </c>
      <c r="C2173" t="s">
        <v>8</v>
      </c>
      <c r="D2173">
        <v>4.133</v>
      </c>
      <c r="E2173" s="4">
        <v>1323</v>
      </c>
      <c r="F2173" t="str">
        <f>HYPERLINK("https://www.google.com/maps/search/?api=1&amp;query=24.82515323,46.78374478", "View Map")</f>
        <v>View Map</v>
      </c>
      <c r="G2173" s="2">
        <v>0.90211124489415118</v>
      </c>
    </row>
    <row r="2174" spans="1:7" x14ac:dyDescent="0.3">
      <c r="A2174" t="s">
        <v>2848</v>
      </c>
      <c r="B2174" t="s">
        <v>3619</v>
      </c>
      <c r="C2174" t="s">
        <v>214</v>
      </c>
      <c r="D2174">
        <v>4.133</v>
      </c>
      <c r="E2174" s="4">
        <v>1322</v>
      </c>
      <c r="F2174" t="str">
        <f>HYPERLINK("https://www.google.com/maps/search/?api=1&amp;query=26.50981073,45.35790158", "View Map")</f>
        <v>View Map</v>
      </c>
      <c r="G2174" s="2">
        <v>0.64031979928578953</v>
      </c>
    </row>
    <row r="2175" spans="1:7" x14ac:dyDescent="0.3">
      <c r="A2175" t="s">
        <v>4570</v>
      </c>
      <c r="B2175" t="s">
        <v>4571</v>
      </c>
      <c r="C2175" t="s">
        <v>8</v>
      </c>
      <c r="D2175">
        <v>4.1319999999999997</v>
      </c>
      <c r="E2175" s="4">
        <v>1322</v>
      </c>
      <c r="F2175" t="str">
        <f>HYPERLINK("https://www.google.com/maps/search/?api=1&amp;query=24.63420434,46.73399719", "View Map")</f>
        <v>View Map</v>
      </c>
    </row>
    <row r="2176" spans="1:7" x14ac:dyDescent="0.3">
      <c r="A2176" t="s">
        <v>7746</v>
      </c>
      <c r="B2176" t="s">
        <v>7747</v>
      </c>
      <c r="C2176" t="s">
        <v>8</v>
      </c>
      <c r="D2176">
        <v>4.1319999999999997</v>
      </c>
      <c r="E2176" s="4">
        <v>1322</v>
      </c>
      <c r="F2176" t="str">
        <f>HYPERLINK("https://www.google.com/maps/search/?api=1&amp;query=24.79444339,46.67263107", "View Map")</f>
        <v>View Map</v>
      </c>
    </row>
    <row r="2177" spans="1:7" x14ac:dyDescent="0.3">
      <c r="A2177" t="s">
        <v>627</v>
      </c>
      <c r="B2177" t="s">
        <v>4600</v>
      </c>
      <c r="C2177" t="s">
        <v>8</v>
      </c>
      <c r="D2177">
        <v>4.1260000000000003</v>
      </c>
      <c r="E2177" s="4">
        <v>1320</v>
      </c>
      <c r="F2177" t="str">
        <f>HYPERLINK("https://www.google.com/maps/search/?api=1&amp;query=24.77894893,46.67866674", "View Map")</f>
        <v>View Map</v>
      </c>
    </row>
    <row r="2178" spans="1:7" x14ac:dyDescent="0.3">
      <c r="A2178" t="s">
        <v>4839</v>
      </c>
      <c r="B2178" t="s">
        <v>4840</v>
      </c>
      <c r="C2178" t="s">
        <v>8</v>
      </c>
      <c r="D2178">
        <v>4.1189999999999998</v>
      </c>
      <c r="E2178" s="4">
        <v>1318</v>
      </c>
      <c r="F2178" t="str">
        <f>HYPERLINK("https://www.google.com/maps/search/?api=1&amp;query=24.67086237,46.75838885", "View Map")</f>
        <v>View Map</v>
      </c>
      <c r="G2178" s="2">
        <v>0.44774455867027257</v>
      </c>
    </row>
    <row r="2179" spans="1:7" x14ac:dyDescent="0.3">
      <c r="A2179" t="s">
        <v>789</v>
      </c>
      <c r="B2179" t="s">
        <v>5982</v>
      </c>
      <c r="C2179" t="s">
        <v>8</v>
      </c>
      <c r="D2179">
        <v>4.1189999999999998</v>
      </c>
      <c r="E2179" s="4">
        <v>1318</v>
      </c>
      <c r="F2179" t="str">
        <f>HYPERLINK("https://www.google.com/maps/search/?api=1&amp;query=24.79240461,46.7713202", "View Map")</f>
        <v>View Map</v>
      </c>
    </row>
    <row r="2180" spans="1:7" x14ac:dyDescent="0.3">
      <c r="A2180" t="s">
        <v>4759</v>
      </c>
      <c r="B2180" t="s">
        <v>4760</v>
      </c>
      <c r="C2180" t="s">
        <v>255</v>
      </c>
      <c r="D2180">
        <v>4.1189999999999998</v>
      </c>
      <c r="E2180" s="4">
        <v>1318</v>
      </c>
      <c r="F2180" t="str">
        <f>HYPERLINK("https://www.google.com/maps/search/?api=1&amp;query=25.33652116,44.46278233", "View Map")</f>
        <v>View Map</v>
      </c>
      <c r="G2180" s="2">
        <v>0.60161311733740941</v>
      </c>
    </row>
    <row r="2181" spans="1:7" x14ac:dyDescent="0.3">
      <c r="A2181" t="s">
        <v>5186</v>
      </c>
      <c r="B2181" t="s">
        <v>5187</v>
      </c>
      <c r="C2181" t="s">
        <v>466</v>
      </c>
      <c r="D2181">
        <v>4.1130000000000004</v>
      </c>
      <c r="E2181" s="4">
        <v>1316</v>
      </c>
      <c r="F2181" t="str">
        <f>HYPERLINK("https://www.google.com/maps/search/?api=1&amp;query=24.59621794,46.12841797", "View Map")</f>
        <v>View Map</v>
      </c>
      <c r="G2181" s="2">
        <v>0.77361257118959059</v>
      </c>
    </row>
    <row r="2182" spans="1:7" x14ac:dyDescent="0.3">
      <c r="A2182" t="s">
        <v>8146</v>
      </c>
      <c r="B2182" t="s">
        <v>8147</v>
      </c>
      <c r="C2182" t="s">
        <v>8</v>
      </c>
      <c r="D2182">
        <v>4.1109999999999998</v>
      </c>
      <c r="E2182" s="4">
        <v>1315</v>
      </c>
      <c r="F2182" t="str">
        <f>HYPERLINK("https://www.google.com/maps/search/?api=1&amp;query=24.50393854,46.62759254", "View Map")</f>
        <v>View Map</v>
      </c>
    </row>
    <row r="2183" spans="1:7" x14ac:dyDescent="0.3">
      <c r="A2183" t="s">
        <v>3863</v>
      </c>
      <c r="B2183" t="s">
        <v>3864</v>
      </c>
      <c r="C2183" t="s">
        <v>738</v>
      </c>
      <c r="D2183">
        <v>4.1100000000000003</v>
      </c>
      <c r="E2183" s="4">
        <v>1315</v>
      </c>
      <c r="F2183" t="str">
        <f>HYPERLINK("https://www.google.com/maps/search/?api=1&amp;query=25.13990005,46.11862634", "View Map")</f>
        <v>View Map</v>
      </c>
      <c r="G2183" s="2">
        <v>0.42152364970162082</v>
      </c>
    </row>
    <row r="2184" spans="1:7" x14ac:dyDescent="0.3">
      <c r="A2184" t="s">
        <v>3117</v>
      </c>
      <c r="B2184" t="s">
        <v>3118</v>
      </c>
      <c r="C2184" t="s">
        <v>214</v>
      </c>
      <c r="D2184">
        <v>4.1059999999999999</v>
      </c>
      <c r="E2184" s="4">
        <v>1314</v>
      </c>
      <c r="F2184" t="str">
        <f>HYPERLINK("https://www.google.com/maps/search/?api=1&amp;query=25.91394047,45.90513273", "View Map")</f>
        <v>View Map</v>
      </c>
      <c r="G2184" s="2">
        <v>0.66665593207933838</v>
      </c>
    </row>
    <row r="2185" spans="1:7" x14ac:dyDescent="0.3">
      <c r="A2185" t="s">
        <v>46</v>
      </c>
      <c r="B2185" t="s">
        <v>5491</v>
      </c>
      <c r="C2185" t="s">
        <v>8</v>
      </c>
      <c r="D2185">
        <v>4.1029999999999998</v>
      </c>
      <c r="E2185" s="4">
        <v>1313</v>
      </c>
      <c r="F2185" t="str">
        <f>HYPERLINK("https://www.google.com/maps/search/?api=1&amp;query=24.92525789,46.82341566", "View Map")</f>
        <v>View Map</v>
      </c>
    </row>
    <row r="2186" spans="1:7" x14ac:dyDescent="0.3">
      <c r="A2186" t="s">
        <v>146</v>
      </c>
      <c r="B2186" t="s">
        <v>5660</v>
      </c>
      <c r="C2186" t="s">
        <v>8</v>
      </c>
      <c r="D2186">
        <v>4.1020000000000003</v>
      </c>
      <c r="E2186" s="4">
        <v>1313</v>
      </c>
      <c r="F2186" t="str">
        <f>HYPERLINK("https://www.google.com/maps/search/?api=1&amp;query=24.51596552,46.67479028", "View Map")</f>
        <v>View Map</v>
      </c>
    </row>
    <row r="2187" spans="1:7" x14ac:dyDescent="0.3">
      <c r="A2187" t="s">
        <v>5361</v>
      </c>
      <c r="B2187" t="s">
        <v>5362</v>
      </c>
      <c r="C2187" t="s">
        <v>16</v>
      </c>
      <c r="D2187">
        <v>4.1020000000000003</v>
      </c>
      <c r="E2187" s="4">
        <v>1313</v>
      </c>
      <c r="F2187" t="str">
        <f>HYPERLINK("https://www.google.com/maps/search/?api=1&amp;query=24.2193365,42.84112807", "View Map")</f>
        <v>View Map</v>
      </c>
      <c r="G2187" s="2">
        <v>0.91440077523932584</v>
      </c>
    </row>
    <row r="2188" spans="1:7" x14ac:dyDescent="0.3">
      <c r="A2188" t="s">
        <v>7028</v>
      </c>
      <c r="B2188" t="s">
        <v>7029</v>
      </c>
      <c r="C2188" t="s">
        <v>8</v>
      </c>
      <c r="D2188">
        <v>4.0979999999999999</v>
      </c>
      <c r="E2188" s="4">
        <v>1311</v>
      </c>
      <c r="F2188" t="str">
        <f>HYPERLINK("https://www.google.com/maps/search/?api=1&amp;query=24.68129367,46.80878535", "View Map")</f>
        <v>View Map</v>
      </c>
    </row>
    <row r="2189" spans="1:7" x14ac:dyDescent="0.3">
      <c r="A2189" t="s">
        <v>4591</v>
      </c>
      <c r="B2189" t="s">
        <v>4592</v>
      </c>
      <c r="C2189" t="s">
        <v>21</v>
      </c>
      <c r="D2189">
        <v>4.0979999999999999</v>
      </c>
      <c r="E2189" s="4">
        <v>1311</v>
      </c>
      <c r="F2189" t="str">
        <f>HYPERLINK("https://www.google.com/maps/search/?api=1&amp;query=26.29423433,44.82305807", "View Map")</f>
        <v>View Map</v>
      </c>
      <c r="G2189" s="2">
        <v>0.69986445420957144</v>
      </c>
    </row>
    <row r="2190" spans="1:7" x14ac:dyDescent="0.3">
      <c r="A2190" t="s">
        <v>5547</v>
      </c>
      <c r="B2190" t="s">
        <v>5548</v>
      </c>
      <c r="C2190" t="s">
        <v>255</v>
      </c>
      <c r="D2190">
        <v>4.0970000000000004</v>
      </c>
      <c r="E2190" s="4">
        <v>1311</v>
      </c>
      <c r="F2190" t="str">
        <f>HYPERLINK("https://www.google.com/maps/search/?api=1&amp;query=24.5440669,44.4306552", "View Map")</f>
        <v>View Map</v>
      </c>
      <c r="G2190" s="2">
        <v>0.71611821371793805</v>
      </c>
    </row>
    <row r="2191" spans="1:7" x14ac:dyDescent="0.3">
      <c r="A2191" t="s">
        <v>2063</v>
      </c>
      <c r="B2191" t="s">
        <v>3739</v>
      </c>
      <c r="C2191" t="s">
        <v>255</v>
      </c>
      <c r="D2191">
        <v>4.0960000000000001</v>
      </c>
      <c r="E2191" s="4">
        <v>1311</v>
      </c>
      <c r="F2191" t="str">
        <f>HYPERLINK("https://www.google.com/maps/search/?api=1&amp;query=24.56569688,44.44488161", "View Map")</f>
        <v>View Map</v>
      </c>
      <c r="G2191" s="2">
        <v>0.5300753853761071</v>
      </c>
    </row>
    <row r="2192" spans="1:7" x14ac:dyDescent="0.3">
      <c r="A2192" t="s">
        <v>3977</v>
      </c>
      <c r="B2192" t="s">
        <v>3978</v>
      </c>
      <c r="C2192" t="s">
        <v>77</v>
      </c>
      <c r="D2192">
        <v>4.0949999999999998</v>
      </c>
      <c r="E2192" s="4">
        <v>1310</v>
      </c>
      <c r="F2192" t="str">
        <f>HYPERLINK("https://www.google.com/maps/search/?api=1&amp;query=22.23468175,46.77786399", "View Map")</f>
        <v>View Map</v>
      </c>
      <c r="G2192" s="2">
        <v>0.52671971052154598</v>
      </c>
    </row>
    <row r="2193" spans="1:7" x14ac:dyDescent="0.3">
      <c r="A2193" t="s">
        <v>4336</v>
      </c>
      <c r="B2193" t="s">
        <v>4337</v>
      </c>
      <c r="C2193" t="s">
        <v>738</v>
      </c>
      <c r="D2193">
        <v>4.0949999999999998</v>
      </c>
      <c r="E2193" s="4">
        <v>1310</v>
      </c>
      <c r="F2193" t="str">
        <f>HYPERLINK("https://www.google.com/maps/search/?api=1&amp;query=25.17499245,46.32814718", "View Map")</f>
        <v>View Map</v>
      </c>
      <c r="G2193" s="2">
        <v>0.57743530993379155</v>
      </c>
    </row>
    <row r="2194" spans="1:7" x14ac:dyDescent="0.3">
      <c r="A2194" t="s">
        <v>3847</v>
      </c>
      <c r="B2194" t="s">
        <v>3848</v>
      </c>
      <c r="C2194" t="s">
        <v>8</v>
      </c>
      <c r="D2194">
        <v>4.0910000000000002</v>
      </c>
      <c r="E2194" s="4">
        <v>1309</v>
      </c>
      <c r="F2194" t="str">
        <f>HYPERLINK("https://www.google.com/maps/search/?api=1&amp;query=24.74173517,46.65476912", "View Map")</f>
        <v>View Map</v>
      </c>
    </row>
    <row r="2195" spans="1:7" x14ac:dyDescent="0.3">
      <c r="A2195" t="s">
        <v>46</v>
      </c>
      <c r="B2195" t="s">
        <v>2187</v>
      </c>
      <c r="C2195" t="s">
        <v>8</v>
      </c>
      <c r="D2195">
        <v>4.0880000000000001</v>
      </c>
      <c r="E2195" s="4">
        <v>1308</v>
      </c>
      <c r="F2195" t="str">
        <f>HYPERLINK("https://www.google.com/maps/search/?api=1&amp;query=24.83465468,46.66039893", "View Map")</f>
        <v>View Map</v>
      </c>
      <c r="G2195" s="2">
        <v>0.3058211181827894</v>
      </c>
    </row>
    <row r="2196" spans="1:7" x14ac:dyDescent="0.3">
      <c r="A2196" t="s">
        <v>3769</v>
      </c>
      <c r="B2196" t="s">
        <v>3770</v>
      </c>
      <c r="C2196" t="s">
        <v>21</v>
      </c>
      <c r="D2196">
        <v>4.0860000000000003</v>
      </c>
      <c r="E2196" s="4">
        <v>1308</v>
      </c>
      <c r="F2196" t="str">
        <f>HYPERLINK("https://www.google.com/maps/search/?api=1&amp;query=26.30174817,44.82904085", "View Map")</f>
        <v>View Map</v>
      </c>
      <c r="G2196" s="2">
        <v>0.4865884587954894</v>
      </c>
    </row>
    <row r="2197" spans="1:7" x14ac:dyDescent="0.3">
      <c r="A2197" t="s">
        <v>150</v>
      </c>
      <c r="B2197" t="s">
        <v>5097</v>
      </c>
      <c r="C2197" t="s">
        <v>8</v>
      </c>
      <c r="D2197">
        <v>4.085</v>
      </c>
      <c r="E2197" s="4">
        <v>1307</v>
      </c>
      <c r="F2197" t="str">
        <f>HYPERLINK("https://www.google.com/maps/search/?api=1&amp;query=24.81350778,46.81228237", "View Map")</f>
        <v>View Map</v>
      </c>
    </row>
    <row r="2198" spans="1:7" x14ac:dyDescent="0.3">
      <c r="A2198" t="s">
        <v>6236</v>
      </c>
      <c r="B2198" t="s">
        <v>6237</v>
      </c>
      <c r="C2198" t="s">
        <v>8</v>
      </c>
      <c r="D2198">
        <v>4.0839999999999996</v>
      </c>
      <c r="E2198" s="4">
        <v>1307</v>
      </c>
      <c r="F2198" t="str">
        <f>HYPERLINK("https://www.google.com/maps/search/?api=1&amp;query=24.79960344,46.67065048", "View Map")</f>
        <v>View Map</v>
      </c>
    </row>
    <row r="2199" spans="1:7" x14ac:dyDescent="0.3">
      <c r="A2199" t="s">
        <v>28</v>
      </c>
      <c r="B2199" t="s">
        <v>4661</v>
      </c>
      <c r="C2199" t="s">
        <v>30</v>
      </c>
      <c r="D2199">
        <v>4.0830000000000002</v>
      </c>
      <c r="E2199" s="4">
        <v>1307</v>
      </c>
      <c r="F2199" t="str">
        <f>HYPERLINK("https://www.google.com/maps/search/?api=1&amp;query=24.08044102,47.26647476", "View Map")</f>
        <v>View Map</v>
      </c>
      <c r="G2199" s="2">
        <v>0.48079338739491218</v>
      </c>
    </row>
    <row r="2200" spans="1:7" x14ac:dyDescent="0.3">
      <c r="A2200" t="s">
        <v>46</v>
      </c>
      <c r="B2200" t="s">
        <v>3370</v>
      </c>
      <c r="C2200" t="s">
        <v>8</v>
      </c>
      <c r="D2200">
        <v>4.0830000000000002</v>
      </c>
      <c r="E2200" s="4">
        <v>1306</v>
      </c>
      <c r="F2200" t="str">
        <f>HYPERLINK("https://www.google.com/maps/search/?api=1&amp;query=24.82674918,46.76319077", "View Map")</f>
        <v>View Map</v>
      </c>
      <c r="G2200" s="2">
        <v>0.45818682011310241</v>
      </c>
    </row>
    <row r="2201" spans="1:7" x14ac:dyDescent="0.3">
      <c r="A2201" t="s">
        <v>3263</v>
      </c>
      <c r="B2201" t="s">
        <v>3264</v>
      </c>
      <c r="C2201" t="s">
        <v>8</v>
      </c>
      <c r="D2201">
        <v>4.0810000000000004</v>
      </c>
      <c r="E2201" s="4">
        <v>1306</v>
      </c>
      <c r="F2201" t="str">
        <f>HYPERLINK("https://www.google.com/maps/search/?api=1&amp;query=24.58572068,46.61544731", "View Map")</f>
        <v>View Map</v>
      </c>
    </row>
    <row r="2202" spans="1:7" x14ac:dyDescent="0.3">
      <c r="A2202" t="s">
        <v>4691</v>
      </c>
      <c r="B2202" t="s">
        <v>4692</v>
      </c>
      <c r="C2202" t="s">
        <v>8</v>
      </c>
      <c r="D2202">
        <v>4.0759999999999996</v>
      </c>
      <c r="E2202" s="4">
        <v>1304</v>
      </c>
      <c r="F2202" t="str">
        <f>HYPERLINK("https://www.google.com/maps/search/?api=1&amp;query=24.81616492,46.64085398", "View Map")</f>
        <v>View Map</v>
      </c>
    </row>
    <row r="2203" spans="1:7" x14ac:dyDescent="0.3">
      <c r="A2203" t="s">
        <v>784</v>
      </c>
      <c r="B2203" t="s">
        <v>785</v>
      </c>
      <c r="C2203" t="s">
        <v>8</v>
      </c>
      <c r="D2203">
        <v>4.0759999999999996</v>
      </c>
      <c r="E2203" s="4">
        <v>1304</v>
      </c>
      <c r="F2203" t="str">
        <f>HYPERLINK("https://www.google.com/maps/search/?api=1&amp;query=24.73519123,46.79249913", "View Map")</f>
        <v>View Map</v>
      </c>
      <c r="G2203" s="2">
        <v>0.1241740196904992</v>
      </c>
    </row>
    <row r="2204" spans="1:7" x14ac:dyDescent="0.3">
      <c r="A2204" t="s">
        <v>6429</v>
      </c>
      <c r="B2204" t="s">
        <v>6430</v>
      </c>
      <c r="C2204" t="s">
        <v>255</v>
      </c>
      <c r="D2204">
        <v>4.0759999999999996</v>
      </c>
      <c r="E2204" s="4">
        <v>1304</v>
      </c>
      <c r="F2204" t="str">
        <f>HYPERLINK("https://www.google.com/maps/search/?api=1&amp;query=25.21572754,44.25220967", "View Map")</f>
        <v>View Map</v>
      </c>
      <c r="G2204" s="2">
        <v>0.96127058668412335</v>
      </c>
    </row>
    <row r="2205" spans="1:7" x14ac:dyDescent="0.3">
      <c r="A2205" t="s">
        <v>1372</v>
      </c>
      <c r="B2205" t="s">
        <v>1373</v>
      </c>
      <c r="C2205" t="s">
        <v>8</v>
      </c>
      <c r="D2205">
        <v>4.0759999999999996</v>
      </c>
      <c r="E2205" s="4">
        <v>1304</v>
      </c>
      <c r="F2205" t="str">
        <f>HYPERLINK("https://www.google.com/maps/search/?api=1&amp;query=24.58751513,46.66182911", "View Map")</f>
        <v>View Map</v>
      </c>
      <c r="G2205" s="2">
        <v>0.20942682882948199</v>
      </c>
    </row>
    <row r="2206" spans="1:7" x14ac:dyDescent="0.3">
      <c r="A2206" t="s">
        <v>5129</v>
      </c>
      <c r="B2206" t="s">
        <v>5130</v>
      </c>
      <c r="C2206" t="s">
        <v>8</v>
      </c>
      <c r="D2206">
        <v>4.0739999999999998</v>
      </c>
      <c r="E2206" s="4">
        <v>1304</v>
      </c>
      <c r="F2206" t="str">
        <f>HYPERLINK("https://www.google.com/maps/search/?api=1&amp;query=24.78943627,46.74272561", "View Map")</f>
        <v>View Map</v>
      </c>
    </row>
    <row r="2207" spans="1:7" x14ac:dyDescent="0.3">
      <c r="A2207" t="s">
        <v>5846</v>
      </c>
      <c r="B2207" t="s">
        <v>5847</v>
      </c>
      <c r="C2207" t="s">
        <v>8</v>
      </c>
      <c r="D2207">
        <v>4.0730000000000004</v>
      </c>
      <c r="E2207" s="4">
        <v>1303</v>
      </c>
      <c r="F2207" t="str">
        <f>HYPERLINK("https://www.google.com/maps/search/?api=1&amp;query=24.77143772,46.74776391", "View Map")</f>
        <v>View Map</v>
      </c>
    </row>
    <row r="2208" spans="1:7" x14ac:dyDescent="0.3">
      <c r="A2208" t="s">
        <v>7263</v>
      </c>
      <c r="B2208" t="s">
        <v>7264</v>
      </c>
      <c r="C2208" t="s">
        <v>8</v>
      </c>
      <c r="D2208">
        <v>4.0730000000000004</v>
      </c>
      <c r="E2208" s="4">
        <v>1303</v>
      </c>
      <c r="F2208" t="str">
        <f>HYPERLINK("https://www.google.com/maps/search/?api=1&amp;query=24.82222788,46.79064717", "View Map")</f>
        <v>View Map</v>
      </c>
    </row>
    <row r="2209" spans="1:7" x14ac:dyDescent="0.3">
      <c r="A2209" t="s">
        <v>242</v>
      </c>
      <c r="B2209" t="s">
        <v>4252</v>
      </c>
      <c r="C2209" t="s">
        <v>8</v>
      </c>
      <c r="D2209">
        <v>4.0709999999999997</v>
      </c>
      <c r="E2209" s="4">
        <v>1303</v>
      </c>
      <c r="F2209" t="str">
        <f>HYPERLINK("https://www.google.com/maps/search/?api=1&amp;query=24.77706843,46.78446967", "View Map")</f>
        <v>View Map</v>
      </c>
    </row>
    <row r="2210" spans="1:7" x14ac:dyDescent="0.3">
      <c r="A2210" t="s">
        <v>3873</v>
      </c>
      <c r="B2210" t="s">
        <v>3874</v>
      </c>
      <c r="C2210" t="s">
        <v>8</v>
      </c>
      <c r="D2210">
        <v>4.0709999999999997</v>
      </c>
      <c r="E2210" s="4">
        <v>1303</v>
      </c>
      <c r="F2210" t="str">
        <f>HYPERLINK("https://www.google.com/maps/search/?api=1&amp;query=24.52714416,46.69686009", "View Map")</f>
        <v>View Map</v>
      </c>
    </row>
    <row r="2211" spans="1:7" x14ac:dyDescent="0.3">
      <c r="A2211" t="s">
        <v>46</v>
      </c>
      <c r="B2211" t="s">
        <v>4821</v>
      </c>
      <c r="C2211" t="s">
        <v>8</v>
      </c>
      <c r="D2211">
        <v>4.069</v>
      </c>
      <c r="E2211" s="4">
        <v>1302</v>
      </c>
      <c r="F2211" t="str">
        <f>HYPERLINK("https://www.google.com/maps/search/?api=1&amp;query=24.83744612,46.88558924", "View Map")</f>
        <v>View Map</v>
      </c>
    </row>
    <row r="2212" spans="1:7" x14ac:dyDescent="0.3">
      <c r="A2212" t="s">
        <v>3711</v>
      </c>
      <c r="B2212" t="s">
        <v>3712</v>
      </c>
      <c r="C2212" t="s">
        <v>214</v>
      </c>
      <c r="D2212">
        <v>4.069</v>
      </c>
      <c r="E2212" s="4">
        <v>1302</v>
      </c>
      <c r="F2212" t="str">
        <f>HYPERLINK("https://www.google.com/maps/search/?api=1&amp;query=25.90891683,45.36534775", "View Map")</f>
        <v>View Map</v>
      </c>
      <c r="G2212" s="2">
        <v>0.41629786780866551</v>
      </c>
    </row>
    <row r="2213" spans="1:7" x14ac:dyDescent="0.3">
      <c r="A2213" t="s">
        <v>1788</v>
      </c>
      <c r="B2213" t="s">
        <v>4834</v>
      </c>
      <c r="C2213" t="s">
        <v>291</v>
      </c>
      <c r="D2213">
        <v>4.0679999999999996</v>
      </c>
      <c r="E2213" s="4">
        <v>1302</v>
      </c>
      <c r="F2213" t="str">
        <f>HYPERLINK("https://www.google.com/maps/search/?api=1&amp;query=24.08258881,45.3255726", "View Map")</f>
        <v>View Map</v>
      </c>
      <c r="G2213" s="2">
        <v>0.84710366636869949</v>
      </c>
    </row>
    <row r="2214" spans="1:7" x14ac:dyDescent="0.3">
      <c r="A2214" t="s">
        <v>28</v>
      </c>
      <c r="B2214" t="s">
        <v>5909</v>
      </c>
      <c r="C2214" t="s">
        <v>30</v>
      </c>
      <c r="D2214">
        <v>4.0670000000000002</v>
      </c>
      <c r="E2214" s="4">
        <v>1301</v>
      </c>
      <c r="F2214" t="str">
        <f>HYPERLINK("https://www.google.com/maps/search/?api=1&amp;query=24.15939421,47.26748192", "View Map")</f>
        <v>View Map</v>
      </c>
      <c r="G2214" s="2">
        <v>0.48564981524215373</v>
      </c>
    </row>
    <row r="2215" spans="1:7" x14ac:dyDescent="0.3">
      <c r="A2215" t="s">
        <v>405</v>
      </c>
      <c r="B2215" t="s">
        <v>5335</v>
      </c>
      <c r="C2215" t="s">
        <v>8</v>
      </c>
      <c r="D2215">
        <v>4.0659999999999998</v>
      </c>
      <c r="E2215" s="4">
        <v>1301</v>
      </c>
      <c r="F2215" t="str">
        <f>HYPERLINK("https://www.google.com/maps/search/?api=1&amp;query=24.67224447,46.58588125", "View Map")</f>
        <v>View Map</v>
      </c>
    </row>
    <row r="2216" spans="1:7" x14ac:dyDescent="0.3">
      <c r="A2216" t="s">
        <v>4443</v>
      </c>
      <c r="B2216" t="s">
        <v>4444</v>
      </c>
      <c r="C2216" t="s">
        <v>393</v>
      </c>
      <c r="D2216">
        <v>4.0650000000000004</v>
      </c>
      <c r="E2216" s="4">
        <v>1301</v>
      </c>
      <c r="F2216" t="str">
        <f>HYPERLINK("https://www.google.com/maps/search/?api=1&amp;query=22.80546656,45.13746842", "View Map")</f>
        <v>View Map</v>
      </c>
      <c r="G2216" s="2">
        <v>0.9322552033666347</v>
      </c>
    </row>
    <row r="2217" spans="1:7" x14ac:dyDescent="0.3">
      <c r="A2217" t="s">
        <v>4026</v>
      </c>
      <c r="B2217" t="s">
        <v>4027</v>
      </c>
      <c r="C2217" t="s">
        <v>8</v>
      </c>
      <c r="D2217">
        <v>4.0640000000000001</v>
      </c>
      <c r="E2217" s="4">
        <v>1300</v>
      </c>
      <c r="F2217" t="str">
        <f>HYPERLINK("https://www.google.com/maps/search/?api=1&amp;query=24.58228554,46.78926149", "View Map")</f>
        <v>View Map</v>
      </c>
    </row>
    <row r="2218" spans="1:7" x14ac:dyDescent="0.3">
      <c r="A2218" t="s">
        <v>3049</v>
      </c>
      <c r="B2218" t="s">
        <v>3050</v>
      </c>
      <c r="C2218" t="s">
        <v>8</v>
      </c>
      <c r="D2218">
        <v>4.0629999999999997</v>
      </c>
      <c r="E2218" s="4">
        <v>1300</v>
      </c>
      <c r="F2218" t="str">
        <f>HYPERLINK("https://www.google.com/maps/search/?api=1&amp;query=24.61121842,46.75690634", "View Map")</f>
        <v>View Map</v>
      </c>
    </row>
    <row r="2219" spans="1:7" x14ac:dyDescent="0.3">
      <c r="A2219" t="s">
        <v>46</v>
      </c>
      <c r="B2219" t="s">
        <v>3801</v>
      </c>
      <c r="C2219" t="s">
        <v>8</v>
      </c>
      <c r="D2219">
        <v>4.0620000000000003</v>
      </c>
      <c r="E2219" s="4">
        <v>1300</v>
      </c>
      <c r="F2219" t="str">
        <f>HYPERLINK("https://www.google.com/maps/search/?api=1&amp;query=24.82437239,46.59852622", "View Map")</f>
        <v>View Map</v>
      </c>
    </row>
    <row r="2220" spans="1:7" x14ac:dyDescent="0.3">
      <c r="A2220" t="s">
        <v>46</v>
      </c>
      <c r="B2220" t="s">
        <v>6615</v>
      </c>
      <c r="C2220" t="s">
        <v>8</v>
      </c>
      <c r="D2220">
        <v>4.0620000000000003</v>
      </c>
      <c r="E2220" s="4">
        <v>1300</v>
      </c>
      <c r="F2220" t="str">
        <f>HYPERLINK("https://www.google.com/maps/search/?api=1&amp;query=24.68883198,46.60036037", "View Map")</f>
        <v>View Map</v>
      </c>
      <c r="G2220" s="2">
        <v>0.41475212263954359</v>
      </c>
    </row>
    <row r="2221" spans="1:7" x14ac:dyDescent="0.3">
      <c r="A2221" t="s">
        <v>1806</v>
      </c>
      <c r="B2221" t="s">
        <v>1807</v>
      </c>
      <c r="C2221" t="s">
        <v>8</v>
      </c>
      <c r="D2221">
        <v>4.0599999999999996</v>
      </c>
      <c r="E2221" s="4">
        <v>1299</v>
      </c>
      <c r="F2221" t="str">
        <f>HYPERLINK("https://www.google.com/maps/search/?api=1&amp;query=24.7475353,46.80367648", "View Map")</f>
        <v>View Map</v>
      </c>
      <c r="G2221" s="2">
        <v>0.54493388721523184</v>
      </c>
    </row>
    <row r="2222" spans="1:7" x14ac:dyDescent="0.3">
      <c r="A2222" t="s">
        <v>2855</v>
      </c>
      <c r="B2222" t="s">
        <v>2856</v>
      </c>
      <c r="C2222" t="s">
        <v>8</v>
      </c>
      <c r="D2222">
        <v>4.0590000000000002</v>
      </c>
      <c r="E2222" s="4">
        <v>1299</v>
      </c>
      <c r="F2222" t="str">
        <f>HYPERLINK("https://www.google.com/maps/search/?api=1&amp;query=24.70036,46.65296", "View Map")</f>
        <v>View Map</v>
      </c>
      <c r="G2222" s="2">
        <v>0.92014721594236348</v>
      </c>
    </row>
    <row r="2223" spans="1:7" x14ac:dyDescent="0.3">
      <c r="A2223" t="s">
        <v>11362</v>
      </c>
      <c r="B2223" t="s">
        <v>11363</v>
      </c>
      <c r="C2223" t="s">
        <v>137</v>
      </c>
      <c r="D2223">
        <v>4.0579999999999998</v>
      </c>
      <c r="E2223" s="4">
        <v>1298</v>
      </c>
      <c r="F2223" t="str">
        <f>HYPERLINK("https://www.google.com/maps/search/?api=1&amp;query=23.47713917,46.87367622", "View Map")</f>
        <v>View Map</v>
      </c>
    </row>
    <row r="2224" spans="1:7" x14ac:dyDescent="0.3">
      <c r="A2224" t="s">
        <v>5535</v>
      </c>
      <c r="B2224" t="s">
        <v>5536</v>
      </c>
      <c r="C2224" t="s">
        <v>8</v>
      </c>
      <c r="D2224">
        <v>4.0549999999999997</v>
      </c>
      <c r="E2224" s="4">
        <v>1298</v>
      </c>
      <c r="F2224" t="str">
        <f>HYPERLINK("https://www.google.com/maps/search/?api=1&amp;query=24.61239995,46.63845061", "View Map")</f>
        <v>View Map</v>
      </c>
    </row>
    <row r="2225" spans="1:7" x14ac:dyDescent="0.3">
      <c r="A2225" t="s">
        <v>46</v>
      </c>
      <c r="B2225" t="s">
        <v>3038</v>
      </c>
      <c r="C2225" t="s">
        <v>8</v>
      </c>
      <c r="D2225">
        <v>4.0529999999999999</v>
      </c>
      <c r="E2225" s="4">
        <v>1297</v>
      </c>
      <c r="F2225" t="str">
        <f>HYPERLINK("https://www.google.com/maps/search/?api=1&amp;query=24.77329,46.64554", "View Map")</f>
        <v>View Map</v>
      </c>
    </row>
    <row r="2226" spans="1:7" x14ac:dyDescent="0.3">
      <c r="A2226" t="s">
        <v>461</v>
      </c>
      <c r="B2226" t="s">
        <v>483</v>
      </c>
      <c r="C2226" t="s">
        <v>8</v>
      </c>
      <c r="D2226">
        <v>4.0529999999999999</v>
      </c>
      <c r="E2226" s="4">
        <v>1297</v>
      </c>
      <c r="F2226" t="str">
        <f>HYPERLINK("https://www.google.com/maps/search/?api=1&amp;query=24.6807,46.61716", "View Map")</f>
        <v>View Map</v>
      </c>
      <c r="G2226" s="2">
        <v>0.1804809667084081</v>
      </c>
    </row>
    <row r="2227" spans="1:7" x14ac:dyDescent="0.3">
      <c r="A2227" t="s">
        <v>3122</v>
      </c>
      <c r="B2227" t="s">
        <v>3123</v>
      </c>
      <c r="C2227" t="s">
        <v>137</v>
      </c>
      <c r="D2227">
        <v>4.0519999999999996</v>
      </c>
      <c r="E2227" s="4">
        <v>1297</v>
      </c>
      <c r="F2227" t="str">
        <f>HYPERLINK("https://www.google.com/maps/search/?api=1&amp;query=23.20405201,46.42188859", "View Map")</f>
        <v>View Map</v>
      </c>
      <c r="G2227" s="2">
        <v>0.54640626417022498</v>
      </c>
    </row>
    <row r="2228" spans="1:7" x14ac:dyDescent="0.3">
      <c r="A2228" t="s">
        <v>73</v>
      </c>
      <c r="B2228" t="s">
        <v>2502</v>
      </c>
      <c r="C2228" t="s">
        <v>8</v>
      </c>
      <c r="D2228">
        <v>4.05</v>
      </c>
      <c r="E2228" s="4">
        <v>1296</v>
      </c>
      <c r="F2228" t="str">
        <f>HYPERLINK("https://www.google.com/maps/search/?api=1&amp;query=24.82997886,46.65481204", "View Map")</f>
        <v>View Map</v>
      </c>
    </row>
    <row r="2229" spans="1:7" x14ac:dyDescent="0.3">
      <c r="A2229" t="s">
        <v>510</v>
      </c>
      <c r="B2229" t="s">
        <v>3599</v>
      </c>
      <c r="C2229" t="s">
        <v>393</v>
      </c>
      <c r="D2229">
        <v>4.0490000000000004</v>
      </c>
      <c r="E2229" s="4">
        <v>1296</v>
      </c>
      <c r="F2229" t="str">
        <f>HYPERLINK("https://www.google.com/maps/search/?api=1&amp;query=22.57396852,45.02457714", "View Map")</f>
        <v>View Map</v>
      </c>
      <c r="G2229" s="2">
        <v>0.76444451848263095</v>
      </c>
    </row>
    <row r="2230" spans="1:7" x14ac:dyDescent="0.3">
      <c r="A2230" t="s">
        <v>2879</v>
      </c>
      <c r="B2230" t="s">
        <v>2880</v>
      </c>
      <c r="C2230" t="s">
        <v>8</v>
      </c>
      <c r="D2230">
        <v>4.048</v>
      </c>
      <c r="E2230" s="4">
        <v>1295</v>
      </c>
      <c r="F2230" t="str">
        <f>HYPERLINK("https://www.google.com/maps/search/?api=1&amp;query=24.62069505,46.76202884", "View Map")</f>
        <v>View Map</v>
      </c>
      <c r="G2230" s="2">
        <v>0.30105458961396542</v>
      </c>
    </row>
    <row r="2231" spans="1:7" x14ac:dyDescent="0.3">
      <c r="A2231" t="s">
        <v>150</v>
      </c>
      <c r="B2231" t="s">
        <v>5045</v>
      </c>
      <c r="C2231" t="s">
        <v>8</v>
      </c>
      <c r="D2231">
        <v>4.0469999999999997</v>
      </c>
      <c r="E2231" s="4">
        <v>1295</v>
      </c>
      <c r="F2231" t="str">
        <f>HYPERLINK("https://www.google.com/maps/search/?api=1&amp;query=24.79704184,46.88365533", "View Map")</f>
        <v>View Map</v>
      </c>
    </row>
    <row r="2232" spans="1:7" x14ac:dyDescent="0.3">
      <c r="A2232" t="s">
        <v>3295</v>
      </c>
      <c r="B2232" t="s">
        <v>3296</v>
      </c>
      <c r="C2232" t="s">
        <v>8</v>
      </c>
      <c r="D2232">
        <v>4.0419999999999998</v>
      </c>
      <c r="E2232" s="4">
        <v>1293</v>
      </c>
      <c r="F2232" t="str">
        <f>HYPERLINK("https://www.google.com/maps/search/?api=1&amp;query=24.63089997,46.69888684", "View Map")</f>
        <v>View Map</v>
      </c>
    </row>
    <row r="2233" spans="1:7" x14ac:dyDescent="0.3">
      <c r="A2233" t="s">
        <v>4014</v>
      </c>
      <c r="B2233" t="s">
        <v>4015</v>
      </c>
      <c r="C2233" t="s">
        <v>8</v>
      </c>
      <c r="D2233">
        <v>4.0410000000000004</v>
      </c>
      <c r="E2233" s="4">
        <v>1293</v>
      </c>
      <c r="F2233" t="str">
        <f>HYPERLINK("https://www.google.com/maps/search/?api=1&amp;query=24.58980793,46.61252699", "View Map")</f>
        <v>View Map</v>
      </c>
    </row>
    <row r="2234" spans="1:7" x14ac:dyDescent="0.3">
      <c r="A2234" t="s">
        <v>46</v>
      </c>
      <c r="B2234" t="s">
        <v>4542</v>
      </c>
      <c r="C2234" t="s">
        <v>8</v>
      </c>
      <c r="D2234">
        <v>4.0389999999999997</v>
      </c>
      <c r="E2234" s="4">
        <v>1293</v>
      </c>
      <c r="F2234" t="str">
        <f>HYPERLINK("https://www.google.com/maps/search/?api=1&amp;query=24.92205197,46.79593492", "View Map")</f>
        <v>View Map</v>
      </c>
    </row>
    <row r="2235" spans="1:7" x14ac:dyDescent="0.3">
      <c r="A2235" t="s">
        <v>9845</v>
      </c>
      <c r="B2235" t="s">
        <v>9846</v>
      </c>
      <c r="C2235" t="s">
        <v>8</v>
      </c>
      <c r="D2235">
        <v>4.0380000000000003</v>
      </c>
      <c r="E2235" s="4">
        <v>1292</v>
      </c>
      <c r="F2235" t="str">
        <f>HYPERLINK("https://www.google.com/maps/search/?api=1&amp;query=24.75950667,46.70961891", "View Map")</f>
        <v>View Map</v>
      </c>
    </row>
    <row r="2236" spans="1:7" x14ac:dyDescent="0.3">
      <c r="A2236" t="s">
        <v>3269</v>
      </c>
      <c r="B2236" t="s">
        <v>3270</v>
      </c>
      <c r="C2236" t="s">
        <v>8</v>
      </c>
      <c r="D2236">
        <v>4.0339999999999998</v>
      </c>
      <c r="E2236" s="4">
        <v>1291</v>
      </c>
      <c r="F2236" t="str">
        <f>HYPERLINK("https://www.google.com/maps/search/?api=1&amp;query=24.69785448,46.83342102", "View Map")</f>
        <v>View Map</v>
      </c>
      <c r="G2236" s="2">
        <v>0.3329708370343929</v>
      </c>
    </row>
    <row r="2237" spans="1:7" x14ac:dyDescent="0.3">
      <c r="A2237" t="s">
        <v>5698</v>
      </c>
      <c r="B2237" t="s">
        <v>5699</v>
      </c>
      <c r="C2237" t="s">
        <v>8</v>
      </c>
      <c r="D2237">
        <v>4.0339999999999998</v>
      </c>
      <c r="E2237" s="4">
        <v>1291</v>
      </c>
      <c r="F2237" t="str">
        <f>HYPERLINK("https://www.google.com/maps/search/?api=1&amp;query=24.55738036,46.76371096", "View Map")</f>
        <v>View Map</v>
      </c>
    </row>
    <row r="2238" spans="1:7" x14ac:dyDescent="0.3">
      <c r="A2238" t="s">
        <v>1539</v>
      </c>
      <c r="B2238" t="s">
        <v>3937</v>
      </c>
      <c r="C2238" t="s">
        <v>214</v>
      </c>
      <c r="D2238">
        <v>4.032</v>
      </c>
      <c r="E2238" s="4">
        <v>1290</v>
      </c>
      <c r="F2238" t="str">
        <f>HYPERLINK("https://www.google.com/maps/search/?api=1&amp;query=26.50090009,45.3465513", "View Map")</f>
        <v>View Map</v>
      </c>
      <c r="G2238" s="2">
        <v>0.90095919729690588</v>
      </c>
    </row>
    <row r="2239" spans="1:7" x14ac:dyDescent="0.3">
      <c r="A2239" t="s">
        <v>627</v>
      </c>
      <c r="B2239" t="s">
        <v>9432</v>
      </c>
      <c r="C2239" t="s">
        <v>8</v>
      </c>
      <c r="D2239">
        <v>4.0309999999999997</v>
      </c>
      <c r="E2239" s="4">
        <v>1290</v>
      </c>
      <c r="F2239" t="str">
        <f>HYPERLINK("https://www.google.com/maps/search/?api=1&amp;query=24.64274007,46.56680742", "View Map")</f>
        <v>View Map</v>
      </c>
    </row>
    <row r="2240" spans="1:7" x14ac:dyDescent="0.3">
      <c r="A2240" t="s">
        <v>2097</v>
      </c>
      <c r="B2240" t="s">
        <v>2098</v>
      </c>
      <c r="C2240" t="s">
        <v>8</v>
      </c>
      <c r="D2240">
        <v>4.0289999999999999</v>
      </c>
      <c r="E2240" s="4">
        <v>1289</v>
      </c>
      <c r="F2240" t="str">
        <f>HYPERLINK("https://www.google.com/maps/search/?api=1&amp;query=24.74603712,46.72554078", "View Map")</f>
        <v>View Map</v>
      </c>
    </row>
    <row r="2241" spans="1:7" x14ac:dyDescent="0.3">
      <c r="A2241" t="s">
        <v>4056</v>
      </c>
      <c r="B2241" t="s">
        <v>4057</v>
      </c>
      <c r="C2241" t="s">
        <v>291</v>
      </c>
      <c r="D2241">
        <v>4.0279999999999996</v>
      </c>
      <c r="E2241" s="4">
        <v>1289</v>
      </c>
      <c r="F2241" t="str">
        <f>HYPERLINK("https://www.google.com/maps/search/?api=1&amp;query=24.31393185,45.83603432", "View Map")</f>
        <v>View Map</v>
      </c>
      <c r="G2241" s="2">
        <v>0.85391142950264243</v>
      </c>
    </row>
    <row r="2242" spans="1:7" x14ac:dyDescent="0.3">
      <c r="A2242" t="s">
        <v>5796</v>
      </c>
      <c r="B2242" t="s">
        <v>5797</v>
      </c>
      <c r="C2242" t="s">
        <v>646</v>
      </c>
      <c r="D2242">
        <v>4.0259999999999998</v>
      </c>
      <c r="E2242" s="4">
        <v>1288</v>
      </c>
      <c r="F2242" t="str">
        <f>HYPERLINK("https://www.google.com/maps/search/?api=1&amp;query=20.44957499,45.58179312", "View Map")</f>
        <v>View Map</v>
      </c>
      <c r="G2242" s="2">
        <v>0.49629134289342158</v>
      </c>
    </row>
    <row r="2243" spans="1:7" x14ac:dyDescent="0.3">
      <c r="A2243" t="s">
        <v>3914</v>
      </c>
      <c r="B2243" t="s">
        <v>3915</v>
      </c>
      <c r="C2243" t="s">
        <v>883</v>
      </c>
      <c r="D2243">
        <v>4.0250000000000004</v>
      </c>
      <c r="E2243" s="4">
        <v>1288</v>
      </c>
      <c r="F2243" t="str">
        <f>HYPERLINK("https://www.google.com/maps/search/?api=1&amp;query=25.40415528,47.21579319", "View Map")</f>
        <v>View Map</v>
      </c>
      <c r="G2243" s="2">
        <v>0.64640301575599002</v>
      </c>
    </row>
    <row r="2244" spans="1:7" x14ac:dyDescent="0.3">
      <c r="A2244" t="s">
        <v>6838</v>
      </c>
      <c r="B2244" t="s">
        <v>6839</v>
      </c>
      <c r="C2244" t="s">
        <v>8</v>
      </c>
      <c r="D2244">
        <v>4.0229999999999997</v>
      </c>
      <c r="E2244" s="4">
        <v>1287</v>
      </c>
      <c r="F2244" t="str">
        <f>HYPERLINK("https://www.google.com/maps/search/?api=1&amp;query=24.73708335,46.78969606", "View Map")</f>
        <v>View Map</v>
      </c>
    </row>
    <row r="2245" spans="1:7" x14ac:dyDescent="0.3">
      <c r="A2245" t="s">
        <v>3793</v>
      </c>
      <c r="B2245" t="s">
        <v>3794</v>
      </c>
      <c r="C2245" t="s">
        <v>8</v>
      </c>
      <c r="D2245">
        <v>4.0229999999999997</v>
      </c>
      <c r="E2245" s="4">
        <v>1287</v>
      </c>
      <c r="F2245" t="str">
        <f>HYPERLINK("https://www.google.com/maps/search/?api=1&amp;query=24.65718734,46.68619752", "View Map")</f>
        <v>View Map</v>
      </c>
    </row>
    <row r="2246" spans="1:7" x14ac:dyDescent="0.3">
      <c r="A2246" t="s">
        <v>46</v>
      </c>
      <c r="B2246" t="s">
        <v>4640</v>
      </c>
      <c r="C2246" t="s">
        <v>8</v>
      </c>
      <c r="D2246">
        <v>4.0229999999999997</v>
      </c>
      <c r="E2246" s="4">
        <v>1287</v>
      </c>
      <c r="F2246" t="str">
        <f>HYPERLINK("https://www.google.com/maps/search/?api=1&amp;query=24.93732387,46.78949624", "View Map")</f>
        <v>View Map</v>
      </c>
      <c r="G2246" s="2">
        <v>0.42161714007243578</v>
      </c>
    </row>
    <row r="2247" spans="1:7" x14ac:dyDescent="0.3">
      <c r="A2247" t="s">
        <v>73</v>
      </c>
      <c r="B2247" t="s">
        <v>599</v>
      </c>
      <c r="C2247" t="s">
        <v>55</v>
      </c>
      <c r="D2247">
        <v>4.0209999999999999</v>
      </c>
      <c r="E2247" s="4">
        <v>1287</v>
      </c>
      <c r="F2247" t="str">
        <f>HYPERLINK("https://www.google.com/maps/search/?api=1&amp;query=24.74563765,46.59197015", "View Map")</f>
        <v>View Map</v>
      </c>
    </row>
    <row r="2248" spans="1:7" x14ac:dyDescent="0.3">
      <c r="A2248" t="s">
        <v>3971</v>
      </c>
      <c r="B2248" t="s">
        <v>3972</v>
      </c>
      <c r="C2248" t="s">
        <v>296</v>
      </c>
      <c r="D2248">
        <v>4.0199999999999996</v>
      </c>
      <c r="E2248" s="4">
        <v>1287</v>
      </c>
      <c r="F2248" t="str">
        <f>HYPERLINK("https://www.google.com/maps/search/?api=1&amp;query=24.4536616,46.26692921", "View Map")</f>
        <v>View Map</v>
      </c>
      <c r="G2248" s="2">
        <v>0.5097974939770672</v>
      </c>
    </row>
    <row r="2249" spans="1:7" x14ac:dyDescent="0.3">
      <c r="A2249" t="s">
        <v>1723</v>
      </c>
      <c r="B2249" t="s">
        <v>1724</v>
      </c>
      <c r="C2249" t="s">
        <v>270</v>
      </c>
      <c r="D2249">
        <v>4.0179999999999998</v>
      </c>
      <c r="E2249" s="4">
        <v>1286</v>
      </c>
      <c r="F2249" t="str">
        <f>HYPERLINK("https://www.google.com/maps/search/?api=1&amp;query=24.01149185,47.13158961", "View Map")</f>
        <v>View Map</v>
      </c>
    </row>
    <row r="2250" spans="1:7" x14ac:dyDescent="0.3">
      <c r="A2250" t="s">
        <v>4349</v>
      </c>
      <c r="B2250" t="s">
        <v>4350</v>
      </c>
      <c r="C2250" t="s">
        <v>8</v>
      </c>
      <c r="D2250">
        <v>4.016</v>
      </c>
      <c r="E2250" s="4">
        <v>1285</v>
      </c>
      <c r="F2250" t="str">
        <f>HYPERLINK("https://www.google.com/maps/search/?api=1&amp;query=24.59470148,46.67763248", "View Map")</f>
        <v>View Map</v>
      </c>
    </row>
    <row r="2251" spans="1:7" x14ac:dyDescent="0.3">
      <c r="A2251" t="s">
        <v>4871</v>
      </c>
      <c r="B2251" t="s">
        <v>4872</v>
      </c>
      <c r="C2251" t="s">
        <v>8</v>
      </c>
      <c r="D2251">
        <v>4.016</v>
      </c>
      <c r="E2251" s="4">
        <v>1285</v>
      </c>
      <c r="F2251" t="str">
        <f>HYPERLINK("https://www.google.com/maps/search/?api=1&amp;query=24.75574702,46.76296887", "View Map")</f>
        <v>View Map</v>
      </c>
    </row>
    <row r="2252" spans="1:7" x14ac:dyDescent="0.3">
      <c r="A2252" t="s">
        <v>3222</v>
      </c>
      <c r="B2252" t="s">
        <v>4088</v>
      </c>
      <c r="C2252" t="s">
        <v>8</v>
      </c>
      <c r="D2252">
        <v>4.0149999999999997</v>
      </c>
      <c r="E2252" s="4">
        <v>1285</v>
      </c>
      <c r="F2252" t="str">
        <f>HYPERLINK("https://www.google.com/maps/search/?api=1&amp;query=24.6850867,46.83170879", "View Map")</f>
        <v>View Map</v>
      </c>
    </row>
    <row r="2253" spans="1:7" x14ac:dyDescent="0.3">
      <c r="A2253" t="s">
        <v>7199</v>
      </c>
      <c r="B2253" t="s">
        <v>7200</v>
      </c>
      <c r="C2253" t="s">
        <v>8</v>
      </c>
      <c r="D2253">
        <v>4.0140000000000002</v>
      </c>
      <c r="E2253" s="4">
        <v>1285</v>
      </c>
      <c r="F2253" t="str">
        <f>HYPERLINK("https://www.google.com/maps/search/?api=1&amp;query=24.56420999,46.68005908", "View Map")</f>
        <v>View Map</v>
      </c>
    </row>
    <row r="2254" spans="1:7" x14ac:dyDescent="0.3">
      <c r="A2254" t="s">
        <v>2867</v>
      </c>
      <c r="B2254" t="s">
        <v>5287</v>
      </c>
      <c r="C2254" t="s">
        <v>21</v>
      </c>
      <c r="D2254">
        <v>4.0140000000000002</v>
      </c>
      <c r="E2254" s="4">
        <v>1285</v>
      </c>
      <c r="F2254" t="str">
        <f>HYPERLINK("https://www.google.com/maps/search/?api=1&amp;query=26.30961583,44.79611759", "View Map")</f>
        <v>View Map</v>
      </c>
      <c r="G2254" s="2">
        <v>0.46712087052540119</v>
      </c>
    </row>
    <row r="2255" spans="1:7" x14ac:dyDescent="0.3">
      <c r="A2255" t="s">
        <v>7314</v>
      </c>
      <c r="B2255" t="s">
        <v>7315</v>
      </c>
      <c r="C2255" t="s">
        <v>883</v>
      </c>
      <c r="D2255">
        <v>4.0119999999999996</v>
      </c>
      <c r="E2255" s="4">
        <v>1284</v>
      </c>
      <c r="F2255" t="str">
        <f>HYPERLINK("https://www.google.com/maps/search/?api=1&amp;query=25.56842147,47.16239665", "View Map")</f>
        <v>View Map</v>
      </c>
      <c r="G2255" s="2">
        <v>0.76668563923123334</v>
      </c>
    </row>
    <row r="2256" spans="1:7" x14ac:dyDescent="0.3">
      <c r="A2256" t="s">
        <v>7261</v>
      </c>
      <c r="B2256" t="s">
        <v>7262</v>
      </c>
      <c r="C2256" t="s">
        <v>8</v>
      </c>
      <c r="D2256">
        <v>4.0090000000000003</v>
      </c>
      <c r="E2256" s="4">
        <v>1283</v>
      </c>
      <c r="F2256" t="str">
        <f>HYPERLINK("https://www.google.com/maps/search/?api=1&amp;query=24.57657698,46.55136564", "View Map")</f>
        <v>View Map</v>
      </c>
    </row>
    <row r="2257" spans="1:7" x14ac:dyDescent="0.3">
      <c r="A2257" t="s">
        <v>73</v>
      </c>
      <c r="B2257" t="s">
        <v>2333</v>
      </c>
      <c r="C2257" t="s">
        <v>8</v>
      </c>
      <c r="D2257">
        <v>4.008</v>
      </c>
      <c r="E2257" s="4">
        <v>1283</v>
      </c>
      <c r="F2257" t="str">
        <f>HYPERLINK("https://www.google.com/maps/search/?api=1&amp;query=24.85592841,46.63178187", "View Map")</f>
        <v>View Map</v>
      </c>
    </row>
    <row r="2258" spans="1:7" x14ac:dyDescent="0.3">
      <c r="A2258" t="s">
        <v>3861</v>
      </c>
      <c r="B2258" t="s">
        <v>3862</v>
      </c>
      <c r="C2258" t="s">
        <v>30</v>
      </c>
      <c r="D2258">
        <v>4.008</v>
      </c>
      <c r="E2258" s="4">
        <v>1282</v>
      </c>
      <c r="F2258" t="str">
        <f>HYPERLINK("https://www.google.com/maps/search/?api=1&amp;query=24.13270181,47.35760442", "View Map")</f>
        <v>View Map</v>
      </c>
      <c r="G2258" s="2">
        <v>0.46036650735227452</v>
      </c>
    </row>
    <row r="2259" spans="1:7" x14ac:dyDescent="0.3">
      <c r="A2259" t="s">
        <v>7443</v>
      </c>
      <c r="B2259" t="s">
        <v>7444</v>
      </c>
      <c r="C2259" t="s">
        <v>8</v>
      </c>
      <c r="D2259">
        <v>4.0060000000000002</v>
      </c>
      <c r="E2259" s="4">
        <v>1282</v>
      </c>
      <c r="F2259" t="str">
        <f>HYPERLINK("https://www.google.com/maps/search/?api=1&amp;query=24.64993149,46.70709396", "View Map")</f>
        <v>View Map</v>
      </c>
    </row>
    <row r="2260" spans="1:7" x14ac:dyDescent="0.3">
      <c r="A2260" t="s">
        <v>3637</v>
      </c>
      <c r="B2260" t="s">
        <v>3638</v>
      </c>
      <c r="C2260" t="s">
        <v>8</v>
      </c>
      <c r="D2260">
        <v>4.0010000000000003</v>
      </c>
      <c r="E2260" s="4">
        <v>1280</v>
      </c>
      <c r="F2260" t="str">
        <f>HYPERLINK("https://www.google.com/maps/search/?api=1&amp;query=24.78322693,46.76769617", "View Map")</f>
        <v>View Map</v>
      </c>
    </row>
    <row r="2261" spans="1:7" x14ac:dyDescent="0.3">
      <c r="A2261" t="s">
        <v>4305</v>
      </c>
      <c r="B2261" t="s">
        <v>4306</v>
      </c>
      <c r="C2261" t="s">
        <v>8</v>
      </c>
      <c r="D2261">
        <v>4.0010000000000003</v>
      </c>
      <c r="E2261" s="4">
        <v>1280</v>
      </c>
      <c r="F2261" t="str">
        <f>HYPERLINK("https://www.google.com/maps/search/?api=1&amp;query=24.57121308,46.70367526", "View Map")</f>
        <v>View Map</v>
      </c>
    </row>
    <row r="2262" spans="1:7" x14ac:dyDescent="0.3">
      <c r="A2262" t="s">
        <v>3224</v>
      </c>
      <c r="B2262" t="s">
        <v>3225</v>
      </c>
      <c r="C2262" t="s">
        <v>8</v>
      </c>
      <c r="D2262">
        <v>4</v>
      </c>
      <c r="E2262" s="4">
        <v>1280</v>
      </c>
      <c r="F2262" t="str">
        <f>HYPERLINK("https://www.google.com/maps/search/?api=1&amp;query=24.81720172,46.75195524", "View Map")</f>
        <v>View Map</v>
      </c>
    </row>
    <row r="2263" spans="1:7" x14ac:dyDescent="0.3">
      <c r="A2263" t="s">
        <v>4391</v>
      </c>
      <c r="B2263" t="s">
        <v>4392</v>
      </c>
      <c r="C2263" t="s">
        <v>393</v>
      </c>
      <c r="D2263">
        <v>3.9980000000000002</v>
      </c>
      <c r="E2263" s="4">
        <v>1279</v>
      </c>
      <c r="F2263" t="str">
        <f>HYPERLINK("https://www.google.com/maps/search/?api=1&amp;query=23.60005612,45.13986684", "View Map")</f>
        <v>View Map</v>
      </c>
      <c r="G2263" s="2">
        <v>0.82712364042826603</v>
      </c>
    </row>
    <row r="2264" spans="1:7" x14ac:dyDescent="0.3">
      <c r="A2264" t="s">
        <v>46</v>
      </c>
      <c r="B2264" t="s">
        <v>4113</v>
      </c>
      <c r="C2264" t="s">
        <v>8</v>
      </c>
      <c r="D2264">
        <v>3.9980000000000002</v>
      </c>
      <c r="E2264" s="4">
        <v>1279</v>
      </c>
      <c r="F2264" t="str">
        <f>HYPERLINK("https://www.google.com/maps/search/?api=1&amp;query=24.83705,46.65104", "View Map")</f>
        <v>View Map</v>
      </c>
    </row>
    <row r="2265" spans="1:7" x14ac:dyDescent="0.3">
      <c r="A2265" t="s">
        <v>4475</v>
      </c>
      <c r="B2265" t="s">
        <v>4476</v>
      </c>
      <c r="C2265" t="s">
        <v>214</v>
      </c>
      <c r="D2265">
        <v>3.9969999999999999</v>
      </c>
      <c r="E2265" s="4">
        <v>1279</v>
      </c>
      <c r="F2265" t="str">
        <f>HYPERLINK("https://www.google.com/maps/search/?api=1&amp;query=25.59169963,45.62010949", "View Map")</f>
        <v>View Map</v>
      </c>
      <c r="G2265" s="2">
        <v>0.4234989773472122</v>
      </c>
    </row>
    <row r="2266" spans="1:7" x14ac:dyDescent="0.3">
      <c r="A2266" t="s">
        <v>150</v>
      </c>
      <c r="B2266" t="s">
        <v>6269</v>
      </c>
      <c r="C2266" t="s">
        <v>8</v>
      </c>
      <c r="D2266">
        <v>3.996</v>
      </c>
      <c r="E2266" s="4">
        <v>1279</v>
      </c>
      <c r="F2266" t="str">
        <f>HYPERLINK("https://www.google.com/maps/search/?api=1&amp;query=24.73644933,46.79378428", "View Map")</f>
        <v>View Map</v>
      </c>
    </row>
    <row r="2267" spans="1:7" x14ac:dyDescent="0.3">
      <c r="A2267" t="s">
        <v>6691</v>
      </c>
      <c r="B2267" t="s">
        <v>6692</v>
      </c>
      <c r="C2267" t="s">
        <v>8</v>
      </c>
      <c r="D2267">
        <v>3.9950000000000001</v>
      </c>
      <c r="E2267" s="4">
        <v>1278</v>
      </c>
      <c r="F2267" t="str">
        <f>HYPERLINK("https://www.google.com/maps/search/?api=1&amp;query=24.78614356,46.69842723", "View Map")</f>
        <v>View Map</v>
      </c>
    </row>
    <row r="2268" spans="1:7" x14ac:dyDescent="0.3">
      <c r="A2268" t="s">
        <v>5770</v>
      </c>
      <c r="B2268" t="s">
        <v>5771</v>
      </c>
      <c r="C2268" t="s">
        <v>393</v>
      </c>
      <c r="D2268">
        <v>3.9950000000000001</v>
      </c>
      <c r="E2268" s="4">
        <v>1278</v>
      </c>
      <c r="F2268" t="str">
        <f>HYPERLINK("https://www.google.com/maps/search/?api=1&amp;query=22.80815776,44.78236435", "View Map")</f>
        <v>View Map</v>
      </c>
      <c r="G2268" s="2">
        <v>0.85862191218465655</v>
      </c>
    </row>
    <row r="2269" spans="1:7" x14ac:dyDescent="0.3">
      <c r="A2269" t="s">
        <v>5583</v>
      </c>
      <c r="B2269" t="s">
        <v>5584</v>
      </c>
      <c r="C2269" t="s">
        <v>8</v>
      </c>
      <c r="D2269">
        <v>3.9929999999999999</v>
      </c>
      <c r="E2269" s="4">
        <v>1278</v>
      </c>
      <c r="F2269" t="str">
        <f>HYPERLINK("https://www.google.com/maps/search/?api=1&amp;query=24.64455057,46.6869071", "View Map")</f>
        <v>View Map</v>
      </c>
    </row>
    <row r="2270" spans="1:7" x14ac:dyDescent="0.3">
      <c r="A2270" t="s">
        <v>994</v>
      </c>
      <c r="B2270" t="s">
        <v>7755</v>
      </c>
      <c r="C2270" t="s">
        <v>8</v>
      </c>
      <c r="D2270">
        <v>3.992</v>
      </c>
      <c r="E2270" s="4">
        <v>1277</v>
      </c>
      <c r="F2270" t="str">
        <f>HYPERLINK("https://www.google.com/maps/search/?api=1&amp;query=24.58435564,46.76394926", "View Map")</f>
        <v>View Map</v>
      </c>
    </row>
    <row r="2271" spans="1:7" x14ac:dyDescent="0.3">
      <c r="A2271" t="s">
        <v>4131</v>
      </c>
      <c r="B2271" t="s">
        <v>4132</v>
      </c>
      <c r="C2271" t="s">
        <v>738</v>
      </c>
      <c r="D2271">
        <v>3.9910000000000001</v>
      </c>
      <c r="E2271" s="4">
        <v>1277</v>
      </c>
      <c r="F2271" t="str">
        <f>HYPERLINK("https://www.google.com/maps/search/?api=1&amp;query=25.11293994,46.10214085", "View Map")</f>
        <v>View Map</v>
      </c>
    </row>
    <row r="2272" spans="1:7" x14ac:dyDescent="0.3">
      <c r="A2272" t="s">
        <v>4093</v>
      </c>
      <c r="B2272" t="s">
        <v>4094</v>
      </c>
      <c r="C2272" t="s">
        <v>21</v>
      </c>
      <c r="D2272">
        <v>3.99</v>
      </c>
      <c r="E2272" s="4">
        <v>1277</v>
      </c>
      <c r="F2272" t="str">
        <f>HYPERLINK("https://www.google.com/maps/search/?api=1&amp;query=26.30915683,44.88158331", "View Map")</f>
        <v>View Map</v>
      </c>
      <c r="G2272" s="2">
        <v>0.72889689993764706</v>
      </c>
    </row>
    <row r="2273" spans="1:7" x14ac:dyDescent="0.3">
      <c r="A2273" t="s">
        <v>1654</v>
      </c>
      <c r="B2273" t="s">
        <v>1719</v>
      </c>
      <c r="C2273" t="s">
        <v>8</v>
      </c>
      <c r="D2273">
        <v>3.9889999999999999</v>
      </c>
      <c r="E2273" s="4">
        <v>1277</v>
      </c>
      <c r="F2273" t="str">
        <f>HYPERLINK("https://www.google.com/maps/search/?api=1&amp;query=24.76978416,46.77890583", "View Map")</f>
        <v>View Map</v>
      </c>
    </row>
    <row r="2274" spans="1:7" x14ac:dyDescent="0.3">
      <c r="A2274" t="s">
        <v>8456</v>
      </c>
      <c r="B2274" t="s">
        <v>8457</v>
      </c>
      <c r="C2274" t="s">
        <v>8</v>
      </c>
      <c r="D2274">
        <v>3.9870000000000001</v>
      </c>
      <c r="E2274" s="4">
        <v>1276</v>
      </c>
      <c r="F2274" t="str">
        <f>HYPERLINK("https://www.google.com/maps/search/?api=1&amp;query=24.62083809,46.7033077", "View Map")</f>
        <v>View Map</v>
      </c>
    </row>
    <row r="2275" spans="1:7" x14ac:dyDescent="0.3">
      <c r="A2275" t="s">
        <v>5437</v>
      </c>
      <c r="B2275" t="s">
        <v>5438</v>
      </c>
      <c r="C2275" t="s">
        <v>21</v>
      </c>
      <c r="D2275">
        <v>3.9870000000000001</v>
      </c>
      <c r="E2275" s="4">
        <v>1276</v>
      </c>
      <c r="F2275" t="str">
        <f>HYPERLINK("https://www.google.com/maps/search/?api=1&amp;query=26.28943424,44.84078183", "View Map")</f>
        <v>View Map</v>
      </c>
      <c r="G2275" s="2">
        <v>0.69481515176523667</v>
      </c>
    </row>
    <row r="2276" spans="1:7" x14ac:dyDescent="0.3">
      <c r="A2276" t="s">
        <v>46</v>
      </c>
      <c r="B2276" t="s">
        <v>2380</v>
      </c>
      <c r="C2276" t="s">
        <v>8</v>
      </c>
      <c r="D2276">
        <v>3.9860000000000002</v>
      </c>
      <c r="E2276" s="4">
        <v>1275</v>
      </c>
      <c r="F2276" t="str">
        <f>HYPERLINK("https://www.google.com/maps/search/?api=1&amp;query=24.8482485,46.82373402", "View Map")</f>
        <v>View Map</v>
      </c>
    </row>
    <row r="2277" spans="1:7" x14ac:dyDescent="0.3">
      <c r="A2277" t="s">
        <v>8038</v>
      </c>
      <c r="B2277" t="s">
        <v>8039</v>
      </c>
      <c r="C2277" t="s">
        <v>8</v>
      </c>
      <c r="D2277">
        <v>3.9849999999999999</v>
      </c>
      <c r="E2277" s="4">
        <v>1275</v>
      </c>
      <c r="F2277" t="str">
        <f>HYPERLINK("https://www.google.com/maps/search/?api=1&amp;query=24.92223137,46.77732115", "View Map")</f>
        <v>View Map</v>
      </c>
    </row>
    <row r="2278" spans="1:7" x14ac:dyDescent="0.3">
      <c r="A2278" t="s">
        <v>3069</v>
      </c>
      <c r="B2278" t="s">
        <v>3070</v>
      </c>
      <c r="C2278" t="s">
        <v>8</v>
      </c>
      <c r="D2278">
        <v>3.984</v>
      </c>
      <c r="E2278" s="4">
        <v>1275</v>
      </c>
      <c r="F2278" t="str">
        <f>HYPERLINK("https://www.google.com/maps/search/?api=1&amp;query=24.7959913,46.79859628", "View Map")</f>
        <v>View Map</v>
      </c>
      <c r="G2278" s="2">
        <v>0.31646292089312289</v>
      </c>
    </row>
    <row r="2279" spans="1:7" x14ac:dyDescent="0.3">
      <c r="A2279" t="s">
        <v>9211</v>
      </c>
      <c r="B2279" t="s">
        <v>9212</v>
      </c>
      <c r="C2279" t="s">
        <v>296</v>
      </c>
      <c r="D2279">
        <v>3.984</v>
      </c>
      <c r="E2279" s="4">
        <v>1275</v>
      </c>
      <c r="F2279" t="str">
        <f>HYPERLINK("https://www.google.com/maps/search/?api=1&amp;query=24.45661359,46.27702627", "View Map")</f>
        <v>View Map</v>
      </c>
    </row>
    <row r="2280" spans="1:7" x14ac:dyDescent="0.3">
      <c r="A2280" t="s">
        <v>146</v>
      </c>
      <c r="B2280" t="s">
        <v>4317</v>
      </c>
      <c r="C2280" t="s">
        <v>8</v>
      </c>
      <c r="D2280">
        <v>3.984</v>
      </c>
      <c r="E2280" s="4">
        <v>1275</v>
      </c>
      <c r="F2280" t="str">
        <f>HYPERLINK("https://www.google.com/maps/search/?api=1&amp;query=24.57658051,46.53485498", "View Map")</f>
        <v>View Map</v>
      </c>
    </row>
    <row r="2281" spans="1:7" x14ac:dyDescent="0.3">
      <c r="A2281" t="s">
        <v>9523</v>
      </c>
      <c r="B2281" t="s">
        <v>9524</v>
      </c>
      <c r="C2281" t="s">
        <v>8</v>
      </c>
      <c r="D2281">
        <v>3.9830000000000001</v>
      </c>
      <c r="E2281" s="4">
        <v>1275</v>
      </c>
      <c r="F2281" t="str">
        <f>HYPERLINK("https://www.google.com/maps/search/?api=1&amp;query=24.77088626,46.78336067", "View Map")</f>
        <v>View Map</v>
      </c>
    </row>
    <row r="2282" spans="1:7" x14ac:dyDescent="0.3">
      <c r="A2282" t="s">
        <v>2216</v>
      </c>
      <c r="B2282" t="s">
        <v>2217</v>
      </c>
      <c r="C2282" t="s">
        <v>8</v>
      </c>
      <c r="D2282">
        <v>3.9830000000000001</v>
      </c>
      <c r="E2282" s="4">
        <v>1275</v>
      </c>
      <c r="F2282" t="str">
        <f>HYPERLINK("https://www.google.com/maps/search/?api=1&amp;query=24.58563855,46.65142248", "View Map")</f>
        <v>View Map</v>
      </c>
    </row>
    <row r="2283" spans="1:7" x14ac:dyDescent="0.3">
      <c r="A2283" t="s">
        <v>5150</v>
      </c>
      <c r="B2283" t="s">
        <v>5151</v>
      </c>
      <c r="C2283" t="s">
        <v>8</v>
      </c>
      <c r="D2283">
        <v>3.9809999999999999</v>
      </c>
      <c r="E2283" s="4">
        <v>1274</v>
      </c>
      <c r="F2283" t="str">
        <f>HYPERLINK("https://www.google.com/maps/search/?api=1&amp;query=24.57405107,46.67177874", "View Map")</f>
        <v>View Map</v>
      </c>
    </row>
    <row r="2284" spans="1:7" x14ac:dyDescent="0.3">
      <c r="A2284" t="s">
        <v>46</v>
      </c>
      <c r="B2284" t="s">
        <v>3925</v>
      </c>
      <c r="C2284" t="s">
        <v>8</v>
      </c>
      <c r="D2284">
        <v>3.9809999999999999</v>
      </c>
      <c r="E2284" s="4">
        <v>1274</v>
      </c>
      <c r="F2284" t="str">
        <f>HYPERLINK("https://www.google.com/maps/search/?api=1&amp;query=24.80177215,46.82756238", "View Map")</f>
        <v>View Map</v>
      </c>
    </row>
    <row r="2285" spans="1:7" x14ac:dyDescent="0.3">
      <c r="A2285" t="s">
        <v>4934</v>
      </c>
      <c r="B2285" t="s">
        <v>4935</v>
      </c>
      <c r="C2285" t="s">
        <v>21</v>
      </c>
      <c r="D2285">
        <v>3.9790000000000001</v>
      </c>
      <c r="E2285" s="4">
        <v>1273</v>
      </c>
      <c r="F2285" t="str">
        <f>HYPERLINK("https://www.google.com/maps/search/?api=1&amp;query=26.31084787,44.82424385", "View Map")</f>
        <v>View Map</v>
      </c>
      <c r="G2285" s="2">
        <v>0.60832033757024551</v>
      </c>
    </row>
    <row r="2286" spans="1:7" x14ac:dyDescent="0.3">
      <c r="A2286" t="s">
        <v>505</v>
      </c>
      <c r="B2286" t="s">
        <v>506</v>
      </c>
      <c r="C2286" t="s">
        <v>8</v>
      </c>
      <c r="D2286">
        <v>3.9780000000000002</v>
      </c>
      <c r="E2286" s="4">
        <v>1273</v>
      </c>
      <c r="F2286" t="str">
        <f>HYPERLINK("https://www.google.com/maps/search/?api=1&amp;query=24.56381494,46.70718724", "View Map")</f>
        <v>View Map</v>
      </c>
    </row>
    <row r="2287" spans="1:7" x14ac:dyDescent="0.3">
      <c r="A2287" t="s">
        <v>5056</v>
      </c>
      <c r="B2287" t="s">
        <v>5057</v>
      </c>
      <c r="C2287" t="s">
        <v>8</v>
      </c>
      <c r="D2287">
        <v>3.9740000000000002</v>
      </c>
      <c r="E2287" s="4">
        <v>1272</v>
      </c>
      <c r="F2287" t="str">
        <f>HYPERLINK("https://www.google.com/maps/search/?api=1&amp;query=24.80533717,46.88850322", "View Map")</f>
        <v>View Map</v>
      </c>
    </row>
    <row r="2288" spans="1:7" x14ac:dyDescent="0.3">
      <c r="A2288" t="s">
        <v>5226</v>
      </c>
      <c r="B2288" t="s">
        <v>5227</v>
      </c>
      <c r="C2288" t="s">
        <v>8</v>
      </c>
      <c r="D2288">
        <v>3.972</v>
      </c>
      <c r="E2288" s="4">
        <v>1271</v>
      </c>
      <c r="F2288" t="str">
        <f>HYPERLINK("https://www.google.com/maps/search/?api=1&amp;query=24.60662201,46.6698177", "View Map")</f>
        <v>View Map</v>
      </c>
      <c r="G2288" s="2">
        <v>0.4258634954936712</v>
      </c>
    </row>
    <row r="2289" spans="1:7" x14ac:dyDescent="0.3">
      <c r="A2289" t="s">
        <v>11364</v>
      </c>
      <c r="B2289" t="s">
        <v>11365</v>
      </c>
      <c r="C2289" t="s">
        <v>466</v>
      </c>
      <c r="D2289">
        <v>3.9710000000000001</v>
      </c>
      <c r="E2289" s="4">
        <v>1271</v>
      </c>
      <c r="F2289" t="str">
        <f>HYPERLINK("https://www.google.com/maps/search/?api=1&amp;query=24.59345711,46.13034935", "View Map")</f>
        <v>View Map</v>
      </c>
      <c r="G2289" s="2">
        <v>0.54957184110214696</v>
      </c>
    </row>
    <row r="2290" spans="1:7" x14ac:dyDescent="0.3">
      <c r="A2290" t="s">
        <v>4673</v>
      </c>
      <c r="B2290" t="s">
        <v>4674</v>
      </c>
      <c r="C2290" t="s">
        <v>21</v>
      </c>
      <c r="D2290">
        <v>3.97</v>
      </c>
      <c r="E2290" s="4">
        <v>1270</v>
      </c>
      <c r="F2290" t="str">
        <f>HYPERLINK("https://www.google.com/maps/search/?api=1&amp;query=26.29963822,44.81325745", "View Map")</f>
        <v>View Map</v>
      </c>
      <c r="G2290" s="2">
        <v>0.45613922862735001</v>
      </c>
    </row>
    <row r="2291" spans="1:7" x14ac:dyDescent="0.3">
      <c r="A2291" t="s">
        <v>6706</v>
      </c>
      <c r="B2291" t="s">
        <v>6707</v>
      </c>
      <c r="C2291" t="s">
        <v>393</v>
      </c>
      <c r="D2291">
        <v>3.9689999999999999</v>
      </c>
      <c r="E2291" s="4">
        <v>1270</v>
      </c>
      <c r="F2291" t="str">
        <f>HYPERLINK("https://www.google.com/maps/search/?api=1&amp;query=22.60686196,44.8777475", "View Map")</f>
        <v>View Map</v>
      </c>
      <c r="G2291" s="2">
        <v>0.94375204641166566</v>
      </c>
    </row>
    <row r="2292" spans="1:7" x14ac:dyDescent="0.3">
      <c r="A2292" t="s">
        <v>10441</v>
      </c>
      <c r="B2292" t="s">
        <v>10442</v>
      </c>
      <c r="C2292" t="s">
        <v>8</v>
      </c>
      <c r="D2292">
        <v>3.9660000000000002</v>
      </c>
      <c r="E2292" s="4">
        <v>1269</v>
      </c>
      <c r="F2292" t="str">
        <f>HYPERLINK("https://www.google.com/maps/search/?api=1&amp;query=24.63925396,46.74277525", "View Map")</f>
        <v>View Map</v>
      </c>
    </row>
    <row r="2293" spans="1:7" x14ac:dyDescent="0.3">
      <c r="A2293" t="s">
        <v>259</v>
      </c>
      <c r="B2293" t="s">
        <v>7483</v>
      </c>
      <c r="C2293" t="s">
        <v>8</v>
      </c>
      <c r="D2293">
        <v>3.9660000000000002</v>
      </c>
      <c r="E2293" s="4">
        <v>1269</v>
      </c>
      <c r="F2293" t="str">
        <f>HYPERLINK("https://www.google.com/maps/search/?api=1&amp;query=24.72051339,46.79714379", "View Map")</f>
        <v>View Map</v>
      </c>
      <c r="G2293" s="2">
        <v>0.48561183500417232</v>
      </c>
    </row>
    <row r="2294" spans="1:7" x14ac:dyDescent="0.3">
      <c r="A2294" t="s">
        <v>46</v>
      </c>
      <c r="B2294" t="s">
        <v>5143</v>
      </c>
      <c r="C2294" t="s">
        <v>8</v>
      </c>
      <c r="D2294">
        <v>3.964</v>
      </c>
      <c r="E2294" s="4">
        <v>1268</v>
      </c>
      <c r="F2294" t="str">
        <f>HYPERLINK("https://www.google.com/maps/search/?api=1&amp;query=24.64422334,46.71817887", "View Map")</f>
        <v>View Map</v>
      </c>
      <c r="G2294" s="2">
        <v>0.75631145313984116</v>
      </c>
    </row>
    <row r="2295" spans="1:7" x14ac:dyDescent="0.3">
      <c r="A2295" t="s">
        <v>1130</v>
      </c>
      <c r="B2295" t="s">
        <v>1131</v>
      </c>
      <c r="C2295" t="s">
        <v>8</v>
      </c>
      <c r="D2295">
        <v>3.964</v>
      </c>
      <c r="E2295" s="4">
        <v>1269</v>
      </c>
      <c r="F2295" t="str">
        <f>HYPERLINK("https://www.google.com/maps/search/?api=1&amp;query=24.69581022,46.64611761", "View Map")</f>
        <v>View Map</v>
      </c>
    </row>
    <row r="2296" spans="1:7" x14ac:dyDescent="0.3">
      <c r="A2296" t="s">
        <v>4041</v>
      </c>
      <c r="B2296" t="s">
        <v>4042</v>
      </c>
      <c r="C2296" t="s">
        <v>255</v>
      </c>
      <c r="D2296">
        <v>3.964</v>
      </c>
      <c r="E2296" s="4">
        <v>1268</v>
      </c>
      <c r="F2296" t="str">
        <f>HYPERLINK("https://www.google.com/maps/search/?api=1&amp;query=25.18503494,44.50841073", "View Map")</f>
        <v>View Map</v>
      </c>
      <c r="G2296" s="2">
        <v>0.55724426636738689</v>
      </c>
    </row>
    <row r="2297" spans="1:7" x14ac:dyDescent="0.3">
      <c r="A2297" t="s">
        <v>795</v>
      </c>
      <c r="B2297" t="s">
        <v>2128</v>
      </c>
      <c r="C2297" t="s">
        <v>8</v>
      </c>
      <c r="D2297">
        <v>3.9630000000000001</v>
      </c>
      <c r="E2297" s="4">
        <v>1268</v>
      </c>
      <c r="F2297" t="str">
        <f>HYPERLINK("https://www.google.com/maps/search/?api=1&amp;query=24.70732799,46.77285643", "View Map")</f>
        <v>View Map</v>
      </c>
    </row>
    <row r="2298" spans="1:7" x14ac:dyDescent="0.3">
      <c r="A2298" t="s">
        <v>8110</v>
      </c>
      <c r="B2298" t="s">
        <v>8111</v>
      </c>
      <c r="C2298" t="s">
        <v>16</v>
      </c>
      <c r="D2298">
        <v>3.9609999999999999</v>
      </c>
      <c r="E2298" s="4">
        <v>1267</v>
      </c>
      <c r="F2298" t="str">
        <f>HYPERLINK("https://www.google.com/maps/search/?api=1&amp;query=23.90502954,42.91094077", "View Map")</f>
        <v>View Map</v>
      </c>
      <c r="G2298" s="2">
        <v>0.42165674283516841</v>
      </c>
    </row>
    <row r="2299" spans="1:7" x14ac:dyDescent="0.3">
      <c r="A2299" t="s">
        <v>5661</v>
      </c>
      <c r="B2299" t="s">
        <v>5662</v>
      </c>
      <c r="C2299" t="s">
        <v>16</v>
      </c>
      <c r="D2299">
        <v>3.9580000000000002</v>
      </c>
      <c r="E2299" s="4">
        <v>1266</v>
      </c>
      <c r="F2299" t="str">
        <f>HYPERLINK("https://www.google.com/maps/search/?api=1&amp;query=23.89351698,42.90800342", "View Map")</f>
        <v>View Map</v>
      </c>
    </row>
    <row r="2300" spans="1:7" x14ac:dyDescent="0.3">
      <c r="A2300" t="s">
        <v>676</v>
      </c>
      <c r="B2300" t="s">
        <v>677</v>
      </c>
      <c r="C2300" t="s">
        <v>8</v>
      </c>
      <c r="D2300">
        <v>3.9580000000000002</v>
      </c>
      <c r="E2300" s="4">
        <v>1267</v>
      </c>
      <c r="F2300" t="str">
        <f>HYPERLINK("https://www.google.com/maps/search/?api=1&amp;query=24.68959386,46.61181068", "View Map")</f>
        <v>View Map</v>
      </c>
      <c r="G2300" s="2">
        <v>0.1368668635426003</v>
      </c>
    </row>
    <row r="2301" spans="1:7" x14ac:dyDescent="0.3">
      <c r="A2301" t="s">
        <v>5610</v>
      </c>
      <c r="B2301" t="s">
        <v>5611</v>
      </c>
      <c r="C2301" t="s">
        <v>8</v>
      </c>
      <c r="D2301">
        <v>3.9580000000000002</v>
      </c>
      <c r="E2301" s="4">
        <v>1267</v>
      </c>
      <c r="F2301" t="str">
        <f>HYPERLINK("https://www.google.com/maps/search/?api=1&amp;query=24.73916575,46.76853328", "View Map")</f>
        <v>View Map</v>
      </c>
    </row>
    <row r="2302" spans="1:7" x14ac:dyDescent="0.3">
      <c r="A2302" t="s">
        <v>5924</v>
      </c>
      <c r="B2302" t="s">
        <v>5925</v>
      </c>
      <c r="C2302" t="s">
        <v>8</v>
      </c>
      <c r="D2302">
        <v>3.9569999999999999</v>
      </c>
      <c r="E2302" s="4">
        <v>1266</v>
      </c>
      <c r="F2302" t="str">
        <f>HYPERLINK("https://www.google.com/maps/search/?api=1&amp;query=24.77589205,46.80915846", "View Map")</f>
        <v>View Map</v>
      </c>
    </row>
    <row r="2303" spans="1:7" x14ac:dyDescent="0.3">
      <c r="A2303" t="s">
        <v>1731</v>
      </c>
      <c r="B2303" t="s">
        <v>1732</v>
      </c>
      <c r="C2303" t="s">
        <v>8</v>
      </c>
      <c r="D2303">
        <v>3.9569999999999999</v>
      </c>
      <c r="E2303" s="4">
        <v>1266</v>
      </c>
      <c r="F2303" t="str">
        <f>HYPERLINK("https://www.google.com/maps/search/?api=1&amp;query=24.60901286,46.60862451", "View Map")</f>
        <v>View Map</v>
      </c>
      <c r="G2303" s="2">
        <v>0.22196484534165331</v>
      </c>
    </row>
    <row r="2304" spans="1:7" x14ac:dyDescent="0.3">
      <c r="A2304" t="s">
        <v>4689</v>
      </c>
      <c r="B2304" t="s">
        <v>4690</v>
      </c>
      <c r="C2304" t="s">
        <v>8</v>
      </c>
      <c r="D2304">
        <v>3.9550000000000001</v>
      </c>
      <c r="E2304" s="4">
        <v>1266</v>
      </c>
      <c r="F2304" t="str">
        <f>HYPERLINK("https://www.google.com/maps/search/?api=1&amp;query=24.57726345,46.69667648", "View Map")</f>
        <v>View Map</v>
      </c>
    </row>
    <row r="2305" spans="1:7" x14ac:dyDescent="0.3">
      <c r="A2305" t="s">
        <v>4750</v>
      </c>
      <c r="B2305" t="s">
        <v>4751</v>
      </c>
      <c r="C2305" t="s">
        <v>8</v>
      </c>
      <c r="D2305">
        <v>3.9540000000000002</v>
      </c>
      <c r="E2305" s="4">
        <v>1265</v>
      </c>
      <c r="F2305" t="str">
        <f>HYPERLINK("https://www.google.com/maps/search/?api=1&amp;query=24.69948418,46.85979804", "View Map")</f>
        <v>View Map</v>
      </c>
    </row>
    <row r="2306" spans="1:7" x14ac:dyDescent="0.3">
      <c r="A2306" t="s">
        <v>1776</v>
      </c>
      <c r="B2306" t="s">
        <v>1777</v>
      </c>
      <c r="C2306" t="s">
        <v>8</v>
      </c>
      <c r="D2306">
        <v>3.9540000000000002</v>
      </c>
      <c r="E2306" s="4">
        <v>1265</v>
      </c>
      <c r="F2306" t="str">
        <f>HYPERLINK("https://www.google.com/maps/search/?api=1&amp;query=24.67875292,46.70016142", "View Map")</f>
        <v>View Map</v>
      </c>
    </row>
    <row r="2307" spans="1:7" x14ac:dyDescent="0.3">
      <c r="A2307" t="s">
        <v>46</v>
      </c>
      <c r="B2307" t="s">
        <v>10877</v>
      </c>
      <c r="C2307" t="s">
        <v>8</v>
      </c>
      <c r="D2307">
        <v>3.9529999999999998</v>
      </c>
      <c r="E2307" s="4">
        <v>1265</v>
      </c>
      <c r="F2307" t="str">
        <f>HYPERLINK("https://www.google.com/maps/search/?api=1&amp;query=24.63591152,46.60749751", "View Map")</f>
        <v>View Map</v>
      </c>
    </row>
    <row r="2308" spans="1:7" x14ac:dyDescent="0.3">
      <c r="A2308" t="s">
        <v>3707</v>
      </c>
      <c r="B2308" t="s">
        <v>3708</v>
      </c>
      <c r="C2308" t="s">
        <v>30</v>
      </c>
      <c r="D2308">
        <v>3.952</v>
      </c>
      <c r="E2308" s="4">
        <v>1265</v>
      </c>
      <c r="F2308" t="str">
        <f>HYPERLINK("https://www.google.com/maps/search/?api=1&amp;query=24.1477051,47.29705276", "View Map")</f>
        <v>View Map</v>
      </c>
      <c r="G2308" s="2">
        <v>0.41095244751906779</v>
      </c>
    </row>
    <row r="2309" spans="1:7" x14ac:dyDescent="0.3">
      <c r="A2309" t="s">
        <v>362</v>
      </c>
      <c r="B2309" t="s">
        <v>4182</v>
      </c>
      <c r="C2309" t="s">
        <v>364</v>
      </c>
      <c r="D2309">
        <v>3.9510000000000001</v>
      </c>
      <c r="E2309" s="4">
        <v>1264</v>
      </c>
      <c r="F2309" t="str">
        <f>HYPERLINK("https://www.google.com/maps/search/?api=1&amp;query=25.29338235,45.79031611", "View Map")</f>
        <v>View Map</v>
      </c>
      <c r="G2309" s="2">
        <v>0.67397712889485661</v>
      </c>
    </row>
    <row r="2310" spans="1:7" x14ac:dyDescent="0.3">
      <c r="A2310" t="s">
        <v>3150</v>
      </c>
      <c r="B2310" t="s">
        <v>3151</v>
      </c>
      <c r="C2310" t="s">
        <v>214</v>
      </c>
      <c r="D2310">
        <v>3.9510000000000001</v>
      </c>
      <c r="E2310" s="4">
        <v>1264</v>
      </c>
      <c r="F2310" t="str">
        <f>HYPERLINK("https://www.google.com/maps/search/?api=1&amp;query=25.69688476,45.89049019", "View Map")</f>
        <v>View Map</v>
      </c>
      <c r="G2310" s="2">
        <v>0.54695787110244798</v>
      </c>
    </row>
    <row r="2311" spans="1:7" x14ac:dyDescent="0.3">
      <c r="A2311" t="s">
        <v>706</v>
      </c>
      <c r="B2311" t="s">
        <v>8163</v>
      </c>
      <c r="C2311" t="s">
        <v>8</v>
      </c>
      <c r="D2311">
        <v>3.948</v>
      </c>
      <c r="E2311" s="4">
        <v>1263</v>
      </c>
      <c r="F2311" t="str">
        <f>HYPERLINK("https://www.google.com/maps/search/?api=1&amp;query=24.51572816,46.66250828", "View Map")</f>
        <v>View Map</v>
      </c>
    </row>
    <row r="2312" spans="1:7" x14ac:dyDescent="0.3">
      <c r="A2312" t="s">
        <v>380</v>
      </c>
      <c r="B2312" t="s">
        <v>3964</v>
      </c>
      <c r="C2312" t="s">
        <v>214</v>
      </c>
      <c r="D2312">
        <v>3.948</v>
      </c>
      <c r="E2312" s="4">
        <v>1263</v>
      </c>
      <c r="F2312" t="str">
        <f>HYPERLINK("https://www.google.com/maps/search/?api=1&amp;query=25.72968147,45.87214448", "View Map")</f>
        <v>View Map</v>
      </c>
      <c r="G2312" s="2">
        <v>0.60275612038806126</v>
      </c>
    </row>
    <row r="2313" spans="1:7" x14ac:dyDescent="0.3">
      <c r="A2313" t="s">
        <v>5622</v>
      </c>
      <c r="B2313" t="s">
        <v>5623</v>
      </c>
      <c r="C2313" t="s">
        <v>8</v>
      </c>
      <c r="D2313">
        <v>3.9470000000000001</v>
      </c>
      <c r="E2313" s="4">
        <v>1263</v>
      </c>
      <c r="F2313" t="str">
        <f>HYPERLINK("https://www.google.com/maps/search/?api=1&amp;query=24.5496813,46.72383562", "View Map")</f>
        <v>View Map</v>
      </c>
    </row>
    <row r="2314" spans="1:7" x14ac:dyDescent="0.3">
      <c r="A2314" t="s">
        <v>4847</v>
      </c>
      <c r="B2314" t="s">
        <v>4848</v>
      </c>
      <c r="C2314" t="s">
        <v>214</v>
      </c>
      <c r="D2314">
        <v>3.9449999999999998</v>
      </c>
      <c r="E2314" s="4">
        <v>1262</v>
      </c>
      <c r="F2314" t="str">
        <f>HYPERLINK("https://www.google.com/maps/search/?api=1&amp;query=25.58793191,45.69619133", "View Map")</f>
        <v>View Map</v>
      </c>
      <c r="G2314" s="2">
        <v>0.65334098440267141</v>
      </c>
    </row>
    <row r="2315" spans="1:7" x14ac:dyDescent="0.3">
      <c r="A2315" t="s">
        <v>576</v>
      </c>
      <c r="B2315" t="s">
        <v>3280</v>
      </c>
      <c r="C2315" t="s">
        <v>8</v>
      </c>
      <c r="D2315">
        <v>3.944</v>
      </c>
      <c r="E2315" s="4">
        <v>1262</v>
      </c>
      <c r="F2315" t="str">
        <f>HYPERLINK("https://www.google.com/maps/search/?api=1&amp;query=24.57384886,46.71337917", "View Map")</f>
        <v>View Map</v>
      </c>
    </row>
    <row r="2316" spans="1:7" x14ac:dyDescent="0.3">
      <c r="A2316" t="s">
        <v>3962</v>
      </c>
      <c r="B2316" t="s">
        <v>3963</v>
      </c>
      <c r="C2316" t="s">
        <v>8</v>
      </c>
      <c r="D2316">
        <v>3.944</v>
      </c>
      <c r="E2316" s="4">
        <v>1262</v>
      </c>
      <c r="F2316" t="str">
        <f>HYPERLINK("https://www.google.com/maps/search/?api=1&amp;query=24.76100008,46.77698716", "View Map")</f>
        <v>View Map</v>
      </c>
    </row>
    <row r="2317" spans="1:7" x14ac:dyDescent="0.3">
      <c r="A2317" t="s">
        <v>46</v>
      </c>
      <c r="B2317" t="s">
        <v>2196</v>
      </c>
      <c r="C2317" t="s">
        <v>8</v>
      </c>
      <c r="D2317">
        <v>3.9430000000000001</v>
      </c>
      <c r="E2317" s="4">
        <v>1262</v>
      </c>
      <c r="F2317" t="str">
        <f>HYPERLINK("https://www.google.com/maps/search/?api=1&amp;query=24.85562724,46.84151737", "View Map")</f>
        <v>View Map</v>
      </c>
      <c r="G2317" s="2">
        <v>0.27390952144775699</v>
      </c>
    </row>
    <row r="2318" spans="1:7" x14ac:dyDescent="0.3">
      <c r="A2318" t="s">
        <v>809</v>
      </c>
      <c r="B2318" t="s">
        <v>6101</v>
      </c>
      <c r="C2318" t="s">
        <v>8</v>
      </c>
      <c r="D2318">
        <v>3.9369999999999998</v>
      </c>
      <c r="E2318" s="4">
        <v>1260</v>
      </c>
      <c r="F2318" t="str">
        <f>HYPERLINK("https://www.google.com/maps/search/?api=1&amp;query=24.74676686,46.77699915", "View Map")</f>
        <v>View Map</v>
      </c>
    </row>
    <row r="2319" spans="1:7" x14ac:dyDescent="0.3">
      <c r="A2319" t="s">
        <v>46</v>
      </c>
      <c r="B2319" t="s">
        <v>1408</v>
      </c>
      <c r="C2319" t="s">
        <v>8</v>
      </c>
      <c r="D2319">
        <v>3.9369999999999998</v>
      </c>
      <c r="E2319" s="4">
        <v>1260</v>
      </c>
      <c r="F2319" t="str">
        <f>HYPERLINK("https://www.google.com/maps/search/?api=1&amp;query=24.79076095,46.73410775", "View Map")</f>
        <v>View Map</v>
      </c>
      <c r="G2319" s="2">
        <v>0.28502852303152698</v>
      </c>
    </row>
    <row r="2320" spans="1:7" x14ac:dyDescent="0.3">
      <c r="A2320" t="s">
        <v>9036</v>
      </c>
      <c r="B2320" t="s">
        <v>9037</v>
      </c>
      <c r="C2320" t="s">
        <v>214</v>
      </c>
      <c r="D2320">
        <v>3.9319999999999999</v>
      </c>
      <c r="E2320" s="4">
        <v>1258</v>
      </c>
      <c r="F2320" t="str">
        <f>HYPERLINK("https://www.google.com/maps/search/?api=1&amp;query=25.59043713,45.61216448", "View Map")</f>
        <v>View Map</v>
      </c>
    </row>
    <row r="2321" spans="1:7" x14ac:dyDescent="0.3">
      <c r="A2321" t="s">
        <v>7179</v>
      </c>
      <c r="B2321" t="s">
        <v>7180</v>
      </c>
      <c r="C2321" t="s">
        <v>8</v>
      </c>
      <c r="D2321">
        <v>3.9319999999999999</v>
      </c>
      <c r="E2321" s="4">
        <v>1258</v>
      </c>
      <c r="F2321" t="str">
        <f>HYPERLINK("https://www.google.com/maps/search/?api=1&amp;query=24.59904216,46.69045667", "View Map")</f>
        <v>View Map</v>
      </c>
    </row>
    <row r="2322" spans="1:7" x14ac:dyDescent="0.3">
      <c r="A2322" t="s">
        <v>4351</v>
      </c>
      <c r="B2322" t="s">
        <v>4352</v>
      </c>
      <c r="C2322" t="s">
        <v>255</v>
      </c>
      <c r="D2322">
        <v>3.931</v>
      </c>
      <c r="E2322" s="4">
        <v>1258</v>
      </c>
      <c r="F2322" t="str">
        <f>HYPERLINK("https://www.google.com/maps/search/?api=1&amp;query=25.09604809,43.80613146", "View Map")</f>
        <v>View Map</v>
      </c>
      <c r="G2322" s="2">
        <v>0.8783835739282615</v>
      </c>
    </row>
    <row r="2323" spans="1:7" x14ac:dyDescent="0.3">
      <c r="A2323" t="s">
        <v>4811</v>
      </c>
      <c r="B2323" t="s">
        <v>4812</v>
      </c>
      <c r="C2323" t="s">
        <v>214</v>
      </c>
      <c r="D2323">
        <v>3.93</v>
      </c>
      <c r="E2323" s="4">
        <v>1258</v>
      </c>
      <c r="F2323" t="str">
        <f>HYPERLINK("https://www.google.com/maps/search/?api=1&amp;query=26.86940434,45.2427869", "View Map")</f>
        <v>View Map</v>
      </c>
      <c r="G2323" s="2">
        <v>0.83026302304223987</v>
      </c>
    </row>
    <row r="2324" spans="1:7" x14ac:dyDescent="0.3">
      <c r="A2324" t="s">
        <v>5608</v>
      </c>
      <c r="B2324" t="s">
        <v>5609</v>
      </c>
      <c r="C2324" t="s">
        <v>137</v>
      </c>
      <c r="D2324">
        <v>3.927</v>
      </c>
      <c r="E2324" s="4">
        <v>1257</v>
      </c>
      <c r="F2324" t="str">
        <f>HYPERLINK("https://www.google.com/maps/search/?api=1&amp;query=23.23286403,46.63406168", "View Map")</f>
        <v>View Map</v>
      </c>
      <c r="G2324" s="2">
        <v>0.6231540583528834</v>
      </c>
    </row>
    <row r="2325" spans="1:7" x14ac:dyDescent="0.3">
      <c r="A2325" t="s">
        <v>2178</v>
      </c>
      <c r="B2325" t="s">
        <v>2179</v>
      </c>
      <c r="C2325" t="s">
        <v>30</v>
      </c>
      <c r="D2325">
        <v>3.9260000000000002</v>
      </c>
      <c r="E2325" s="4">
        <v>1256</v>
      </c>
      <c r="F2325" t="str">
        <f>HYPERLINK("https://www.google.com/maps/search/?api=1&amp;query=24.09163916,47.22705583", "View Map")</f>
        <v>View Map</v>
      </c>
      <c r="G2325" s="2">
        <v>0.4241605295976873</v>
      </c>
    </row>
    <row r="2326" spans="1:7" x14ac:dyDescent="0.3">
      <c r="A2326" t="s">
        <v>5101</v>
      </c>
      <c r="B2326" t="s">
        <v>5102</v>
      </c>
      <c r="C2326" t="s">
        <v>8</v>
      </c>
      <c r="D2326">
        <v>3.9260000000000002</v>
      </c>
      <c r="E2326" s="4">
        <v>1256</v>
      </c>
      <c r="F2326" t="str">
        <f>HYPERLINK("https://www.google.com/maps/search/?api=1&amp;query=24.57836643,46.70986096", "View Map")</f>
        <v>View Map</v>
      </c>
      <c r="G2326" s="2">
        <v>0.56594072770660331</v>
      </c>
    </row>
    <row r="2327" spans="1:7" x14ac:dyDescent="0.3">
      <c r="A2327" t="s">
        <v>6888</v>
      </c>
      <c r="B2327" t="s">
        <v>6889</v>
      </c>
      <c r="C2327" t="s">
        <v>291</v>
      </c>
      <c r="D2327">
        <v>3.9249999999999998</v>
      </c>
      <c r="E2327" s="4">
        <v>1256</v>
      </c>
      <c r="F2327" t="str">
        <f>HYPERLINK("https://www.google.com/maps/search/?api=1&amp;query=24.36517275,45.32883851", "View Map")</f>
        <v>View Map</v>
      </c>
      <c r="G2327" s="2">
        <v>0.82755168176104765</v>
      </c>
    </row>
    <row r="2328" spans="1:7" x14ac:dyDescent="0.3">
      <c r="A2328" t="s">
        <v>4220</v>
      </c>
      <c r="B2328" t="s">
        <v>4221</v>
      </c>
      <c r="C2328" t="s">
        <v>214</v>
      </c>
      <c r="D2328">
        <v>3.9249999999999998</v>
      </c>
      <c r="E2328" s="4">
        <v>1256</v>
      </c>
      <c r="F2328" t="str">
        <f>HYPERLINK("https://www.google.com/maps/search/?api=1&amp;query=25.72948213,45.86614814", "View Map")</f>
        <v>View Map</v>
      </c>
      <c r="G2328" s="2">
        <v>0.84088567625027677</v>
      </c>
    </row>
    <row r="2329" spans="1:7" x14ac:dyDescent="0.3">
      <c r="A2329" t="s">
        <v>8433</v>
      </c>
      <c r="B2329" t="s">
        <v>8434</v>
      </c>
      <c r="C2329" t="s">
        <v>8</v>
      </c>
      <c r="D2329">
        <v>3.9249999999999998</v>
      </c>
      <c r="E2329" s="4">
        <v>1256</v>
      </c>
      <c r="F2329" t="str">
        <f>HYPERLINK("https://www.google.com/maps/search/?api=1&amp;query=24.67861345,46.78768907", "View Map")</f>
        <v>View Map</v>
      </c>
    </row>
    <row r="2330" spans="1:7" x14ac:dyDescent="0.3">
      <c r="A2330" t="s">
        <v>4238</v>
      </c>
      <c r="B2330" t="s">
        <v>4239</v>
      </c>
      <c r="C2330" t="s">
        <v>291</v>
      </c>
      <c r="D2330">
        <v>3.9220000000000002</v>
      </c>
      <c r="E2330" s="4">
        <v>1255</v>
      </c>
      <c r="F2330" t="str">
        <f>HYPERLINK("https://www.google.com/maps/search/?api=1&amp;query=24.33869322,45.78556696", "View Map")</f>
        <v>View Map</v>
      </c>
      <c r="G2330" s="2">
        <v>0.91672952437798261</v>
      </c>
    </row>
    <row r="2331" spans="1:7" x14ac:dyDescent="0.3">
      <c r="A2331" t="s">
        <v>3136</v>
      </c>
      <c r="B2331" t="s">
        <v>3137</v>
      </c>
      <c r="C2331" t="s">
        <v>8</v>
      </c>
      <c r="D2331">
        <v>3.9220000000000002</v>
      </c>
      <c r="E2331" s="4">
        <v>1255</v>
      </c>
      <c r="F2331" t="str">
        <f>HYPERLINK("https://www.google.com/maps/search/?api=1&amp;query=24.67892788,46.67711122", "View Map")</f>
        <v>View Map</v>
      </c>
    </row>
    <row r="2332" spans="1:7" x14ac:dyDescent="0.3">
      <c r="A2332" t="s">
        <v>5063</v>
      </c>
      <c r="B2332" t="s">
        <v>5064</v>
      </c>
      <c r="C2332" t="s">
        <v>8</v>
      </c>
      <c r="D2332">
        <v>3.919</v>
      </c>
      <c r="E2332" s="4">
        <v>1254</v>
      </c>
      <c r="F2332" t="str">
        <f>HYPERLINK("https://www.google.com/maps/search/?api=1&amp;query=24.77880281,46.67439311", "View Map")</f>
        <v>View Map</v>
      </c>
    </row>
    <row r="2333" spans="1:7" x14ac:dyDescent="0.3">
      <c r="A2333" t="s">
        <v>46</v>
      </c>
      <c r="B2333" t="s">
        <v>2131</v>
      </c>
      <c r="C2333" t="s">
        <v>8</v>
      </c>
      <c r="D2333">
        <v>3.9169999999999998</v>
      </c>
      <c r="E2333" s="4">
        <v>1253</v>
      </c>
      <c r="F2333" t="str">
        <f>HYPERLINK("https://www.google.com/maps/search/?api=1&amp;query=24.57921565,46.76080623", "View Map")</f>
        <v>View Map</v>
      </c>
    </row>
    <row r="2334" spans="1:7" x14ac:dyDescent="0.3">
      <c r="A2334" t="s">
        <v>661</v>
      </c>
      <c r="B2334" t="s">
        <v>5400</v>
      </c>
      <c r="C2334" t="s">
        <v>214</v>
      </c>
      <c r="D2334">
        <v>3.9159999999999999</v>
      </c>
      <c r="E2334" s="4">
        <v>1253</v>
      </c>
      <c r="F2334" t="str">
        <f>HYPERLINK("https://www.google.com/maps/search/?api=1&amp;query=25.70534008,45.47195997", "View Map")</f>
        <v>View Map</v>
      </c>
      <c r="G2334" s="2">
        <v>0.87979531000106381</v>
      </c>
    </row>
    <row r="2335" spans="1:7" x14ac:dyDescent="0.3">
      <c r="A2335" t="s">
        <v>678</v>
      </c>
      <c r="B2335" t="s">
        <v>1177</v>
      </c>
      <c r="C2335" t="s">
        <v>21</v>
      </c>
      <c r="D2335">
        <v>3.9159999999999999</v>
      </c>
      <c r="E2335" s="4">
        <v>1253</v>
      </c>
      <c r="F2335" t="str">
        <f>HYPERLINK("https://www.google.com/maps/search/?api=1&amp;query=26.32287771,44.80793044", "View Map")</f>
        <v>View Map</v>
      </c>
    </row>
    <row r="2336" spans="1:7" x14ac:dyDescent="0.3">
      <c r="A2336" t="s">
        <v>4677</v>
      </c>
      <c r="B2336" t="s">
        <v>4678</v>
      </c>
      <c r="C2336" t="s">
        <v>8</v>
      </c>
      <c r="D2336">
        <v>3.915</v>
      </c>
      <c r="E2336" s="4">
        <v>1253</v>
      </c>
      <c r="F2336" t="str">
        <f>HYPERLINK("https://www.google.com/maps/search/?api=1&amp;query=24.81027553,46.86274451", "View Map")</f>
        <v>View Map</v>
      </c>
    </row>
    <row r="2337" spans="1:7" x14ac:dyDescent="0.3">
      <c r="A2337" t="s">
        <v>4470</v>
      </c>
      <c r="B2337" t="s">
        <v>4471</v>
      </c>
      <c r="C2337" t="s">
        <v>286</v>
      </c>
      <c r="D2337">
        <v>3.9119999999999999</v>
      </c>
      <c r="E2337" s="4">
        <v>1252</v>
      </c>
      <c r="F2337" t="str">
        <f>HYPERLINK("https://www.google.com/maps/search/?api=1&amp;query=25.33499792,45.18960664", "View Map")</f>
        <v>View Map</v>
      </c>
      <c r="G2337" s="2">
        <v>0.46134152318097171</v>
      </c>
    </row>
    <row r="2338" spans="1:7" x14ac:dyDescent="0.3">
      <c r="A2338" t="s">
        <v>2003</v>
      </c>
      <c r="B2338" t="s">
        <v>2004</v>
      </c>
      <c r="C2338" t="s">
        <v>8</v>
      </c>
      <c r="D2338">
        <v>3.9119999999999999</v>
      </c>
      <c r="E2338" s="4">
        <v>1252</v>
      </c>
      <c r="F2338" t="str">
        <f>HYPERLINK("https://www.google.com/maps/search/?api=1&amp;query=24.70187815,46.85983424", "View Map")</f>
        <v>View Map</v>
      </c>
      <c r="G2338" s="2">
        <v>0.39142382270975329</v>
      </c>
    </row>
    <row r="2339" spans="1:7" x14ac:dyDescent="0.3">
      <c r="A2339" t="s">
        <v>4080</v>
      </c>
      <c r="B2339" t="s">
        <v>4081</v>
      </c>
      <c r="C2339" t="s">
        <v>137</v>
      </c>
      <c r="D2339">
        <v>3.91</v>
      </c>
      <c r="E2339" s="4">
        <v>1251</v>
      </c>
      <c r="F2339" t="str">
        <f>HYPERLINK("https://www.google.com/maps/search/?api=1&amp;query=23.50392948,46.88761608", "View Map")</f>
        <v>View Map</v>
      </c>
      <c r="G2339" s="2">
        <v>0.70685490693693898</v>
      </c>
    </row>
    <row r="2340" spans="1:7" x14ac:dyDescent="0.3">
      <c r="A2340" t="s">
        <v>146</v>
      </c>
      <c r="B2340" t="s">
        <v>8440</v>
      </c>
      <c r="C2340" t="s">
        <v>8</v>
      </c>
      <c r="D2340">
        <v>3.9089999999999998</v>
      </c>
      <c r="E2340" s="4">
        <v>1251</v>
      </c>
      <c r="F2340" t="str">
        <f>HYPERLINK("https://www.google.com/maps/search/?api=1&amp;query=24.54522849,46.5181886", "View Map")</f>
        <v>View Map</v>
      </c>
    </row>
    <row r="2341" spans="1:7" x14ac:dyDescent="0.3">
      <c r="A2341" t="s">
        <v>4891</v>
      </c>
      <c r="B2341" t="s">
        <v>4892</v>
      </c>
      <c r="C2341" t="s">
        <v>8</v>
      </c>
      <c r="D2341">
        <v>3.9079999999999999</v>
      </c>
      <c r="E2341" s="4">
        <v>1250</v>
      </c>
      <c r="F2341" t="str">
        <f>HYPERLINK("https://www.google.com/maps/search/?api=1&amp;query=24.58798906,46.54917495", "View Map")</f>
        <v>View Map</v>
      </c>
    </row>
    <row r="2342" spans="1:7" x14ac:dyDescent="0.3">
      <c r="A2342" t="s">
        <v>4065</v>
      </c>
      <c r="B2342" t="s">
        <v>4066</v>
      </c>
      <c r="C2342" t="s">
        <v>8</v>
      </c>
      <c r="D2342">
        <v>3.907</v>
      </c>
      <c r="E2342" s="4">
        <v>1250</v>
      </c>
      <c r="F2342" t="str">
        <f>HYPERLINK("https://www.google.com/maps/search/?api=1&amp;query=24.54658521,46.70994599", "View Map")</f>
        <v>View Map</v>
      </c>
    </row>
    <row r="2343" spans="1:7" x14ac:dyDescent="0.3">
      <c r="A2343" t="s">
        <v>5844</v>
      </c>
      <c r="B2343" t="s">
        <v>5845</v>
      </c>
      <c r="C2343" t="s">
        <v>241</v>
      </c>
      <c r="D2343">
        <v>3.9049999999999998</v>
      </c>
      <c r="E2343" s="4">
        <v>1250</v>
      </c>
      <c r="F2343" t="str">
        <f>HYPERLINK("https://www.google.com/maps/search/?api=1&amp;query=20.45351763,44.78330188", "View Map")</f>
        <v>View Map</v>
      </c>
    </row>
    <row r="2344" spans="1:7" x14ac:dyDescent="0.3">
      <c r="A2344" t="s">
        <v>146</v>
      </c>
      <c r="B2344" t="s">
        <v>9081</v>
      </c>
      <c r="C2344" t="s">
        <v>8</v>
      </c>
      <c r="D2344">
        <v>3.9039999999999999</v>
      </c>
      <c r="E2344" s="4">
        <v>1249</v>
      </c>
      <c r="F2344" t="str">
        <f>HYPERLINK("https://www.google.com/maps/search/?api=1&amp;query=24.56195194,46.51579744", "View Map")</f>
        <v>View Map</v>
      </c>
    </row>
    <row r="2345" spans="1:7" x14ac:dyDescent="0.3">
      <c r="A2345" t="s">
        <v>3267</v>
      </c>
      <c r="B2345" t="s">
        <v>3268</v>
      </c>
      <c r="C2345" t="s">
        <v>8</v>
      </c>
      <c r="D2345">
        <v>3.9039999999999999</v>
      </c>
      <c r="E2345" s="4">
        <v>1249</v>
      </c>
      <c r="F2345" t="str">
        <f>HYPERLINK("https://www.google.com/maps/search/?api=1&amp;query=24.56838085,46.63753815", "View Map")</f>
        <v>View Map</v>
      </c>
    </row>
    <row r="2346" spans="1:7" x14ac:dyDescent="0.3">
      <c r="A2346" t="s">
        <v>3158</v>
      </c>
      <c r="B2346" t="s">
        <v>3159</v>
      </c>
      <c r="C2346" t="s">
        <v>214</v>
      </c>
      <c r="D2346">
        <v>3.903</v>
      </c>
      <c r="E2346" s="4">
        <v>1249</v>
      </c>
      <c r="F2346" t="str">
        <f>HYPERLINK("https://www.google.com/maps/search/?api=1&amp;query=26.49364844,45.35771736", "View Map")</f>
        <v>View Map</v>
      </c>
      <c r="G2346" s="2">
        <v>0.55475310109752196</v>
      </c>
    </row>
    <row r="2347" spans="1:7" x14ac:dyDescent="0.3">
      <c r="A2347" t="s">
        <v>73</v>
      </c>
      <c r="B2347" t="s">
        <v>5807</v>
      </c>
      <c r="C2347" t="s">
        <v>8</v>
      </c>
      <c r="D2347">
        <v>3.8980000000000001</v>
      </c>
      <c r="E2347" s="4">
        <v>1247</v>
      </c>
      <c r="F2347" t="str">
        <f>HYPERLINK("https://www.google.com/maps/search/?api=1&amp;query=24.81767629,46.65090162", "View Map")</f>
        <v>View Map</v>
      </c>
    </row>
    <row r="2348" spans="1:7" x14ac:dyDescent="0.3">
      <c r="A2348" t="s">
        <v>3935</v>
      </c>
      <c r="B2348" t="s">
        <v>3936</v>
      </c>
      <c r="C2348" t="s">
        <v>255</v>
      </c>
      <c r="D2348">
        <v>3.8969999999999998</v>
      </c>
      <c r="E2348" s="4">
        <v>1247</v>
      </c>
      <c r="F2348" t="str">
        <f>HYPERLINK("https://www.google.com/maps/search/?api=1&amp;query=24.39852132,44.89825764", "View Map")</f>
        <v>View Map</v>
      </c>
      <c r="G2348" s="2">
        <v>0.47273603565866151</v>
      </c>
    </row>
    <row r="2349" spans="1:7" x14ac:dyDescent="0.3">
      <c r="A2349" t="s">
        <v>7926</v>
      </c>
      <c r="B2349" t="s">
        <v>7927</v>
      </c>
      <c r="C2349" t="s">
        <v>8</v>
      </c>
      <c r="D2349">
        <v>3.8940000000000001</v>
      </c>
      <c r="E2349" s="4">
        <v>1246</v>
      </c>
      <c r="F2349" t="str">
        <f>HYPERLINK("https://www.google.com/maps/search/?api=1&amp;query=24.64237338,46.70168903", "View Map")</f>
        <v>View Map</v>
      </c>
    </row>
    <row r="2350" spans="1:7" x14ac:dyDescent="0.3">
      <c r="A2350" t="s">
        <v>4730</v>
      </c>
      <c r="B2350" t="s">
        <v>4731</v>
      </c>
      <c r="C2350" t="s">
        <v>8</v>
      </c>
      <c r="D2350">
        <v>3.8940000000000001</v>
      </c>
      <c r="E2350" s="4">
        <v>1246</v>
      </c>
      <c r="F2350" t="str">
        <f>HYPERLINK("https://www.google.com/maps/search/?api=1&amp;query=24.56355516,46.63332373", "View Map")</f>
        <v>View Map</v>
      </c>
    </row>
    <row r="2351" spans="1:7" x14ac:dyDescent="0.3">
      <c r="A2351" t="s">
        <v>3144</v>
      </c>
      <c r="B2351" t="s">
        <v>3145</v>
      </c>
      <c r="C2351" t="s">
        <v>8</v>
      </c>
      <c r="D2351">
        <v>3.89</v>
      </c>
      <c r="E2351" s="4">
        <v>1245</v>
      </c>
      <c r="F2351" t="str">
        <f>HYPERLINK("https://www.google.com/maps/search/?api=1&amp;query=24.60208314,46.76333598", "View Map")</f>
        <v>View Map</v>
      </c>
    </row>
    <row r="2352" spans="1:7" x14ac:dyDescent="0.3">
      <c r="A2352" t="s">
        <v>4178</v>
      </c>
      <c r="B2352" t="s">
        <v>4179</v>
      </c>
      <c r="C2352" t="s">
        <v>8</v>
      </c>
      <c r="D2352">
        <v>3.89</v>
      </c>
      <c r="E2352" s="4">
        <v>1245</v>
      </c>
      <c r="F2352" t="str">
        <f>HYPERLINK("https://www.google.com/maps/search/?api=1&amp;query=24.7702475,46.70547109", "View Map")</f>
        <v>View Map</v>
      </c>
    </row>
    <row r="2353" spans="1:7" x14ac:dyDescent="0.3">
      <c r="A2353" t="s">
        <v>28</v>
      </c>
      <c r="B2353" t="s">
        <v>4028</v>
      </c>
      <c r="C2353" t="s">
        <v>30</v>
      </c>
      <c r="D2353">
        <v>3.8879999999999999</v>
      </c>
      <c r="E2353" s="4">
        <v>1244</v>
      </c>
      <c r="F2353" t="str">
        <f>HYPERLINK("https://www.google.com/maps/search/?api=1&amp;query=24.10883158,47.27006067", "View Map")</f>
        <v>View Map</v>
      </c>
    </row>
    <row r="2354" spans="1:7" x14ac:dyDescent="0.3">
      <c r="A2354" t="s">
        <v>46</v>
      </c>
      <c r="B2354" t="s">
        <v>450</v>
      </c>
      <c r="C2354" t="s">
        <v>8</v>
      </c>
      <c r="D2354">
        <v>3.8879999999999999</v>
      </c>
      <c r="E2354" s="4">
        <v>1244</v>
      </c>
      <c r="F2354" t="str">
        <f>HYPERLINK("https://www.google.com/maps/search/?api=1&amp;query=24.81437163,46.68478694", "View Map")</f>
        <v>View Map</v>
      </c>
      <c r="G2354" s="2">
        <v>0.12645903013538051</v>
      </c>
    </row>
    <row r="2355" spans="1:7" x14ac:dyDescent="0.3">
      <c r="A2355" t="s">
        <v>5355</v>
      </c>
      <c r="B2355" t="s">
        <v>5356</v>
      </c>
      <c r="C2355" t="s">
        <v>255</v>
      </c>
      <c r="D2355">
        <v>3.887</v>
      </c>
      <c r="E2355" s="4">
        <v>1244</v>
      </c>
      <c r="F2355" t="str">
        <f>HYPERLINK("https://www.google.com/maps/search/?api=1&amp;query=24.51872033,44.41876975", "View Map")</f>
        <v>View Map</v>
      </c>
    </row>
    <row r="2356" spans="1:7" x14ac:dyDescent="0.3">
      <c r="A2356" t="s">
        <v>4117</v>
      </c>
      <c r="B2356" t="s">
        <v>4118</v>
      </c>
      <c r="C2356" t="s">
        <v>8</v>
      </c>
      <c r="D2356">
        <v>3.887</v>
      </c>
      <c r="E2356" s="4">
        <v>1244</v>
      </c>
      <c r="F2356" t="str">
        <f>HYPERLINK("https://www.google.com/maps/search/?api=1&amp;query=24.72629227,46.81509409", "View Map")</f>
        <v>View Map</v>
      </c>
    </row>
    <row r="2357" spans="1:7" x14ac:dyDescent="0.3">
      <c r="A2357" t="s">
        <v>5545</v>
      </c>
      <c r="B2357" t="s">
        <v>5546</v>
      </c>
      <c r="C2357" t="s">
        <v>393</v>
      </c>
      <c r="D2357">
        <v>3.879</v>
      </c>
      <c r="E2357" s="4">
        <v>1241</v>
      </c>
      <c r="F2357" t="str">
        <f>HYPERLINK("https://www.google.com/maps/search/?api=1&amp;query=23.34714357,45.24884866", "View Map")</f>
        <v>View Map</v>
      </c>
      <c r="G2357" s="2">
        <v>0.92985513825970745</v>
      </c>
    </row>
    <row r="2358" spans="1:7" x14ac:dyDescent="0.3">
      <c r="A2358" t="s">
        <v>881</v>
      </c>
      <c r="B2358" t="s">
        <v>3867</v>
      </c>
      <c r="C2358" t="s">
        <v>883</v>
      </c>
      <c r="D2358">
        <v>3.8780000000000001</v>
      </c>
      <c r="E2358" s="4">
        <v>1241</v>
      </c>
      <c r="F2358" t="str">
        <f>HYPERLINK("https://www.google.com/maps/search/?api=1&amp;query=25.54384495,47.16351973", "View Map")</f>
        <v>View Map</v>
      </c>
      <c r="G2358" s="2">
        <v>0.44609411633948981</v>
      </c>
    </row>
    <row r="2359" spans="1:7" x14ac:dyDescent="0.3">
      <c r="A2359" t="s">
        <v>3808</v>
      </c>
      <c r="B2359" t="s">
        <v>3809</v>
      </c>
      <c r="C2359" t="s">
        <v>21</v>
      </c>
      <c r="D2359">
        <v>3.8759999999999999</v>
      </c>
      <c r="E2359" s="4">
        <v>1240</v>
      </c>
      <c r="F2359" t="str">
        <f>HYPERLINK("https://www.google.com/maps/search/?api=1&amp;query=26.30122471,44.83176274", "View Map")</f>
        <v>View Map</v>
      </c>
      <c r="G2359" s="2">
        <v>0.48086470628988298</v>
      </c>
    </row>
    <row r="2360" spans="1:7" x14ac:dyDescent="0.3">
      <c r="A2360" t="s">
        <v>4754</v>
      </c>
      <c r="B2360" t="s">
        <v>4755</v>
      </c>
      <c r="C2360" t="s">
        <v>21</v>
      </c>
      <c r="D2360">
        <v>3.8759999999999999</v>
      </c>
      <c r="E2360" s="4">
        <v>1240</v>
      </c>
      <c r="F2360" t="str">
        <f>HYPERLINK("https://www.google.com/maps/search/?api=1&amp;query=26.28745018,44.82072228", "View Map")</f>
        <v>View Map</v>
      </c>
      <c r="G2360" s="2">
        <v>0.78173830051905535</v>
      </c>
    </row>
    <row r="2361" spans="1:7" x14ac:dyDescent="0.3">
      <c r="A2361" t="s">
        <v>4506</v>
      </c>
      <c r="B2361" t="s">
        <v>4507</v>
      </c>
      <c r="C2361" t="s">
        <v>214</v>
      </c>
      <c r="D2361">
        <v>3.875</v>
      </c>
      <c r="E2361" s="4">
        <v>1240</v>
      </c>
      <c r="F2361" t="str">
        <f>HYPERLINK("https://www.google.com/maps/search/?api=1&amp;query=25.55638288,45.68421005", "View Map")</f>
        <v>View Map</v>
      </c>
      <c r="G2361" s="2">
        <v>0.75125592889561843</v>
      </c>
    </row>
    <row r="2362" spans="1:7" x14ac:dyDescent="0.3">
      <c r="A2362" t="s">
        <v>4473</v>
      </c>
      <c r="B2362" t="s">
        <v>4474</v>
      </c>
      <c r="C2362" t="s">
        <v>8</v>
      </c>
      <c r="D2362">
        <v>3.8730000000000002</v>
      </c>
      <c r="E2362" s="4">
        <v>1239</v>
      </c>
      <c r="F2362" t="str">
        <f>HYPERLINK("https://www.google.com/maps/search/?api=1&amp;query=24.5956,46.7258", "View Map")</f>
        <v>View Map</v>
      </c>
      <c r="G2362" s="2">
        <v>0.71750478718199551</v>
      </c>
    </row>
    <row r="2363" spans="1:7" x14ac:dyDescent="0.3">
      <c r="A2363" t="s">
        <v>6680</v>
      </c>
      <c r="B2363" t="s">
        <v>6681</v>
      </c>
      <c r="C2363" t="s">
        <v>8</v>
      </c>
      <c r="D2363">
        <v>3.8719999999999999</v>
      </c>
      <c r="E2363" s="4">
        <v>1239</v>
      </c>
      <c r="F2363" t="str">
        <f>HYPERLINK("https://www.google.com/maps/search/?api=1&amp;query=24.84327773,46.76685246", "View Map")</f>
        <v>View Map</v>
      </c>
    </row>
    <row r="2364" spans="1:7" x14ac:dyDescent="0.3">
      <c r="A2364" t="s">
        <v>4387</v>
      </c>
      <c r="B2364" t="s">
        <v>4388</v>
      </c>
      <c r="C2364" t="s">
        <v>30</v>
      </c>
      <c r="D2364">
        <v>3.871</v>
      </c>
      <c r="E2364" s="4">
        <v>1239</v>
      </c>
      <c r="F2364" t="str">
        <f>HYPERLINK("https://www.google.com/maps/search/?api=1&amp;query=24.14812705,47.36014304", "View Map")</f>
        <v>View Map</v>
      </c>
    </row>
    <row r="2365" spans="1:7" x14ac:dyDescent="0.3">
      <c r="A2365" t="s">
        <v>2933</v>
      </c>
      <c r="B2365" t="s">
        <v>5028</v>
      </c>
      <c r="C2365" t="s">
        <v>8</v>
      </c>
      <c r="D2365">
        <v>3.871</v>
      </c>
      <c r="E2365" s="4">
        <v>1239</v>
      </c>
      <c r="F2365" t="str">
        <f>HYPERLINK("https://www.google.com/maps/search/?api=1&amp;query=24.79646133,46.70030065", "View Map")</f>
        <v>View Map</v>
      </c>
      <c r="G2365" s="2">
        <v>0.89657353716794608</v>
      </c>
    </row>
    <row r="2366" spans="1:7" x14ac:dyDescent="0.3">
      <c r="A2366" t="s">
        <v>682</v>
      </c>
      <c r="B2366" t="s">
        <v>683</v>
      </c>
      <c r="C2366" t="s">
        <v>8</v>
      </c>
      <c r="D2366">
        <v>3.8690000000000002</v>
      </c>
      <c r="E2366" s="4">
        <v>1238</v>
      </c>
      <c r="F2366" t="str">
        <f>HYPERLINK("https://www.google.com/maps/search/?api=1&amp;query=24.80437328,46.64869483", "View Map")</f>
        <v>View Map</v>
      </c>
      <c r="G2366" s="2">
        <v>0.21957850960417549</v>
      </c>
    </row>
    <row r="2367" spans="1:7" x14ac:dyDescent="0.3">
      <c r="A2367" t="s">
        <v>4587</v>
      </c>
      <c r="B2367" t="s">
        <v>4588</v>
      </c>
      <c r="C2367" t="s">
        <v>8</v>
      </c>
      <c r="D2367">
        <v>3.8690000000000002</v>
      </c>
      <c r="E2367" s="4">
        <v>1238</v>
      </c>
      <c r="F2367" t="str">
        <f>HYPERLINK("https://www.google.com/maps/search/?api=1&amp;query=24.60175366,46.77346194", "View Map")</f>
        <v>View Map</v>
      </c>
    </row>
    <row r="2368" spans="1:7" x14ac:dyDescent="0.3">
      <c r="A2368" t="s">
        <v>7996</v>
      </c>
      <c r="B2368" t="s">
        <v>7997</v>
      </c>
      <c r="C2368" t="s">
        <v>8</v>
      </c>
      <c r="D2368">
        <v>3.8650000000000002</v>
      </c>
      <c r="E2368" s="4">
        <v>1237</v>
      </c>
      <c r="F2368" t="str">
        <f>HYPERLINK("https://www.google.com/maps/search/?api=1&amp;query=24.67312695,46.72081699", "View Map")</f>
        <v>View Map</v>
      </c>
    </row>
    <row r="2369" spans="1:7" x14ac:dyDescent="0.3">
      <c r="A2369" t="s">
        <v>5160</v>
      </c>
      <c r="B2369" t="s">
        <v>5161</v>
      </c>
      <c r="C2369" t="s">
        <v>8</v>
      </c>
      <c r="D2369">
        <v>3.8650000000000002</v>
      </c>
      <c r="E2369" s="4">
        <v>1237</v>
      </c>
      <c r="F2369" t="str">
        <f>HYPERLINK("https://www.google.com/maps/search/?api=1&amp;query=24.67236649,46.66822635", "View Map")</f>
        <v>View Map</v>
      </c>
    </row>
    <row r="2370" spans="1:7" x14ac:dyDescent="0.3">
      <c r="A2370" t="s">
        <v>2122</v>
      </c>
      <c r="B2370" t="s">
        <v>4862</v>
      </c>
      <c r="C2370" t="s">
        <v>8</v>
      </c>
      <c r="D2370">
        <v>3.8639999999999999</v>
      </c>
      <c r="E2370" s="4">
        <v>1236</v>
      </c>
      <c r="F2370" t="str">
        <f>HYPERLINK("https://www.google.com/maps/search/?api=1&amp;query=24.82515323,46.78374478", "View Map")</f>
        <v>View Map</v>
      </c>
      <c r="G2370" s="2">
        <v>0.8816112645975055</v>
      </c>
    </row>
    <row r="2371" spans="1:7" x14ac:dyDescent="0.3">
      <c r="A2371" t="s">
        <v>3573</v>
      </c>
      <c r="B2371" t="s">
        <v>3574</v>
      </c>
      <c r="C2371" t="s">
        <v>8</v>
      </c>
      <c r="D2371">
        <v>3.8620000000000001</v>
      </c>
      <c r="E2371" s="4">
        <v>1236</v>
      </c>
      <c r="F2371" t="str">
        <f>HYPERLINK("https://www.google.com/maps/search/?api=1&amp;query=24.68892005,46.69555586", "View Map")</f>
        <v>View Map</v>
      </c>
    </row>
    <row r="2372" spans="1:7" x14ac:dyDescent="0.3">
      <c r="A2372" t="s">
        <v>3986</v>
      </c>
      <c r="B2372" t="s">
        <v>3987</v>
      </c>
      <c r="C2372" t="s">
        <v>8</v>
      </c>
      <c r="D2372">
        <v>3.8620000000000001</v>
      </c>
      <c r="E2372" s="4">
        <v>1236</v>
      </c>
      <c r="F2372" t="str">
        <f>HYPERLINK("https://www.google.com/maps/search/?api=1&amp;query=24.81607109,46.6096124", "View Map")</f>
        <v>View Map</v>
      </c>
    </row>
    <row r="2373" spans="1:7" x14ac:dyDescent="0.3">
      <c r="A2373" t="s">
        <v>4354</v>
      </c>
      <c r="B2373" t="s">
        <v>4355</v>
      </c>
      <c r="C2373" t="s">
        <v>8</v>
      </c>
      <c r="D2373">
        <v>3.86</v>
      </c>
      <c r="E2373" s="4">
        <v>1235</v>
      </c>
      <c r="F2373" t="str">
        <f>HYPERLINK("https://www.google.com/maps/search/?api=1&amp;query=24.665809,46.71244387", "View Map")</f>
        <v>View Map</v>
      </c>
    </row>
    <row r="2374" spans="1:7" x14ac:dyDescent="0.3">
      <c r="A2374" t="s">
        <v>4589</v>
      </c>
      <c r="B2374" t="s">
        <v>4590</v>
      </c>
      <c r="C2374" t="s">
        <v>364</v>
      </c>
      <c r="D2374">
        <v>3.8570000000000002</v>
      </c>
      <c r="E2374" s="4">
        <v>1234</v>
      </c>
      <c r="F2374" t="str">
        <f>HYPERLINK("https://www.google.com/maps/search/?api=1&amp;query=25.20231899,45.85652942", "View Map")</f>
        <v>View Map</v>
      </c>
      <c r="G2374" s="2">
        <v>0.72707571830916717</v>
      </c>
    </row>
    <row r="2375" spans="1:7" x14ac:dyDescent="0.3">
      <c r="A2375" t="s">
        <v>4562</v>
      </c>
      <c r="B2375" t="s">
        <v>4563</v>
      </c>
      <c r="C2375" t="s">
        <v>30</v>
      </c>
      <c r="D2375">
        <v>3.8559999999999999</v>
      </c>
      <c r="E2375" s="4">
        <v>1234</v>
      </c>
      <c r="F2375" t="str">
        <f>HYPERLINK("https://www.google.com/maps/search/?api=1&amp;query=24.10897225,47.27751586", "View Map")</f>
        <v>View Map</v>
      </c>
      <c r="G2375" s="2">
        <v>0.766108833740345</v>
      </c>
    </row>
    <row r="2376" spans="1:7" x14ac:dyDescent="0.3">
      <c r="A2376" t="s">
        <v>5805</v>
      </c>
      <c r="B2376" t="s">
        <v>5806</v>
      </c>
      <c r="C2376" t="s">
        <v>8</v>
      </c>
      <c r="D2376">
        <v>3.8559999999999999</v>
      </c>
      <c r="E2376" s="4">
        <v>1234</v>
      </c>
      <c r="F2376" t="str">
        <f>HYPERLINK("https://www.google.com/maps/search/?api=1&amp;query=24.74180542,46.67161672", "View Map")</f>
        <v>View Map</v>
      </c>
    </row>
    <row r="2377" spans="1:7" x14ac:dyDescent="0.3">
      <c r="A2377" t="s">
        <v>9052</v>
      </c>
      <c r="B2377" t="s">
        <v>9053</v>
      </c>
      <c r="C2377" t="s">
        <v>296</v>
      </c>
      <c r="D2377">
        <v>3.8540000000000001</v>
      </c>
      <c r="E2377" s="4">
        <v>1233</v>
      </c>
      <c r="F2377" t="str">
        <f>HYPERLINK("https://www.google.com/maps/search/?api=1&amp;query=24.49145973,46.31139581", "View Map")</f>
        <v>View Map</v>
      </c>
    </row>
    <row r="2378" spans="1:7" x14ac:dyDescent="0.3">
      <c r="A2378" t="s">
        <v>1737</v>
      </c>
      <c r="B2378" t="s">
        <v>1738</v>
      </c>
      <c r="C2378" t="s">
        <v>8</v>
      </c>
      <c r="D2378">
        <v>3.8519999999999999</v>
      </c>
      <c r="E2378" s="4">
        <v>1233</v>
      </c>
      <c r="F2378" t="str">
        <f>HYPERLINK("https://www.google.com/maps/search/?api=1&amp;query=24.79693803,46.79002441", "View Map")</f>
        <v>View Map</v>
      </c>
    </row>
    <row r="2379" spans="1:7" x14ac:dyDescent="0.3">
      <c r="A2379" t="s">
        <v>6150</v>
      </c>
      <c r="B2379" t="s">
        <v>6151</v>
      </c>
      <c r="C2379" t="s">
        <v>1112</v>
      </c>
      <c r="D2379">
        <v>3.8490000000000002</v>
      </c>
      <c r="E2379" s="4">
        <v>1232</v>
      </c>
      <c r="F2379" t="str">
        <f>HYPERLINK("https://www.google.com/maps/search/?api=1&amp;query=26.0289987,44.94902882", "View Map")</f>
        <v>View Map</v>
      </c>
      <c r="G2379" s="2">
        <v>0.60540277811160281</v>
      </c>
    </row>
    <row r="2380" spans="1:7" x14ac:dyDescent="0.3">
      <c r="A2380" t="s">
        <v>6130</v>
      </c>
      <c r="B2380" t="s">
        <v>6131</v>
      </c>
      <c r="C2380" t="s">
        <v>8</v>
      </c>
      <c r="D2380">
        <v>3.8490000000000002</v>
      </c>
      <c r="E2380" s="4">
        <v>1232</v>
      </c>
      <c r="F2380" t="str">
        <f>HYPERLINK("https://www.google.com/maps/search/?api=1&amp;query=24.76601997,46.75354432", "View Map")</f>
        <v>View Map</v>
      </c>
    </row>
    <row r="2381" spans="1:7" x14ac:dyDescent="0.3">
      <c r="A2381" t="s">
        <v>5240</v>
      </c>
      <c r="B2381" t="s">
        <v>5241</v>
      </c>
      <c r="C2381" t="s">
        <v>8</v>
      </c>
      <c r="D2381">
        <v>3.8490000000000002</v>
      </c>
      <c r="E2381" s="4">
        <v>1232</v>
      </c>
      <c r="F2381" t="str">
        <f>HYPERLINK("https://www.google.com/maps/search/?api=1&amp;query=24.5756853,46.76371107", "View Map")</f>
        <v>View Map</v>
      </c>
    </row>
    <row r="2382" spans="1:7" x14ac:dyDescent="0.3">
      <c r="A2382" t="s">
        <v>4923</v>
      </c>
      <c r="B2382" t="s">
        <v>4924</v>
      </c>
      <c r="C2382" t="s">
        <v>8</v>
      </c>
      <c r="D2382">
        <v>3.847</v>
      </c>
      <c r="E2382" s="4">
        <v>1231</v>
      </c>
      <c r="F2382" t="str">
        <f>HYPERLINK("https://www.google.com/maps/search/?api=1&amp;query=24.6398036,46.71630179", "View Map")</f>
        <v>View Map</v>
      </c>
    </row>
    <row r="2383" spans="1:7" x14ac:dyDescent="0.3">
      <c r="A2383" t="s">
        <v>3757</v>
      </c>
      <c r="B2383" t="s">
        <v>3758</v>
      </c>
      <c r="C2383" t="s">
        <v>21</v>
      </c>
      <c r="D2383">
        <v>3.843</v>
      </c>
      <c r="E2383" s="4">
        <v>1230</v>
      </c>
      <c r="F2383" t="str">
        <f>HYPERLINK("https://www.google.com/maps/search/?api=1&amp;query=26.30380312,44.82339541", "View Map")</f>
        <v>View Map</v>
      </c>
      <c r="G2383" s="2">
        <v>0.71308089776769268</v>
      </c>
    </row>
    <row r="2384" spans="1:7" x14ac:dyDescent="0.3">
      <c r="A2384" t="s">
        <v>3600</v>
      </c>
      <c r="B2384" t="s">
        <v>3601</v>
      </c>
      <c r="C2384" t="s">
        <v>255</v>
      </c>
      <c r="D2384">
        <v>3.8410000000000002</v>
      </c>
      <c r="E2384" s="4">
        <v>1229</v>
      </c>
      <c r="F2384" t="str">
        <f>HYPERLINK("https://www.google.com/maps/search/?api=1&amp;query=24.53208793,44.41648194", "View Map")</f>
        <v>View Map</v>
      </c>
      <c r="G2384" s="2">
        <v>0.73231244431976739</v>
      </c>
    </row>
    <row r="2385" spans="1:7" x14ac:dyDescent="0.3">
      <c r="A2385" t="s">
        <v>4774</v>
      </c>
      <c r="B2385" t="s">
        <v>4775</v>
      </c>
      <c r="C2385" t="s">
        <v>214</v>
      </c>
      <c r="D2385">
        <v>3.8410000000000002</v>
      </c>
      <c r="E2385" s="4">
        <v>1229</v>
      </c>
      <c r="F2385" t="str">
        <f>HYPERLINK("https://www.google.com/maps/search/?api=1&amp;query=25.69374397,45.88209094", "View Map")</f>
        <v>View Map</v>
      </c>
      <c r="G2385" s="2">
        <v>0.72057523061343043</v>
      </c>
    </row>
    <row r="2386" spans="1:7" x14ac:dyDescent="0.3">
      <c r="A2386" t="s">
        <v>46</v>
      </c>
      <c r="B2386" t="s">
        <v>9447</v>
      </c>
      <c r="C2386" t="s">
        <v>8</v>
      </c>
      <c r="D2386">
        <v>3.8410000000000002</v>
      </c>
      <c r="E2386" s="4">
        <v>1229</v>
      </c>
      <c r="F2386" t="str">
        <f>HYPERLINK("https://www.google.com/maps/search/?api=1&amp;query=24.84628117,46.7715538", "View Map")</f>
        <v>View Map</v>
      </c>
    </row>
    <row r="2387" spans="1:7" x14ac:dyDescent="0.3">
      <c r="A2387" t="s">
        <v>9045</v>
      </c>
      <c r="B2387" t="s">
        <v>9046</v>
      </c>
      <c r="C2387" t="s">
        <v>286</v>
      </c>
      <c r="D2387">
        <v>3.84</v>
      </c>
      <c r="E2387" s="4">
        <v>1229</v>
      </c>
      <c r="F2387" t="str">
        <f>HYPERLINK("https://www.google.com/maps/search/?api=1&amp;query=25.23227944,45.31688893", "View Map")</f>
        <v>View Map</v>
      </c>
      <c r="G2387" s="2">
        <v>0.48782531386880312</v>
      </c>
    </row>
    <row r="2388" spans="1:7" x14ac:dyDescent="0.3">
      <c r="A2388" t="s">
        <v>5423</v>
      </c>
      <c r="B2388" t="s">
        <v>5424</v>
      </c>
      <c r="C2388" t="s">
        <v>8</v>
      </c>
      <c r="D2388">
        <v>3.839</v>
      </c>
      <c r="E2388" s="4">
        <v>1228</v>
      </c>
      <c r="F2388" t="str">
        <f>HYPERLINK("https://www.google.com/maps/search/?api=1&amp;query=24.77643803,46.74750749", "View Map")</f>
        <v>View Map</v>
      </c>
    </row>
    <row r="2389" spans="1:7" x14ac:dyDescent="0.3">
      <c r="A2389" t="s">
        <v>2790</v>
      </c>
      <c r="B2389" t="s">
        <v>2791</v>
      </c>
      <c r="C2389" t="s">
        <v>8</v>
      </c>
      <c r="D2389">
        <v>3.839</v>
      </c>
      <c r="E2389" s="4">
        <v>1228</v>
      </c>
      <c r="F2389" t="str">
        <f>HYPERLINK("https://www.google.com/maps/search/?api=1&amp;query=24.68756,46.64633", "View Map")</f>
        <v>View Map</v>
      </c>
    </row>
    <row r="2390" spans="1:7" x14ac:dyDescent="0.3">
      <c r="A2390" t="s">
        <v>8071</v>
      </c>
      <c r="B2390" t="s">
        <v>8072</v>
      </c>
      <c r="C2390" t="s">
        <v>214</v>
      </c>
      <c r="D2390">
        <v>3.839</v>
      </c>
      <c r="E2390" s="4">
        <v>1229</v>
      </c>
      <c r="F2390" t="str">
        <f>HYPERLINK("https://www.google.com/maps/search/?api=1&amp;query=25.69624527,45.89435294", "View Map")</f>
        <v>View Map</v>
      </c>
      <c r="G2390" s="2">
        <v>0.55243634946992159</v>
      </c>
    </row>
    <row r="2391" spans="1:7" x14ac:dyDescent="0.3">
      <c r="A2391" t="s">
        <v>4159</v>
      </c>
      <c r="B2391" t="s">
        <v>4160</v>
      </c>
      <c r="C2391" t="s">
        <v>8</v>
      </c>
      <c r="D2391">
        <v>3.8380000000000001</v>
      </c>
      <c r="E2391" s="4">
        <v>1228</v>
      </c>
      <c r="F2391" t="str">
        <f>HYPERLINK("https://www.google.com/maps/search/?api=1&amp;query=24.59101026,46.77835503", "View Map")</f>
        <v>View Map</v>
      </c>
    </row>
    <row r="2392" spans="1:7" x14ac:dyDescent="0.3">
      <c r="A2392" t="s">
        <v>4020</v>
      </c>
      <c r="B2392" t="s">
        <v>4021</v>
      </c>
      <c r="C2392" t="s">
        <v>296</v>
      </c>
      <c r="D2392">
        <v>3.8380000000000001</v>
      </c>
      <c r="E2392" s="4">
        <v>1228</v>
      </c>
      <c r="F2392" t="str">
        <f>HYPERLINK("https://www.google.com/maps/search/?api=1&amp;query=24.42853834,46.1992681", "View Map")</f>
        <v>View Map</v>
      </c>
      <c r="G2392" s="2">
        <v>0.83234719669394497</v>
      </c>
    </row>
    <row r="2393" spans="1:7" x14ac:dyDescent="0.3">
      <c r="A2393" t="s">
        <v>28</v>
      </c>
      <c r="B2393" t="s">
        <v>5720</v>
      </c>
      <c r="C2393" t="s">
        <v>30</v>
      </c>
      <c r="D2393">
        <v>3.8370000000000002</v>
      </c>
      <c r="E2393" s="4">
        <v>1228</v>
      </c>
      <c r="F2393" t="str">
        <f>HYPERLINK("https://www.google.com/maps/search/?api=1&amp;query=24.0945035,47.27503035", "View Map")</f>
        <v>View Map</v>
      </c>
      <c r="G2393" s="2">
        <v>0.53448035270881078</v>
      </c>
    </row>
    <row r="2394" spans="1:7" x14ac:dyDescent="0.3">
      <c r="A2394" t="s">
        <v>5135</v>
      </c>
      <c r="B2394" t="s">
        <v>5136</v>
      </c>
      <c r="C2394" t="s">
        <v>8</v>
      </c>
      <c r="D2394">
        <v>3.8370000000000002</v>
      </c>
      <c r="E2394" s="4">
        <v>1228</v>
      </c>
      <c r="F2394" t="str">
        <f>HYPERLINK("https://www.google.com/maps/search/?api=1&amp;query=24.72774824,46.67033249", "View Map")</f>
        <v>View Map</v>
      </c>
    </row>
    <row r="2395" spans="1:7" x14ac:dyDescent="0.3">
      <c r="A2395" t="s">
        <v>4303</v>
      </c>
      <c r="B2395" t="s">
        <v>4304</v>
      </c>
      <c r="C2395" t="s">
        <v>1112</v>
      </c>
      <c r="D2395">
        <v>3.8359999999999999</v>
      </c>
      <c r="E2395" s="4">
        <v>1228</v>
      </c>
      <c r="F2395" t="str">
        <f>HYPERLINK("https://www.google.com/maps/search/?api=1&amp;query=25.92754625,44.88750321", "View Map")</f>
        <v>View Map</v>
      </c>
      <c r="G2395" s="2">
        <v>0.76302188705928042</v>
      </c>
    </row>
    <row r="2396" spans="1:7" x14ac:dyDescent="0.3">
      <c r="A2396" t="s">
        <v>627</v>
      </c>
      <c r="B2396" t="s">
        <v>7901</v>
      </c>
      <c r="C2396" t="s">
        <v>8</v>
      </c>
      <c r="D2396">
        <v>3.835</v>
      </c>
      <c r="E2396" s="4">
        <v>1227</v>
      </c>
      <c r="F2396" t="str">
        <f>HYPERLINK("https://www.google.com/maps/search/?api=1&amp;query=24.63892197,46.61882601", "View Map")</f>
        <v>View Map</v>
      </c>
    </row>
    <row r="2397" spans="1:7" x14ac:dyDescent="0.3">
      <c r="A2397" t="s">
        <v>7147</v>
      </c>
      <c r="B2397" t="s">
        <v>7148</v>
      </c>
      <c r="C2397" t="s">
        <v>255</v>
      </c>
      <c r="D2397">
        <v>3.8340000000000001</v>
      </c>
      <c r="E2397" s="4">
        <v>1227</v>
      </c>
      <c r="F2397" t="str">
        <f>HYPERLINK("https://www.google.com/maps/search/?api=1&amp;query=24.53839163,44.41077419", "View Map")</f>
        <v>View Map</v>
      </c>
      <c r="G2397" s="2">
        <v>0.76376865399501481</v>
      </c>
    </row>
    <row r="2398" spans="1:7" x14ac:dyDescent="0.3">
      <c r="A2398" t="s">
        <v>5043</v>
      </c>
      <c r="B2398" t="s">
        <v>5044</v>
      </c>
      <c r="C2398" t="s">
        <v>393</v>
      </c>
      <c r="D2398">
        <v>3.8330000000000002</v>
      </c>
      <c r="E2398" s="4">
        <v>1226</v>
      </c>
      <c r="F2398" t="str">
        <f>HYPERLINK("https://www.google.com/maps/search/?api=1&amp;query=23.55895325,45.45631645", "View Map")</f>
        <v>View Map</v>
      </c>
      <c r="G2398" s="2">
        <v>0.87790756696963801</v>
      </c>
    </row>
    <row r="2399" spans="1:7" x14ac:dyDescent="0.3">
      <c r="A2399" t="s">
        <v>3482</v>
      </c>
      <c r="B2399" t="s">
        <v>3483</v>
      </c>
      <c r="C2399" t="s">
        <v>8</v>
      </c>
      <c r="D2399">
        <v>3.8330000000000002</v>
      </c>
      <c r="E2399" s="4">
        <v>1227</v>
      </c>
      <c r="F2399" t="str">
        <f>HYPERLINK("https://www.google.com/maps/search/?api=1&amp;query=24.66404451,46.78965257", "View Map")</f>
        <v>View Map</v>
      </c>
    </row>
    <row r="2400" spans="1:7" x14ac:dyDescent="0.3">
      <c r="A2400" t="s">
        <v>4938</v>
      </c>
      <c r="B2400" t="s">
        <v>4939</v>
      </c>
      <c r="C2400" t="s">
        <v>55</v>
      </c>
      <c r="D2400">
        <v>3.831</v>
      </c>
      <c r="E2400" s="4">
        <v>1226</v>
      </c>
      <c r="F2400" t="str">
        <f>HYPERLINK("https://www.google.com/maps/search/?api=1&amp;query=24.74571002,46.35579148", "View Map")</f>
        <v>View Map</v>
      </c>
    </row>
    <row r="2401" spans="1:7" x14ac:dyDescent="0.3">
      <c r="A2401" t="s">
        <v>678</v>
      </c>
      <c r="B2401" t="s">
        <v>4557</v>
      </c>
      <c r="C2401" t="s">
        <v>21</v>
      </c>
      <c r="D2401">
        <v>3.831</v>
      </c>
      <c r="E2401" s="4">
        <v>1226</v>
      </c>
      <c r="F2401" t="str">
        <f>HYPERLINK("https://www.google.com/maps/search/?api=1&amp;query=26.33728128,44.81793767", "View Map")</f>
        <v>View Map</v>
      </c>
      <c r="G2401" s="2">
        <v>0.74939266558330597</v>
      </c>
    </row>
    <row r="2402" spans="1:7" x14ac:dyDescent="0.3">
      <c r="A2402" t="s">
        <v>3755</v>
      </c>
      <c r="B2402" t="s">
        <v>3756</v>
      </c>
      <c r="C2402" t="s">
        <v>8</v>
      </c>
      <c r="D2402">
        <v>3.827</v>
      </c>
      <c r="E2402" s="4">
        <v>1224</v>
      </c>
      <c r="F2402" t="str">
        <f>HYPERLINK("https://www.google.com/maps/search/?api=1&amp;query=24.61747763,46.68053083", "View Map")</f>
        <v>View Map</v>
      </c>
    </row>
    <row r="2403" spans="1:7" x14ac:dyDescent="0.3">
      <c r="A2403" t="s">
        <v>6218</v>
      </c>
      <c r="B2403" t="s">
        <v>6219</v>
      </c>
      <c r="C2403" t="s">
        <v>8</v>
      </c>
      <c r="D2403">
        <v>3.8260000000000001</v>
      </c>
      <c r="E2403" s="4">
        <v>1224</v>
      </c>
      <c r="F2403" t="str">
        <f>HYPERLINK("https://www.google.com/maps/search/?api=1&amp;query=24.65926793,46.62618742", "View Map")</f>
        <v>View Map</v>
      </c>
    </row>
    <row r="2404" spans="1:7" x14ac:dyDescent="0.3">
      <c r="A2404" t="s">
        <v>2769</v>
      </c>
      <c r="B2404" t="s">
        <v>2770</v>
      </c>
      <c r="C2404" t="s">
        <v>466</v>
      </c>
      <c r="D2404">
        <v>3.8239999999999998</v>
      </c>
      <c r="E2404" s="4">
        <v>1224</v>
      </c>
      <c r="F2404" t="str">
        <f>HYPERLINK("https://www.google.com/maps/search/?api=1&amp;query=24.50587939,46.35950958", "View Map")</f>
        <v>View Map</v>
      </c>
    </row>
    <row r="2405" spans="1:7" x14ac:dyDescent="0.3">
      <c r="A2405" t="s">
        <v>9833</v>
      </c>
      <c r="B2405" t="s">
        <v>9834</v>
      </c>
      <c r="C2405" t="s">
        <v>8</v>
      </c>
      <c r="D2405">
        <v>3.8239999999999998</v>
      </c>
      <c r="E2405" s="4">
        <v>1224</v>
      </c>
      <c r="F2405" t="str">
        <f>HYPERLINK("https://www.google.com/maps/search/?api=1&amp;query=24.54926874,46.70853761", "View Map")</f>
        <v>View Map</v>
      </c>
    </row>
    <row r="2406" spans="1:7" x14ac:dyDescent="0.3">
      <c r="A2406" t="s">
        <v>9652</v>
      </c>
      <c r="B2406" t="s">
        <v>9653</v>
      </c>
      <c r="C2406" t="s">
        <v>8</v>
      </c>
      <c r="D2406">
        <v>3.823</v>
      </c>
      <c r="E2406" s="4">
        <v>1223</v>
      </c>
      <c r="F2406" t="str">
        <f>HYPERLINK("https://www.google.com/maps/search/?api=1&amp;query=24.69487303,46.80547083", "View Map")</f>
        <v>View Map</v>
      </c>
    </row>
    <row r="2407" spans="1:7" x14ac:dyDescent="0.3">
      <c r="A2407" t="s">
        <v>4186</v>
      </c>
      <c r="B2407" t="s">
        <v>4187</v>
      </c>
      <c r="C2407" t="s">
        <v>21</v>
      </c>
      <c r="D2407">
        <v>3.8220000000000001</v>
      </c>
      <c r="E2407" s="4">
        <v>1223</v>
      </c>
      <c r="F2407" t="str">
        <f>HYPERLINK("https://www.google.com/maps/search/?api=1&amp;query=26.30360038,44.81267354", "View Map")</f>
        <v>View Map</v>
      </c>
      <c r="G2407" s="2">
        <v>0.5446770150828899</v>
      </c>
    </row>
    <row r="2408" spans="1:7" x14ac:dyDescent="0.3">
      <c r="A2408" t="s">
        <v>5418</v>
      </c>
      <c r="B2408" t="s">
        <v>5419</v>
      </c>
      <c r="C2408" t="s">
        <v>8</v>
      </c>
      <c r="D2408">
        <v>3.8220000000000001</v>
      </c>
      <c r="E2408" s="4">
        <v>1223</v>
      </c>
      <c r="F2408" t="str">
        <f>HYPERLINK("https://www.google.com/maps/search/?api=1&amp;query=24.59015362,46.66312236", "View Map")</f>
        <v>View Map</v>
      </c>
    </row>
    <row r="2409" spans="1:7" x14ac:dyDescent="0.3">
      <c r="A2409" t="s">
        <v>146</v>
      </c>
      <c r="B2409" t="s">
        <v>8383</v>
      </c>
      <c r="C2409" t="s">
        <v>55</v>
      </c>
      <c r="D2409">
        <v>3.8210000000000002</v>
      </c>
      <c r="E2409" s="4">
        <v>1223</v>
      </c>
      <c r="F2409" t="str">
        <f>HYPERLINK("https://www.google.com/maps/search/?api=1&amp;query=24.90602576,46.42934811", "View Map")</f>
        <v>View Map</v>
      </c>
    </row>
    <row r="2410" spans="1:7" x14ac:dyDescent="0.3">
      <c r="A2410" t="s">
        <v>46</v>
      </c>
      <c r="B2410" t="s">
        <v>8472</v>
      </c>
      <c r="C2410" t="s">
        <v>820</v>
      </c>
      <c r="D2410">
        <v>3.82</v>
      </c>
      <c r="E2410" s="4">
        <v>1223</v>
      </c>
      <c r="F2410" t="str">
        <f>HYPERLINK("https://www.google.com/maps/search/?api=1&amp;query=0.0,0.0", "View Map")</f>
        <v>View Map</v>
      </c>
    </row>
    <row r="2411" spans="1:7" x14ac:dyDescent="0.3">
      <c r="A2411" t="s">
        <v>4460</v>
      </c>
      <c r="B2411" t="s">
        <v>4461</v>
      </c>
      <c r="C2411" t="s">
        <v>393</v>
      </c>
      <c r="D2411">
        <v>3.8180000000000001</v>
      </c>
      <c r="E2411" s="4">
        <v>1222</v>
      </c>
      <c r="F2411" t="str">
        <f>HYPERLINK("https://www.google.com/maps/search/?api=1&amp;query=23.3055121,45.15773134", "View Map")</f>
        <v>View Map</v>
      </c>
      <c r="G2411" s="2">
        <v>0.89966787072602117</v>
      </c>
    </row>
    <row r="2412" spans="1:7" x14ac:dyDescent="0.3">
      <c r="A2412" t="s">
        <v>46</v>
      </c>
      <c r="B2412" t="s">
        <v>424</v>
      </c>
      <c r="C2412" t="s">
        <v>8</v>
      </c>
      <c r="D2412">
        <v>3.8170000000000002</v>
      </c>
      <c r="E2412" s="4">
        <v>1222</v>
      </c>
      <c r="F2412" t="str">
        <f>HYPERLINK("https://www.google.com/maps/search/?api=1&amp;query=24.86698,46.62094", "View Map")</f>
        <v>View Map</v>
      </c>
      <c r="G2412" s="2">
        <v>0.1513347693717203</v>
      </c>
    </row>
    <row r="2413" spans="1:7" x14ac:dyDescent="0.3">
      <c r="A2413" t="s">
        <v>9680</v>
      </c>
      <c r="B2413" t="s">
        <v>9681</v>
      </c>
      <c r="C2413" t="s">
        <v>8</v>
      </c>
      <c r="D2413">
        <v>3.8170000000000002</v>
      </c>
      <c r="E2413" s="4">
        <v>1221</v>
      </c>
      <c r="F2413" t="str">
        <f>HYPERLINK("https://www.google.com/maps/search/?api=1&amp;query=24.57511972,46.6178974", "View Map")</f>
        <v>View Map</v>
      </c>
    </row>
    <row r="2414" spans="1:7" x14ac:dyDescent="0.3">
      <c r="A2414" t="s">
        <v>6505</v>
      </c>
      <c r="B2414" t="s">
        <v>6506</v>
      </c>
      <c r="C2414" t="s">
        <v>21</v>
      </c>
      <c r="D2414">
        <v>3.8170000000000002</v>
      </c>
      <c r="E2414" s="4">
        <v>1221</v>
      </c>
      <c r="F2414" t="str">
        <f>HYPERLINK("https://www.google.com/maps/search/?api=1&amp;query=26.31630654,44.81876132", "View Map")</f>
        <v>View Map</v>
      </c>
    </row>
    <row r="2415" spans="1:7" x14ac:dyDescent="0.3">
      <c r="A2415" t="s">
        <v>11366</v>
      </c>
      <c r="B2415" t="s">
        <v>11367</v>
      </c>
      <c r="C2415" t="s">
        <v>30</v>
      </c>
      <c r="D2415">
        <v>3.8170000000000002</v>
      </c>
      <c r="E2415" s="4">
        <v>1221</v>
      </c>
      <c r="F2415" t="str">
        <f>HYPERLINK("https://www.google.com/maps/search/?api=1&amp;query=24.17103224,47.31241487", "View Map")</f>
        <v>View Map</v>
      </c>
    </row>
    <row r="2416" spans="1:7" x14ac:dyDescent="0.3">
      <c r="A2416" t="s">
        <v>1002</v>
      </c>
      <c r="B2416" t="s">
        <v>4679</v>
      </c>
      <c r="C2416" t="s">
        <v>214</v>
      </c>
      <c r="D2416">
        <v>3.8170000000000002</v>
      </c>
      <c r="E2416" s="4">
        <v>1221</v>
      </c>
      <c r="F2416" t="str">
        <f>HYPERLINK("https://www.google.com/maps/search/?api=1&amp;query=25.92774426,45.39099149", "View Map")</f>
        <v>View Map</v>
      </c>
      <c r="G2416" s="2">
        <v>0.66811422481816829</v>
      </c>
    </row>
    <row r="2417" spans="1:7" x14ac:dyDescent="0.3">
      <c r="A2417" t="s">
        <v>6284</v>
      </c>
      <c r="B2417" t="s">
        <v>6285</v>
      </c>
      <c r="C2417" t="s">
        <v>291</v>
      </c>
      <c r="D2417">
        <v>3.8149999999999999</v>
      </c>
      <c r="E2417" s="4">
        <v>1221</v>
      </c>
      <c r="F2417" t="str">
        <f>HYPERLINK("https://www.google.com/maps/search/?api=1&amp;query=24.1745913,44.95231593", "View Map")</f>
        <v>View Map</v>
      </c>
      <c r="G2417" s="2">
        <v>0.7805474042341608</v>
      </c>
    </row>
    <row r="2418" spans="1:7" x14ac:dyDescent="0.3">
      <c r="A2418" t="s">
        <v>963</v>
      </c>
      <c r="B2418" t="s">
        <v>5719</v>
      </c>
      <c r="C2418" t="s">
        <v>241</v>
      </c>
      <c r="D2418">
        <v>3.8130000000000002</v>
      </c>
      <c r="E2418" s="4">
        <v>1220</v>
      </c>
      <c r="F2418" t="str">
        <f>HYPERLINK("https://www.google.com/maps/search/?api=1&amp;query=20.45170448,44.84871395", "View Map")</f>
        <v>View Map</v>
      </c>
    </row>
    <row r="2419" spans="1:7" x14ac:dyDescent="0.3">
      <c r="A2419" t="s">
        <v>46</v>
      </c>
      <c r="B2419" t="s">
        <v>11368</v>
      </c>
      <c r="C2419" t="s">
        <v>8</v>
      </c>
      <c r="D2419">
        <v>3.81</v>
      </c>
      <c r="E2419" s="4">
        <v>1219</v>
      </c>
      <c r="F2419" t="str">
        <f>HYPERLINK("https://www.google.com/maps/search/?api=1&amp;query=24.73184565,46.85167442", "View Map")</f>
        <v>View Map</v>
      </c>
    </row>
    <row r="2420" spans="1:7" x14ac:dyDescent="0.3">
      <c r="A2420" t="s">
        <v>7947</v>
      </c>
      <c r="B2420" t="s">
        <v>7948</v>
      </c>
      <c r="C2420" t="s">
        <v>8</v>
      </c>
      <c r="D2420">
        <v>3.81</v>
      </c>
      <c r="E2420" s="4">
        <v>1219</v>
      </c>
      <c r="F2420" t="str">
        <f>HYPERLINK("https://www.google.com/maps/search/?api=1&amp;query=24.6258664,46.76179574", "View Map")</f>
        <v>View Map</v>
      </c>
    </row>
    <row r="2421" spans="1:7" x14ac:dyDescent="0.3">
      <c r="A2421" t="s">
        <v>4052</v>
      </c>
      <c r="B2421" t="s">
        <v>4053</v>
      </c>
      <c r="C2421" t="s">
        <v>8</v>
      </c>
      <c r="D2421">
        <v>3.8090000000000002</v>
      </c>
      <c r="E2421" s="4">
        <v>1219</v>
      </c>
      <c r="F2421" t="str">
        <f>HYPERLINK("https://www.google.com/maps/search/?api=1&amp;query=24.6547944,46.67522804", "View Map")</f>
        <v>View Map</v>
      </c>
    </row>
    <row r="2422" spans="1:7" x14ac:dyDescent="0.3">
      <c r="A2422" t="s">
        <v>6708</v>
      </c>
      <c r="B2422" t="s">
        <v>6709</v>
      </c>
      <c r="C2422" t="s">
        <v>291</v>
      </c>
      <c r="D2422">
        <v>3.8069999999999999</v>
      </c>
      <c r="E2422" s="4">
        <v>1218</v>
      </c>
      <c r="F2422" t="str">
        <f>HYPERLINK("https://www.google.com/maps/search/?api=1&amp;query=23.25018693,44.64763903", "View Map")</f>
        <v>View Map</v>
      </c>
      <c r="G2422" s="2">
        <v>0.4873120997085213</v>
      </c>
    </row>
    <row r="2423" spans="1:7" x14ac:dyDescent="0.3">
      <c r="A2423" t="s">
        <v>150</v>
      </c>
      <c r="B2423" t="s">
        <v>4458</v>
      </c>
      <c r="C2423" t="s">
        <v>8</v>
      </c>
      <c r="D2423">
        <v>3.806</v>
      </c>
      <c r="E2423" s="4">
        <v>1218</v>
      </c>
      <c r="F2423" t="str">
        <f>HYPERLINK("https://www.google.com/maps/search/?api=1&amp;query=24.7578456,46.84093192", "View Map")</f>
        <v>View Map</v>
      </c>
    </row>
    <row r="2424" spans="1:7" x14ac:dyDescent="0.3">
      <c r="A2424" t="s">
        <v>8944</v>
      </c>
      <c r="B2424" t="s">
        <v>8945</v>
      </c>
      <c r="C2424" t="s">
        <v>137</v>
      </c>
      <c r="D2424">
        <v>3.8050000000000002</v>
      </c>
      <c r="E2424" s="4">
        <v>1217</v>
      </c>
      <c r="F2424" t="str">
        <f>HYPERLINK("https://www.google.com/maps/search/?api=1&amp;query=23.44062939,46.78399949", "View Map")</f>
        <v>View Map</v>
      </c>
    </row>
    <row r="2425" spans="1:7" x14ac:dyDescent="0.3">
      <c r="A2425" t="s">
        <v>4552</v>
      </c>
      <c r="B2425" t="s">
        <v>4553</v>
      </c>
      <c r="C2425" t="s">
        <v>8</v>
      </c>
      <c r="D2425">
        <v>3.8050000000000002</v>
      </c>
      <c r="E2425" s="4">
        <v>1218</v>
      </c>
      <c r="F2425" t="str">
        <f>HYPERLINK("https://www.google.com/maps/search/?api=1&amp;query=24.76831581,46.61218218", "View Map")</f>
        <v>View Map</v>
      </c>
    </row>
    <row r="2426" spans="1:7" x14ac:dyDescent="0.3">
      <c r="A2426" t="s">
        <v>1898</v>
      </c>
      <c r="B2426" t="s">
        <v>1899</v>
      </c>
      <c r="C2426" t="s">
        <v>241</v>
      </c>
      <c r="D2426">
        <v>3.8050000000000002</v>
      </c>
      <c r="E2426" s="4">
        <v>1218</v>
      </c>
      <c r="F2426" t="str">
        <f>HYPERLINK("https://www.google.com/maps/search/?api=1&amp;query=20.43785733,44.77984414", "View Map")</f>
        <v>View Map</v>
      </c>
    </row>
    <row r="2427" spans="1:7" x14ac:dyDescent="0.3">
      <c r="A2427" t="s">
        <v>2185</v>
      </c>
      <c r="B2427" t="s">
        <v>2186</v>
      </c>
      <c r="C2427" t="s">
        <v>8</v>
      </c>
      <c r="D2427">
        <v>3.8029999999999999</v>
      </c>
      <c r="E2427" s="4">
        <v>1217</v>
      </c>
      <c r="F2427" t="str">
        <f>HYPERLINK("https://www.google.com/maps/search/?api=1&amp;query=24.59085342,46.69686152", "View Map")</f>
        <v>View Map</v>
      </c>
    </row>
    <row r="2428" spans="1:7" x14ac:dyDescent="0.3">
      <c r="A2428" t="s">
        <v>4638</v>
      </c>
      <c r="B2428" t="s">
        <v>4639</v>
      </c>
      <c r="C2428" t="s">
        <v>214</v>
      </c>
      <c r="D2428">
        <v>3.8029999999999999</v>
      </c>
      <c r="E2428" s="4">
        <v>1217</v>
      </c>
      <c r="F2428" t="str">
        <f>HYPERLINK("https://www.google.com/maps/search/?api=1&amp;query=25.67526821,45.45331772", "View Map")</f>
        <v>View Map</v>
      </c>
      <c r="G2428" s="2">
        <v>0.75275161518770706</v>
      </c>
    </row>
    <row r="2429" spans="1:7" x14ac:dyDescent="0.3">
      <c r="A2429" t="s">
        <v>5197</v>
      </c>
      <c r="B2429" t="s">
        <v>5198</v>
      </c>
      <c r="C2429" t="s">
        <v>214</v>
      </c>
      <c r="D2429">
        <v>3.8</v>
      </c>
      <c r="E2429" s="4">
        <v>1216</v>
      </c>
      <c r="F2429" t="str">
        <f>HYPERLINK("https://www.google.com/maps/search/?api=1&amp;query=26.49082644,45.34158362", "View Map")</f>
        <v>View Map</v>
      </c>
      <c r="G2429" s="2">
        <v>0.76079650925484399</v>
      </c>
    </row>
    <row r="2430" spans="1:7" x14ac:dyDescent="0.3">
      <c r="A2430" t="s">
        <v>8822</v>
      </c>
      <c r="B2430" t="s">
        <v>8823</v>
      </c>
      <c r="C2430" t="s">
        <v>8</v>
      </c>
      <c r="D2430">
        <v>3.8</v>
      </c>
      <c r="E2430" s="4">
        <v>1216</v>
      </c>
      <c r="F2430" t="str">
        <f>HYPERLINK("https://www.google.com/maps/search/?api=1&amp;query=24.71750582,46.66675272", "View Map")</f>
        <v>View Map</v>
      </c>
      <c r="G2430" s="2">
        <v>0.43055127326297371</v>
      </c>
    </row>
    <row r="2431" spans="1:7" x14ac:dyDescent="0.3">
      <c r="A2431" t="s">
        <v>4435</v>
      </c>
      <c r="B2431" t="s">
        <v>4436</v>
      </c>
      <c r="C2431" t="s">
        <v>8</v>
      </c>
      <c r="D2431">
        <v>3.7989999999999999</v>
      </c>
      <c r="E2431" s="4">
        <v>1216</v>
      </c>
      <c r="F2431" t="str">
        <f>HYPERLINK("https://www.google.com/maps/search/?api=1&amp;query=24.8204805,46.65611957", "View Map")</f>
        <v>View Map</v>
      </c>
    </row>
    <row r="2432" spans="1:7" x14ac:dyDescent="0.3">
      <c r="A2432" t="s">
        <v>4687</v>
      </c>
      <c r="B2432" t="s">
        <v>4688</v>
      </c>
      <c r="C2432" t="s">
        <v>8</v>
      </c>
      <c r="D2432">
        <v>3.7989999999999999</v>
      </c>
      <c r="E2432" s="4">
        <v>1216</v>
      </c>
      <c r="F2432" t="str">
        <f>HYPERLINK("https://www.google.com/maps/search/?api=1&amp;query=24.63766124,46.79752221", "View Map")</f>
        <v>View Map</v>
      </c>
    </row>
    <row r="2433" spans="1:7" x14ac:dyDescent="0.3">
      <c r="A2433" t="s">
        <v>46</v>
      </c>
      <c r="B2433" t="s">
        <v>9776</v>
      </c>
      <c r="C2433" t="s">
        <v>8</v>
      </c>
      <c r="D2433">
        <v>3.798</v>
      </c>
      <c r="E2433" s="4">
        <v>1216</v>
      </c>
      <c r="F2433" t="str">
        <f>HYPERLINK("https://www.google.com/maps/search/?api=1&amp;query=24.84375129,46.79091178", "View Map")</f>
        <v>View Map</v>
      </c>
    </row>
    <row r="2434" spans="1:7" x14ac:dyDescent="0.3">
      <c r="A2434" t="s">
        <v>6907</v>
      </c>
      <c r="B2434" t="s">
        <v>6908</v>
      </c>
      <c r="C2434" t="s">
        <v>8</v>
      </c>
      <c r="D2434">
        <v>3.794</v>
      </c>
      <c r="E2434" s="4">
        <v>1214</v>
      </c>
      <c r="F2434" t="str">
        <f>HYPERLINK("https://www.google.com/maps/search/?api=1&amp;query=24.72195266,46.81280705", "View Map")</f>
        <v>View Map</v>
      </c>
    </row>
    <row r="2435" spans="1:7" x14ac:dyDescent="0.3">
      <c r="A2435" t="s">
        <v>46</v>
      </c>
      <c r="B2435" t="s">
        <v>7556</v>
      </c>
      <c r="C2435" t="s">
        <v>8</v>
      </c>
      <c r="D2435">
        <v>3.794</v>
      </c>
      <c r="E2435" s="4">
        <v>1214</v>
      </c>
      <c r="F2435" t="str">
        <f>HYPERLINK("https://www.google.com/maps/search/?api=1&amp;query=24.6058,46.5139", "View Map")</f>
        <v>View Map</v>
      </c>
    </row>
    <row r="2436" spans="1:7" x14ac:dyDescent="0.3">
      <c r="A2436" t="s">
        <v>4782</v>
      </c>
      <c r="B2436" t="s">
        <v>4783</v>
      </c>
      <c r="C2436" t="s">
        <v>270</v>
      </c>
      <c r="D2436">
        <v>3.7919999999999998</v>
      </c>
      <c r="E2436" s="4">
        <v>1214</v>
      </c>
      <c r="F2436" t="str">
        <f>HYPERLINK("https://www.google.com/maps/search/?api=1&amp;query=23.99239392,47.1329204", "View Map")</f>
        <v>View Map</v>
      </c>
      <c r="G2436" s="2">
        <v>0.5707850357208446</v>
      </c>
    </row>
    <row r="2437" spans="1:7" x14ac:dyDescent="0.3">
      <c r="A2437" t="s">
        <v>8754</v>
      </c>
      <c r="B2437" t="s">
        <v>8755</v>
      </c>
      <c r="C2437" t="s">
        <v>8</v>
      </c>
      <c r="D2437">
        <v>3.79</v>
      </c>
      <c r="E2437" s="4">
        <v>1213</v>
      </c>
      <c r="F2437" t="str">
        <f>HYPERLINK("https://www.google.com/maps/search/?api=1&amp;query=24.56065423,46.68798093", "View Map")</f>
        <v>View Map</v>
      </c>
    </row>
    <row r="2438" spans="1:7" x14ac:dyDescent="0.3">
      <c r="A2438" t="s">
        <v>10081</v>
      </c>
      <c r="B2438" t="s">
        <v>10082</v>
      </c>
      <c r="C2438" t="s">
        <v>291</v>
      </c>
      <c r="D2438">
        <v>3.7890000000000001</v>
      </c>
      <c r="E2438" s="4">
        <v>1212</v>
      </c>
      <c r="F2438" t="str">
        <f>HYPERLINK("https://www.google.com/maps/search/?api=1&amp;query=23.761085,44.50477299", "View Map")</f>
        <v>View Map</v>
      </c>
      <c r="G2438" s="2">
        <v>0.84180287806286413</v>
      </c>
    </row>
    <row r="2439" spans="1:7" x14ac:dyDescent="0.3">
      <c r="A2439" t="s">
        <v>4655</v>
      </c>
      <c r="B2439" t="s">
        <v>4656</v>
      </c>
      <c r="C2439" t="s">
        <v>137</v>
      </c>
      <c r="D2439">
        <v>3.7869999999999999</v>
      </c>
      <c r="E2439" s="4">
        <v>1212</v>
      </c>
      <c r="F2439" t="str">
        <f>HYPERLINK("https://www.google.com/maps/search/?api=1&amp;query=23.20447309,46.39494812", "View Map")</f>
        <v>View Map</v>
      </c>
      <c r="G2439" s="2">
        <v>0.68830439672539068</v>
      </c>
    </row>
    <row r="2440" spans="1:7" x14ac:dyDescent="0.3">
      <c r="A2440" t="s">
        <v>2180</v>
      </c>
      <c r="B2440" t="s">
        <v>2181</v>
      </c>
      <c r="C2440" t="s">
        <v>8</v>
      </c>
      <c r="D2440">
        <v>3.7850000000000001</v>
      </c>
      <c r="E2440" s="4">
        <v>1211</v>
      </c>
      <c r="F2440" t="str">
        <f>HYPERLINK("https://www.google.com/maps/search/?api=1&amp;query=24.76599909,46.61819749", "View Map")</f>
        <v>View Map</v>
      </c>
    </row>
    <row r="2441" spans="1:7" x14ac:dyDescent="0.3">
      <c r="A2441" t="s">
        <v>7776</v>
      </c>
      <c r="B2441" t="s">
        <v>7777</v>
      </c>
      <c r="C2441" t="s">
        <v>699</v>
      </c>
      <c r="D2441">
        <v>3.7850000000000001</v>
      </c>
      <c r="E2441" s="4">
        <v>1211</v>
      </c>
      <c r="F2441" t="str">
        <f>HYPERLINK("https://www.google.com/maps/search/?api=1&amp;query=24.67099044,45.20881262", "View Map")</f>
        <v>View Map</v>
      </c>
      <c r="G2441" s="2">
        <v>0.97702278035312806</v>
      </c>
    </row>
    <row r="2442" spans="1:7" x14ac:dyDescent="0.3">
      <c r="A2442" t="s">
        <v>5842</v>
      </c>
      <c r="B2442" t="s">
        <v>5843</v>
      </c>
      <c r="C2442" t="s">
        <v>291</v>
      </c>
      <c r="D2442">
        <v>3.7850000000000001</v>
      </c>
      <c r="E2442" s="4">
        <v>1211</v>
      </c>
      <c r="F2442" t="str">
        <f>HYPERLINK("https://www.google.com/maps/search/?api=1&amp;query=24.50084414,45.76082736", "View Map")</f>
        <v>View Map</v>
      </c>
      <c r="G2442" s="2">
        <v>0.7863153118834002</v>
      </c>
    </row>
    <row r="2443" spans="1:7" x14ac:dyDescent="0.3">
      <c r="A2443" t="s">
        <v>437</v>
      </c>
      <c r="B2443" t="s">
        <v>499</v>
      </c>
      <c r="C2443" t="s">
        <v>8</v>
      </c>
      <c r="D2443">
        <v>3.7839999999999998</v>
      </c>
      <c r="E2443" s="4">
        <v>1211</v>
      </c>
      <c r="F2443" t="str">
        <f>HYPERLINK("https://www.google.com/maps/search/?api=1&amp;query=24.70711492,46.78274636", "View Map")</f>
        <v>View Map</v>
      </c>
      <c r="G2443" s="2">
        <v>0.1449406986891697</v>
      </c>
    </row>
    <row r="2444" spans="1:7" x14ac:dyDescent="0.3">
      <c r="A2444" t="s">
        <v>879</v>
      </c>
      <c r="B2444" t="s">
        <v>880</v>
      </c>
      <c r="C2444" t="s">
        <v>8</v>
      </c>
      <c r="D2444">
        <v>3.7829999999999999</v>
      </c>
      <c r="E2444" s="4">
        <v>1211</v>
      </c>
      <c r="F2444" t="str">
        <f>HYPERLINK("https://www.google.com/maps/search/?api=1&amp;query=24.57951555,46.6602676", "View Map")</f>
        <v>View Map</v>
      </c>
      <c r="G2444" s="2">
        <v>0.21853059987280629</v>
      </c>
    </row>
    <row r="2445" spans="1:7" x14ac:dyDescent="0.3">
      <c r="A2445" t="s">
        <v>46</v>
      </c>
      <c r="B2445" t="s">
        <v>11213</v>
      </c>
      <c r="C2445" t="s">
        <v>8</v>
      </c>
      <c r="D2445">
        <v>3.7810000000000001</v>
      </c>
      <c r="E2445" s="4">
        <v>1210</v>
      </c>
      <c r="F2445" t="str">
        <f>HYPERLINK("https://www.google.com/maps/search/?api=1&amp;query=24.85522799,46.62433144", "View Map")</f>
        <v>View Map</v>
      </c>
    </row>
    <row r="2446" spans="1:7" x14ac:dyDescent="0.3">
      <c r="A2446" t="s">
        <v>3232</v>
      </c>
      <c r="B2446" t="s">
        <v>3233</v>
      </c>
      <c r="C2446" t="s">
        <v>8</v>
      </c>
      <c r="D2446">
        <v>3.78</v>
      </c>
      <c r="E2446" s="4">
        <v>1210</v>
      </c>
      <c r="F2446" t="str">
        <f>HYPERLINK("https://www.google.com/maps/search/?api=1&amp;query=24.7319,46.7589", "View Map")</f>
        <v>View Map</v>
      </c>
    </row>
    <row r="2447" spans="1:7" x14ac:dyDescent="0.3">
      <c r="A2447" t="s">
        <v>7730</v>
      </c>
      <c r="B2447" t="s">
        <v>7731</v>
      </c>
      <c r="C2447" t="s">
        <v>8</v>
      </c>
      <c r="D2447">
        <v>3.78</v>
      </c>
      <c r="E2447" s="4">
        <v>1210</v>
      </c>
      <c r="F2447" t="str">
        <f>HYPERLINK("https://www.google.com/maps/search/?api=1&amp;query=24.68282343,46.768399", "View Map")</f>
        <v>View Map</v>
      </c>
    </row>
    <row r="2448" spans="1:7" x14ac:dyDescent="0.3">
      <c r="A2448" t="s">
        <v>5073</v>
      </c>
      <c r="B2448" t="s">
        <v>5074</v>
      </c>
      <c r="C2448" t="s">
        <v>8</v>
      </c>
      <c r="D2448">
        <v>3.7789999999999999</v>
      </c>
      <c r="E2448" s="4">
        <v>1209</v>
      </c>
      <c r="F2448" t="str">
        <f>HYPERLINK("https://www.google.com/maps/search/?api=1&amp;query=24.79490435,46.65304588", "View Map")</f>
        <v>View Map</v>
      </c>
      <c r="G2448" s="2">
        <v>0.84426852549210485</v>
      </c>
    </row>
    <row r="2449" spans="1:7" x14ac:dyDescent="0.3">
      <c r="A2449" t="s">
        <v>4529</v>
      </c>
      <c r="B2449" t="s">
        <v>4530</v>
      </c>
      <c r="C2449" t="s">
        <v>214</v>
      </c>
      <c r="D2449">
        <v>3.778</v>
      </c>
      <c r="E2449" s="4">
        <v>1209</v>
      </c>
      <c r="F2449" t="str">
        <f>HYPERLINK("https://www.google.com/maps/search/?api=1&amp;query=26.5090677,45.34735978", "View Map")</f>
        <v>View Map</v>
      </c>
      <c r="G2449" s="2">
        <v>0.5750474615951191</v>
      </c>
    </row>
    <row r="2450" spans="1:7" x14ac:dyDescent="0.3">
      <c r="A2450" t="s">
        <v>2485</v>
      </c>
      <c r="B2450" t="s">
        <v>5818</v>
      </c>
      <c r="C2450" t="s">
        <v>255</v>
      </c>
      <c r="D2450">
        <v>3.7770000000000001</v>
      </c>
      <c r="E2450" s="4">
        <v>1209</v>
      </c>
      <c r="F2450" t="str">
        <f>HYPERLINK("https://www.google.com/maps/search/?api=1&amp;query=24.65249333,43.497965", "View Map")</f>
        <v>View Map</v>
      </c>
      <c r="G2450" s="2">
        <v>0.85303155297102873</v>
      </c>
    </row>
    <row r="2451" spans="1:7" x14ac:dyDescent="0.3">
      <c r="A2451" t="s">
        <v>6732</v>
      </c>
      <c r="B2451" t="s">
        <v>6733</v>
      </c>
      <c r="C2451" t="s">
        <v>8</v>
      </c>
      <c r="D2451">
        <v>3.7770000000000001</v>
      </c>
      <c r="E2451" s="4">
        <v>1209</v>
      </c>
      <c r="F2451" t="str">
        <f>HYPERLINK("https://www.google.com/maps/search/?api=1&amp;query=24.6637176,46.80484601", "View Map")</f>
        <v>View Map</v>
      </c>
    </row>
    <row r="2452" spans="1:7" x14ac:dyDescent="0.3">
      <c r="A2452" t="s">
        <v>3614</v>
      </c>
      <c r="B2452" t="s">
        <v>3615</v>
      </c>
      <c r="C2452" t="s">
        <v>8</v>
      </c>
      <c r="D2452">
        <v>3.7730000000000001</v>
      </c>
      <c r="E2452" s="4">
        <v>1207</v>
      </c>
      <c r="F2452" t="str">
        <f>HYPERLINK("https://www.google.com/maps/search/?api=1&amp;query=24.59451786,46.76613478", "View Map")</f>
        <v>View Map</v>
      </c>
    </row>
    <row r="2453" spans="1:7" x14ac:dyDescent="0.3">
      <c r="A2453" t="s">
        <v>146</v>
      </c>
      <c r="B2453" t="s">
        <v>6147</v>
      </c>
      <c r="C2453" t="s">
        <v>8</v>
      </c>
      <c r="D2453">
        <v>3.7719999999999998</v>
      </c>
      <c r="E2453" s="4">
        <v>1207</v>
      </c>
      <c r="F2453" t="str">
        <f>HYPERLINK("https://www.google.com/maps/search/?api=1&amp;query=24.51271581,46.62850998", "View Map")</f>
        <v>View Map</v>
      </c>
    </row>
    <row r="2454" spans="1:7" x14ac:dyDescent="0.3">
      <c r="A2454" t="s">
        <v>6878</v>
      </c>
      <c r="B2454" t="s">
        <v>7313</v>
      </c>
      <c r="C2454" t="s">
        <v>8</v>
      </c>
      <c r="D2454">
        <v>3.7719999999999998</v>
      </c>
      <c r="E2454" s="4">
        <v>1207</v>
      </c>
      <c r="F2454" t="str">
        <f>HYPERLINK("https://www.google.com/maps/search/?api=1&amp;query=24.58890957,46.68414001", "View Map")</f>
        <v>View Map</v>
      </c>
    </row>
    <row r="2455" spans="1:7" x14ac:dyDescent="0.3">
      <c r="A2455" t="s">
        <v>6206</v>
      </c>
      <c r="B2455" t="s">
        <v>6207</v>
      </c>
      <c r="C2455" t="s">
        <v>8</v>
      </c>
      <c r="D2455">
        <v>3.7709999999999999</v>
      </c>
      <c r="E2455" s="4">
        <v>1207</v>
      </c>
      <c r="F2455" t="str">
        <f>HYPERLINK("https://www.google.com/maps/search/?api=1&amp;query=24.57519491,46.5990841", "View Map")</f>
        <v>View Map</v>
      </c>
    </row>
    <row r="2456" spans="1:7" x14ac:dyDescent="0.3">
      <c r="A2456" t="s">
        <v>1277</v>
      </c>
      <c r="B2456" t="s">
        <v>2536</v>
      </c>
      <c r="C2456" t="s">
        <v>8</v>
      </c>
      <c r="D2456">
        <v>3.7709999999999999</v>
      </c>
      <c r="E2456" s="4">
        <v>1207</v>
      </c>
      <c r="F2456" t="str">
        <f>HYPERLINK("https://www.google.com/maps/search/?api=1&amp;query=24.6064935,46.75478962", "View Map")</f>
        <v>View Map</v>
      </c>
    </row>
    <row r="2457" spans="1:7" x14ac:dyDescent="0.3">
      <c r="A2457" t="s">
        <v>46</v>
      </c>
      <c r="B2457" t="s">
        <v>9835</v>
      </c>
      <c r="C2457" t="s">
        <v>8</v>
      </c>
      <c r="D2457">
        <v>3.7709999999999999</v>
      </c>
      <c r="E2457" s="4">
        <v>1207</v>
      </c>
      <c r="F2457" t="str">
        <f>HYPERLINK("https://www.google.com/maps/search/?api=1&amp;query=24.69526415,46.83329078", "View Map")</f>
        <v>View Map</v>
      </c>
    </row>
    <row r="2458" spans="1:7" x14ac:dyDescent="0.3">
      <c r="A2458" t="s">
        <v>433</v>
      </c>
      <c r="B2458" t="s">
        <v>6474</v>
      </c>
      <c r="C2458" t="s">
        <v>137</v>
      </c>
      <c r="D2458">
        <v>3.7679999999999998</v>
      </c>
      <c r="E2458" s="4">
        <v>1206</v>
      </c>
      <c r="F2458" t="str">
        <f>HYPERLINK("https://www.google.com/maps/search/?api=1&amp;query=23.49321103,46.86290518", "View Map")</f>
        <v>View Map</v>
      </c>
      <c r="G2458" s="2">
        <v>0.54801556638584503</v>
      </c>
    </row>
    <row r="2459" spans="1:7" x14ac:dyDescent="0.3">
      <c r="A2459" t="s">
        <v>146</v>
      </c>
      <c r="B2459" t="s">
        <v>7925</v>
      </c>
      <c r="C2459" t="s">
        <v>820</v>
      </c>
      <c r="D2459">
        <v>3.7679999999999998</v>
      </c>
      <c r="E2459" s="4">
        <v>1206</v>
      </c>
      <c r="F2459" t="str">
        <f>HYPERLINK("https://www.google.com/maps/search/?api=1&amp;query=0.0,0.0", "View Map")</f>
        <v>View Map</v>
      </c>
    </row>
    <row r="2460" spans="1:7" x14ac:dyDescent="0.3">
      <c r="A2460" t="s">
        <v>289</v>
      </c>
      <c r="B2460" t="s">
        <v>4326</v>
      </c>
      <c r="C2460" t="s">
        <v>393</v>
      </c>
      <c r="D2460">
        <v>3.7679999999999998</v>
      </c>
      <c r="E2460" s="4">
        <v>1206</v>
      </c>
      <c r="F2460" t="str">
        <f>HYPERLINK("https://www.google.com/maps/search/?api=1&amp;query=22.86406134,44.96176452", "View Map")</f>
        <v>View Map</v>
      </c>
      <c r="G2460" s="2">
        <v>1.003268163836661</v>
      </c>
    </row>
    <row r="2461" spans="1:7" x14ac:dyDescent="0.3">
      <c r="A2461" t="s">
        <v>1273</v>
      </c>
      <c r="B2461" t="s">
        <v>5325</v>
      </c>
      <c r="C2461" t="s">
        <v>241</v>
      </c>
      <c r="D2461">
        <v>3.7669999999999999</v>
      </c>
      <c r="E2461" s="4">
        <v>1206</v>
      </c>
      <c r="F2461" t="str">
        <f>HYPERLINK("https://www.google.com/maps/search/?api=1&amp;query=20.49194098,44.77486086", "View Map")</f>
        <v>View Map</v>
      </c>
      <c r="G2461" s="2">
        <v>0.82134746761933486</v>
      </c>
    </row>
    <row r="2462" spans="1:7" x14ac:dyDescent="0.3">
      <c r="A2462" t="s">
        <v>7433</v>
      </c>
      <c r="B2462" t="s">
        <v>7434</v>
      </c>
      <c r="C2462" t="s">
        <v>8</v>
      </c>
      <c r="D2462">
        <v>3.7669999999999999</v>
      </c>
      <c r="E2462" s="4">
        <v>1205</v>
      </c>
      <c r="F2462" t="str">
        <f>HYPERLINK("https://www.google.com/maps/search/?api=1&amp;query=24.68982516,46.64392024", "View Map")</f>
        <v>View Map</v>
      </c>
    </row>
    <row r="2463" spans="1:7" x14ac:dyDescent="0.3">
      <c r="A2463" t="s">
        <v>2675</v>
      </c>
      <c r="B2463" t="s">
        <v>2676</v>
      </c>
      <c r="C2463" t="s">
        <v>8</v>
      </c>
      <c r="D2463">
        <v>3.766</v>
      </c>
      <c r="E2463" s="4">
        <v>1205</v>
      </c>
      <c r="F2463" t="str">
        <f>HYPERLINK("https://www.google.com/maps/search/?api=1&amp;query=24.68954053,46.64155291", "View Map")</f>
        <v>View Map</v>
      </c>
      <c r="G2463" s="2">
        <v>0.28826226337363631</v>
      </c>
    </row>
    <row r="2464" spans="1:7" x14ac:dyDescent="0.3">
      <c r="A2464" t="s">
        <v>756</v>
      </c>
      <c r="B2464" t="s">
        <v>757</v>
      </c>
      <c r="C2464" t="s">
        <v>8</v>
      </c>
      <c r="D2464">
        <v>3.7650000000000001</v>
      </c>
      <c r="E2464" s="4">
        <v>1205</v>
      </c>
      <c r="F2464" t="str">
        <f>HYPERLINK("https://www.google.com/maps/search/?api=1&amp;query=24.69716626,46.75205603", "View Map")</f>
        <v>View Map</v>
      </c>
    </row>
    <row r="2465" spans="1:7" x14ac:dyDescent="0.3">
      <c r="A2465" t="s">
        <v>4549</v>
      </c>
      <c r="B2465" t="s">
        <v>4550</v>
      </c>
      <c r="C2465" t="s">
        <v>738</v>
      </c>
      <c r="D2465">
        <v>3.7650000000000001</v>
      </c>
      <c r="E2465" s="4">
        <v>1205</v>
      </c>
      <c r="F2465" t="str">
        <f>HYPERLINK("https://www.google.com/maps/search/?api=1&amp;query=25.11202627,46.09503588", "View Map")</f>
        <v>View Map</v>
      </c>
      <c r="G2465" s="2">
        <v>0.60712737269579842</v>
      </c>
    </row>
    <row r="2466" spans="1:7" x14ac:dyDescent="0.3">
      <c r="A2466" t="s">
        <v>46</v>
      </c>
      <c r="B2466" t="s">
        <v>4597</v>
      </c>
      <c r="C2466" t="s">
        <v>8</v>
      </c>
      <c r="D2466">
        <v>3.7629999999999999</v>
      </c>
      <c r="E2466" s="4">
        <v>1204</v>
      </c>
      <c r="F2466" t="str">
        <f>HYPERLINK("https://www.google.com/maps/search/?api=1&amp;query=24.75612521,46.60457785", "View Map")</f>
        <v>View Map</v>
      </c>
    </row>
    <row r="2467" spans="1:7" x14ac:dyDescent="0.3">
      <c r="A2467" t="s">
        <v>5095</v>
      </c>
      <c r="B2467" t="s">
        <v>5096</v>
      </c>
      <c r="C2467" t="s">
        <v>1112</v>
      </c>
      <c r="D2467">
        <v>3.7629999999999999</v>
      </c>
      <c r="E2467" s="4">
        <v>1204</v>
      </c>
      <c r="F2467" t="str">
        <f>HYPERLINK("https://www.google.com/maps/search/?api=1&amp;query=26.03556668,44.93329609", "View Map")</f>
        <v>View Map</v>
      </c>
      <c r="G2467" s="2">
        <v>0.75111196932573221</v>
      </c>
    </row>
    <row r="2468" spans="1:7" x14ac:dyDescent="0.3">
      <c r="A2468" t="s">
        <v>7583</v>
      </c>
      <c r="B2468" t="s">
        <v>7584</v>
      </c>
      <c r="C2468" t="s">
        <v>8</v>
      </c>
      <c r="D2468">
        <v>3.762</v>
      </c>
      <c r="E2468" s="4">
        <v>1204</v>
      </c>
      <c r="F2468" t="str">
        <f>HYPERLINK("https://www.google.com/maps/search/?api=1&amp;query=24.61126672,46.71976765", "View Map")</f>
        <v>View Map</v>
      </c>
    </row>
    <row r="2469" spans="1:7" x14ac:dyDescent="0.3">
      <c r="A2469" t="s">
        <v>46</v>
      </c>
      <c r="B2469" t="s">
        <v>10745</v>
      </c>
      <c r="C2469" t="s">
        <v>55</v>
      </c>
      <c r="D2469">
        <v>3.7610000000000001</v>
      </c>
      <c r="E2469" s="4">
        <v>1204</v>
      </c>
      <c r="F2469" t="str">
        <f>HYPERLINK("https://www.google.com/maps/search/?api=1&amp;query=24.90629364,46.42993658", "View Map")</f>
        <v>View Map</v>
      </c>
    </row>
    <row r="2470" spans="1:7" x14ac:dyDescent="0.3">
      <c r="A2470" t="s">
        <v>146</v>
      </c>
      <c r="B2470" t="s">
        <v>1146</v>
      </c>
      <c r="C2470" t="s">
        <v>8</v>
      </c>
      <c r="D2470">
        <v>3.7589999999999999</v>
      </c>
      <c r="E2470" s="4">
        <v>1203</v>
      </c>
      <c r="F2470" t="str">
        <f>HYPERLINK("https://www.google.com/maps/search/?api=1&amp;query=24.62704288,46.70263391", "View Map")</f>
        <v>View Map</v>
      </c>
    </row>
    <row r="2471" spans="1:7" x14ac:dyDescent="0.3">
      <c r="A2471" t="s">
        <v>479</v>
      </c>
      <c r="B2471" t="s">
        <v>4729</v>
      </c>
      <c r="C2471" t="s">
        <v>738</v>
      </c>
      <c r="D2471">
        <v>3.7589999999999999</v>
      </c>
      <c r="E2471" s="4">
        <v>1203</v>
      </c>
      <c r="F2471" t="str">
        <f>HYPERLINK("https://www.google.com/maps/search/?api=1&amp;query=25.10445454,46.09299079", "View Map")</f>
        <v>View Map</v>
      </c>
      <c r="G2471" s="2">
        <v>0.70610160608200956</v>
      </c>
    </row>
    <row r="2472" spans="1:7" x14ac:dyDescent="0.3">
      <c r="A2472" t="s">
        <v>2972</v>
      </c>
      <c r="B2472" t="s">
        <v>2973</v>
      </c>
      <c r="C2472" t="s">
        <v>8</v>
      </c>
      <c r="D2472">
        <v>3.758</v>
      </c>
      <c r="E2472" s="4">
        <v>1202</v>
      </c>
      <c r="F2472" t="str">
        <f>HYPERLINK("https://www.google.com/maps/search/?api=1&amp;query=24.68684513,46.78518232", "View Map")</f>
        <v>View Map</v>
      </c>
    </row>
    <row r="2473" spans="1:7" x14ac:dyDescent="0.3">
      <c r="A2473" t="s">
        <v>5551</v>
      </c>
      <c r="B2473" t="s">
        <v>5552</v>
      </c>
      <c r="C2473" t="s">
        <v>393</v>
      </c>
      <c r="D2473">
        <v>3.7570000000000001</v>
      </c>
      <c r="E2473" s="4">
        <v>1202</v>
      </c>
      <c r="F2473" t="str">
        <f>HYPERLINK("https://www.google.com/maps/search/?api=1&amp;query=23.6174349,45.86836702", "View Map")</f>
        <v>View Map</v>
      </c>
      <c r="G2473" s="2">
        <v>0.81098618357711061</v>
      </c>
    </row>
    <row r="2474" spans="1:7" x14ac:dyDescent="0.3">
      <c r="A2474" t="s">
        <v>5470</v>
      </c>
      <c r="B2474" t="s">
        <v>5471</v>
      </c>
      <c r="C2474" t="s">
        <v>8</v>
      </c>
      <c r="D2474">
        <v>3.7570000000000001</v>
      </c>
      <c r="E2474" s="4">
        <v>1202</v>
      </c>
      <c r="F2474" t="str">
        <f>HYPERLINK("https://www.google.com/maps/search/?api=1&amp;query=24.61319567,46.52029142", "View Map")</f>
        <v>View Map</v>
      </c>
    </row>
    <row r="2475" spans="1:7" x14ac:dyDescent="0.3">
      <c r="A2475" t="s">
        <v>6436</v>
      </c>
      <c r="B2475" t="s">
        <v>6437</v>
      </c>
      <c r="C2475" t="s">
        <v>8</v>
      </c>
      <c r="D2475">
        <v>3.7549999999999999</v>
      </c>
      <c r="E2475" s="4">
        <v>1202</v>
      </c>
      <c r="F2475" t="str">
        <f>HYPERLINK("https://www.google.com/maps/search/?api=1&amp;query=24.53087995,46.69445532", "View Map")</f>
        <v>View Map</v>
      </c>
    </row>
    <row r="2476" spans="1:7" x14ac:dyDescent="0.3">
      <c r="A2476" t="s">
        <v>5265</v>
      </c>
      <c r="B2476" t="s">
        <v>5266</v>
      </c>
      <c r="C2476" t="s">
        <v>8</v>
      </c>
      <c r="D2476">
        <v>3.7549999999999999</v>
      </c>
      <c r="E2476" s="4">
        <v>1202</v>
      </c>
      <c r="F2476" t="str">
        <f>HYPERLINK("https://www.google.com/maps/search/?api=1&amp;query=24.5376302,46.64505804", "View Map")</f>
        <v>View Map</v>
      </c>
    </row>
    <row r="2477" spans="1:7" x14ac:dyDescent="0.3">
      <c r="A2477" t="s">
        <v>6919</v>
      </c>
      <c r="B2477" t="s">
        <v>6920</v>
      </c>
      <c r="C2477" t="s">
        <v>8</v>
      </c>
      <c r="D2477">
        <v>3.754</v>
      </c>
      <c r="E2477" s="4">
        <v>1201</v>
      </c>
      <c r="F2477" t="str">
        <f>HYPERLINK("https://www.google.com/maps/search/?api=1&amp;query=24.58556811,46.73896285", "View Map")</f>
        <v>View Map</v>
      </c>
    </row>
    <row r="2478" spans="1:7" x14ac:dyDescent="0.3">
      <c r="A2478" t="s">
        <v>6928</v>
      </c>
      <c r="B2478" t="s">
        <v>6929</v>
      </c>
      <c r="C2478" t="s">
        <v>255</v>
      </c>
      <c r="D2478">
        <v>3.7519999999999998</v>
      </c>
      <c r="E2478" s="4">
        <v>1201</v>
      </c>
      <c r="F2478" t="str">
        <f>HYPERLINK("https://www.google.com/maps/search/?api=1&amp;query=25.2129764,44.22070627", "View Map")</f>
        <v>View Map</v>
      </c>
      <c r="G2478" s="2">
        <v>0.55555784237610784</v>
      </c>
    </row>
    <row r="2479" spans="1:7" x14ac:dyDescent="0.3">
      <c r="A2479" t="s">
        <v>9187</v>
      </c>
      <c r="B2479" t="s">
        <v>9188</v>
      </c>
      <c r="C2479" t="s">
        <v>241</v>
      </c>
      <c r="D2479">
        <v>3.75</v>
      </c>
      <c r="E2479" s="4">
        <v>1200</v>
      </c>
      <c r="F2479" t="str">
        <f>HYPERLINK("https://www.google.com/maps/search/?api=1&amp;query=20.44380232,44.85389465", "View Map")</f>
        <v>View Map</v>
      </c>
    </row>
    <row r="2480" spans="1:7" x14ac:dyDescent="0.3">
      <c r="A2480" t="s">
        <v>1202</v>
      </c>
      <c r="B2480" t="s">
        <v>3816</v>
      </c>
      <c r="C2480" t="s">
        <v>8</v>
      </c>
      <c r="D2480">
        <v>3.746</v>
      </c>
      <c r="E2480" s="4">
        <v>1199</v>
      </c>
      <c r="F2480" t="str">
        <f>HYPERLINK("https://www.google.com/maps/search/?api=1&amp;query=24.68529033,46.76381504", "View Map")</f>
        <v>View Map</v>
      </c>
    </row>
    <row r="2481" spans="1:7" x14ac:dyDescent="0.3">
      <c r="A2481" t="s">
        <v>28</v>
      </c>
      <c r="B2481" t="s">
        <v>4574</v>
      </c>
      <c r="C2481" t="s">
        <v>30</v>
      </c>
      <c r="D2481">
        <v>3.746</v>
      </c>
      <c r="E2481" s="4">
        <v>1199</v>
      </c>
      <c r="F2481" t="str">
        <f>HYPERLINK("https://www.google.com/maps/search/?api=1&amp;query=24.1634387,47.25978021", "View Map")</f>
        <v>View Map</v>
      </c>
    </row>
    <row r="2482" spans="1:7" x14ac:dyDescent="0.3">
      <c r="A2482" t="s">
        <v>4770</v>
      </c>
      <c r="B2482" t="s">
        <v>4771</v>
      </c>
      <c r="C2482" t="s">
        <v>296</v>
      </c>
      <c r="D2482">
        <v>3.746</v>
      </c>
      <c r="E2482" s="4">
        <v>1199</v>
      </c>
      <c r="F2482" t="str">
        <f>HYPERLINK("https://www.google.com/maps/search/?api=1&amp;query=24.12353392,46.29611288", "View Map")</f>
        <v>View Map</v>
      </c>
      <c r="G2482" s="2">
        <v>0.98325289434128194</v>
      </c>
    </row>
    <row r="2483" spans="1:7" x14ac:dyDescent="0.3">
      <c r="A2483" t="s">
        <v>2911</v>
      </c>
      <c r="B2483" t="s">
        <v>2912</v>
      </c>
      <c r="C2483" t="s">
        <v>883</v>
      </c>
      <c r="D2483">
        <v>3.742</v>
      </c>
      <c r="E2483" s="4">
        <v>1198</v>
      </c>
      <c r="F2483" t="str">
        <f>HYPERLINK("https://www.google.com/maps/search/?api=1&amp;query=25.55761472,47.16581941", "View Map")</f>
        <v>View Map</v>
      </c>
      <c r="G2483" s="2">
        <v>0.50734375997492376</v>
      </c>
    </row>
    <row r="2484" spans="1:7" x14ac:dyDescent="0.3">
      <c r="A2484" t="s">
        <v>4910</v>
      </c>
      <c r="B2484" t="s">
        <v>4911</v>
      </c>
      <c r="C2484" t="s">
        <v>8</v>
      </c>
      <c r="D2484">
        <v>3.74</v>
      </c>
      <c r="E2484" s="4">
        <v>1197</v>
      </c>
      <c r="F2484" t="str">
        <f>HYPERLINK("https://www.google.com/maps/search/?api=1&amp;query=24.57640778,46.59466383", "View Map")</f>
        <v>View Map</v>
      </c>
    </row>
    <row r="2485" spans="1:7" x14ac:dyDescent="0.3">
      <c r="A2485" t="s">
        <v>6464</v>
      </c>
      <c r="B2485" t="s">
        <v>6465</v>
      </c>
      <c r="C2485" t="s">
        <v>241</v>
      </c>
      <c r="D2485">
        <v>3.74</v>
      </c>
      <c r="E2485" s="4">
        <v>1197</v>
      </c>
      <c r="F2485" t="str">
        <f>HYPERLINK("https://www.google.com/maps/search/?api=1&amp;query=20.45023993,44.84125794", "View Map")</f>
        <v>View Map</v>
      </c>
      <c r="G2485" s="2">
        <v>0.83879242552668398</v>
      </c>
    </row>
    <row r="2486" spans="1:7" x14ac:dyDescent="0.3">
      <c r="A2486" t="s">
        <v>4191</v>
      </c>
      <c r="B2486" t="s">
        <v>4192</v>
      </c>
      <c r="C2486" t="s">
        <v>8</v>
      </c>
      <c r="D2486">
        <v>3.74</v>
      </c>
      <c r="E2486" s="4">
        <v>1197</v>
      </c>
      <c r="F2486" t="str">
        <f>HYPERLINK("https://www.google.com/maps/search/?api=1&amp;query=24.63504009,46.71130222", "View Map")</f>
        <v>View Map</v>
      </c>
      <c r="G2486" s="2">
        <v>0.52519940753107464</v>
      </c>
    </row>
    <row r="2487" spans="1:7" x14ac:dyDescent="0.3">
      <c r="A2487" t="s">
        <v>46</v>
      </c>
      <c r="B2487" t="s">
        <v>555</v>
      </c>
      <c r="C2487" t="s">
        <v>8</v>
      </c>
      <c r="D2487">
        <v>3.7389999999999999</v>
      </c>
      <c r="E2487" s="4">
        <v>1197</v>
      </c>
      <c r="F2487" t="str">
        <f>HYPERLINK("https://www.google.com/maps/search/?api=1&amp;query=24.83743043,46.79815654", "View Map")</f>
        <v>View Map</v>
      </c>
      <c r="G2487" s="2">
        <v>0.13735331832620609</v>
      </c>
    </row>
    <row r="2488" spans="1:7" x14ac:dyDescent="0.3">
      <c r="A2488" t="s">
        <v>146</v>
      </c>
      <c r="B2488" t="s">
        <v>6455</v>
      </c>
      <c r="C2488" t="s">
        <v>8</v>
      </c>
      <c r="D2488">
        <v>3.7370000000000001</v>
      </c>
      <c r="E2488" s="4">
        <v>1196</v>
      </c>
      <c r="F2488" t="str">
        <f>HYPERLINK("https://www.google.com/maps/search/?api=1&amp;query=24.56172337,46.57817441", "View Map")</f>
        <v>View Map</v>
      </c>
    </row>
    <row r="2489" spans="1:7" x14ac:dyDescent="0.3">
      <c r="A2489" t="s">
        <v>8090</v>
      </c>
      <c r="B2489" t="s">
        <v>8091</v>
      </c>
      <c r="C2489" t="s">
        <v>270</v>
      </c>
      <c r="D2489">
        <v>3.7370000000000001</v>
      </c>
      <c r="E2489" s="4">
        <v>1196</v>
      </c>
      <c r="F2489" t="str">
        <f>HYPERLINK("https://www.google.com/maps/search/?api=1&amp;query=23.98263111,47.11820952", "View Map")</f>
        <v>View Map</v>
      </c>
    </row>
    <row r="2490" spans="1:7" x14ac:dyDescent="0.3">
      <c r="A2490" t="s">
        <v>146</v>
      </c>
      <c r="B2490" t="s">
        <v>9725</v>
      </c>
      <c r="C2490" t="s">
        <v>8</v>
      </c>
      <c r="D2490">
        <v>3.7360000000000002</v>
      </c>
      <c r="E2490" s="4">
        <v>1195</v>
      </c>
      <c r="F2490" t="str">
        <f>HYPERLINK("https://www.google.com/maps/search/?api=1&amp;query=24.55670088,46.50394416", "View Map")</f>
        <v>View Map</v>
      </c>
    </row>
    <row r="2491" spans="1:7" x14ac:dyDescent="0.3">
      <c r="A2491" t="s">
        <v>4914</v>
      </c>
      <c r="B2491" t="s">
        <v>4915</v>
      </c>
      <c r="C2491" t="s">
        <v>21</v>
      </c>
      <c r="D2491">
        <v>3.7349999999999999</v>
      </c>
      <c r="E2491" s="4">
        <v>1195</v>
      </c>
      <c r="F2491" t="str">
        <f>HYPERLINK("https://www.google.com/maps/search/?api=1&amp;query=26.29023158,44.81705732", "View Map")</f>
        <v>View Map</v>
      </c>
      <c r="G2491" s="2">
        <v>0.62258983073270224</v>
      </c>
    </row>
    <row r="2492" spans="1:7" x14ac:dyDescent="0.3">
      <c r="A2492" t="s">
        <v>8683</v>
      </c>
      <c r="B2492" t="s">
        <v>8684</v>
      </c>
      <c r="C2492" t="s">
        <v>8</v>
      </c>
      <c r="D2492">
        <v>3.7330000000000001</v>
      </c>
      <c r="E2492" s="4">
        <v>1195</v>
      </c>
      <c r="F2492" t="str">
        <f>HYPERLINK("https://www.google.com/maps/search/?api=1&amp;query=24.71824532,46.81024832", "View Map")</f>
        <v>View Map</v>
      </c>
    </row>
    <row r="2493" spans="1:7" x14ac:dyDescent="0.3">
      <c r="A2493" t="s">
        <v>46</v>
      </c>
      <c r="B2493" t="s">
        <v>1740</v>
      </c>
      <c r="C2493" t="s">
        <v>8</v>
      </c>
      <c r="D2493">
        <v>3.73</v>
      </c>
      <c r="E2493" s="4">
        <v>1194</v>
      </c>
      <c r="F2493" t="str">
        <f>HYPERLINK("https://www.google.com/maps/search/?api=1&amp;query=24.74719087,46.62624905", "View Map")</f>
        <v>View Map</v>
      </c>
      <c r="G2493" s="2">
        <v>0.21356494519653421</v>
      </c>
    </row>
    <row r="2494" spans="1:7" x14ac:dyDescent="0.3">
      <c r="A2494" t="s">
        <v>5651</v>
      </c>
      <c r="B2494" t="s">
        <v>5652</v>
      </c>
      <c r="C2494" t="s">
        <v>8</v>
      </c>
      <c r="D2494">
        <v>3.7240000000000002</v>
      </c>
      <c r="E2494" s="4">
        <v>1192</v>
      </c>
      <c r="F2494" t="str">
        <f>HYPERLINK("https://www.google.com/maps/search/?api=1&amp;query=24.50237325,46.62671845", "View Map")</f>
        <v>View Map</v>
      </c>
    </row>
    <row r="2495" spans="1:7" x14ac:dyDescent="0.3">
      <c r="A2495" t="s">
        <v>4005</v>
      </c>
      <c r="B2495" t="s">
        <v>4006</v>
      </c>
      <c r="C2495" t="s">
        <v>8</v>
      </c>
      <c r="D2495">
        <v>3.7229999999999999</v>
      </c>
      <c r="E2495" s="4">
        <v>1191</v>
      </c>
      <c r="F2495" t="str">
        <f>HYPERLINK("https://www.google.com/maps/search/?api=1&amp;query=24.71348579,46.80245419", "View Map")</f>
        <v>View Map</v>
      </c>
    </row>
    <row r="2496" spans="1:7" x14ac:dyDescent="0.3">
      <c r="A2496" t="s">
        <v>1675</v>
      </c>
      <c r="B2496" t="s">
        <v>8536</v>
      </c>
      <c r="C2496" t="s">
        <v>8</v>
      </c>
      <c r="D2496">
        <v>3.722</v>
      </c>
      <c r="E2496" s="4">
        <v>1191</v>
      </c>
      <c r="F2496" t="str">
        <f>HYPERLINK("https://www.google.com/maps/search/?api=1&amp;query=24.56892928,46.80770772", "View Map")</f>
        <v>View Map</v>
      </c>
    </row>
    <row r="2497" spans="1:7" x14ac:dyDescent="0.3">
      <c r="A2497" t="s">
        <v>289</v>
      </c>
      <c r="B2497" t="s">
        <v>8155</v>
      </c>
      <c r="C2497" t="s">
        <v>291</v>
      </c>
      <c r="D2497">
        <v>3.72</v>
      </c>
      <c r="E2497" s="4">
        <v>1190</v>
      </c>
      <c r="F2497" t="str">
        <f>HYPERLINK("https://www.google.com/maps/search/?api=1&amp;query=24.34626391,45.8062911", "View Map")</f>
        <v>View Map</v>
      </c>
      <c r="G2497" s="2">
        <v>0.84068813840635614</v>
      </c>
    </row>
    <row r="2498" spans="1:7" x14ac:dyDescent="0.3">
      <c r="A2498" t="s">
        <v>5971</v>
      </c>
      <c r="B2498" t="s">
        <v>5972</v>
      </c>
      <c r="C2498" t="s">
        <v>8</v>
      </c>
      <c r="D2498">
        <v>3.7189999999999999</v>
      </c>
      <c r="E2498" s="4">
        <v>1190</v>
      </c>
      <c r="F2498" t="str">
        <f>HYPERLINK("https://www.google.com/maps/search/?api=1&amp;query=24.80401256,46.75477008", "View Map")</f>
        <v>View Map</v>
      </c>
    </row>
    <row r="2499" spans="1:7" x14ac:dyDescent="0.3">
      <c r="A2499" t="s">
        <v>5702</v>
      </c>
      <c r="B2499" t="s">
        <v>5703</v>
      </c>
      <c r="C2499" t="s">
        <v>8</v>
      </c>
      <c r="D2499">
        <v>3.718</v>
      </c>
      <c r="E2499" s="4">
        <v>1190</v>
      </c>
      <c r="F2499" t="str">
        <f>HYPERLINK("https://www.google.com/maps/search/?api=1&amp;query=24.59104233,46.5864018", "View Map")</f>
        <v>View Map</v>
      </c>
    </row>
    <row r="2500" spans="1:7" x14ac:dyDescent="0.3">
      <c r="A2500" t="s">
        <v>5441</v>
      </c>
      <c r="B2500" t="s">
        <v>5442</v>
      </c>
      <c r="C2500" t="s">
        <v>255</v>
      </c>
      <c r="D2500">
        <v>3.7170000000000001</v>
      </c>
      <c r="E2500" s="4">
        <v>1190</v>
      </c>
      <c r="F2500" t="str">
        <f>HYPERLINK("https://www.google.com/maps/search/?api=1&amp;query=25.01407724,43.82604146", "View Map")</f>
        <v>View Map</v>
      </c>
      <c r="G2500" s="2">
        <v>0.48490729997593418</v>
      </c>
    </row>
    <row r="2501" spans="1:7" x14ac:dyDescent="0.3">
      <c r="A2501" t="s">
        <v>9825</v>
      </c>
      <c r="B2501" t="s">
        <v>9826</v>
      </c>
      <c r="C2501" t="s">
        <v>291</v>
      </c>
      <c r="D2501">
        <v>3.7160000000000002</v>
      </c>
      <c r="E2501" s="4">
        <v>1189</v>
      </c>
      <c r="F2501" t="str">
        <f>HYPERLINK("https://www.google.com/maps/search/?api=1&amp;query=24.15187082,45.28216069", "View Map")</f>
        <v>View Map</v>
      </c>
      <c r="G2501" s="2">
        <v>0.86594745754812252</v>
      </c>
    </row>
    <row r="2502" spans="1:7" x14ac:dyDescent="0.3">
      <c r="A2502" t="s">
        <v>7880</v>
      </c>
      <c r="B2502" t="s">
        <v>7881</v>
      </c>
      <c r="C2502" t="s">
        <v>8</v>
      </c>
      <c r="D2502">
        <v>3.7149999999999999</v>
      </c>
      <c r="E2502" s="4">
        <v>1189</v>
      </c>
      <c r="F2502" t="str">
        <f>HYPERLINK("https://www.google.com/maps/search/?api=1&amp;query=24.54,46.6586", "View Map")</f>
        <v>View Map</v>
      </c>
    </row>
    <row r="2503" spans="1:7" x14ac:dyDescent="0.3">
      <c r="A2503" t="s">
        <v>6158</v>
      </c>
      <c r="B2503" t="s">
        <v>6159</v>
      </c>
      <c r="C2503" t="s">
        <v>738</v>
      </c>
      <c r="D2503">
        <v>3.714</v>
      </c>
      <c r="E2503" s="4">
        <v>1189</v>
      </c>
      <c r="F2503" t="str">
        <f>HYPERLINK("https://www.google.com/maps/search/?api=1&amp;query=25.10589456,46.09221587", "View Map")</f>
        <v>View Map</v>
      </c>
      <c r="G2503" s="2">
        <v>0.77329440440179953</v>
      </c>
    </row>
    <row r="2504" spans="1:7" x14ac:dyDescent="0.3">
      <c r="A2504" t="s">
        <v>5036</v>
      </c>
      <c r="B2504" t="s">
        <v>5037</v>
      </c>
      <c r="C2504" t="s">
        <v>255</v>
      </c>
      <c r="D2504">
        <v>3.7120000000000002</v>
      </c>
      <c r="E2504" s="4">
        <v>1188</v>
      </c>
      <c r="F2504" t="str">
        <f>HYPERLINK("https://www.google.com/maps/search/?api=1&amp;query=24.81573066,43.60415136", "View Map")</f>
        <v>View Map</v>
      </c>
      <c r="G2504" s="2">
        <v>0.92294649782783922</v>
      </c>
    </row>
    <row r="2505" spans="1:7" x14ac:dyDescent="0.3">
      <c r="A2505" t="s">
        <v>6451</v>
      </c>
      <c r="B2505" t="s">
        <v>6452</v>
      </c>
      <c r="C2505" t="s">
        <v>393</v>
      </c>
      <c r="D2505">
        <v>3.7120000000000002</v>
      </c>
      <c r="E2505" s="4">
        <v>1188</v>
      </c>
      <c r="F2505" t="str">
        <f>HYPERLINK("https://www.google.com/maps/search/?api=1&amp;query=23.55115381,45.54038151", "View Map")</f>
        <v>View Map</v>
      </c>
      <c r="G2505" s="2">
        <v>0.88303145258402849</v>
      </c>
    </row>
    <row r="2506" spans="1:7" x14ac:dyDescent="0.3">
      <c r="A2506" t="s">
        <v>3386</v>
      </c>
      <c r="B2506" t="s">
        <v>3387</v>
      </c>
      <c r="C2506" t="s">
        <v>8</v>
      </c>
      <c r="D2506">
        <v>3.7109999999999999</v>
      </c>
      <c r="E2506" s="4">
        <v>1188</v>
      </c>
      <c r="F2506" t="str">
        <f>HYPERLINK("https://www.google.com/maps/search/?api=1&amp;query=24.67439876,46.66396239", "View Map")</f>
        <v>View Map</v>
      </c>
    </row>
    <row r="2507" spans="1:7" x14ac:dyDescent="0.3">
      <c r="A2507" t="s">
        <v>4955</v>
      </c>
      <c r="B2507" t="s">
        <v>4956</v>
      </c>
      <c r="C2507" t="s">
        <v>8</v>
      </c>
      <c r="D2507">
        <v>3.7109999999999999</v>
      </c>
      <c r="E2507" s="4">
        <v>1187</v>
      </c>
      <c r="F2507" t="str">
        <f>HYPERLINK("https://www.google.com/maps/search/?api=1&amp;query=24.80981262,46.74898654", "View Map")</f>
        <v>View Map</v>
      </c>
    </row>
    <row r="2508" spans="1:7" x14ac:dyDescent="0.3">
      <c r="A2508" t="s">
        <v>7378</v>
      </c>
      <c r="B2508" t="s">
        <v>7379</v>
      </c>
      <c r="C2508" t="s">
        <v>8</v>
      </c>
      <c r="D2508">
        <v>3.7080000000000002</v>
      </c>
      <c r="E2508" s="4">
        <v>1187</v>
      </c>
      <c r="F2508" t="str">
        <f>HYPERLINK("https://www.google.com/maps/search/?api=1&amp;query=24.67615268,46.74511819", "View Map")</f>
        <v>View Map</v>
      </c>
    </row>
    <row r="2509" spans="1:7" x14ac:dyDescent="0.3">
      <c r="A2509" t="s">
        <v>7932</v>
      </c>
      <c r="B2509" t="s">
        <v>7933</v>
      </c>
      <c r="C2509" t="s">
        <v>16</v>
      </c>
      <c r="D2509">
        <v>3.7069999999999999</v>
      </c>
      <c r="E2509" s="4">
        <v>1186</v>
      </c>
      <c r="F2509" t="str">
        <f>HYPERLINK("https://www.google.com/maps/search/?api=1&amp;query=23.88145787,42.88846746", "View Map")</f>
        <v>View Map</v>
      </c>
      <c r="G2509" s="2">
        <v>0.43874500108513431</v>
      </c>
    </row>
    <row r="2510" spans="1:7" x14ac:dyDescent="0.3">
      <c r="A2510" t="s">
        <v>6909</v>
      </c>
      <c r="B2510" t="s">
        <v>6910</v>
      </c>
      <c r="C2510" t="s">
        <v>255</v>
      </c>
      <c r="D2510">
        <v>3.706</v>
      </c>
      <c r="E2510" s="4">
        <v>1186</v>
      </c>
      <c r="F2510" t="str">
        <f>HYPERLINK("https://www.google.com/maps/search/?api=1&amp;query=24.75703037,43.77613327", "View Map")</f>
        <v>View Map</v>
      </c>
      <c r="G2510" s="2">
        <v>0.59626232133943557</v>
      </c>
    </row>
    <row r="2511" spans="1:7" x14ac:dyDescent="0.3">
      <c r="A2511" t="s">
        <v>5522</v>
      </c>
      <c r="B2511" t="s">
        <v>5523</v>
      </c>
      <c r="C2511" t="s">
        <v>214</v>
      </c>
      <c r="D2511">
        <v>3.7050000000000001</v>
      </c>
      <c r="E2511" s="4">
        <v>1185</v>
      </c>
      <c r="F2511" t="str">
        <f>HYPERLINK("https://www.google.com/maps/search/?api=1&amp;query=25.71164862,45.86088172", "View Map")</f>
        <v>View Map</v>
      </c>
      <c r="G2511" s="2">
        <v>0.68682821860268617</v>
      </c>
    </row>
    <row r="2512" spans="1:7" x14ac:dyDescent="0.3">
      <c r="A2512" t="s">
        <v>46</v>
      </c>
      <c r="B2512" t="s">
        <v>4194</v>
      </c>
      <c r="C2512" t="s">
        <v>8</v>
      </c>
      <c r="D2512">
        <v>3.702</v>
      </c>
      <c r="E2512" s="4">
        <v>1185</v>
      </c>
      <c r="F2512" t="str">
        <f>HYPERLINK("https://www.google.com/maps/search/?api=1&amp;query=24.58815505,46.78042521", "View Map")</f>
        <v>View Map</v>
      </c>
    </row>
    <row r="2513" spans="1:7" x14ac:dyDescent="0.3">
      <c r="A2513" t="s">
        <v>6468</v>
      </c>
      <c r="B2513" t="s">
        <v>6469</v>
      </c>
      <c r="C2513" t="s">
        <v>8</v>
      </c>
      <c r="D2513">
        <v>3.6989999999999998</v>
      </c>
      <c r="E2513" s="4">
        <v>1184</v>
      </c>
      <c r="F2513" t="str">
        <f>HYPERLINK("https://www.google.com/maps/search/?api=1&amp;query=24.61218068,46.69679777", "View Map")</f>
        <v>View Map</v>
      </c>
    </row>
    <row r="2514" spans="1:7" x14ac:dyDescent="0.3">
      <c r="A2514" t="s">
        <v>4298</v>
      </c>
      <c r="B2514" t="s">
        <v>4299</v>
      </c>
      <c r="C2514" t="s">
        <v>8</v>
      </c>
      <c r="D2514">
        <v>3.6989999999999998</v>
      </c>
      <c r="E2514" s="4">
        <v>1184</v>
      </c>
      <c r="F2514" t="str">
        <f>HYPERLINK("https://www.google.com/maps/search/?api=1&amp;query=24.57494514,46.7129081", "View Map")</f>
        <v>View Map</v>
      </c>
    </row>
    <row r="2515" spans="1:7" x14ac:dyDescent="0.3">
      <c r="A2515" t="s">
        <v>5829</v>
      </c>
      <c r="B2515" t="s">
        <v>5830</v>
      </c>
      <c r="C2515" t="s">
        <v>8</v>
      </c>
      <c r="D2515">
        <v>3.698</v>
      </c>
      <c r="E2515" s="4">
        <v>1183</v>
      </c>
      <c r="F2515" t="str">
        <f>HYPERLINK("https://www.google.com/maps/search/?api=1&amp;query=24.69382021,46.78216422", "View Map")</f>
        <v>View Map</v>
      </c>
    </row>
    <row r="2516" spans="1:7" x14ac:dyDescent="0.3">
      <c r="A2516" t="s">
        <v>5397</v>
      </c>
      <c r="B2516" t="s">
        <v>5398</v>
      </c>
      <c r="C2516" t="s">
        <v>8</v>
      </c>
      <c r="D2516">
        <v>3.6970000000000001</v>
      </c>
      <c r="E2516" s="4">
        <v>1183</v>
      </c>
      <c r="F2516" t="str">
        <f>HYPERLINK("https://www.google.com/maps/search/?api=1&amp;query=24.77990345,46.77837668", "View Map")</f>
        <v>View Map</v>
      </c>
    </row>
    <row r="2517" spans="1:7" x14ac:dyDescent="0.3">
      <c r="A2517" t="s">
        <v>8741</v>
      </c>
      <c r="B2517" t="s">
        <v>8742</v>
      </c>
      <c r="C2517" t="s">
        <v>255</v>
      </c>
      <c r="D2517">
        <v>3.6949999999999998</v>
      </c>
      <c r="E2517" s="4">
        <v>1182</v>
      </c>
      <c r="F2517" t="str">
        <f>HYPERLINK("https://www.google.com/maps/search/?api=1&amp;query=24.49792005,44.36773392", "View Map")</f>
        <v>View Map</v>
      </c>
      <c r="G2517" s="2">
        <v>0.6404523997450533</v>
      </c>
    </row>
    <row r="2518" spans="1:7" x14ac:dyDescent="0.3">
      <c r="A2518" t="s">
        <v>4953</v>
      </c>
      <c r="B2518" t="s">
        <v>4954</v>
      </c>
      <c r="C2518" t="s">
        <v>8</v>
      </c>
      <c r="D2518">
        <v>3.6930000000000001</v>
      </c>
      <c r="E2518" s="4">
        <v>1182</v>
      </c>
      <c r="F2518" t="str">
        <f>HYPERLINK("https://www.google.com/maps/search/?api=1&amp;query=24.75934701,46.71452459", "View Map")</f>
        <v>View Map</v>
      </c>
    </row>
    <row r="2519" spans="1:7" x14ac:dyDescent="0.3">
      <c r="A2519" t="s">
        <v>5276</v>
      </c>
      <c r="B2519" t="s">
        <v>5277</v>
      </c>
      <c r="C2519" t="s">
        <v>738</v>
      </c>
      <c r="D2519">
        <v>3.6920000000000002</v>
      </c>
      <c r="E2519" s="4">
        <v>1182</v>
      </c>
      <c r="F2519" t="str">
        <f>HYPERLINK("https://www.google.com/maps/search/?api=1&amp;query=25.16544064,46.3237207", "View Map")</f>
        <v>View Map</v>
      </c>
      <c r="G2519" s="2">
        <v>0.67052315774006033</v>
      </c>
    </row>
    <row r="2520" spans="1:7" x14ac:dyDescent="0.3">
      <c r="A2520" t="s">
        <v>1273</v>
      </c>
      <c r="B2520" t="s">
        <v>6181</v>
      </c>
      <c r="C2520" t="s">
        <v>241</v>
      </c>
      <c r="D2520">
        <v>3.6890000000000001</v>
      </c>
      <c r="E2520" s="4">
        <v>1181</v>
      </c>
      <c r="F2520" t="str">
        <f>HYPERLINK("https://www.google.com/maps/search/?api=1&amp;query=20.43028036,44.87192924", "View Map")</f>
        <v>View Map</v>
      </c>
    </row>
    <row r="2521" spans="1:7" x14ac:dyDescent="0.3">
      <c r="A2521" t="s">
        <v>627</v>
      </c>
      <c r="B2521" t="s">
        <v>708</v>
      </c>
      <c r="C2521" t="s">
        <v>55</v>
      </c>
      <c r="D2521">
        <v>3.6880000000000002</v>
      </c>
      <c r="E2521" s="4">
        <v>1180</v>
      </c>
      <c r="F2521" t="str">
        <f>HYPERLINK("https://www.google.com/maps/search/?api=1&amp;query=24.74331904,46.57984013", "View Map")</f>
        <v>View Map</v>
      </c>
    </row>
    <row r="2522" spans="1:7" x14ac:dyDescent="0.3">
      <c r="A2522" t="s">
        <v>1273</v>
      </c>
      <c r="B2522" t="s">
        <v>10464</v>
      </c>
      <c r="C2522" t="s">
        <v>241</v>
      </c>
      <c r="D2522">
        <v>3.6840000000000002</v>
      </c>
      <c r="E2522" s="4">
        <v>1179</v>
      </c>
      <c r="F2522" t="str">
        <f>HYPERLINK("https://www.google.com/maps/search/?api=1&amp;query=20.41969598,44.8391955", "View Map")</f>
        <v>View Map</v>
      </c>
    </row>
    <row r="2523" spans="1:7" x14ac:dyDescent="0.3">
      <c r="A2523" t="s">
        <v>46</v>
      </c>
      <c r="B2523" t="s">
        <v>6240</v>
      </c>
      <c r="C2523" t="s">
        <v>8</v>
      </c>
      <c r="D2523">
        <v>3.6840000000000002</v>
      </c>
      <c r="E2523" s="4">
        <v>1179</v>
      </c>
      <c r="F2523" t="str">
        <f>HYPERLINK("https://www.google.com/maps/search/?api=1&amp;query=24.87773,46.60725", "View Map")</f>
        <v>View Map</v>
      </c>
    </row>
    <row r="2524" spans="1:7" x14ac:dyDescent="0.3">
      <c r="A2524" t="s">
        <v>1594</v>
      </c>
      <c r="B2524" t="s">
        <v>8031</v>
      </c>
      <c r="C2524" t="s">
        <v>296</v>
      </c>
      <c r="D2524">
        <v>3.6840000000000002</v>
      </c>
      <c r="E2524" s="4">
        <v>1179</v>
      </c>
      <c r="F2524" t="str">
        <f>HYPERLINK("https://www.google.com/maps/search/?api=1&amp;query=24.45672382,46.27073222", "View Map")</f>
        <v>View Map</v>
      </c>
    </row>
    <row r="2525" spans="1:7" x14ac:dyDescent="0.3">
      <c r="A2525" t="s">
        <v>4988</v>
      </c>
      <c r="B2525" t="s">
        <v>4989</v>
      </c>
      <c r="C2525" t="s">
        <v>8</v>
      </c>
      <c r="D2525">
        <v>3.6840000000000002</v>
      </c>
      <c r="E2525" s="4">
        <v>1179</v>
      </c>
      <c r="F2525" t="str">
        <f>HYPERLINK("https://www.google.com/maps/search/?api=1&amp;query=24.79409119,46.68990334", "View Map")</f>
        <v>View Map</v>
      </c>
    </row>
    <row r="2526" spans="1:7" x14ac:dyDescent="0.3">
      <c r="A2526" t="s">
        <v>7306</v>
      </c>
      <c r="B2526" t="s">
        <v>7307</v>
      </c>
      <c r="C2526" t="s">
        <v>291</v>
      </c>
      <c r="D2526">
        <v>3.6819999999999999</v>
      </c>
      <c r="E2526" s="4">
        <v>1178</v>
      </c>
      <c r="F2526" t="str">
        <f>HYPERLINK("https://www.google.com/maps/search/?api=1&amp;query=24.33667782,45.79779409", "View Map")</f>
        <v>View Map</v>
      </c>
      <c r="G2526" s="2">
        <v>0.71023868978777049</v>
      </c>
    </row>
    <row r="2527" spans="1:7" x14ac:dyDescent="0.3">
      <c r="A2527" t="s">
        <v>6930</v>
      </c>
      <c r="B2527" t="s">
        <v>6931</v>
      </c>
      <c r="C2527" t="s">
        <v>255</v>
      </c>
      <c r="D2527">
        <v>3.68</v>
      </c>
      <c r="E2527" s="4">
        <v>1178</v>
      </c>
      <c r="F2527" t="str">
        <f>HYPERLINK("https://www.google.com/maps/search/?api=1&amp;query=25.17406758,44.59624707", "View Map")</f>
        <v>View Map</v>
      </c>
    </row>
    <row r="2528" spans="1:7" x14ac:dyDescent="0.3">
      <c r="A2528" t="s">
        <v>46</v>
      </c>
      <c r="B2528" t="s">
        <v>10651</v>
      </c>
      <c r="C2528" t="s">
        <v>55</v>
      </c>
      <c r="D2528">
        <v>3.6789999999999998</v>
      </c>
      <c r="E2528" s="4">
        <v>1177</v>
      </c>
      <c r="F2528" t="str">
        <f>HYPERLINK("https://www.google.com/maps/search/?api=1&amp;query=24.89832022,46.4406564", "View Map")</f>
        <v>View Map</v>
      </c>
    </row>
    <row r="2529" spans="1:7" x14ac:dyDescent="0.3">
      <c r="A2529" t="s">
        <v>1717</v>
      </c>
      <c r="B2529" t="s">
        <v>1718</v>
      </c>
      <c r="C2529" t="s">
        <v>8</v>
      </c>
      <c r="D2529">
        <v>3.6779999999999999</v>
      </c>
      <c r="E2529" s="4">
        <v>1177</v>
      </c>
      <c r="F2529" t="str">
        <f>HYPERLINK("https://www.google.com/maps/search/?api=1&amp;query=24.77379701,46.67295", "View Map")</f>
        <v>View Map</v>
      </c>
    </row>
    <row r="2530" spans="1:7" x14ac:dyDescent="0.3">
      <c r="A2530" t="s">
        <v>1863</v>
      </c>
      <c r="B2530" t="s">
        <v>1864</v>
      </c>
      <c r="C2530" t="s">
        <v>8</v>
      </c>
      <c r="D2530">
        <v>3.6779999999999999</v>
      </c>
      <c r="E2530" s="4">
        <v>1177</v>
      </c>
      <c r="F2530" t="str">
        <f>HYPERLINK("https://www.google.com/maps/search/?api=1&amp;query=24.56304492,46.75907001", "View Map")</f>
        <v>View Map</v>
      </c>
      <c r="G2530" s="2">
        <v>0.24062853048858901</v>
      </c>
    </row>
    <row r="2531" spans="1:7" x14ac:dyDescent="0.3">
      <c r="A2531" t="s">
        <v>46</v>
      </c>
      <c r="B2531" t="s">
        <v>4937</v>
      </c>
      <c r="C2531" t="s">
        <v>8</v>
      </c>
      <c r="D2531">
        <v>3.6779999999999999</v>
      </c>
      <c r="E2531" s="4">
        <v>1177</v>
      </c>
      <c r="F2531" t="str">
        <f>HYPERLINK("https://www.google.com/maps/search/?api=1&amp;query=24.92309687,46.82405636", "View Map")</f>
        <v>View Map</v>
      </c>
      <c r="G2531" s="2">
        <v>0.55235004187523384</v>
      </c>
    </row>
    <row r="2532" spans="1:7" x14ac:dyDescent="0.3">
      <c r="A2532" t="s">
        <v>1070</v>
      </c>
      <c r="B2532" t="s">
        <v>1071</v>
      </c>
      <c r="C2532" t="s">
        <v>8</v>
      </c>
      <c r="D2532">
        <v>3.6779999999999999</v>
      </c>
      <c r="E2532" s="4">
        <v>1177</v>
      </c>
      <c r="F2532" t="str">
        <f>HYPERLINK("https://www.google.com/maps/search/?api=1&amp;query=24.79035264,46.81383299", "View Map")</f>
        <v>View Map</v>
      </c>
      <c r="G2532" s="2">
        <v>0.18534382420686371</v>
      </c>
    </row>
    <row r="2533" spans="1:7" x14ac:dyDescent="0.3">
      <c r="A2533" t="s">
        <v>5238</v>
      </c>
      <c r="B2533" t="s">
        <v>5239</v>
      </c>
      <c r="C2533" t="s">
        <v>8</v>
      </c>
      <c r="D2533">
        <v>3.677</v>
      </c>
      <c r="E2533" s="4">
        <v>1177</v>
      </c>
      <c r="F2533" t="str">
        <f>HYPERLINK("https://www.google.com/maps/search/?api=1&amp;query=24.62607858,46.84918722", "View Map")</f>
        <v>View Map</v>
      </c>
    </row>
    <row r="2534" spans="1:7" x14ac:dyDescent="0.3">
      <c r="A2534" t="s">
        <v>3337</v>
      </c>
      <c r="B2534" t="s">
        <v>3338</v>
      </c>
      <c r="C2534" t="s">
        <v>8</v>
      </c>
      <c r="D2534">
        <v>3.677</v>
      </c>
      <c r="E2534" s="4">
        <v>1177</v>
      </c>
      <c r="F2534" t="str">
        <f>HYPERLINK("https://www.google.com/maps/search/?api=1&amp;query=24.61484005,46.71801665", "View Map")</f>
        <v>View Map</v>
      </c>
    </row>
    <row r="2535" spans="1:7" x14ac:dyDescent="0.3">
      <c r="A2535" t="s">
        <v>146</v>
      </c>
      <c r="B2535" t="s">
        <v>425</v>
      </c>
      <c r="C2535" t="s">
        <v>8</v>
      </c>
      <c r="D2535">
        <v>3.6760000000000002</v>
      </c>
      <c r="E2535" s="4">
        <v>1176</v>
      </c>
      <c r="F2535" t="str">
        <f>HYPERLINK("https://www.google.com/maps/search/?api=1&amp;query=24.55106877,46.67705814", "View Map")</f>
        <v>View Map</v>
      </c>
      <c r="G2535" s="2">
        <v>0.11457696187248061</v>
      </c>
    </row>
    <row r="2536" spans="1:7" x14ac:dyDescent="0.3">
      <c r="A2536" t="s">
        <v>4564</v>
      </c>
      <c r="B2536" t="s">
        <v>4565</v>
      </c>
      <c r="C2536" t="s">
        <v>8</v>
      </c>
      <c r="D2536">
        <v>3.6760000000000002</v>
      </c>
      <c r="E2536" s="4">
        <v>1176</v>
      </c>
      <c r="F2536" t="str">
        <f>HYPERLINK("https://www.google.com/maps/search/?api=1&amp;query=24.53834528,46.69340104", "View Map")</f>
        <v>View Map</v>
      </c>
    </row>
    <row r="2537" spans="1:7" x14ac:dyDescent="0.3">
      <c r="A2537" t="s">
        <v>8537</v>
      </c>
      <c r="B2537" t="s">
        <v>8538</v>
      </c>
      <c r="C2537" t="s">
        <v>8</v>
      </c>
      <c r="D2537">
        <v>3.6760000000000002</v>
      </c>
      <c r="E2537" s="4">
        <v>1176</v>
      </c>
      <c r="F2537" t="str">
        <f>HYPERLINK("https://www.google.com/maps/search/?api=1&amp;query=24.63406108,46.55279791", "View Map")</f>
        <v>View Map</v>
      </c>
    </row>
    <row r="2538" spans="1:7" x14ac:dyDescent="0.3">
      <c r="A2538" t="s">
        <v>4776</v>
      </c>
      <c r="B2538" t="s">
        <v>4777</v>
      </c>
      <c r="C2538" t="s">
        <v>8</v>
      </c>
      <c r="D2538">
        <v>3.6749999999999998</v>
      </c>
      <c r="E2538" s="4">
        <v>1176</v>
      </c>
      <c r="F2538" t="str">
        <f>HYPERLINK("https://www.google.com/maps/search/?api=1&amp;query=24.56843608,46.62294978", "View Map")</f>
        <v>View Map</v>
      </c>
    </row>
    <row r="2539" spans="1:7" x14ac:dyDescent="0.3">
      <c r="A2539" t="s">
        <v>6496</v>
      </c>
      <c r="B2539" t="s">
        <v>6497</v>
      </c>
      <c r="C2539" t="s">
        <v>30</v>
      </c>
      <c r="D2539">
        <v>3.6739999999999999</v>
      </c>
      <c r="E2539" s="4">
        <v>1176</v>
      </c>
      <c r="F2539" t="str">
        <f>HYPERLINK("https://www.google.com/maps/search/?api=1&amp;query=24.13410563,47.27773153", "View Map")</f>
        <v>View Map</v>
      </c>
    </row>
    <row r="2540" spans="1:7" x14ac:dyDescent="0.3">
      <c r="A2540" t="s">
        <v>5392</v>
      </c>
      <c r="B2540" t="s">
        <v>5393</v>
      </c>
      <c r="C2540" t="s">
        <v>8</v>
      </c>
      <c r="D2540">
        <v>3.6739999999999999</v>
      </c>
      <c r="E2540" s="4">
        <v>1176</v>
      </c>
      <c r="F2540" t="str">
        <f>HYPERLINK("https://www.google.com/maps/search/?api=1&amp;query=24.72007056,46.77612613", "View Map")</f>
        <v>View Map</v>
      </c>
    </row>
    <row r="2541" spans="1:7" x14ac:dyDescent="0.3">
      <c r="A2541" t="s">
        <v>530</v>
      </c>
      <c r="B2541" t="s">
        <v>6405</v>
      </c>
      <c r="C2541" t="s">
        <v>8</v>
      </c>
      <c r="D2541">
        <v>3.6739999999999999</v>
      </c>
      <c r="E2541" s="4">
        <v>1176</v>
      </c>
      <c r="F2541" t="str">
        <f>HYPERLINK("https://www.google.com/maps/search/?api=1&amp;query=24.74587652,46.74722447", "View Map")</f>
        <v>View Map</v>
      </c>
    </row>
    <row r="2542" spans="1:7" x14ac:dyDescent="0.3">
      <c r="A2542" t="s">
        <v>1292</v>
      </c>
      <c r="B2542" t="s">
        <v>1293</v>
      </c>
      <c r="C2542" t="s">
        <v>8</v>
      </c>
      <c r="D2542">
        <v>3.673</v>
      </c>
      <c r="E2542" s="4">
        <v>1175</v>
      </c>
      <c r="F2542" t="str">
        <f>HYPERLINK("https://www.google.com/maps/search/?api=1&amp;query=24.80359883,46.6223745", "View Map")</f>
        <v>View Map</v>
      </c>
      <c r="G2542" s="2">
        <v>0.29877184470130042</v>
      </c>
    </row>
    <row r="2543" spans="1:7" x14ac:dyDescent="0.3">
      <c r="A2543" t="s">
        <v>5394</v>
      </c>
      <c r="B2543" t="s">
        <v>5395</v>
      </c>
      <c r="C2543" t="s">
        <v>8</v>
      </c>
      <c r="D2543">
        <v>3.673</v>
      </c>
      <c r="E2543" s="4">
        <v>1175</v>
      </c>
      <c r="F2543" t="str">
        <f>HYPERLINK("https://www.google.com/maps/search/?api=1&amp;query=24.54930022,46.65408903", "View Map")</f>
        <v>View Map</v>
      </c>
      <c r="G2543" s="2">
        <v>0.47353514397580349</v>
      </c>
    </row>
    <row r="2544" spans="1:7" x14ac:dyDescent="0.3">
      <c r="A2544" t="s">
        <v>6332</v>
      </c>
      <c r="B2544" t="s">
        <v>6333</v>
      </c>
      <c r="C2544" t="s">
        <v>214</v>
      </c>
      <c r="D2544">
        <v>3.6720000000000002</v>
      </c>
      <c r="E2544" s="4">
        <v>1175</v>
      </c>
      <c r="F2544" t="str">
        <f>HYPERLINK("https://www.google.com/maps/search/?api=1&amp;query=25.92216,45.38416", "View Map")</f>
        <v>View Map</v>
      </c>
      <c r="G2544" s="2">
        <v>0.66499701869134209</v>
      </c>
    </row>
    <row r="2545" spans="1:7" x14ac:dyDescent="0.3">
      <c r="A2545" t="s">
        <v>4832</v>
      </c>
      <c r="B2545" t="s">
        <v>4833</v>
      </c>
      <c r="C2545" t="s">
        <v>8</v>
      </c>
      <c r="D2545">
        <v>3.67</v>
      </c>
      <c r="E2545" s="4">
        <v>1174</v>
      </c>
      <c r="F2545" t="str">
        <f>HYPERLINK("https://www.google.com/maps/search/?api=1&amp;query=24.6918934,46.64110086", "View Map")</f>
        <v>View Map</v>
      </c>
    </row>
    <row r="2546" spans="1:7" x14ac:dyDescent="0.3">
      <c r="A2546" t="s">
        <v>4576</v>
      </c>
      <c r="B2546" t="s">
        <v>4577</v>
      </c>
      <c r="C2546" t="s">
        <v>291</v>
      </c>
      <c r="D2546">
        <v>3.669</v>
      </c>
      <c r="E2546" s="4">
        <v>1174</v>
      </c>
      <c r="F2546" t="str">
        <f>HYPERLINK("https://www.google.com/maps/search/?api=1&amp;query=24.27031553,45.18166553", "View Map")</f>
        <v>View Map</v>
      </c>
      <c r="G2546" s="2">
        <v>0.69896944562420371</v>
      </c>
    </row>
    <row r="2547" spans="1:7" x14ac:dyDescent="0.3">
      <c r="A2547" t="s">
        <v>2122</v>
      </c>
      <c r="B2547" t="s">
        <v>2123</v>
      </c>
      <c r="C2547" t="s">
        <v>8</v>
      </c>
      <c r="D2547">
        <v>3.669</v>
      </c>
      <c r="E2547" s="4">
        <v>1174</v>
      </c>
      <c r="F2547" t="str">
        <f>HYPERLINK("https://www.google.com/maps/search/?api=1&amp;query=24.8254419,46.78413116", "View Map")</f>
        <v>View Map</v>
      </c>
    </row>
    <row r="2548" spans="1:7" x14ac:dyDescent="0.3">
      <c r="A2548" t="s">
        <v>4522</v>
      </c>
      <c r="B2548" t="s">
        <v>4523</v>
      </c>
      <c r="C2548" t="s">
        <v>8</v>
      </c>
      <c r="D2548">
        <v>3.6680000000000001</v>
      </c>
      <c r="E2548" s="4">
        <v>1174</v>
      </c>
      <c r="F2548" t="str">
        <f>HYPERLINK("https://www.google.com/maps/search/?api=1&amp;query=24.66033855,46.73400261", "View Map")</f>
        <v>View Map</v>
      </c>
    </row>
    <row r="2549" spans="1:7" x14ac:dyDescent="0.3">
      <c r="A2549" t="s">
        <v>5367</v>
      </c>
      <c r="B2549" t="s">
        <v>5368</v>
      </c>
      <c r="C2549" t="s">
        <v>21</v>
      </c>
      <c r="D2549">
        <v>3.6680000000000001</v>
      </c>
      <c r="E2549" s="4">
        <v>1174</v>
      </c>
      <c r="F2549" t="str">
        <f>HYPERLINK("https://www.google.com/maps/search/?api=1&amp;query=26.30356816,44.83177173", "View Map")</f>
        <v>View Map</v>
      </c>
      <c r="G2549" s="2">
        <v>0.73227137269935161</v>
      </c>
    </row>
    <row r="2550" spans="1:7" x14ac:dyDescent="0.3">
      <c r="A2550" t="s">
        <v>46</v>
      </c>
      <c r="B2550" t="s">
        <v>7946</v>
      </c>
      <c r="C2550" t="s">
        <v>8</v>
      </c>
      <c r="D2550">
        <v>3.6659999999999999</v>
      </c>
      <c r="E2550" s="4">
        <v>1173</v>
      </c>
      <c r="F2550" t="str">
        <f>HYPERLINK("https://www.google.com/maps/search/?api=1&amp;query=24.93037602,46.79306524", "View Map")</f>
        <v>View Map</v>
      </c>
    </row>
    <row r="2551" spans="1:7" x14ac:dyDescent="0.3">
      <c r="A2551" t="s">
        <v>6488</v>
      </c>
      <c r="B2551" t="s">
        <v>6489</v>
      </c>
      <c r="C2551" t="s">
        <v>291</v>
      </c>
      <c r="D2551">
        <v>3.665</v>
      </c>
      <c r="E2551" s="4">
        <v>1173</v>
      </c>
      <c r="F2551" t="str">
        <f>HYPERLINK("https://www.google.com/maps/search/?api=1&amp;query=24.33259542,45.80124257", "View Map")</f>
        <v>View Map</v>
      </c>
      <c r="G2551" s="2">
        <v>0.676134044263764</v>
      </c>
    </row>
    <row r="2552" spans="1:7" x14ac:dyDescent="0.3">
      <c r="A2552" t="s">
        <v>6950</v>
      </c>
      <c r="B2552" t="s">
        <v>7159</v>
      </c>
      <c r="C2552" t="s">
        <v>8</v>
      </c>
      <c r="D2552">
        <v>3.6640000000000001</v>
      </c>
      <c r="E2552" s="4">
        <v>1173</v>
      </c>
      <c r="F2552" t="str">
        <f>HYPERLINK("https://www.google.com/maps/search/?api=1&amp;query=24.54903582,46.68769823", "View Map")</f>
        <v>View Map</v>
      </c>
    </row>
    <row r="2553" spans="1:7" x14ac:dyDescent="0.3">
      <c r="A2553" t="s">
        <v>5228</v>
      </c>
      <c r="B2553" t="s">
        <v>5229</v>
      </c>
      <c r="C2553" t="s">
        <v>8</v>
      </c>
      <c r="D2553">
        <v>3.6640000000000001</v>
      </c>
      <c r="E2553" s="4">
        <v>1172</v>
      </c>
      <c r="F2553" t="str">
        <f>HYPERLINK("https://www.google.com/maps/search/?api=1&amp;query=24.80381167,46.79835328", "View Map")</f>
        <v>View Map</v>
      </c>
    </row>
    <row r="2554" spans="1:7" x14ac:dyDescent="0.3">
      <c r="A2554" t="s">
        <v>46</v>
      </c>
      <c r="B2554" t="s">
        <v>7582</v>
      </c>
      <c r="C2554" t="s">
        <v>8</v>
      </c>
      <c r="D2554">
        <v>3.6629999999999998</v>
      </c>
      <c r="E2554" s="4">
        <v>1172</v>
      </c>
      <c r="F2554" t="str">
        <f>HYPERLINK("https://www.google.com/maps/search/?api=1&amp;query=24.62517551,46.53833924", "View Map")</f>
        <v>View Map</v>
      </c>
    </row>
    <row r="2555" spans="1:7" x14ac:dyDescent="0.3">
      <c r="A2555" t="s">
        <v>7697</v>
      </c>
      <c r="B2555" t="s">
        <v>7698</v>
      </c>
      <c r="C2555" t="s">
        <v>8</v>
      </c>
      <c r="D2555">
        <v>3.6619999999999999</v>
      </c>
      <c r="E2555" s="4">
        <v>1172</v>
      </c>
      <c r="F2555" t="str">
        <f>HYPERLINK("https://www.google.com/maps/search/?api=1&amp;query=24.84973897,46.86439912", "View Map")</f>
        <v>View Map</v>
      </c>
    </row>
    <row r="2556" spans="1:7" x14ac:dyDescent="0.3">
      <c r="A2556" t="s">
        <v>5301</v>
      </c>
      <c r="B2556" t="s">
        <v>5302</v>
      </c>
      <c r="C2556" t="s">
        <v>8</v>
      </c>
      <c r="D2556">
        <v>3.6619999999999999</v>
      </c>
      <c r="E2556" s="4">
        <v>1172</v>
      </c>
      <c r="F2556" t="str">
        <f>HYPERLINK("https://www.google.com/maps/search/?api=1&amp;query=24.56846012,46.76360115", "View Map")</f>
        <v>View Map</v>
      </c>
    </row>
    <row r="2557" spans="1:7" x14ac:dyDescent="0.3">
      <c r="A2557" t="s">
        <v>6536</v>
      </c>
      <c r="B2557" t="s">
        <v>6537</v>
      </c>
      <c r="C2557" t="s">
        <v>21</v>
      </c>
      <c r="D2557">
        <v>3.661</v>
      </c>
      <c r="E2557" s="4">
        <v>1172</v>
      </c>
      <c r="F2557" t="str">
        <f>HYPERLINK("https://www.google.com/maps/search/?api=1&amp;query=26.26698864,44.80899379", "View Map")</f>
        <v>View Map</v>
      </c>
      <c r="G2557" s="2">
        <v>0.81650289684127553</v>
      </c>
    </row>
    <row r="2558" spans="1:7" x14ac:dyDescent="0.3">
      <c r="A2558" t="s">
        <v>1253</v>
      </c>
      <c r="B2558" t="s">
        <v>1254</v>
      </c>
      <c r="C2558" t="s">
        <v>30</v>
      </c>
      <c r="D2558">
        <v>3.661</v>
      </c>
      <c r="E2558" s="4">
        <v>1171</v>
      </c>
      <c r="F2558" t="str">
        <f>HYPERLINK("https://www.google.com/maps/search/?api=1&amp;query=24.17807103,47.29273926", "View Map")</f>
        <v>View Map</v>
      </c>
      <c r="G2558" s="2">
        <v>0.29104147318413581</v>
      </c>
    </row>
    <row r="2559" spans="1:7" x14ac:dyDescent="0.3">
      <c r="A2559" t="s">
        <v>2227</v>
      </c>
      <c r="B2559" t="s">
        <v>2228</v>
      </c>
      <c r="C2559" t="s">
        <v>214</v>
      </c>
      <c r="D2559">
        <v>3.6589999999999998</v>
      </c>
      <c r="E2559" s="4">
        <v>1171</v>
      </c>
      <c r="F2559" t="str">
        <f>HYPERLINK("https://www.google.com/maps/search/?api=1&amp;query=25.91211118,45.39332884", "View Map")</f>
        <v>View Map</v>
      </c>
      <c r="G2559" s="2">
        <v>0.46131621479950907</v>
      </c>
    </row>
    <row r="2560" spans="1:7" x14ac:dyDescent="0.3">
      <c r="A2560" t="s">
        <v>6976</v>
      </c>
      <c r="B2560" t="s">
        <v>6977</v>
      </c>
      <c r="C2560" t="s">
        <v>442</v>
      </c>
      <c r="D2560">
        <v>3.6589999999999998</v>
      </c>
      <c r="E2560" s="4">
        <v>1171</v>
      </c>
      <c r="F2560" t="str">
        <f>HYPERLINK("https://www.google.com/maps/search/?api=1&amp;query=23.62905167,46.50162761", "View Map")</f>
        <v>View Map</v>
      </c>
      <c r="G2560" s="2">
        <v>0.54508842361930698</v>
      </c>
    </row>
    <row r="2561" spans="1:7" x14ac:dyDescent="0.3">
      <c r="A2561" t="s">
        <v>5222</v>
      </c>
      <c r="B2561" t="s">
        <v>5223</v>
      </c>
      <c r="C2561" t="s">
        <v>8</v>
      </c>
      <c r="D2561">
        <v>3.6579999999999999</v>
      </c>
      <c r="E2561" s="4">
        <v>1171</v>
      </c>
      <c r="F2561" t="str">
        <f>HYPERLINK("https://www.google.com/maps/search/?api=1&amp;query=24.818616,46.88765731", "View Map")</f>
        <v>View Map</v>
      </c>
    </row>
    <row r="2562" spans="1:7" x14ac:dyDescent="0.3">
      <c r="A2562" t="s">
        <v>46</v>
      </c>
      <c r="B2562" t="s">
        <v>5075</v>
      </c>
      <c r="C2562" t="s">
        <v>8</v>
      </c>
      <c r="D2562">
        <v>3.6579999999999999</v>
      </c>
      <c r="E2562" s="4">
        <v>1171</v>
      </c>
      <c r="F2562" t="str">
        <f>HYPERLINK("https://www.google.com/maps/search/?api=1&amp;query=24.82853691,46.64812559", "View Map")</f>
        <v>View Map</v>
      </c>
      <c r="G2562" s="2">
        <v>0.82345679880777578</v>
      </c>
    </row>
    <row r="2563" spans="1:7" x14ac:dyDescent="0.3">
      <c r="A2563" t="s">
        <v>8609</v>
      </c>
      <c r="B2563" t="s">
        <v>8610</v>
      </c>
      <c r="C2563" t="s">
        <v>8</v>
      </c>
      <c r="D2563">
        <v>3.657</v>
      </c>
      <c r="E2563" s="4">
        <v>1170</v>
      </c>
      <c r="F2563" t="str">
        <f>HYPERLINK("https://www.google.com/maps/search/?api=1&amp;query=24.821878,46.88706206", "View Map")</f>
        <v>View Map</v>
      </c>
    </row>
    <row r="2564" spans="1:7" x14ac:dyDescent="0.3">
      <c r="A2564" t="s">
        <v>6261</v>
      </c>
      <c r="B2564" t="s">
        <v>6262</v>
      </c>
      <c r="C2564" t="s">
        <v>241</v>
      </c>
      <c r="D2564">
        <v>3.6560000000000001</v>
      </c>
      <c r="E2564" s="4">
        <v>1170</v>
      </c>
      <c r="F2564" t="str">
        <f>HYPERLINK("https://www.google.com/maps/search/?api=1&amp;query=20.43997305,44.84708496", "View Map")</f>
        <v>View Map</v>
      </c>
      <c r="G2564" s="2">
        <v>0.4824768094953969</v>
      </c>
    </row>
    <row r="2565" spans="1:7" x14ac:dyDescent="0.3">
      <c r="A2565" t="s">
        <v>46</v>
      </c>
      <c r="B2565" t="s">
        <v>4414</v>
      </c>
      <c r="C2565" t="s">
        <v>8</v>
      </c>
      <c r="D2565">
        <v>3.6549999999999998</v>
      </c>
      <c r="E2565" s="4">
        <v>1170</v>
      </c>
      <c r="F2565" t="str">
        <f>HYPERLINK("https://www.google.com/maps/search/?api=1&amp;query=24.73259865,46.74387485", "View Map")</f>
        <v>View Map</v>
      </c>
    </row>
    <row r="2566" spans="1:7" x14ac:dyDescent="0.3">
      <c r="A2566" t="s">
        <v>5015</v>
      </c>
      <c r="B2566" t="s">
        <v>5016</v>
      </c>
      <c r="C2566" t="s">
        <v>241</v>
      </c>
      <c r="D2566">
        <v>3.6549999999999998</v>
      </c>
      <c r="E2566" s="4">
        <v>1170</v>
      </c>
      <c r="F2566" t="str">
        <f>HYPERLINK("https://www.google.com/maps/search/?api=1&amp;query=22.28938496,45.13409974", "View Map")</f>
        <v>View Map</v>
      </c>
      <c r="G2566" s="2">
        <v>0.61825875480870873</v>
      </c>
    </row>
    <row r="2567" spans="1:7" x14ac:dyDescent="0.3">
      <c r="A2567" t="s">
        <v>146</v>
      </c>
      <c r="B2567" t="s">
        <v>7196</v>
      </c>
      <c r="C2567" t="s">
        <v>8</v>
      </c>
      <c r="D2567">
        <v>3.6539999999999999</v>
      </c>
      <c r="E2567" s="4">
        <v>1169</v>
      </c>
      <c r="F2567" t="str">
        <f>HYPERLINK("https://www.google.com/maps/search/?api=1&amp;query=24.55363955,46.6674507", "View Map")</f>
        <v>View Map</v>
      </c>
    </row>
    <row r="2568" spans="1:7" x14ac:dyDescent="0.3">
      <c r="A2568" t="s">
        <v>2661</v>
      </c>
      <c r="B2568" t="s">
        <v>2662</v>
      </c>
      <c r="C2568" t="s">
        <v>8</v>
      </c>
      <c r="D2568">
        <v>3.653</v>
      </c>
      <c r="E2568" s="4">
        <v>1169</v>
      </c>
      <c r="F2568" t="str">
        <f>HYPERLINK("https://www.google.com/maps/search/?api=1&amp;query=24.83693473,46.75207377", "View Map")</f>
        <v>View Map</v>
      </c>
    </row>
    <row r="2569" spans="1:7" x14ac:dyDescent="0.3">
      <c r="A2569" t="s">
        <v>3812</v>
      </c>
      <c r="B2569" t="s">
        <v>3813</v>
      </c>
      <c r="C2569" t="s">
        <v>21</v>
      </c>
      <c r="D2569">
        <v>3.6520000000000001</v>
      </c>
      <c r="E2569" s="4">
        <v>1169</v>
      </c>
      <c r="F2569" t="str">
        <f>HYPERLINK("https://www.google.com/maps/search/?api=1&amp;query=26.31422183,44.82127042", "View Map")</f>
        <v>View Map</v>
      </c>
      <c r="G2569" s="2">
        <v>0.53990716196162691</v>
      </c>
    </row>
    <row r="2570" spans="1:7" x14ac:dyDescent="0.3">
      <c r="A2570" t="s">
        <v>7484</v>
      </c>
      <c r="B2570" t="s">
        <v>7485</v>
      </c>
      <c r="C2570" t="s">
        <v>255</v>
      </c>
      <c r="D2570">
        <v>3.6520000000000001</v>
      </c>
      <c r="E2570" s="4">
        <v>1169</v>
      </c>
      <c r="F2570" t="str">
        <f>HYPERLINK("https://www.google.com/maps/search/?api=1&amp;query=24.50403327,44.37559598", "View Map")</f>
        <v>View Map</v>
      </c>
      <c r="G2570" s="2">
        <v>0.51461226831458617</v>
      </c>
    </row>
    <row r="2571" spans="1:7" x14ac:dyDescent="0.3">
      <c r="A2571" t="s">
        <v>6358</v>
      </c>
      <c r="B2571" t="s">
        <v>6359</v>
      </c>
      <c r="C2571" t="s">
        <v>393</v>
      </c>
      <c r="D2571">
        <v>3.6509999999999998</v>
      </c>
      <c r="E2571" s="4">
        <v>1168</v>
      </c>
      <c r="F2571" t="str">
        <f>HYPERLINK("https://www.google.com/maps/search/?api=1&amp;query=22.50172586,45.04242666", "View Map")</f>
        <v>View Map</v>
      </c>
      <c r="G2571" s="2">
        <v>0.78503991059557376</v>
      </c>
    </row>
    <row r="2572" spans="1:7" x14ac:dyDescent="0.3">
      <c r="A2572" t="s">
        <v>28</v>
      </c>
      <c r="B2572" t="s">
        <v>4432</v>
      </c>
      <c r="C2572" t="s">
        <v>30</v>
      </c>
      <c r="D2572">
        <v>3.6509999999999998</v>
      </c>
      <c r="E2572" s="4">
        <v>1168</v>
      </c>
      <c r="F2572" t="str">
        <f>HYPERLINK("https://www.google.com/maps/search/?api=1&amp;query=24.19701756,47.3049415", "View Map")</f>
        <v>View Map</v>
      </c>
      <c r="G2572" s="2">
        <v>0.45650396708694718</v>
      </c>
    </row>
    <row r="2573" spans="1:7" x14ac:dyDescent="0.3">
      <c r="A2573" t="s">
        <v>3519</v>
      </c>
      <c r="B2573" t="s">
        <v>3520</v>
      </c>
      <c r="C2573" t="s">
        <v>8</v>
      </c>
      <c r="D2573">
        <v>3.6480000000000001</v>
      </c>
      <c r="E2573" s="4">
        <v>1167</v>
      </c>
      <c r="F2573" t="str">
        <f>HYPERLINK("https://www.google.com/maps/search/?api=1&amp;query=24.70598691,46.8031689", "View Map")</f>
        <v>View Map</v>
      </c>
    </row>
    <row r="2574" spans="1:7" x14ac:dyDescent="0.3">
      <c r="A2574" t="s">
        <v>5190</v>
      </c>
      <c r="B2574" t="s">
        <v>5191</v>
      </c>
      <c r="C2574" t="s">
        <v>137</v>
      </c>
      <c r="D2574">
        <v>3.6480000000000001</v>
      </c>
      <c r="E2574" s="4">
        <v>1167</v>
      </c>
      <c r="F2574" t="str">
        <f>HYPERLINK("https://www.google.com/maps/search/?api=1&amp;query=23.49309039,46.88628369", "View Map")</f>
        <v>View Map</v>
      </c>
      <c r="G2574" s="2">
        <v>0.68792820739870175</v>
      </c>
    </row>
    <row r="2575" spans="1:7" x14ac:dyDescent="0.3">
      <c r="A2575" t="s">
        <v>2392</v>
      </c>
      <c r="B2575" t="s">
        <v>2393</v>
      </c>
      <c r="C2575" t="s">
        <v>8</v>
      </c>
      <c r="D2575">
        <v>3.6469999999999998</v>
      </c>
      <c r="E2575" s="4">
        <v>1167</v>
      </c>
      <c r="F2575" t="str">
        <f>HYPERLINK("https://www.google.com/maps/search/?api=1&amp;query=24.77965298,46.78322262", "View Map")</f>
        <v>View Map</v>
      </c>
    </row>
    <row r="2576" spans="1:7" x14ac:dyDescent="0.3">
      <c r="A2576" t="s">
        <v>6362</v>
      </c>
      <c r="B2576" t="s">
        <v>6363</v>
      </c>
      <c r="C2576" t="s">
        <v>255</v>
      </c>
      <c r="D2576">
        <v>3.6459999999999999</v>
      </c>
      <c r="E2576" s="4">
        <v>1167</v>
      </c>
      <c r="F2576" t="str">
        <f>HYPERLINK("https://www.google.com/maps/search/?api=1&amp;query=25.35972704,44.52849029", "View Map")</f>
        <v>View Map</v>
      </c>
      <c r="G2576" s="2">
        <v>0.64653885441544379</v>
      </c>
    </row>
    <row r="2577" spans="1:7" x14ac:dyDescent="0.3">
      <c r="A2577" t="s">
        <v>3114</v>
      </c>
      <c r="B2577" t="s">
        <v>3115</v>
      </c>
      <c r="C2577" t="s">
        <v>8</v>
      </c>
      <c r="D2577">
        <v>3.645</v>
      </c>
      <c r="E2577" s="4">
        <v>1166</v>
      </c>
      <c r="F2577" t="str">
        <f>HYPERLINK("https://www.google.com/maps/search/?api=1&amp;query=24.82202884,46.62588032", "View Map")</f>
        <v>View Map</v>
      </c>
    </row>
    <row r="2578" spans="1:7" x14ac:dyDescent="0.3">
      <c r="A2578" t="s">
        <v>2421</v>
      </c>
      <c r="B2578" t="s">
        <v>2422</v>
      </c>
      <c r="C2578" t="s">
        <v>8</v>
      </c>
      <c r="D2578">
        <v>3.645</v>
      </c>
      <c r="E2578" s="4">
        <v>1166</v>
      </c>
      <c r="F2578" t="str">
        <f>HYPERLINK("https://www.google.com/maps/search/?api=1&amp;query=24.77912425,46.74615559", "View Map")</f>
        <v>View Map</v>
      </c>
    </row>
    <row r="2579" spans="1:7" x14ac:dyDescent="0.3">
      <c r="A2579" t="s">
        <v>6891</v>
      </c>
      <c r="B2579" t="s">
        <v>6892</v>
      </c>
      <c r="C2579" t="s">
        <v>393</v>
      </c>
      <c r="D2579">
        <v>3.6440000000000001</v>
      </c>
      <c r="E2579" s="4">
        <v>1166</v>
      </c>
      <c r="F2579" t="str">
        <f>HYPERLINK("https://www.google.com/maps/search/?api=1&amp;query=22.72430293,44.88148387", "View Map")</f>
        <v>View Map</v>
      </c>
      <c r="G2579" s="2">
        <v>0.78087447847656444</v>
      </c>
    </row>
    <row r="2580" spans="1:7" x14ac:dyDescent="0.3">
      <c r="A2580" t="s">
        <v>196</v>
      </c>
      <c r="B2580" t="s">
        <v>5351</v>
      </c>
      <c r="C2580" t="s">
        <v>8</v>
      </c>
      <c r="D2580">
        <v>3.6440000000000001</v>
      </c>
      <c r="E2580" s="4">
        <v>1166</v>
      </c>
      <c r="F2580" t="str">
        <f>HYPERLINK("https://www.google.com/maps/search/?api=1&amp;query=24.65276525,46.79890963", "View Map")</f>
        <v>View Map</v>
      </c>
    </row>
    <row r="2581" spans="1:7" x14ac:dyDescent="0.3">
      <c r="A2581" t="s">
        <v>28</v>
      </c>
      <c r="B2581" t="s">
        <v>4487</v>
      </c>
      <c r="C2581" t="s">
        <v>30</v>
      </c>
      <c r="D2581">
        <v>3.6440000000000001</v>
      </c>
      <c r="E2581" s="4">
        <v>1166</v>
      </c>
      <c r="F2581" t="str">
        <f>HYPERLINK("https://www.google.com/maps/search/?api=1&amp;query=24.09385926,47.24024689", "View Map")</f>
        <v>View Map</v>
      </c>
      <c r="G2581" s="2">
        <v>0.53295820743533007</v>
      </c>
    </row>
    <row r="2582" spans="1:7" x14ac:dyDescent="0.3">
      <c r="A2582" t="s">
        <v>28</v>
      </c>
      <c r="B2582" t="s">
        <v>4708</v>
      </c>
      <c r="C2582" t="s">
        <v>30</v>
      </c>
      <c r="D2582">
        <v>3.64</v>
      </c>
      <c r="E2582" s="4">
        <v>1165</v>
      </c>
      <c r="F2582" t="str">
        <f>HYPERLINK("https://www.google.com/maps/search/?api=1&amp;query=24.12567787,47.25666604", "View Map")</f>
        <v>View Map</v>
      </c>
      <c r="G2582" s="2">
        <v>0.53031801735577955</v>
      </c>
    </row>
    <row r="2583" spans="1:7" x14ac:dyDescent="0.3">
      <c r="A2583" t="s">
        <v>2431</v>
      </c>
      <c r="B2583" t="s">
        <v>2432</v>
      </c>
      <c r="C2583" t="s">
        <v>8</v>
      </c>
      <c r="D2583">
        <v>3.64</v>
      </c>
      <c r="E2583" s="4">
        <v>1165</v>
      </c>
      <c r="F2583" t="str">
        <f>HYPERLINK("https://www.google.com/maps/search/?api=1&amp;query=24.62332877,46.70473099", "View Map")</f>
        <v>View Map</v>
      </c>
    </row>
    <row r="2584" spans="1:7" x14ac:dyDescent="0.3">
      <c r="A2584" t="s">
        <v>1349</v>
      </c>
      <c r="B2584" t="s">
        <v>4728</v>
      </c>
      <c r="C2584" t="s">
        <v>30</v>
      </c>
      <c r="D2584">
        <v>3.64</v>
      </c>
      <c r="E2584" s="4">
        <v>1165</v>
      </c>
      <c r="F2584" t="str">
        <f>HYPERLINK("https://www.google.com/maps/search/?api=1&amp;query=24.15223722,47.29734301", "View Map")</f>
        <v>View Map</v>
      </c>
      <c r="G2584" s="2">
        <v>0.55261373162131644</v>
      </c>
    </row>
    <row r="2585" spans="1:7" x14ac:dyDescent="0.3">
      <c r="A2585" t="s">
        <v>73</v>
      </c>
      <c r="B2585" t="s">
        <v>2132</v>
      </c>
      <c r="C2585" t="s">
        <v>8</v>
      </c>
      <c r="D2585">
        <v>3.637</v>
      </c>
      <c r="E2585" s="4">
        <v>1164</v>
      </c>
      <c r="F2585" t="str">
        <f>HYPERLINK("https://www.google.com/maps/search/?api=1&amp;query=24.84151273,46.6844907", "View Map")</f>
        <v>View Map</v>
      </c>
    </row>
    <row r="2586" spans="1:7" x14ac:dyDescent="0.3">
      <c r="A2586" t="s">
        <v>493</v>
      </c>
      <c r="B2586" t="s">
        <v>494</v>
      </c>
      <c r="C2586" t="s">
        <v>55</v>
      </c>
      <c r="D2586">
        <v>3.637</v>
      </c>
      <c r="E2586" s="4">
        <v>1164</v>
      </c>
      <c r="F2586" t="str">
        <f>HYPERLINK("https://www.google.com/maps/search/?api=1&amp;query=24.78929589,46.4258794", "View Map")</f>
        <v>View Map</v>
      </c>
      <c r="G2586" s="2">
        <v>0.1269572169648833</v>
      </c>
    </row>
    <row r="2587" spans="1:7" x14ac:dyDescent="0.3">
      <c r="A2587" t="s">
        <v>46</v>
      </c>
      <c r="B2587" t="s">
        <v>10506</v>
      </c>
      <c r="C2587" t="s">
        <v>8</v>
      </c>
      <c r="D2587">
        <v>3.6360000000000001</v>
      </c>
      <c r="E2587" s="4">
        <v>1163</v>
      </c>
      <c r="F2587" t="str">
        <f>HYPERLINK("https://www.google.com/maps/search/?api=1&amp;query=24.74720507,46.62626778", "View Map")</f>
        <v>View Map</v>
      </c>
    </row>
    <row r="2588" spans="1:7" x14ac:dyDescent="0.3">
      <c r="A2588" t="s">
        <v>11369</v>
      </c>
      <c r="B2588" t="s">
        <v>11370</v>
      </c>
      <c r="C2588" t="s">
        <v>241</v>
      </c>
      <c r="D2588">
        <v>3.6360000000000001</v>
      </c>
      <c r="E2588" s="4">
        <v>1164</v>
      </c>
      <c r="F2588" t="str">
        <f>HYPERLINK("https://www.google.com/maps/search/?api=1&amp;query=20.47506535,44.77360534", "View Map")</f>
        <v>View Map</v>
      </c>
    </row>
    <row r="2589" spans="1:7" x14ac:dyDescent="0.3">
      <c r="A2589" t="s">
        <v>4139</v>
      </c>
      <c r="B2589" t="s">
        <v>4140</v>
      </c>
      <c r="C2589" t="s">
        <v>214</v>
      </c>
      <c r="D2589">
        <v>3.6339999999999999</v>
      </c>
      <c r="E2589" s="4">
        <v>1163</v>
      </c>
      <c r="F2589" t="str">
        <f>HYPERLINK("https://www.google.com/maps/search/?api=1&amp;query=26.86940434,45.2427869", "View Map")</f>
        <v>View Map</v>
      </c>
      <c r="G2589" s="2">
        <v>0.63764452920663106</v>
      </c>
    </row>
    <row r="2590" spans="1:7" x14ac:dyDescent="0.3">
      <c r="A2590" t="s">
        <v>411</v>
      </c>
      <c r="B2590" t="s">
        <v>6286</v>
      </c>
      <c r="C2590" t="s">
        <v>77</v>
      </c>
      <c r="D2590">
        <v>3.6339999999999999</v>
      </c>
      <c r="E2590" s="4">
        <v>1163</v>
      </c>
      <c r="F2590" t="str">
        <f>HYPERLINK("https://www.google.com/maps/search/?api=1&amp;query=22.45557461,46.58841444", "View Map")</f>
        <v>View Map</v>
      </c>
      <c r="G2590" s="2">
        <v>0.8247749617821889</v>
      </c>
    </row>
    <row r="2591" spans="1:7" x14ac:dyDescent="0.3">
      <c r="A2591" t="s">
        <v>5884</v>
      </c>
      <c r="B2591" t="s">
        <v>5885</v>
      </c>
      <c r="C2591" t="s">
        <v>255</v>
      </c>
      <c r="D2591">
        <v>3.6320000000000001</v>
      </c>
      <c r="E2591" s="4">
        <v>1162</v>
      </c>
      <c r="F2591" t="str">
        <f>HYPERLINK("https://www.google.com/maps/search/?api=1&amp;query=25.16692583,44.58236343", "View Map")</f>
        <v>View Map</v>
      </c>
      <c r="G2591" s="2">
        <v>0.82395309252478266</v>
      </c>
    </row>
    <row r="2592" spans="1:7" x14ac:dyDescent="0.3">
      <c r="A2592" t="s">
        <v>9963</v>
      </c>
      <c r="B2592" t="s">
        <v>9964</v>
      </c>
      <c r="C2592" t="s">
        <v>255</v>
      </c>
      <c r="D2592">
        <v>3.63</v>
      </c>
      <c r="E2592" s="4">
        <v>1162</v>
      </c>
      <c r="F2592" t="str">
        <f>HYPERLINK("https://www.google.com/maps/search/?api=1&amp;query=24.4977101,44.38097031", "View Map")</f>
        <v>View Map</v>
      </c>
    </row>
    <row r="2593" spans="1:7" x14ac:dyDescent="0.3">
      <c r="A2593" t="s">
        <v>4061</v>
      </c>
      <c r="B2593" t="s">
        <v>4062</v>
      </c>
      <c r="C2593" t="s">
        <v>30</v>
      </c>
      <c r="D2593">
        <v>3.63</v>
      </c>
      <c r="E2593" s="4">
        <v>1162</v>
      </c>
      <c r="F2593" t="str">
        <f>HYPERLINK("https://www.google.com/maps/search/?api=1&amp;query=24.13352099,47.28804134", "View Map")</f>
        <v>View Map</v>
      </c>
      <c r="G2593" s="2">
        <v>0.64983379154268628</v>
      </c>
    </row>
    <row r="2594" spans="1:7" x14ac:dyDescent="0.3">
      <c r="A2594" t="s">
        <v>9671</v>
      </c>
      <c r="B2594" t="s">
        <v>9742</v>
      </c>
      <c r="C2594" t="s">
        <v>8</v>
      </c>
      <c r="D2594">
        <v>3.629</v>
      </c>
      <c r="E2594" s="4">
        <v>1161</v>
      </c>
      <c r="F2594" t="str">
        <f>HYPERLINK("https://www.google.com/maps/search/?api=1&amp;query=24.53802594,46.64991827", "View Map")</f>
        <v>View Map</v>
      </c>
    </row>
    <row r="2595" spans="1:7" x14ac:dyDescent="0.3">
      <c r="A2595" t="s">
        <v>4835</v>
      </c>
      <c r="B2595" t="s">
        <v>6193</v>
      </c>
      <c r="C2595" t="s">
        <v>8</v>
      </c>
      <c r="D2595">
        <v>3.6269999999999998</v>
      </c>
      <c r="E2595" s="4">
        <v>1161</v>
      </c>
      <c r="F2595" t="str">
        <f>HYPERLINK("https://www.google.com/maps/search/?api=1&amp;query=24.68791906,46.76304245", "View Map")</f>
        <v>View Map</v>
      </c>
      <c r="G2595" s="2">
        <v>0.63192346292183932</v>
      </c>
    </row>
    <row r="2596" spans="1:7" x14ac:dyDescent="0.3">
      <c r="A2596" t="s">
        <v>4970</v>
      </c>
      <c r="B2596" t="s">
        <v>4971</v>
      </c>
      <c r="C2596" t="s">
        <v>8</v>
      </c>
      <c r="D2596">
        <v>3.6259999999999999</v>
      </c>
      <c r="E2596" s="4">
        <v>1160</v>
      </c>
      <c r="F2596" t="str">
        <f>HYPERLINK("https://www.google.com/maps/search/?api=1&amp;query=24.82059653,46.80499636", "View Map")</f>
        <v>View Map</v>
      </c>
    </row>
    <row r="2597" spans="1:7" x14ac:dyDescent="0.3">
      <c r="A2597" t="s">
        <v>4532</v>
      </c>
      <c r="B2597" t="s">
        <v>4533</v>
      </c>
      <c r="C2597" t="s">
        <v>214</v>
      </c>
      <c r="D2597">
        <v>3.6259999999999999</v>
      </c>
      <c r="E2597" s="4">
        <v>1160</v>
      </c>
      <c r="F2597" t="str">
        <f>HYPERLINK("https://www.google.com/maps/search/?api=1&amp;query=25.90048975,45.37221019", "View Map")</f>
        <v>View Map</v>
      </c>
      <c r="G2597" s="2">
        <v>0.62813887812171221</v>
      </c>
    </row>
    <row r="2598" spans="1:7" x14ac:dyDescent="0.3">
      <c r="A2598" t="s">
        <v>7030</v>
      </c>
      <c r="B2598" t="s">
        <v>7031</v>
      </c>
      <c r="C2598" t="s">
        <v>8</v>
      </c>
      <c r="D2598">
        <v>3.625</v>
      </c>
      <c r="E2598" s="4">
        <v>1160</v>
      </c>
      <c r="F2598" t="str">
        <f>HYPERLINK("https://www.google.com/maps/search/?api=1&amp;query=24.56765304,46.75370021", "View Map")</f>
        <v>View Map</v>
      </c>
    </row>
    <row r="2599" spans="1:7" x14ac:dyDescent="0.3">
      <c r="A2599" t="s">
        <v>627</v>
      </c>
      <c r="B2599" t="s">
        <v>7435</v>
      </c>
      <c r="C2599" t="s">
        <v>8</v>
      </c>
      <c r="D2599">
        <v>3.625</v>
      </c>
      <c r="E2599" s="4">
        <v>1160</v>
      </c>
      <c r="F2599" t="str">
        <f>HYPERLINK("https://www.google.com/maps/search/?api=1&amp;query=24.82690155,46.64332979", "View Map")</f>
        <v>View Map</v>
      </c>
    </row>
    <row r="2600" spans="1:7" x14ac:dyDescent="0.3">
      <c r="A2600" t="s">
        <v>2174</v>
      </c>
      <c r="B2600" t="s">
        <v>3940</v>
      </c>
      <c r="C2600" t="s">
        <v>8</v>
      </c>
      <c r="D2600">
        <v>3.625</v>
      </c>
      <c r="E2600" s="4">
        <v>1160</v>
      </c>
      <c r="F2600" t="str">
        <f>HYPERLINK("https://www.google.com/maps/search/?api=1&amp;query=24.76648616,46.78203754", "View Map")</f>
        <v>View Map</v>
      </c>
    </row>
    <row r="2601" spans="1:7" x14ac:dyDescent="0.3">
      <c r="A2601" t="s">
        <v>881</v>
      </c>
      <c r="B2601" t="s">
        <v>8176</v>
      </c>
      <c r="C2601" t="s">
        <v>883</v>
      </c>
      <c r="D2601">
        <v>3.625</v>
      </c>
      <c r="E2601" s="4">
        <v>1160</v>
      </c>
      <c r="F2601" t="str">
        <f>HYPERLINK("https://www.google.com/maps/search/?api=1&amp;query=25.54439369,47.17898116", "View Map")</f>
        <v>View Map</v>
      </c>
    </row>
    <row r="2602" spans="1:7" x14ac:dyDescent="0.3">
      <c r="A2602" t="s">
        <v>4682</v>
      </c>
      <c r="B2602" t="s">
        <v>4683</v>
      </c>
      <c r="C2602" t="s">
        <v>21</v>
      </c>
      <c r="D2602">
        <v>3.6240000000000001</v>
      </c>
      <c r="E2602" s="4">
        <v>1160</v>
      </c>
      <c r="F2602" t="str">
        <f>HYPERLINK("https://www.google.com/maps/search/?api=1&amp;query=26.29654289,44.80482589", "View Map")</f>
        <v>View Map</v>
      </c>
      <c r="G2602" s="2">
        <v>0.42711349075096139</v>
      </c>
    </row>
    <row r="2603" spans="1:7" x14ac:dyDescent="0.3">
      <c r="A2603" t="s">
        <v>3517</v>
      </c>
      <c r="B2603" t="s">
        <v>3518</v>
      </c>
      <c r="C2603" t="s">
        <v>8</v>
      </c>
      <c r="D2603">
        <v>3.6230000000000002</v>
      </c>
      <c r="E2603" s="4">
        <v>1159</v>
      </c>
      <c r="F2603" t="str">
        <f>HYPERLINK("https://www.google.com/maps/search/?api=1&amp;query=24.60927207,46.70991522", "View Map")</f>
        <v>View Map</v>
      </c>
    </row>
    <row r="2604" spans="1:7" x14ac:dyDescent="0.3">
      <c r="A2604" t="s">
        <v>150</v>
      </c>
      <c r="B2604" t="s">
        <v>5149</v>
      </c>
      <c r="C2604" t="s">
        <v>8</v>
      </c>
      <c r="D2604">
        <v>3.6219999999999999</v>
      </c>
      <c r="E2604" s="4">
        <v>1159</v>
      </c>
      <c r="F2604" t="str">
        <f>HYPERLINK("https://www.google.com/maps/search/?api=1&amp;query=24.84236232,46.76819195", "View Map")</f>
        <v>View Map</v>
      </c>
    </row>
    <row r="2605" spans="1:7" x14ac:dyDescent="0.3">
      <c r="A2605" t="s">
        <v>3079</v>
      </c>
      <c r="B2605" t="s">
        <v>3080</v>
      </c>
      <c r="C2605" t="s">
        <v>21</v>
      </c>
      <c r="D2605">
        <v>3.6219999999999999</v>
      </c>
      <c r="E2605" s="4">
        <v>1159</v>
      </c>
      <c r="F2605" t="str">
        <f>HYPERLINK("https://www.google.com/maps/search/?api=1&amp;query=26.29408877,44.78909298", "View Map")</f>
        <v>View Map</v>
      </c>
      <c r="G2605" s="2">
        <v>0.46768512493156911</v>
      </c>
    </row>
    <row r="2606" spans="1:7" x14ac:dyDescent="0.3">
      <c r="A2606" t="s">
        <v>5420</v>
      </c>
      <c r="B2606" t="s">
        <v>5421</v>
      </c>
      <c r="C2606" t="s">
        <v>291</v>
      </c>
      <c r="D2606">
        <v>3.621</v>
      </c>
      <c r="E2606" s="4">
        <v>1159</v>
      </c>
      <c r="F2606" t="str">
        <f>HYPERLINK("https://www.google.com/maps/search/?api=1&amp;query=24.33329118,45.78963676", "View Map")</f>
        <v>View Map</v>
      </c>
      <c r="G2606" s="2">
        <v>0.7939660079992098</v>
      </c>
    </row>
    <row r="2607" spans="1:7" x14ac:dyDescent="0.3">
      <c r="A2607" t="s">
        <v>4425</v>
      </c>
      <c r="B2607" t="s">
        <v>4426</v>
      </c>
      <c r="C2607" t="s">
        <v>8</v>
      </c>
      <c r="D2607">
        <v>3.621</v>
      </c>
      <c r="E2607" s="4">
        <v>1159</v>
      </c>
      <c r="F2607" t="str">
        <f>HYPERLINK("https://www.google.com/maps/search/?api=1&amp;query=24.58275977,46.64237807", "View Map")</f>
        <v>View Map</v>
      </c>
    </row>
    <row r="2608" spans="1:7" x14ac:dyDescent="0.3">
      <c r="A2608" t="s">
        <v>1273</v>
      </c>
      <c r="B2608" t="s">
        <v>8352</v>
      </c>
      <c r="C2608" t="s">
        <v>241</v>
      </c>
      <c r="D2608">
        <v>3.62</v>
      </c>
      <c r="E2608" s="4">
        <v>1158</v>
      </c>
      <c r="F2608" t="str">
        <f>HYPERLINK("https://www.google.com/maps/search/?api=1&amp;query=20.4503241,44.8405842", "View Map")</f>
        <v>View Map</v>
      </c>
      <c r="G2608" s="2">
        <v>0.92612697591469673</v>
      </c>
    </row>
    <row r="2609" spans="1:7" x14ac:dyDescent="0.3">
      <c r="A2609" t="s">
        <v>8772</v>
      </c>
      <c r="B2609" t="s">
        <v>8773</v>
      </c>
      <c r="C2609" t="s">
        <v>291</v>
      </c>
      <c r="D2609">
        <v>3.62</v>
      </c>
      <c r="E2609" s="4">
        <v>1159</v>
      </c>
      <c r="F2609" t="str">
        <f>HYPERLINK("https://www.google.com/maps/search/?api=1&amp;query=24.46631948,45.64913982", "View Map")</f>
        <v>View Map</v>
      </c>
      <c r="G2609" s="2">
        <v>0.79515331326602634</v>
      </c>
    </row>
    <row r="2610" spans="1:7" x14ac:dyDescent="0.3">
      <c r="A2610" t="s">
        <v>4466</v>
      </c>
      <c r="B2610" t="s">
        <v>4467</v>
      </c>
      <c r="C2610" t="s">
        <v>21</v>
      </c>
      <c r="D2610">
        <v>3.6190000000000002</v>
      </c>
      <c r="E2610" s="4">
        <v>1158</v>
      </c>
      <c r="F2610" t="str">
        <f>HYPERLINK("https://www.google.com/maps/search/?api=1&amp;query=26.31999517,44.8200038", "View Map")</f>
        <v>View Map</v>
      </c>
    </row>
    <row r="2611" spans="1:7" x14ac:dyDescent="0.3">
      <c r="A2611" t="s">
        <v>3032</v>
      </c>
      <c r="B2611" t="s">
        <v>3033</v>
      </c>
      <c r="C2611" t="s">
        <v>16</v>
      </c>
      <c r="D2611">
        <v>3.6179999999999999</v>
      </c>
      <c r="E2611" s="4">
        <v>1158</v>
      </c>
      <c r="F2611" t="str">
        <f>HYPERLINK("https://www.google.com/maps/search/?api=1&amp;query=24.39456468,42.14509513", "View Map")</f>
        <v>View Map</v>
      </c>
      <c r="G2611" s="2">
        <v>0.57241083428883843</v>
      </c>
    </row>
    <row r="2612" spans="1:7" x14ac:dyDescent="0.3">
      <c r="A2612" t="s">
        <v>4248</v>
      </c>
      <c r="B2612" t="s">
        <v>4249</v>
      </c>
      <c r="C2612" t="s">
        <v>8</v>
      </c>
      <c r="D2612">
        <v>3.6160000000000001</v>
      </c>
      <c r="E2612" s="4">
        <v>1157</v>
      </c>
      <c r="F2612" t="str">
        <f>HYPERLINK("https://www.google.com/maps/search/?api=1&amp;query=24.79818718,46.6509949", "View Map")</f>
        <v>View Map</v>
      </c>
    </row>
    <row r="2613" spans="1:7" x14ac:dyDescent="0.3">
      <c r="A2613" t="s">
        <v>4204</v>
      </c>
      <c r="B2613" t="s">
        <v>4205</v>
      </c>
      <c r="C2613" t="s">
        <v>241</v>
      </c>
      <c r="D2613">
        <v>3.6160000000000001</v>
      </c>
      <c r="E2613" s="4">
        <v>1157</v>
      </c>
      <c r="F2613" t="str">
        <f>HYPERLINK("https://www.google.com/maps/search/?api=1&amp;query=20.46881368,44.77928984", "View Map")</f>
        <v>View Map</v>
      </c>
    </row>
    <row r="2614" spans="1:7" x14ac:dyDescent="0.3">
      <c r="A2614" t="s">
        <v>4977</v>
      </c>
      <c r="B2614" t="s">
        <v>4978</v>
      </c>
      <c r="C2614" t="s">
        <v>8</v>
      </c>
      <c r="D2614">
        <v>3.6160000000000001</v>
      </c>
      <c r="E2614" s="4">
        <v>1157</v>
      </c>
      <c r="F2614" t="str">
        <f>HYPERLINK("https://www.google.com/maps/search/?api=1&amp;query=24.53569995,46.66798414", "View Map")</f>
        <v>View Map</v>
      </c>
    </row>
    <row r="2615" spans="1:7" x14ac:dyDescent="0.3">
      <c r="A2615" t="s">
        <v>717</v>
      </c>
      <c r="B2615" t="s">
        <v>6094</v>
      </c>
      <c r="C2615" t="s">
        <v>255</v>
      </c>
      <c r="D2615">
        <v>3.6160000000000001</v>
      </c>
      <c r="E2615" s="4">
        <v>1157</v>
      </c>
      <c r="F2615" t="str">
        <f>HYPERLINK("https://www.google.com/maps/search/?api=1&amp;query=24.49901271,44.36178485", "View Map")</f>
        <v>View Map</v>
      </c>
      <c r="G2615" s="2">
        <v>0.72397899785600694</v>
      </c>
    </row>
    <row r="2616" spans="1:7" x14ac:dyDescent="0.3">
      <c r="A2616" t="s">
        <v>73</v>
      </c>
      <c r="B2616" t="s">
        <v>5928</v>
      </c>
      <c r="C2616" t="s">
        <v>8</v>
      </c>
      <c r="D2616">
        <v>3.6150000000000002</v>
      </c>
      <c r="E2616" s="4">
        <v>1157</v>
      </c>
      <c r="F2616" t="str">
        <f>HYPERLINK("https://www.google.com/maps/search/?api=1&amp;query=24.68268129,46.56311181", "View Map")</f>
        <v>View Map</v>
      </c>
    </row>
    <row r="2617" spans="1:7" x14ac:dyDescent="0.3">
      <c r="A2617" t="s">
        <v>8299</v>
      </c>
      <c r="B2617" t="s">
        <v>8300</v>
      </c>
      <c r="C2617" t="s">
        <v>8</v>
      </c>
      <c r="D2617">
        <v>3.6150000000000002</v>
      </c>
      <c r="E2617" s="4">
        <v>1157</v>
      </c>
      <c r="F2617" t="str">
        <f>HYPERLINK("https://www.google.com/maps/search/?api=1&amp;query=24.6637176,46.80484601", "View Map")</f>
        <v>View Map</v>
      </c>
    </row>
    <row r="2618" spans="1:7" x14ac:dyDescent="0.3">
      <c r="A2618" t="s">
        <v>4985</v>
      </c>
      <c r="B2618" t="s">
        <v>4986</v>
      </c>
      <c r="C2618" t="s">
        <v>4987</v>
      </c>
      <c r="D2618">
        <v>3.6120000000000001</v>
      </c>
      <c r="E2618" s="4">
        <v>1156</v>
      </c>
      <c r="F2618" t="str">
        <f>HYPERLINK("https://www.google.com/maps/search/?api=1&amp;query=23.41388493,42.32836236", "View Map")</f>
        <v>View Map</v>
      </c>
      <c r="G2618" s="2">
        <v>0.88529920178399579</v>
      </c>
    </row>
    <row r="2619" spans="1:7" x14ac:dyDescent="0.3">
      <c r="A2619" t="s">
        <v>1594</v>
      </c>
      <c r="B2619" t="s">
        <v>4048</v>
      </c>
      <c r="C2619" t="s">
        <v>820</v>
      </c>
      <c r="D2619">
        <v>3.6120000000000001</v>
      </c>
      <c r="E2619" s="4">
        <v>1156</v>
      </c>
      <c r="F2619" t="str">
        <f>HYPERLINK("https://www.google.com/maps/search/?api=1&amp;query=0.0,0.0", "View Map")</f>
        <v>View Map</v>
      </c>
      <c r="G2619" s="2">
        <v>0.4194334212608265</v>
      </c>
    </row>
    <row r="2620" spans="1:7" x14ac:dyDescent="0.3">
      <c r="A2620" t="s">
        <v>46</v>
      </c>
      <c r="B2620" t="s">
        <v>1029</v>
      </c>
      <c r="C2620" t="s">
        <v>8</v>
      </c>
      <c r="D2620">
        <v>3.6110000000000002</v>
      </c>
      <c r="E2620" s="4">
        <v>1155</v>
      </c>
      <c r="F2620" t="str">
        <f>HYPERLINK("https://www.google.com/maps/search/?api=1&amp;query=24.8135129,46.87169413", "View Map")</f>
        <v>View Map</v>
      </c>
      <c r="G2620" s="2">
        <v>0.12425485085689129</v>
      </c>
    </row>
    <row r="2621" spans="1:7" x14ac:dyDescent="0.3">
      <c r="A2621" t="s">
        <v>4155</v>
      </c>
      <c r="B2621" t="s">
        <v>4156</v>
      </c>
      <c r="C2621" t="s">
        <v>8</v>
      </c>
      <c r="D2621">
        <v>3.6110000000000002</v>
      </c>
      <c r="E2621" s="4">
        <v>1155</v>
      </c>
      <c r="F2621" t="str">
        <f>HYPERLINK("https://www.google.com/maps/search/?api=1&amp;query=24.60136043,46.65120151", "View Map")</f>
        <v>View Map</v>
      </c>
    </row>
    <row r="2622" spans="1:7" x14ac:dyDescent="0.3">
      <c r="A2622" t="s">
        <v>1234</v>
      </c>
      <c r="B2622" t="s">
        <v>1235</v>
      </c>
      <c r="C2622" t="s">
        <v>8</v>
      </c>
      <c r="D2622">
        <v>3.6110000000000002</v>
      </c>
      <c r="E2622" s="4">
        <v>1156</v>
      </c>
      <c r="F2622" t="str">
        <f>HYPERLINK("https://www.google.com/maps/search/?api=1&amp;query=24.58589189,46.78317575", "View Map")</f>
        <v>View Map</v>
      </c>
      <c r="G2622" s="2">
        <v>0.18784654041441839</v>
      </c>
    </row>
    <row r="2623" spans="1:7" x14ac:dyDescent="0.3">
      <c r="A2623" t="s">
        <v>1729</v>
      </c>
      <c r="B2623" t="s">
        <v>3994</v>
      </c>
      <c r="C2623" t="s">
        <v>55</v>
      </c>
      <c r="D2623">
        <v>3.6110000000000002</v>
      </c>
      <c r="E2623" s="4">
        <v>1155</v>
      </c>
      <c r="F2623" t="str">
        <f>HYPERLINK("https://www.google.com/maps/search/?api=1&amp;query=24.74859357,46.58082407", "View Map")</f>
        <v>View Map</v>
      </c>
    </row>
    <row r="2624" spans="1:7" x14ac:dyDescent="0.3">
      <c r="A2624" t="s">
        <v>5606</v>
      </c>
      <c r="B2624" t="s">
        <v>5607</v>
      </c>
      <c r="C2624" t="s">
        <v>241</v>
      </c>
      <c r="D2624">
        <v>3.609</v>
      </c>
      <c r="E2624" s="4">
        <v>1155</v>
      </c>
      <c r="F2624" t="str">
        <f>HYPERLINK("https://www.google.com/maps/search/?api=1&amp;query=20.46397203,44.7873135", "View Map")</f>
        <v>View Map</v>
      </c>
    </row>
    <row r="2625" spans="1:7" x14ac:dyDescent="0.3">
      <c r="A2625" t="s">
        <v>9226</v>
      </c>
      <c r="B2625" t="s">
        <v>9227</v>
      </c>
      <c r="C2625" t="s">
        <v>8</v>
      </c>
      <c r="D2625">
        <v>3.609</v>
      </c>
      <c r="E2625" s="4">
        <v>1155</v>
      </c>
      <c r="F2625" t="str">
        <f>HYPERLINK("https://www.google.com/maps/search/?api=1&amp;query=24.57606782,46.64729956", "View Map")</f>
        <v>View Map</v>
      </c>
    </row>
    <row r="2626" spans="1:7" x14ac:dyDescent="0.3">
      <c r="A2626" t="s">
        <v>2713</v>
      </c>
      <c r="B2626" t="s">
        <v>2714</v>
      </c>
      <c r="C2626" t="s">
        <v>8</v>
      </c>
      <c r="D2626">
        <v>3.6080000000000001</v>
      </c>
      <c r="E2626" s="4">
        <v>1155</v>
      </c>
      <c r="F2626" t="str">
        <f>HYPERLINK("https://www.google.com/maps/search/?api=1&amp;query=24.60341739,46.73835327", "View Map")</f>
        <v>View Map</v>
      </c>
      <c r="G2626" s="2">
        <v>0.2534875840616041</v>
      </c>
    </row>
    <row r="2627" spans="1:7" x14ac:dyDescent="0.3">
      <c r="A2627" t="s">
        <v>627</v>
      </c>
      <c r="B2627" t="s">
        <v>9153</v>
      </c>
      <c r="C2627" t="s">
        <v>8</v>
      </c>
      <c r="D2627">
        <v>3.6040000000000001</v>
      </c>
      <c r="E2627" s="4">
        <v>1153</v>
      </c>
      <c r="F2627" t="str">
        <f>HYPERLINK("https://www.google.com/maps/search/?api=1&amp;query=24.79928671,46.67671869", "View Map")</f>
        <v>View Map</v>
      </c>
    </row>
    <row r="2628" spans="1:7" x14ac:dyDescent="0.3">
      <c r="A2628" t="s">
        <v>4063</v>
      </c>
      <c r="B2628" t="s">
        <v>4064</v>
      </c>
      <c r="C2628" t="s">
        <v>8</v>
      </c>
      <c r="D2628">
        <v>3.6040000000000001</v>
      </c>
      <c r="E2628" s="4">
        <v>1153</v>
      </c>
      <c r="F2628" t="str">
        <f>HYPERLINK("https://www.google.com/maps/search/?api=1&amp;query=24.67942274,46.59531705", "View Map")</f>
        <v>View Map</v>
      </c>
    </row>
    <row r="2629" spans="1:7" x14ac:dyDescent="0.3">
      <c r="A2629" t="s">
        <v>5741</v>
      </c>
      <c r="B2629" t="s">
        <v>5742</v>
      </c>
      <c r="C2629" t="s">
        <v>393</v>
      </c>
      <c r="D2629">
        <v>3.6030000000000002</v>
      </c>
      <c r="E2629" s="4">
        <v>1153</v>
      </c>
      <c r="F2629" t="str">
        <f>HYPERLINK("https://www.google.com/maps/search/?api=1&amp;query=22.76548877,45.26076219", "View Map")</f>
        <v>View Map</v>
      </c>
      <c r="G2629" s="2">
        <v>0.96250350924843386</v>
      </c>
    </row>
    <row r="2630" spans="1:7" x14ac:dyDescent="0.3">
      <c r="A2630" t="s">
        <v>11224</v>
      </c>
      <c r="B2630" t="s">
        <v>11225</v>
      </c>
      <c r="C2630" t="s">
        <v>8</v>
      </c>
      <c r="D2630">
        <v>3.6030000000000002</v>
      </c>
      <c r="E2630" s="4">
        <v>1153</v>
      </c>
      <c r="F2630" t="str">
        <f>HYPERLINK("https://www.google.com/maps/search/?api=1&amp;query=24.78537893,46.65196584", "View Map")</f>
        <v>View Map</v>
      </c>
      <c r="G2630" s="2">
        <v>0.47151973675383979</v>
      </c>
    </row>
    <row r="2631" spans="1:7" x14ac:dyDescent="0.3">
      <c r="A2631" t="s">
        <v>46</v>
      </c>
      <c r="B2631" t="s">
        <v>2271</v>
      </c>
      <c r="C2631" t="s">
        <v>8</v>
      </c>
      <c r="D2631">
        <v>3.601</v>
      </c>
      <c r="E2631" s="4">
        <v>1152</v>
      </c>
      <c r="F2631" t="str">
        <f>HYPERLINK("https://www.google.com/maps/search/?api=1&amp;query=24.81908134,46.6605319", "View Map")</f>
        <v>View Map</v>
      </c>
    </row>
    <row r="2632" spans="1:7" x14ac:dyDescent="0.3">
      <c r="A2632" t="s">
        <v>5624</v>
      </c>
      <c r="B2632" t="s">
        <v>5625</v>
      </c>
      <c r="C2632" t="s">
        <v>442</v>
      </c>
      <c r="D2632">
        <v>3.6</v>
      </c>
      <c r="E2632" s="4">
        <v>1152</v>
      </c>
      <c r="F2632" t="str">
        <f>HYPERLINK("https://www.google.com/maps/search/?api=1&amp;query=23.63769166,46.5003744", "View Map")</f>
        <v>View Map</v>
      </c>
    </row>
    <row r="2633" spans="1:7" x14ac:dyDescent="0.3">
      <c r="A2633" t="s">
        <v>46</v>
      </c>
      <c r="B2633" t="s">
        <v>3198</v>
      </c>
      <c r="C2633" t="s">
        <v>8</v>
      </c>
      <c r="D2633">
        <v>3.6</v>
      </c>
      <c r="E2633" s="4">
        <v>1152</v>
      </c>
      <c r="F2633" t="str">
        <f>HYPERLINK("https://www.google.com/maps/search/?api=1&amp;query=24.70948604,46.84672797", "View Map")</f>
        <v>View Map</v>
      </c>
    </row>
    <row r="2634" spans="1:7" x14ac:dyDescent="0.3">
      <c r="A2634" t="s">
        <v>881</v>
      </c>
      <c r="B2634" t="s">
        <v>4393</v>
      </c>
      <c r="C2634" t="s">
        <v>883</v>
      </c>
      <c r="D2634">
        <v>3.5979999999999999</v>
      </c>
      <c r="E2634" s="4">
        <v>1151</v>
      </c>
      <c r="F2634" t="str">
        <f>HYPERLINK("https://www.google.com/maps/search/?api=1&amp;query=25.55529691,47.16109428", "View Map")</f>
        <v>View Map</v>
      </c>
      <c r="G2634" s="2">
        <v>0.64938449807429521</v>
      </c>
    </row>
    <row r="2635" spans="1:7" x14ac:dyDescent="0.3">
      <c r="A2635" t="s">
        <v>7300</v>
      </c>
      <c r="B2635" t="s">
        <v>7301</v>
      </c>
      <c r="C2635" t="s">
        <v>8</v>
      </c>
      <c r="D2635">
        <v>3.597</v>
      </c>
      <c r="E2635" s="4">
        <v>1151</v>
      </c>
      <c r="F2635" t="str">
        <f>HYPERLINK("https://www.google.com/maps/search/?api=1&amp;query=24.59170063,46.7111747", "View Map")</f>
        <v>View Map</v>
      </c>
    </row>
    <row r="2636" spans="1:7" x14ac:dyDescent="0.3">
      <c r="A2636" t="s">
        <v>6044</v>
      </c>
      <c r="B2636" t="s">
        <v>6045</v>
      </c>
      <c r="C2636" t="s">
        <v>8</v>
      </c>
      <c r="D2636">
        <v>3.5960000000000001</v>
      </c>
      <c r="E2636" s="4">
        <v>1151</v>
      </c>
      <c r="F2636" t="str">
        <f>HYPERLINK("https://www.google.com/maps/search/?api=1&amp;query=24.63096823,46.77575977", "View Map")</f>
        <v>View Map</v>
      </c>
    </row>
    <row r="2637" spans="1:7" x14ac:dyDescent="0.3">
      <c r="A2637" t="s">
        <v>10899</v>
      </c>
      <c r="B2637" t="s">
        <v>10900</v>
      </c>
      <c r="C2637" t="s">
        <v>8</v>
      </c>
      <c r="D2637">
        <v>3.5960000000000001</v>
      </c>
      <c r="E2637" s="4">
        <v>1151</v>
      </c>
      <c r="F2637" t="str">
        <f>HYPERLINK("https://www.google.com/maps/search/?api=1&amp;query=24.63137862,46.57013132", "View Map")</f>
        <v>View Map</v>
      </c>
    </row>
    <row r="2638" spans="1:7" x14ac:dyDescent="0.3">
      <c r="A2638" t="s">
        <v>3110</v>
      </c>
      <c r="B2638" t="s">
        <v>3111</v>
      </c>
      <c r="C2638" t="s">
        <v>8</v>
      </c>
      <c r="D2638">
        <v>3.593</v>
      </c>
      <c r="E2638" s="4">
        <v>1150</v>
      </c>
      <c r="F2638" t="str">
        <f>HYPERLINK("https://www.google.com/maps/search/?api=1&amp;query=24.5886,46.6819", "View Map")</f>
        <v>View Map</v>
      </c>
    </row>
    <row r="2639" spans="1:7" x14ac:dyDescent="0.3">
      <c r="A2639" t="s">
        <v>46</v>
      </c>
      <c r="B2639" t="s">
        <v>5127</v>
      </c>
      <c r="C2639" t="s">
        <v>8</v>
      </c>
      <c r="D2639">
        <v>3.5920000000000001</v>
      </c>
      <c r="E2639" s="4">
        <v>1149</v>
      </c>
      <c r="F2639" t="str">
        <f>HYPERLINK("https://www.google.com/maps/search/?api=1&amp;query=24.82068267,46.80123932", "View Map")</f>
        <v>View Map</v>
      </c>
    </row>
    <row r="2640" spans="1:7" x14ac:dyDescent="0.3">
      <c r="A2640" t="s">
        <v>1303</v>
      </c>
      <c r="B2640" t="s">
        <v>1304</v>
      </c>
      <c r="C2640" t="s">
        <v>8</v>
      </c>
      <c r="D2640">
        <v>3.5910000000000002</v>
      </c>
      <c r="E2640" s="4">
        <v>1149</v>
      </c>
      <c r="F2640" t="str">
        <f>HYPERLINK("https://www.google.com/maps/search/?api=1&amp;query=24.69963299,46.80964405", "View Map")</f>
        <v>View Map</v>
      </c>
    </row>
    <row r="2641" spans="1:7" x14ac:dyDescent="0.3">
      <c r="A2641" t="s">
        <v>5432</v>
      </c>
      <c r="B2641" t="s">
        <v>5433</v>
      </c>
      <c r="C2641" t="s">
        <v>291</v>
      </c>
      <c r="D2641">
        <v>3.5910000000000002</v>
      </c>
      <c r="E2641" s="4">
        <v>1149</v>
      </c>
      <c r="F2641" t="str">
        <f>HYPERLINK("https://www.google.com/maps/search/?api=1&amp;query=23.46329998,44.32734468", "View Map")</f>
        <v>View Map</v>
      </c>
      <c r="G2641" s="2">
        <v>0.83199099237281482</v>
      </c>
    </row>
    <row r="2642" spans="1:7" x14ac:dyDescent="0.3">
      <c r="A2642" t="s">
        <v>28</v>
      </c>
      <c r="B2642" t="s">
        <v>3746</v>
      </c>
      <c r="C2642" t="s">
        <v>30</v>
      </c>
      <c r="D2642">
        <v>3.59</v>
      </c>
      <c r="E2642" s="4">
        <v>1149</v>
      </c>
      <c r="F2642" t="str">
        <f>HYPERLINK("https://www.google.com/maps/search/?api=1&amp;query=24.0945035,47.27503035", "View Map")</f>
        <v>View Map</v>
      </c>
      <c r="G2642" s="2">
        <v>0.48528819967784981</v>
      </c>
    </row>
    <row r="2643" spans="1:7" x14ac:dyDescent="0.3">
      <c r="A2643" t="s">
        <v>1486</v>
      </c>
      <c r="B2643" t="s">
        <v>4270</v>
      </c>
      <c r="C2643" t="s">
        <v>8</v>
      </c>
      <c r="D2643">
        <v>3.59</v>
      </c>
      <c r="E2643" s="4">
        <v>1149</v>
      </c>
      <c r="F2643" t="str">
        <f>HYPERLINK("https://www.google.com/maps/search/?api=1&amp;query=24.69898014,46.78955452", "View Map")</f>
        <v>View Map</v>
      </c>
    </row>
    <row r="2644" spans="1:7" x14ac:dyDescent="0.3">
      <c r="A2644" t="s">
        <v>1002</v>
      </c>
      <c r="B2644" t="s">
        <v>5035</v>
      </c>
      <c r="C2644" t="s">
        <v>214</v>
      </c>
      <c r="D2644">
        <v>3.589</v>
      </c>
      <c r="E2644" s="4">
        <v>1148</v>
      </c>
      <c r="F2644" t="str">
        <f>HYPERLINK("https://www.google.com/maps/search/?api=1&amp;query=25.91100429,45.40429217", "View Map")</f>
        <v>View Map</v>
      </c>
      <c r="G2644" s="2">
        <v>0.43307690699836832</v>
      </c>
    </row>
    <row r="2645" spans="1:7" x14ac:dyDescent="0.3">
      <c r="A2645" t="s">
        <v>433</v>
      </c>
      <c r="B2645" t="s">
        <v>4917</v>
      </c>
      <c r="C2645" t="s">
        <v>137</v>
      </c>
      <c r="D2645">
        <v>3.589</v>
      </c>
      <c r="E2645" s="4">
        <v>1148</v>
      </c>
      <c r="F2645" t="str">
        <f>HYPERLINK("https://www.google.com/maps/search/?api=1&amp;query=23.45812721,46.8620731", "View Map")</f>
        <v>View Map</v>
      </c>
      <c r="G2645" s="2">
        <v>0.4361650683026681</v>
      </c>
    </row>
    <row r="2646" spans="1:7" x14ac:dyDescent="0.3">
      <c r="A2646" t="s">
        <v>1273</v>
      </c>
      <c r="B2646" t="s">
        <v>3384</v>
      </c>
      <c r="C2646" t="s">
        <v>241</v>
      </c>
      <c r="D2646">
        <v>3.5870000000000002</v>
      </c>
      <c r="E2646" s="4">
        <v>1148</v>
      </c>
      <c r="F2646" t="str">
        <f>HYPERLINK("https://www.google.com/maps/search/?api=1&amp;query=20.43189677,44.88776996", "View Map")</f>
        <v>View Map</v>
      </c>
      <c r="G2646" s="2">
        <v>0.59763105548669926</v>
      </c>
    </row>
    <row r="2647" spans="1:7" x14ac:dyDescent="0.3">
      <c r="A2647" t="s">
        <v>6438</v>
      </c>
      <c r="B2647" t="s">
        <v>6439</v>
      </c>
      <c r="C2647" t="s">
        <v>8</v>
      </c>
      <c r="D2647">
        <v>3.585</v>
      </c>
      <c r="E2647" s="4">
        <v>1147</v>
      </c>
      <c r="F2647" t="str">
        <f>HYPERLINK("https://www.google.com/maps/search/?api=1&amp;query=24.50250775,46.63760269", "View Map")</f>
        <v>View Map</v>
      </c>
    </row>
    <row r="2648" spans="1:7" x14ac:dyDescent="0.3">
      <c r="A2648" t="s">
        <v>1275</v>
      </c>
      <c r="B2648" t="s">
        <v>1276</v>
      </c>
      <c r="C2648" t="s">
        <v>8</v>
      </c>
      <c r="D2648">
        <v>3.585</v>
      </c>
      <c r="E2648" s="4">
        <v>1147</v>
      </c>
      <c r="F2648" t="str">
        <f>HYPERLINK("https://www.google.com/maps/search/?api=1&amp;query=24.72754218,46.79429586", "View Map")</f>
        <v>View Map</v>
      </c>
      <c r="G2648" s="2">
        <v>0.1745634218959479</v>
      </c>
    </row>
    <row r="2649" spans="1:7" x14ac:dyDescent="0.3">
      <c r="A2649" t="s">
        <v>3202</v>
      </c>
      <c r="B2649" t="s">
        <v>3203</v>
      </c>
      <c r="C2649" t="s">
        <v>8</v>
      </c>
      <c r="D2649">
        <v>3.5840000000000001</v>
      </c>
      <c r="E2649" s="4">
        <v>1147</v>
      </c>
      <c r="F2649" t="str">
        <f>HYPERLINK("https://www.google.com/maps/search/?api=1&amp;query=24.68162114,46.78213944", "View Map")</f>
        <v>View Map</v>
      </c>
    </row>
    <row r="2650" spans="1:7" x14ac:dyDescent="0.3">
      <c r="A2650" t="s">
        <v>5071</v>
      </c>
      <c r="B2650" t="s">
        <v>5072</v>
      </c>
      <c r="C2650" t="s">
        <v>214</v>
      </c>
      <c r="D2650">
        <v>3.5840000000000001</v>
      </c>
      <c r="E2650" s="4">
        <v>1147</v>
      </c>
      <c r="F2650" t="str">
        <f>HYPERLINK("https://www.google.com/maps/search/?api=1&amp;query=26.50001577,45.34959659", "View Map")</f>
        <v>View Map</v>
      </c>
      <c r="G2650" s="2">
        <v>0.46399054203995721</v>
      </c>
    </row>
    <row r="2651" spans="1:7" x14ac:dyDescent="0.3">
      <c r="A2651" t="s">
        <v>11371</v>
      </c>
      <c r="B2651" t="s">
        <v>11372</v>
      </c>
      <c r="C2651" t="s">
        <v>8</v>
      </c>
      <c r="D2651">
        <v>3.5840000000000001</v>
      </c>
      <c r="E2651" s="4">
        <v>1147</v>
      </c>
      <c r="F2651" t="str">
        <f>HYPERLINK("https://www.google.com/maps/search/?api=1&amp;query=24.67985783,46.68620226", "View Map")</f>
        <v>View Map</v>
      </c>
      <c r="G2651" s="2">
        <v>0.49345186375825573</v>
      </c>
    </row>
    <row r="2652" spans="1:7" x14ac:dyDescent="0.3">
      <c r="A2652" t="s">
        <v>4957</v>
      </c>
      <c r="B2652" t="s">
        <v>4958</v>
      </c>
      <c r="C2652" t="s">
        <v>8</v>
      </c>
      <c r="D2652">
        <v>3.5830000000000002</v>
      </c>
      <c r="E2652" s="4">
        <v>1147</v>
      </c>
      <c r="F2652" t="str">
        <f>HYPERLINK("https://www.google.com/maps/search/?api=1&amp;query=24.68942477,46.83043704", "View Map")</f>
        <v>View Map</v>
      </c>
    </row>
    <row r="2653" spans="1:7" x14ac:dyDescent="0.3">
      <c r="A2653" t="s">
        <v>9646</v>
      </c>
      <c r="B2653" t="s">
        <v>9647</v>
      </c>
      <c r="C2653" t="s">
        <v>393</v>
      </c>
      <c r="D2653">
        <v>3.5819999999999999</v>
      </c>
      <c r="E2653" s="4">
        <v>1146</v>
      </c>
      <c r="F2653" t="str">
        <f>HYPERLINK("https://www.google.com/maps/search/?api=1&amp;query=23.55098726,45.50455666", "View Map")</f>
        <v>View Map</v>
      </c>
      <c r="G2653" s="2">
        <v>0.48766145060455229</v>
      </c>
    </row>
    <row r="2654" spans="1:7" x14ac:dyDescent="0.3">
      <c r="A2654" t="s">
        <v>11373</v>
      </c>
      <c r="B2654" t="s">
        <v>11374</v>
      </c>
      <c r="C2654" t="s">
        <v>16</v>
      </c>
      <c r="D2654">
        <v>3.581</v>
      </c>
      <c r="E2654" s="4">
        <v>1146</v>
      </c>
      <c r="F2654" t="str">
        <f>HYPERLINK("https://www.google.com/maps/search/?api=1&amp;query=23.69554211,42.19709338", "View Map")</f>
        <v>View Map</v>
      </c>
      <c r="G2654" s="2">
        <v>1.1223966771986029</v>
      </c>
    </row>
    <row r="2655" spans="1:7" x14ac:dyDescent="0.3">
      <c r="A2655" t="s">
        <v>4894</v>
      </c>
      <c r="B2655" t="s">
        <v>4895</v>
      </c>
      <c r="C2655" t="s">
        <v>77</v>
      </c>
      <c r="D2655">
        <v>3.58</v>
      </c>
      <c r="E2655" s="4">
        <v>1146</v>
      </c>
      <c r="F2655" t="str">
        <f>HYPERLINK("https://www.google.com/maps/search/?api=1&amp;query=22.29021615,46.71103832", "View Map")</f>
        <v>View Map</v>
      </c>
    </row>
    <row r="2656" spans="1:7" x14ac:dyDescent="0.3">
      <c r="A2656" t="s">
        <v>46</v>
      </c>
      <c r="B2656" t="s">
        <v>703</v>
      </c>
      <c r="C2656" t="s">
        <v>8</v>
      </c>
      <c r="D2656">
        <v>3.5790000000000002</v>
      </c>
      <c r="E2656" s="4">
        <v>1145</v>
      </c>
      <c r="F2656" t="str">
        <f>HYPERLINK("https://www.google.com/maps/search/?api=1&amp;query=24.85203405,46.82693237", "View Map")</f>
        <v>View Map</v>
      </c>
      <c r="G2656" s="2">
        <v>0.13410683699449341</v>
      </c>
    </row>
    <row r="2657" spans="1:7" x14ac:dyDescent="0.3">
      <c r="A2657" t="s">
        <v>6782</v>
      </c>
      <c r="B2657" t="s">
        <v>6783</v>
      </c>
      <c r="C2657" t="s">
        <v>8</v>
      </c>
      <c r="D2657">
        <v>3.5779999999999998</v>
      </c>
      <c r="E2657" s="4">
        <v>1145</v>
      </c>
      <c r="F2657" t="str">
        <f>HYPERLINK("https://www.google.com/maps/search/?api=1&amp;query=24.62622925,46.5645011", "View Map")</f>
        <v>View Map</v>
      </c>
    </row>
    <row r="2658" spans="1:7" x14ac:dyDescent="0.3">
      <c r="A2658" t="s">
        <v>3838</v>
      </c>
      <c r="B2658" t="s">
        <v>3839</v>
      </c>
      <c r="C2658" t="s">
        <v>55</v>
      </c>
      <c r="D2658">
        <v>3.5760000000000001</v>
      </c>
      <c r="E2658" s="4">
        <v>1144</v>
      </c>
      <c r="F2658" t="str">
        <f>HYPERLINK("https://www.google.com/maps/search/?api=1&amp;query=24.74012063,46.59488177", "View Map")</f>
        <v>View Map</v>
      </c>
    </row>
    <row r="2659" spans="1:7" x14ac:dyDescent="0.3">
      <c r="A2659" t="s">
        <v>160</v>
      </c>
      <c r="B2659" t="s">
        <v>7998</v>
      </c>
      <c r="C2659" t="s">
        <v>8</v>
      </c>
      <c r="D2659">
        <v>3.5760000000000001</v>
      </c>
      <c r="E2659" s="4">
        <v>1144</v>
      </c>
      <c r="F2659" t="str">
        <f>HYPERLINK("https://www.google.com/maps/search/?api=1&amp;query=24.6890308,46.64993002", "View Map")</f>
        <v>View Map</v>
      </c>
    </row>
    <row r="2660" spans="1:7" x14ac:dyDescent="0.3">
      <c r="A2660" t="s">
        <v>46</v>
      </c>
      <c r="B2660" t="s">
        <v>5646</v>
      </c>
      <c r="C2660" t="s">
        <v>8</v>
      </c>
      <c r="D2660">
        <v>3.573</v>
      </c>
      <c r="E2660" s="4">
        <v>1143</v>
      </c>
      <c r="F2660" t="str">
        <f>HYPERLINK("https://www.google.com/maps/search/?api=1&amp;query=24.62806686,46.54779038", "View Map")</f>
        <v>View Map</v>
      </c>
    </row>
    <row r="2661" spans="1:7" x14ac:dyDescent="0.3">
      <c r="A2661" t="s">
        <v>11375</v>
      </c>
      <c r="B2661" t="s">
        <v>11376</v>
      </c>
      <c r="C2661" t="s">
        <v>30</v>
      </c>
      <c r="D2661">
        <v>3.57</v>
      </c>
      <c r="E2661" s="4">
        <v>1143</v>
      </c>
      <c r="F2661" t="str">
        <f>HYPERLINK("https://www.google.com/maps/search/?api=1&amp;query=24.15396657,47.32782008", "View Map")</f>
        <v>View Map</v>
      </c>
    </row>
    <row r="2662" spans="1:7" x14ac:dyDescent="0.3">
      <c r="A2662" t="s">
        <v>1388</v>
      </c>
      <c r="B2662" t="s">
        <v>1389</v>
      </c>
      <c r="C2662" t="s">
        <v>8</v>
      </c>
      <c r="D2662">
        <v>3.569</v>
      </c>
      <c r="E2662" s="4">
        <v>1142</v>
      </c>
      <c r="F2662" t="str">
        <f>HYPERLINK("https://www.google.com/maps/search/?api=1&amp;query=24.59800797,46.59650878", "View Map")</f>
        <v>View Map</v>
      </c>
      <c r="G2662" s="2">
        <v>0.36492003933939121</v>
      </c>
    </row>
    <row r="2663" spans="1:7" x14ac:dyDescent="0.3">
      <c r="A2663" t="s">
        <v>5171</v>
      </c>
      <c r="B2663" t="s">
        <v>5172</v>
      </c>
      <c r="C2663" t="s">
        <v>241</v>
      </c>
      <c r="D2663">
        <v>3.5680000000000001</v>
      </c>
      <c r="E2663" s="4">
        <v>1142</v>
      </c>
      <c r="F2663" t="str">
        <f>HYPERLINK("https://www.google.com/maps/search/?api=1&amp;query=20.44134241,44.72348135", "View Map")</f>
        <v>View Map</v>
      </c>
      <c r="G2663" s="2">
        <v>0.61730125267067304</v>
      </c>
    </row>
    <row r="2664" spans="1:7" x14ac:dyDescent="0.3">
      <c r="A2664" t="s">
        <v>5790</v>
      </c>
      <c r="B2664" t="s">
        <v>5791</v>
      </c>
      <c r="C2664" t="s">
        <v>21</v>
      </c>
      <c r="D2664">
        <v>3.5680000000000001</v>
      </c>
      <c r="E2664" s="4">
        <v>1142</v>
      </c>
      <c r="F2664" t="str">
        <f>HYPERLINK("https://www.google.com/maps/search/?api=1&amp;query=26.30493717,44.81553019", "View Map")</f>
        <v>View Map</v>
      </c>
    </row>
    <row r="2665" spans="1:7" x14ac:dyDescent="0.3">
      <c r="A2665" t="s">
        <v>6336</v>
      </c>
      <c r="B2665" t="s">
        <v>6337</v>
      </c>
      <c r="C2665" t="s">
        <v>8</v>
      </c>
      <c r="D2665">
        <v>3.5680000000000001</v>
      </c>
      <c r="E2665" s="4">
        <v>1142</v>
      </c>
      <c r="F2665" t="str">
        <f>HYPERLINK("https://www.google.com/maps/search/?api=1&amp;query=24.5967444,46.77607166", "View Map")</f>
        <v>View Map</v>
      </c>
      <c r="G2665" s="2">
        <v>0.5432555208008556</v>
      </c>
    </row>
    <row r="2666" spans="1:7" x14ac:dyDescent="0.3">
      <c r="A2666" t="s">
        <v>4734</v>
      </c>
      <c r="B2666" t="s">
        <v>4735</v>
      </c>
      <c r="C2666" t="s">
        <v>214</v>
      </c>
      <c r="D2666">
        <v>3.5680000000000001</v>
      </c>
      <c r="E2666" s="4">
        <v>1142</v>
      </c>
      <c r="F2666" t="str">
        <f>HYPERLINK("https://www.google.com/maps/search/?api=1&amp;query=25.69447891,45.89125791", "View Map")</f>
        <v>View Map</v>
      </c>
      <c r="G2666" s="2">
        <v>0.60418519080871202</v>
      </c>
    </row>
    <row r="2667" spans="1:7" x14ac:dyDescent="0.3">
      <c r="A2667" t="s">
        <v>4854</v>
      </c>
      <c r="B2667" t="s">
        <v>4855</v>
      </c>
      <c r="C2667" t="s">
        <v>55</v>
      </c>
      <c r="D2667">
        <v>3.5670000000000002</v>
      </c>
      <c r="E2667" s="4">
        <v>1141</v>
      </c>
      <c r="F2667" t="str">
        <f>HYPERLINK("https://www.google.com/maps/search/?api=1&amp;query=24.74142,46.58241", "View Map")</f>
        <v>View Map</v>
      </c>
    </row>
    <row r="2668" spans="1:7" x14ac:dyDescent="0.3">
      <c r="A2668" t="s">
        <v>4948</v>
      </c>
      <c r="B2668" t="s">
        <v>4949</v>
      </c>
      <c r="C2668" t="s">
        <v>214</v>
      </c>
      <c r="D2668">
        <v>3.5659999999999998</v>
      </c>
      <c r="E2668" s="4">
        <v>1141</v>
      </c>
      <c r="F2668" t="str">
        <f>HYPERLINK("https://www.google.com/maps/search/?api=1&amp;query=25.57519948,45.65924587", "View Map")</f>
        <v>View Map</v>
      </c>
      <c r="G2668" s="2">
        <v>0.66888841609367811</v>
      </c>
    </row>
    <row r="2669" spans="1:7" x14ac:dyDescent="0.3">
      <c r="A2669" t="s">
        <v>5076</v>
      </c>
      <c r="B2669" t="s">
        <v>5077</v>
      </c>
      <c r="C2669" t="s">
        <v>738</v>
      </c>
      <c r="D2669">
        <v>3.5659999999999998</v>
      </c>
      <c r="E2669" s="4">
        <v>1141</v>
      </c>
      <c r="F2669" t="str">
        <f>HYPERLINK("https://www.google.com/maps/search/?api=1&amp;query=25.11411823,46.09580913", "View Map")</f>
        <v>View Map</v>
      </c>
      <c r="G2669" s="2">
        <v>0.72367091390232341</v>
      </c>
    </row>
    <row r="2670" spans="1:7" x14ac:dyDescent="0.3">
      <c r="A2670" t="s">
        <v>6165</v>
      </c>
      <c r="B2670" t="s">
        <v>6166</v>
      </c>
      <c r="C2670" t="s">
        <v>8</v>
      </c>
      <c r="D2670">
        <v>3.5640000000000001</v>
      </c>
      <c r="E2670" s="4">
        <v>1141</v>
      </c>
      <c r="F2670" t="str">
        <f>HYPERLINK("https://www.google.com/maps/search/?api=1&amp;query=24.68459215,46.80687403", "View Map")</f>
        <v>View Map</v>
      </c>
      <c r="G2670" s="2">
        <v>0.42895039423680309</v>
      </c>
    </row>
    <row r="2671" spans="1:7" x14ac:dyDescent="0.3">
      <c r="A2671" t="s">
        <v>2421</v>
      </c>
      <c r="B2671" t="s">
        <v>5540</v>
      </c>
      <c r="C2671" t="s">
        <v>8</v>
      </c>
      <c r="D2671">
        <v>3.5630000000000002</v>
      </c>
      <c r="E2671" s="4">
        <v>1140</v>
      </c>
      <c r="F2671" t="str">
        <f>HYPERLINK("https://www.google.com/maps/search/?api=1&amp;query=24.77913844,46.74614845", "View Map")</f>
        <v>View Map</v>
      </c>
      <c r="G2671" s="2">
        <v>0.45108117063066239</v>
      </c>
    </row>
    <row r="2672" spans="1:7" x14ac:dyDescent="0.3">
      <c r="A2672" t="s">
        <v>28</v>
      </c>
      <c r="B2672" t="s">
        <v>5162</v>
      </c>
      <c r="C2672" t="s">
        <v>30</v>
      </c>
      <c r="D2672">
        <v>3.5630000000000002</v>
      </c>
      <c r="E2672" s="4">
        <v>1140</v>
      </c>
      <c r="F2672" t="str">
        <f>HYPERLINK("https://www.google.com/maps/search/?api=1&amp;query=24.09367526,47.26533839", "View Map")</f>
        <v>View Map</v>
      </c>
      <c r="G2672" s="2">
        <v>0.49464502211048528</v>
      </c>
    </row>
    <row r="2673" spans="1:7" x14ac:dyDescent="0.3">
      <c r="A2673" t="s">
        <v>5758</v>
      </c>
      <c r="B2673" t="s">
        <v>5759</v>
      </c>
      <c r="C2673" t="s">
        <v>296</v>
      </c>
      <c r="D2673">
        <v>3.5619999999999998</v>
      </c>
      <c r="E2673" s="4">
        <v>1140</v>
      </c>
      <c r="F2673" t="str">
        <f>HYPERLINK("https://www.google.com/maps/search/?api=1&amp;query=24.4423682,46.11276034", "View Map")</f>
        <v>View Map</v>
      </c>
    </row>
    <row r="2674" spans="1:7" x14ac:dyDescent="0.3">
      <c r="A2674" t="s">
        <v>3752</v>
      </c>
      <c r="B2674" t="s">
        <v>3753</v>
      </c>
      <c r="C2674" t="s">
        <v>8</v>
      </c>
      <c r="D2674">
        <v>3.5609999999999999</v>
      </c>
      <c r="E2674" s="4">
        <v>1140</v>
      </c>
      <c r="F2674" t="str">
        <f>HYPERLINK("https://www.google.com/maps/search/?api=1&amp;query=24.75826619,46.67389481", "View Map")</f>
        <v>View Map</v>
      </c>
    </row>
    <row r="2675" spans="1:7" x14ac:dyDescent="0.3">
      <c r="A2675" t="s">
        <v>4324</v>
      </c>
      <c r="B2675" t="s">
        <v>4325</v>
      </c>
      <c r="C2675" t="s">
        <v>8</v>
      </c>
      <c r="D2675">
        <v>3.5579999999999998</v>
      </c>
      <c r="E2675" s="4">
        <v>1138</v>
      </c>
      <c r="F2675" t="str">
        <f>HYPERLINK("https://www.google.com/maps/search/?api=1&amp;query=24.50500192,46.62812324", "View Map")</f>
        <v>View Map</v>
      </c>
      <c r="G2675" s="2">
        <v>0.39910003478592859</v>
      </c>
    </row>
    <row r="2676" spans="1:7" x14ac:dyDescent="0.3">
      <c r="A2676" t="s">
        <v>5103</v>
      </c>
      <c r="B2676" t="s">
        <v>5104</v>
      </c>
      <c r="C2676" t="s">
        <v>8</v>
      </c>
      <c r="D2676">
        <v>3.5569999999999999</v>
      </c>
      <c r="E2676" s="4">
        <v>1138</v>
      </c>
      <c r="F2676" t="str">
        <f>HYPERLINK("https://www.google.com/maps/search/?api=1&amp;query=24.70497222,46.69325261", "View Map")</f>
        <v>View Map</v>
      </c>
    </row>
    <row r="2677" spans="1:7" x14ac:dyDescent="0.3">
      <c r="A2677" t="s">
        <v>28</v>
      </c>
      <c r="B2677" t="s">
        <v>6673</v>
      </c>
      <c r="C2677" t="s">
        <v>270</v>
      </c>
      <c r="D2677">
        <v>3.5550000000000002</v>
      </c>
      <c r="E2677" s="4">
        <v>1138</v>
      </c>
      <c r="F2677" t="str">
        <f>HYPERLINK("https://www.google.com/maps/search/?api=1&amp;query=23.93624867,46.81826947", "View Map")</f>
        <v>View Map</v>
      </c>
      <c r="G2677" s="2">
        <v>0.52717733639120934</v>
      </c>
    </row>
    <row r="2678" spans="1:7" x14ac:dyDescent="0.3">
      <c r="A2678" t="s">
        <v>242</v>
      </c>
      <c r="B2678" t="s">
        <v>7619</v>
      </c>
      <c r="C2678" t="s">
        <v>8</v>
      </c>
      <c r="D2678">
        <v>3.5550000000000002</v>
      </c>
      <c r="E2678" s="4">
        <v>1138</v>
      </c>
      <c r="F2678" t="str">
        <f>HYPERLINK("https://www.google.com/maps/search/?api=1&amp;query=24.76573903,46.79209436", "View Map")</f>
        <v>View Map</v>
      </c>
    </row>
    <row r="2679" spans="1:7" x14ac:dyDescent="0.3">
      <c r="A2679" t="s">
        <v>2702</v>
      </c>
      <c r="B2679" t="s">
        <v>2703</v>
      </c>
      <c r="C2679" t="s">
        <v>77</v>
      </c>
      <c r="D2679">
        <v>3.5529999999999999</v>
      </c>
      <c r="E2679" s="4">
        <v>1137</v>
      </c>
      <c r="F2679" t="str">
        <f>HYPERLINK("https://www.google.com/maps/search/?api=1&amp;query=22.30433732,46.71154137", "View Map")</f>
        <v>View Map</v>
      </c>
      <c r="G2679" s="2">
        <v>0.32007291534672561</v>
      </c>
    </row>
    <row r="2680" spans="1:7" x14ac:dyDescent="0.3">
      <c r="A2680" t="s">
        <v>6097</v>
      </c>
      <c r="B2680" t="s">
        <v>6098</v>
      </c>
      <c r="C2680" t="s">
        <v>255</v>
      </c>
      <c r="D2680">
        <v>3.5510000000000002</v>
      </c>
      <c r="E2680" s="4">
        <v>1136</v>
      </c>
      <c r="F2680" t="str">
        <f>HYPERLINK("https://www.google.com/maps/search/?api=1&amp;query=24.72428311,44.28965175", "View Map")</f>
        <v>View Map</v>
      </c>
      <c r="G2680" s="2">
        <v>0.76520144744587748</v>
      </c>
    </row>
    <row r="2681" spans="1:7" x14ac:dyDescent="0.3">
      <c r="A2681" t="s">
        <v>4222</v>
      </c>
      <c r="B2681" t="s">
        <v>5255</v>
      </c>
      <c r="C2681" t="s">
        <v>8</v>
      </c>
      <c r="D2681">
        <v>3.5510000000000002</v>
      </c>
      <c r="E2681" s="4">
        <v>1136</v>
      </c>
      <c r="F2681" t="str">
        <f>HYPERLINK("https://www.google.com/maps/search/?api=1&amp;query=24.58300865,46.68434332", "View Map")</f>
        <v>View Map</v>
      </c>
    </row>
    <row r="2682" spans="1:7" x14ac:dyDescent="0.3">
      <c r="A2682" t="s">
        <v>717</v>
      </c>
      <c r="B2682" t="s">
        <v>10313</v>
      </c>
      <c r="C2682" t="s">
        <v>255</v>
      </c>
      <c r="D2682">
        <v>3.55</v>
      </c>
      <c r="E2682" s="4">
        <v>1136</v>
      </c>
      <c r="F2682" t="str">
        <f>HYPERLINK("https://www.google.com/maps/search/?api=1&amp;query=24.90250444,44.55066916", "View Map")</f>
        <v>View Map</v>
      </c>
      <c r="G2682" s="2">
        <v>0.65797435413084182</v>
      </c>
    </row>
    <row r="2683" spans="1:7" x14ac:dyDescent="0.3">
      <c r="A2683" t="s">
        <v>4824</v>
      </c>
      <c r="B2683" t="s">
        <v>4825</v>
      </c>
      <c r="C2683" t="s">
        <v>8</v>
      </c>
      <c r="D2683">
        <v>3.55</v>
      </c>
      <c r="E2683" s="4">
        <v>1136</v>
      </c>
      <c r="F2683" t="str">
        <f>HYPERLINK("https://www.google.com/maps/search/?api=1&amp;query=24.68146447,46.72423429", "View Map")</f>
        <v>View Map</v>
      </c>
    </row>
    <row r="2684" spans="1:7" x14ac:dyDescent="0.3">
      <c r="A2684" t="s">
        <v>11377</v>
      </c>
      <c r="B2684" t="s">
        <v>11378</v>
      </c>
      <c r="C2684" t="s">
        <v>55</v>
      </c>
      <c r="D2684">
        <v>3.548</v>
      </c>
      <c r="E2684" s="4">
        <v>1135</v>
      </c>
      <c r="F2684" t="str">
        <f>HYPERLINK("https://www.google.com/maps/search/?api=1&amp;query=24.74333766,46.57769758", "View Map")</f>
        <v>View Map</v>
      </c>
    </row>
    <row r="2685" spans="1:7" x14ac:dyDescent="0.3">
      <c r="A2685" t="s">
        <v>5390</v>
      </c>
      <c r="B2685" t="s">
        <v>5391</v>
      </c>
      <c r="C2685" t="s">
        <v>8</v>
      </c>
      <c r="D2685">
        <v>3.5449999999999999</v>
      </c>
      <c r="E2685" s="4">
        <v>1135</v>
      </c>
      <c r="F2685" t="str">
        <f>HYPERLINK("https://www.google.com/maps/search/?api=1&amp;query=24.57100564,46.54200447", "View Map")</f>
        <v>View Map</v>
      </c>
    </row>
    <row r="2686" spans="1:7" x14ac:dyDescent="0.3">
      <c r="A2686" t="s">
        <v>11379</v>
      </c>
      <c r="B2686" t="s">
        <v>11380</v>
      </c>
      <c r="C2686" t="s">
        <v>8</v>
      </c>
      <c r="D2686">
        <v>3.5449999999999999</v>
      </c>
      <c r="E2686" s="4">
        <v>1134</v>
      </c>
      <c r="F2686" t="str">
        <f>HYPERLINK("https://www.google.com/maps/search/?api=1&amp;query=24.68315,46.69397", "View Map")</f>
        <v>View Map</v>
      </c>
      <c r="G2686" s="2">
        <v>0.67443787602928074</v>
      </c>
    </row>
    <row r="2687" spans="1:7" x14ac:dyDescent="0.3">
      <c r="A2687" t="s">
        <v>4644</v>
      </c>
      <c r="B2687" t="s">
        <v>4645</v>
      </c>
      <c r="C2687" t="s">
        <v>8</v>
      </c>
      <c r="D2687">
        <v>3.5430000000000001</v>
      </c>
      <c r="E2687" s="4">
        <v>1134</v>
      </c>
      <c r="F2687" t="str">
        <f>HYPERLINK("https://www.google.com/maps/search/?api=1&amp;query=24.78380468,46.78335339", "View Map")</f>
        <v>View Map</v>
      </c>
    </row>
    <row r="2688" spans="1:7" x14ac:dyDescent="0.3">
      <c r="A2688" t="s">
        <v>362</v>
      </c>
      <c r="B2688" t="s">
        <v>3785</v>
      </c>
      <c r="C2688" t="s">
        <v>738</v>
      </c>
      <c r="D2688">
        <v>3.5419999999999998</v>
      </c>
      <c r="E2688" s="4">
        <v>1133</v>
      </c>
      <c r="F2688" t="str">
        <f>HYPERLINK("https://www.google.com/maps/search/?api=1&amp;query=25.00487819,45.83415925", "View Map")</f>
        <v>View Map</v>
      </c>
      <c r="G2688" s="2">
        <v>0.64086527957176476</v>
      </c>
    </row>
    <row r="2689" spans="1:7" x14ac:dyDescent="0.3">
      <c r="A2689" t="s">
        <v>3953</v>
      </c>
      <c r="B2689" t="s">
        <v>3954</v>
      </c>
      <c r="C2689" t="s">
        <v>8</v>
      </c>
      <c r="D2689">
        <v>3.5419999999999998</v>
      </c>
      <c r="E2689" s="4">
        <v>1133</v>
      </c>
      <c r="F2689" t="str">
        <f>HYPERLINK("https://www.google.com/maps/search/?api=1&amp;query=24.59917376,46.58680565", "View Map")</f>
        <v>View Map</v>
      </c>
    </row>
    <row r="2690" spans="1:7" x14ac:dyDescent="0.3">
      <c r="A2690" t="s">
        <v>2433</v>
      </c>
      <c r="B2690" t="s">
        <v>2434</v>
      </c>
      <c r="C2690" t="s">
        <v>30</v>
      </c>
      <c r="D2690">
        <v>3.5409999999999999</v>
      </c>
      <c r="E2690" s="4">
        <v>1133</v>
      </c>
      <c r="F2690" t="str">
        <f>HYPERLINK("https://www.google.com/maps/search/?api=1&amp;query=24.16016664,47.35824496", "View Map")</f>
        <v>View Map</v>
      </c>
      <c r="G2690" s="2">
        <v>0.43274473691253679</v>
      </c>
    </row>
    <row r="2691" spans="1:7" x14ac:dyDescent="0.3">
      <c r="A2691" t="s">
        <v>6280</v>
      </c>
      <c r="B2691" t="s">
        <v>6281</v>
      </c>
      <c r="C2691" t="s">
        <v>393</v>
      </c>
      <c r="D2691">
        <v>3.5379999999999998</v>
      </c>
      <c r="E2691" s="4">
        <v>1132</v>
      </c>
      <c r="F2691" t="str">
        <f>HYPERLINK("https://www.google.com/maps/search/?api=1&amp;query=22.48049476,44.91279078", "View Map")</f>
        <v>View Map</v>
      </c>
      <c r="G2691" s="2">
        <v>0.86660529709053691</v>
      </c>
    </row>
    <row r="2692" spans="1:7" x14ac:dyDescent="0.3">
      <c r="A2692" t="s">
        <v>3714</v>
      </c>
      <c r="B2692" t="s">
        <v>3715</v>
      </c>
      <c r="C2692" t="s">
        <v>8</v>
      </c>
      <c r="D2692">
        <v>3.5379999999999998</v>
      </c>
      <c r="E2692" s="4">
        <v>1132</v>
      </c>
      <c r="F2692" t="str">
        <f>HYPERLINK("https://www.google.com/maps/search/?api=1&amp;query=24.81254218,46.77939426", "View Map")</f>
        <v>View Map</v>
      </c>
    </row>
    <row r="2693" spans="1:7" x14ac:dyDescent="0.3">
      <c r="A2693" t="s">
        <v>5833</v>
      </c>
      <c r="B2693" t="s">
        <v>5834</v>
      </c>
      <c r="C2693" t="s">
        <v>393</v>
      </c>
      <c r="D2693">
        <v>3.5369999999999999</v>
      </c>
      <c r="E2693" s="4">
        <v>1132</v>
      </c>
      <c r="F2693" t="str">
        <f>HYPERLINK("https://www.google.com/maps/search/?api=1&amp;query=22.5225554,45.08737836", "View Map")</f>
        <v>View Map</v>
      </c>
      <c r="G2693" s="2">
        <v>0.93176486694008598</v>
      </c>
    </row>
    <row r="2694" spans="1:7" x14ac:dyDescent="0.3">
      <c r="A2694" t="s">
        <v>6801</v>
      </c>
      <c r="B2694" t="s">
        <v>6802</v>
      </c>
      <c r="C2694" t="s">
        <v>8</v>
      </c>
      <c r="D2694">
        <v>3.536</v>
      </c>
      <c r="E2694" s="4">
        <v>1132</v>
      </c>
      <c r="F2694" t="str">
        <f>HYPERLINK("https://www.google.com/maps/search/?api=1&amp;query=24.58993157,46.65970334", "View Map")</f>
        <v>View Map</v>
      </c>
    </row>
    <row r="2695" spans="1:7" x14ac:dyDescent="0.3">
      <c r="A2695" t="s">
        <v>881</v>
      </c>
      <c r="B2695" t="s">
        <v>6498</v>
      </c>
      <c r="C2695" t="s">
        <v>883</v>
      </c>
      <c r="D2695">
        <v>3.536</v>
      </c>
      <c r="E2695" s="4">
        <v>1131</v>
      </c>
      <c r="F2695" t="str">
        <f>HYPERLINK("https://www.google.com/maps/search/?api=1&amp;query=25.56584017,47.16628654", "View Map")</f>
        <v>View Map</v>
      </c>
    </row>
    <row r="2696" spans="1:7" x14ac:dyDescent="0.3">
      <c r="A2696" t="s">
        <v>46</v>
      </c>
      <c r="B2696" t="s">
        <v>10295</v>
      </c>
      <c r="C2696" t="s">
        <v>820</v>
      </c>
      <c r="D2696">
        <v>3.5350000000000001</v>
      </c>
      <c r="E2696" s="4">
        <v>1131</v>
      </c>
      <c r="F2696" t="str">
        <f>HYPERLINK("https://www.google.com/maps/search/?api=1&amp;query=0.0,0.0", "View Map")</f>
        <v>View Map</v>
      </c>
    </row>
    <row r="2697" spans="1:7" x14ac:dyDescent="0.3">
      <c r="A2697" t="s">
        <v>5283</v>
      </c>
      <c r="B2697" t="s">
        <v>5284</v>
      </c>
      <c r="C2697" t="s">
        <v>30</v>
      </c>
      <c r="D2697">
        <v>3.5339999999999998</v>
      </c>
      <c r="E2697" s="4">
        <v>1131</v>
      </c>
      <c r="F2697" t="str">
        <f>HYPERLINK("https://www.google.com/maps/search/?api=1&amp;query=24.17326,47.22405", "View Map")</f>
        <v>View Map</v>
      </c>
      <c r="G2697" s="2">
        <v>0.48742651566039719</v>
      </c>
    </row>
    <row r="2698" spans="1:7" x14ac:dyDescent="0.3">
      <c r="A2698" t="s">
        <v>73</v>
      </c>
      <c r="B2698" t="s">
        <v>8824</v>
      </c>
      <c r="C2698" t="s">
        <v>8</v>
      </c>
      <c r="D2698">
        <v>3.5339999999999998</v>
      </c>
      <c r="E2698" s="4">
        <v>1131</v>
      </c>
      <c r="F2698" t="str">
        <f>HYPERLINK("https://www.google.com/maps/search/?api=1&amp;query=24.81336981,46.60082727", "View Map")</f>
        <v>View Map</v>
      </c>
    </row>
    <row r="2699" spans="1:7" x14ac:dyDescent="0.3">
      <c r="A2699" t="s">
        <v>46</v>
      </c>
      <c r="B2699" t="s">
        <v>5722</v>
      </c>
      <c r="C2699" t="s">
        <v>8</v>
      </c>
      <c r="D2699">
        <v>3.5329999999999999</v>
      </c>
      <c r="E2699" s="4">
        <v>1131</v>
      </c>
      <c r="F2699" t="str">
        <f>HYPERLINK("https://www.google.com/maps/search/?api=1&amp;query=24.79526866,46.61667302", "View Map")</f>
        <v>View Map</v>
      </c>
      <c r="G2699" s="2">
        <v>0.88904239754537595</v>
      </c>
    </row>
    <row r="2700" spans="1:7" x14ac:dyDescent="0.3">
      <c r="A2700" t="s">
        <v>1017</v>
      </c>
      <c r="B2700" t="s">
        <v>8671</v>
      </c>
      <c r="C2700" t="s">
        <v>8</v>
      </c>
      <c r="D2700">
        <v>3.5310000000000001</v>
      </c>
      <c r="E2700" s="4">
        <v>1130</v>
      </c>
      <c r="F2700" t="str">
        <f>HYPERLINK("https://www.google.com/maps/search/?api=1&amp;query=24.56907615,46.65770003", "View Map")</f>
        <v>View Map</v>
      </c>
    </row>
    <row r="2701" spans="1:7" x14ac:dyDescent="0.3">
      <c r="A2701" t="s">
        <v>7037</v>
      </c>
      <c r="B2701" t="s">
        <v>7038</v>
      </c>
      <c r="C2701" t="s">
        <v>8</v>
      </c>
      <c r="D2701">
        <v>3.53</v>
      </c>
      <c r="E2701" s="4">
        <v>1130</v>
      </c>
      <c r="F2701" t="str">
        <f>HYPERLINK("https://www.google.com/maps/search/?api=1&amp;query=24.5965079,46.74344273", "View Map")</f>
        <v>View Map</v>
      </c>
    </row>
    <row r="2702" spans="1:7" x14ac:dyDescent="0.3">
      <c r="A2702" t="s">
        <v>46</v>
      </c>
      <c r="B2702" t="s">
        <v>7626</v>
      </c>
      <c r="C2702" t="s">
        <v>8</v>
      </c>
      <c r="D2702">
        <v>3.5259999999999998</v>
      </c>
      <c r="E2702" s="4">
        <v>1128</v>
      </c>
      <c r="F2702" t="str">
        <f>HYPERLINK("https://www.google.com/maps/search/?api=1&amp;query=24.80967674,46.75223609", "View Map")</f>
        <v>View Map</v>
      </c>
    </row>
    <row r="2703" spans="1:7" x14ac:dyDescent="0.3">
      <c r="A2703" t="s">
        <v>4311</v>
      </c>
      <c r="B2703" t="s">
        <v>4312</v>
      </c>
      <c r="C2703" t="s">
        <v>8</v>
      </c>
      <c r="D2703">
        <v>3.5259999999999998</v>
      </c>
      <c r="E2703" s="4">
        <v>1128</v>
      </c>
      <c r="F2703" t="str">
        <f>HYPERLINK("https://www.google.com/maps/search/?api=1&amp;query=24.58093639,46.67879537", "View Map")</f>
        <v>View Map</v>
      </c>
    </row>
    <row r="2704" spans="1:7" x14ac:dyDescent="0.3">
      <c r="A2704" t="s">
        <v>2263</v>
      </c>
      <c r="B2704" t="s">
        <v>2264</v>
      </c>
      <c r="C2704" t="s">
        <v>8</v>
      </c>
      <c r="D2704">
        <v>3.5259999999999998</v>
      </c>
      <c r="E2704" s="4">
        <v>1128</v>
      </c>
      <c r="F2704" t="str">
        <f>HYPERLINK("https://www.google.com/maps/search/?api=1&amp;query=24.79669619,46.85184418", "View Map")</f>
        <v>View Map</v>
      </c>
    </row>
    <row r="2705" spans="1:7" x14ac:dyDescent="0.3">
      <c r="A2705" t="s">
        <v>627</v>
      </c>
      <c r="B2705" t="s">
        <v>11381</v>
      </c>
      <c r="C2705" t="s">
        <v>8</v>
      </c>
      <c r="D2705">
        <v>3.5249999999999999</v>
      </c>
      <c r="E2705" s="4">
        <v>1128</v>
      </c>
      <c r="F2705" t="str">
        <f>HYPERLINK("https://www.google.com/maps/search/?api=1&amp;query=24.644476,46.57954125", "View Map")</f>
        <v>View Map</v>
      </c>
    </row>
    <row r="2706" spans="1:7" x14ac:dyDescent="0.3">
      <c r="A2706" t="s">
        <v>11382</v>
      </c>
      <c r="B2706" t="s">
        <v>11383</v>
      </c>
      <c r="C2706" t="s">
        <v>21</v>
      </c>
      <c r="D2706">
        <v>3.5219999999999998</v>
      </c>
      <c r="E2706" s="4">
        <v>1127</v>
      </c>
      <c r="F2706" t="str">
        <f>HYPERLINK("https://www.google.com/maps/search/?api=1&amp;query=26.335333,44.78042403", "View Map")</f>
        <v>View Map</v>
      </c>
      <c r="G2706" s="2">
        <v>0.79251360141473792</v>
      </c>
    </row>
    <row r="2707" spans="1:7" x14ac:dyDescent="0.3">
      <c r="A2707" t="s">
        <v>464</v>
      </c>
      <c r="B2707" t="s">
        <v>5458</v>
      </c>
      <c r="C2707" t="s">
        <v>466</v>
      </c>
      <c r="D2707">
        <v>3.5219999999999998</v>
      </c>
      <c r="E2707" s="4">
        <v>1127</v>
      </c>
      <c r="F2707" t="str">
        <f>HYPERLINK("https://www.google.com/maps/search/?api=1&amp;query=24.58928307,46.13889233", "View Map")</f>
        <v>View Map</v>
      </c>
      <c r="G2707" s="2">
        <v>0.61619342994825166</v>
      </c>
    </row>
    <row r="2708" spans="1:7" x14ac:dyDescent="0.3">
      <c r="A2708" t="s">
        <v>4499</v>
      </c>
      <c r="B2708" t="s">
        <v>4500</v>
      </c>
      <c r="C2708" t="s">
        <v>8</v>
      </c>
      <c r="D2708">
        <v>3.5219999999999998</v>
      </c>
      <c r="E2708" s="4">
        <v>1127</v>
      </c>
      <c r="F2708" t="str">
        <f>HYPERLINK("https://www.google.com/maps/search/?api=1&amp;query=24.71496876,46.84993356", "View Map")</f>
        <v>View Map</v>
      </c>
    </row>
    <row r="2709" spans="1:7" x14ac:dyDescent="0.3">
      <c r="A2709" t="s">
        <v>2788</v>
      </c>
      <c r="B2709" t="s">
        <v>2789</v>
      </c>
      <c r="C2709" t="s">
        <v>8</v>
      </c>
      <c r="D2709">
        <v>3.52</v>
      </c>
      <c r="E2709" s="4">
        <v>1126</v>
      </c>
      <c r="F2709" t="str">
        <f>HYPERLINK("https://www.google.com/maps/search/?api=1&amp;query=24.63013063,46.69867179", "View Map")</f>
        <v>View Map</v>
      </c>
    </row>
    <row r="2710" spans="1:7" x14ac:dyDescent="0.3">
      <c r="A2710" t="s">
        <v>5785</v>
      </c>
      <c r="B2710" t="s">
        <v>5786</v>
      </c>
      <c r="C2710" t="s">
        <v>8</v>
      </c>
      <c r="D2710">
        <v>3.52</v>
      </c>
      <c r="E2710" s="4">
        <v>1127</v>
      </c>
      <c r="F2710" t="str">
        <f>HYPERLINK("https://www.google.com/maps/search/?api=1&amp;query=24.58943306,46.60147551", "View Map")</f>
        <v>View Map</v>
      </c>
    </row>
    <row r="2711" spans="1:7" x14ac:dyDescent="0.3">
      <c r="A2711" t="s">
        <v>7531</v>
      </c>
      <c r="B2711" t="s">
        <v>7532</v>
      </c>
      <c r="C2711" t="s">
        <v>393</v>
      </c>
      <c r="D2711">
        <v>3.52</v>
      </c>
      <c r="E2711" s="4">
        <v>1127</v>
      </c>
      <c r="F2711" t="str">
        <f>HYPERLINK("https://www.google.com/maps/search/?api=1&amp;query=22.81362301,45.41484123", "View Map")</f>
        <v>View Map</v>
      </c>
      <c r="G2711" s="2">
        <v>0.89985772464602409</v>
      </c>
    </row>
    <row r="2712" spans="1:7" x14ac:dyDescent="0.3">
      <c r="A2712" t="s">
        <v>5960</v>
      </c>
      <c r="B2712" t="s">
        <v>5961</v>
      </c>
      <c r="C2712" t="s">
        <v>286</v>
      </c>
      <c r="D2712">
        <v>3.52</v>
      </c>
      <c r="E2712" s="4">
        <v>1126</v>
      </c>
      <c r="F2712" t="str">
        <f>HYPERLINK("https://www.google.com/maps/search/?api=1&amp;query=25.5691383,45.27959986", "View Map")</f>
        <v>View Map</v>
      </c>
      <c r="G2712" s="2">
        <v>0.78011964365688646</v>
      </c>
    </row>
    <row r="2713" spans="1:7" x14ac:dyDescent="0.3">
      <c r="A2713" t="s">
        <v>2342</v>
      </c>
      <c r="B2713" t="s">
        <v>2343</v>
      </c>
      <c r="C2713" t="s">
        <v>8</v>
      </c>
      <c r="D2713">
        <v>3.5179999999999998</v>
      </c>
      <c r="E2713" s="4">
        <v>1126</v>
      </c>
      <c r="F2713" t="str">
        <f>HYPERLINK("https://www.google.com/maps/search/?api=1&amp;query=24.72690391,46.81161775", "View Map")</f>
        <v>View Map</v>
      </c>
    </row>
    <row r="2714" spans="1:7" x14ac:dyDescent="0.3">
      <c r="A2714" t="s">
        <v>5579</v>
      </c>
      <c r="B2714" t="s">
        <v>5580</v>
      </c>
      <c r="C2714" t="s">
        <v>8</v>
      </c>
      <c r="D2714">
        <v>3.5169999999999999</v>
      </c>
      <c r="E2714" s="4">
        <v>1125</v>
      </c>
      <c r="F2714" t="str">
        <f>HYPERLINK("https://www.google.com/maps/search/?api=1&amp;query=24.6094,46.7206", "View Map")</f>
        <v>View Map</v>
      </c>
    </row>
    <row r="2715" spans="1:7" x14ac:dyDescent="0.3">
      <c r="A2715" t="s">
        <v>73</v>
      </c>
      <c r="B2715" t="s">
        <v>4197</v>
      </c>
      <c r="C2715" t="s">
        <v>8</v>
      </c>
      <c r="D2715">
        <v>3.516</v>
      </c>
      <c r="E2715" s="4">
        <v>1125</v>
      </c>
      <c r="F2715" t="str">
        <f>HYPERLINK("https://www.google.com/maps/search/?api=1&amp;query=24.68259062,46.66727132", "View Map")</f>
        <v>View Map</v>
      </c>
    </row>
    <row r="2716" spans="1:7" x14ac:dyDescent="0.3">
      <c r="A2716" t="s">
        <v>4564</v>
      </c>
      <c r="B2716" t="s">
        <v>6902</v>
      </c>
      <c r="C2716" t="s">
        <v>8</v>
      </c>
      <c r="D2716">
        <v>3.5139999999999998</v>
      </c>
      <c r="E2716" s="4">
        <v>1125</v>
      </c>
      <c r="F2716" t="str">
        <f>HYPERLINK("https://www.google.com/maps/search/?api=1&amp;query=24.53758782,46.70258996", "View Map")</f>
        <v>View Map</v>
      </c>
    </row>
    <row r="2717" spans="1:7" x14ac:dyDescent="0.3">
      <c r="A2717" t="s">
        <v>6752</v>
      </c>
      <c r="B2717" t="s">
        <v>6753</v>
      </c>
      <c r="C2717" t="s">
        <v>393</v>
      </c>
      <c r="D2717">
        <v>3.5129999999999999</v>
      </c>
      <c r="E2717" s="4">
        <v>1124</v>
      </c>
      <c r="F2717" t="str">
        <f>HYPERLINK("https://www.google.com/maps/search/?api=1&amp;query=22.87784727,45.45739442", "View Map")</f>
        <v>View Map</v>
      </c>
      <c r="G2717" s="2">
        <v>0.65468569626897721</v>
      </c>
    </row>
    <row r="2718" spans="1:7" x14ac:dyDescent="0.3">
      <c r="A2718" t="s">
        <v>4975</v>
      </c>
      <c r="B2718" t="s">
        <v>4976</v>
      </c>
      <c r="C2718" t="s">
        <v>8</v>
      </c>
      <c r="D2718">
        <v>3.5110000000000001</v>
      </c>
      <c r="E2718" s="4">
        <v>1123</v>
      </c>
      <c r="F2718" t="str">
        <f>HYPERLINK("https://www.google.com/maps/search/?api=1&amp;query=24.69673509,46.67856475", "View Map")</f>
        <v>View Map</v>
      </c>
    </row>
    <row r="2719" spans="1:7" x14ac:dyDescent="0.3">
      <c r="A2719" t="s">
        <v>4445</v>
      </c>
      <c r="B2719" t="s">
        <v>4446</v>
      </c>
      <c r="C2719" t="s">
        <v>4447</v>
      </c>
      <c r="D2719">
        <v>3.5110000000000001</v>
      </c>
      <c r="E2719" s="4">
        <v>1124</v>
      </c>
      <c r="F2719" t="str">
        <f>HYPERLINK("https://www.google.com/maps/search/?api=1&amp;query=23.85943167,42.10436833", "View Map")</f>
        <v>View Map</v>
      </c>
      <c r="G2719" s="2">
        <v>0.693174854976084</v>
      </c>
    </row>
    <row r="2720" spans="1:7" x14ac:dyDescent="0.3">
      <c r="A2720" t="s">
        <v>196</v>
      </c>
      <c r="B2720" t="s">
        <v>4289</v>
      </c>
      <c r="C2720" t="s">
        <v>8</v>
      </c>
      <c r="D2720">
        <v>3.508</v>
      </c>
      <c r="E2720" s="4">
        <v>1122</v>
      </c>
      <c r="F2720" t="str">
        <f>HYPERLINK("https://www.google.com/maps/search/?api=1&amp;query=24.75415456,46.71229993", "View Map")</f>
        <v>View Map</v>
      </c>
    </row>
    <row r="2721" spans="1:7" x14ac:dyDescent="0.3">
      <c r="A2721" t="s">
        <v>9250</v>
      </c>
      <c r="B2721" t="s">
        <v>9251</v>
      </c>
      <c r="C2721" t="s">
        <v>8</v>
      </c>
      <c r="D2721">
        <v>3.5059999999999998</v>
      </c>
      <c r="E2721" s="4">
        <v>1122</v>
      </c>
      <c r="F2721" t="str">
        <f>HYPERLINK("https://www.google.com/maps/search/?api=1&amp;query=24.78851025,46.78542207", "View Map")</f>
        <v>View Map</v>
      </c>
    </row>
    <row r="2722" spans="1:7" x14ac:dyDescent="0.3">
      <c r="A2722" t="s">
        <v>46</v>
      </c>
      <c r="B2722" t="s">
        <v>4952</v>
      </c>
      <c r="C2722" t="s">
        <v>55</v>
      </c>
      <c r="D2722">
        <v>3.5059999999999998</v>
      </c>
      <c r="E2722" s="4">
        <v>1122</v>
      </c>
      <c r="F2722" t="str">
        <f>HYPERLINK("https://www.google.com/maps/search/?api=1&amp;query=24.7814,46.5739", "View Map")</f>
        <v>View Map</v>
      </c>
    </row>
    <row r="2723" spans="1:7" x14ac:dyDescent="0.3">
      <c r="A2723" t="s">
        <v>4841</v>
      </c>
      <c r="B2723" t="s">
        <v>4842</v>
      </c>
      <c r="C2723" t="s">
        <v>8</v>
      </c>
      <c r="D2723">
        <v>3.5049999999999999</v>
      </c>
      <c r="E2723" s="4">
        <v>1122</v>
      </c>
      <c r="F2723" t="str">
        <f>HYPERLINK("https://www.google.com/maps/search/?api=1&amp;query=24.7297,46.8114", "View Map")</f>
        <v>View Map</v>
      </c>
    </row>
    <row r="2724" spans="1:7" x14ac:dyDescent="0.3">
      <c r="A2724" t="s">
        <v>3571</v>
      </c>
      <c r="B2724" t="s">
        <v>3572</v>
      </c>
      <c r="C2724" t="s">
        <v>8</v>
      </c>
      <c r="D2724">
        <v>3.5030000000000001</v>
      </c>
      <c r="E2724" s="4">
        <v>1121</v>
      </c>
      <c r="F2724" t="str">
        <f>HYPERLINK("https://www.google.com/maps/search/?api=1&amp;query=24.67637851,46.71156544", "View Map")</f>
        <v>View Map</v>
      </c>
    </row>
    <row r="2725" spans="1:7" x14ac:dyDescent="0.3">
      <c r="A2725" t="s">
        <v>627</v>
      </c>
      <c r="B2725" t="s">
        <v>7773</v>
      </c>
      <c r="C2725" t="s">
        <v>8</v>
      </c>
      <c r="D2725">
        <v>3.5030000000000001</v>
      </c>
      <c r="E2725" s="4">
        <v>1121</v>
      </c>
      <c r="F2725" t="str">
        <f>HYPERLINK("https://www.google.com/maps/search/?api=1&amp;query=24.81006836,46.61501193", "View Map")</f>
        <v>View Map</v>
      </c>
    </row>
    <row r="2726" spans="1:7" x14ac:dyDescent="0.3">
      <c r="A2726" t="s">
        <v>150</v>
      </c>
      <c r="B2726" t="s">
        <v>5856</v>
      </c>
      <c r="C2726" t="s">
        <v>8</v>
      </c>
      <c r="D2726">
        <v>3.5009999999999999</v>
      </c>
      <c r="E2726" s="4">
        <v>1120</v>
      </c>
      <c r="F2726" t="str">
        <f>HYPERLINK("https://www.google.com/maps/search/?api=1&amp;query=24.82020088,46.81169296", "View Map")</f>
        <v>View Map</v>
      </c>
    </row>
    <row r="2727" spans="1:7" x14ac:dyDescent="0.3">
      <c r="A2727" t="s">
        <v>46</v>
      </c>
      <c r="B2727" t="s">
        <v>11384</v>
      </c>
      <c r="C2727" t="s">
        <v>8</v>
      </c>
      <c r="D2727">
        <v>3.5009999999999999</v>
      </c>
      <c r="E2727" s="4">
        <v>1120</v>
      </c>
      <c r="F2727" t="str">
        <f>HYPERLINK("https://www.google.com/maps/search/?api=1&amp;query=24.63791045,46.53468673", "View Map")</f>
        <v>View Map</v>
      </c>
    </row>
    <row r="2728" spans="1:7" x14ac:dyDescent="0.3">
      <c r="A2728" t="s">
        <v>5752</v>
      </c>
      <c r="B2728" t="s">
        <v>5753</v>
      </c>
      <c r="C2728" t="s">
        <v>214</v>
      </c>
      <c r="D2728">
        <v>3.5</v>
      </c>
      <c r="E2728" s="4">
        <v>1120</v>
      </c>
      <c r="F2728" t="str">
        <f>HYPERLINK("https://www.google.com/maps/search/?api=1&amp;query=25.60037279,45.7971732", "View Map")</f>
        <v>View Map</v>
      </c>
      <c r="G2728" s="2">
        <v>0.67315645336672492</v>
      </c>
    </row>
    <row r="2729" spans="1:7" x14ac:dyDescent="0.3">
      <c r="A2729" t="s">
        <v>1273</v>
      </c>
      <c r="B2729" t="s">
        <v>7424</v>
      </c>
      <c r="C2729" t="s">
        <v>241</v>
      </c>
      <c r="D2729">
        <v>3.4990000000000001</v>
      </c>
      <c r="E2729" s="4">
        <v>1120</v>
      </c>
      <c r="F2729" t="str">
        <f>HYPERLINK("https://www.google.com/maps/search/?api=1&amp;query=20.42068501,44.87260016", "View Map")</f>
        <v>View Map</v>
      </c>
    </row>
    <row r="2730" spans="1:7" x14ac:dyDescent="0.3">
      <c r="A2730" t="s">
        <v>934</v>
      </c>
      <c r="B2730" t="s">
        <v>1250</v>
      </c>
      <c r="C2730" t="s">
        <v>8</v>
      </c>
      <c r="D2730">
        <v>3.4990000000000001</v>
      </c>
      <c r="E2730" s="4">
        <v>1120</v>
      </c>
      <c r="F2730" t="str">
        <f>HYPERLINK("https://www.google.com/maps/search/?api=1&amp;query=24.64886805,46.80071501", "View Map")</f>
        <v>View Map</v>
      </c>
      <c r="G2730" s="2">
        <v>0.15444828340580871</v>
      </c>
    </row>
    <row r="2731" spans="1:7" x14ac:dyDescent="0.3">
      <c r="A2731" t="s">
        <v>4313</v>
      </c>
      <c r="B2731" t="s">
        <v>4314</v>
      </c>
      <c r="C2731" t="s">
        <v>442</v>
      </c>
      <c r="D2731">
        <v>3.4990000000000001</v>
      </c>
      <c r="E2731" s="4">
        <v>1120</v>
      </c>
      <c r="F2731" t="str">
        <f>HYPERLINK("https://www.google.com/maps/search/?api=1&amp;query=23.61644148,46.64273042", "View Map")</f>
        <v>View Map</v>
      </c>
      <c r="G2731" s="2">
        <v>0.36520123195062237</v>
      </c>
    </row>
    <row r="2732" spans="1:7" x14ac:dyDescent="0.3">
      <c r="A2732" t="s">
        <v>8669</v>
      </c>
      <c r="B2732" t="s">
        <v>8670</v>
      </c>
      <c r="C2732" t="s">
        <v>8</v>
      </c>
      <c r="D2732">
        <v>3.4980000000000002</v>
      </c>
      <c r="E2732" s="4">
        <v>1119</v>
      </c>
      <c r="F2732" t="str">
        <f>HYPERLINK("https://www.google.com/maps/search/?api=1&amp;query=24.74117288,46.67560649", "View Map")</f>
        <v>View Map</v>
      </c>
    </row>
    <row r="2733" spans="1:7" x14ac:dyDescent="0.3">
      <c r="A2733" t="s">
        <v>7400</v>
      </c>
      <c r="B2733" t="s">
        <v>7401</v>
      </c>
      <c r="C2733" t="s">
        <v>214</v>
      </c>
      <c r="D2733">
        <v>3.496</v>
      </c>
      <c r="E2733" s="4">
        <v>1119</v>
      </c>
      <c r="F2733" t="str">
        <f>HYPERLINK("https://www.google.com/maps/search/?api=1&amp;query=25.64798259,45.56017068", "View Map")</f>
        <v>View Map</v>
      </c>
      <c r="G2733" s="2">
        <v>0.45121653906010079</v>
      </c>
    </row>
    <row r="2734" spans="1:7" x14ac:dyDescent="0.3">
      <c r="A2734" t="s">
        <v>5743</v>
      </c>
      <c r="B2734" t="s">
        <v>5744</v>
      </c>
      <c r="C2734" t="s">
        <v>393</v>
      </c>
      <c r="D2734">
        <v>3.496</v>
      </c>
      <c r="E2734" s="4">
        <v>1119</v>
      </c>
      <c r="F2734" t="str">
        <f>HYPERLINK("https://www.google.com/maps/search/?api=1&amp;query=22.61770891,45.07420906", "View Map")</f>
        <v>View Map</v>
      </c>
      <c r="G2734" s="2">
        <v>0.96525852145036983</v>
      </c>
    </row>
    <row r="2735" spans="1:7" x14ac:dyDescent="0.3">
      <c r="A2735" t="s">
        <v>4125</v>
      </c>
      <c r="B2735" t="s">
        <v>4126</v>
      </c>
      <c r="C2735" t="s">
        <v>883</v>
      </c>
      <c r="D2735">
        <v>3.496</v>
      </c>
      <c r="E2735" s="4">
        <v>1119</v>
      </c>
      <c r="F2735" t="str">
        <f>HYPERLINK("https://www.google.com/maps/search/?api=1&amp;query=25.57037053,47.15370119", "View Map")</f>
        <v>View Map</v>
      </c>
    </row>
    <row r="2736" spans="1:7" x14ac:dyDescent="0.3">
      <c r="A2736" t="s">
        <v>46</v>
      </c>
      <c r="B2736" t="s">
        <v>6952</v>
      </c>
      <c r="C2736" t="s">
        <v>8</v>
      </c>
      <c r="D2736">
        <v>3.4940000000000002</v>
      </c>
      <c r="E2736" s="4">
        <v>1118</v>
      </c>
      <c r="F2736" t="str">
        <f>HYPERLINK("https://www.google.com/maps/search/?api=1&amp;query=24.54856517,46.80100296", "View Map")</f>
        <v>View Map</v>
      </c>
    </row>
    <row r="2737" spans="1:7" x14ac:dyDescent="0.3">
      <c r="A2737" t="s">
        <v>5507</v>
      </c>
      <c r="B2737" t="s">
        <v>5508</v>
      </c>
      <c r="C2737" t="s">
        <v>8</v>
      </c>
      <c r="D2737">
        <v>3.4940000000000002</v>
      </c>
      <c r="E2737" s="4">
        <v>1118</v>
      </c>
      <c r="F2737" t="str">
        <f>HYPERLINK("https://www.google.com/maps/search/?api=1&amp;query=24.64145838,46.72166231", "View Map")</f>
        <v>View Map</v>
      </c>
    </row>
    <row r="2738" spans="1:7" x14ac:dyDescent="0.3">
      <c r="A2738" t="s">
        <v>9166</v>
      </c>
      <c r="B2738" t="s">
        <v>9167</v>
      </c>
      <c r="C2738" t="s">
        <v>55</v>
      </c>
      <c r="D2738">
        <v>3.4940000000000002</v>
      </c>
      <c r="E2738" s="4">
        <v>1118</v>
      </c>
      <c r="F2738" t="str">
        <f>HYPERLINK("https://www.google.com/maps/search/?api=1&amp;query=24.74820868,46.53897423", "View Map")</f>
        <v>View Map</v>
      </c>
    </row>
    <row r="2739" spans="1:7" x14ac:dyDescent="0.3">
      <c r="A2739" t="s">
        <v>150</v>
      </c>
      <c r="B2739" t="s">
        <v>6084</v>
      </c>
      <c r="C2739" t="s">
        <v>8</v>
      </c>
      <c r="D2739">
        <v>3.492</v>
      </c>
      <c r="E2739" s="4">
        <v>1117</v>
      </c>
      <c r="F2739" t="str">
        <f>HYPERLINK("https://www.google.com/maps/search/?api=1&amp;query=24.83344605,46.65309104", "View Map")</f>
        <v>View Map</v>
      </c>
    </row>
    <row r="2740" spans="1:7" x14ac:dyDescent="0.3">
      <c r="A2740" t="s">
        <v>4772</v>
      </c>
      <c r="B2740" t="s">
        <v>4773</v>
      </c>
      <c r="C2740" t="s">
        <v>393</v>
      </c>
      <c r="D2740">
        <v>3.4910000000000001</v>
      </c>
      <c r="E2740" s="4">
        <v>1117</v>
      </c>
      <c r="F2740" t="str">
        <f>HYPERLINK("https://www.google.com/maps/search/?api=1&amp;query=22.7913333,45.0354997", "View Map")</f>
        <v>View Map</v>
      </c>
      <c r="G2740" s="2">
        <v>0.54212551196085179</v>
      </c>
    </row>
    <row r="2741" spans="1:7" x14ac:dyDescent="0.3">
      <c r="A2741" t="s">
        <v>2857</v>
      </c>
      <c r="B2741" t="s">
        <v>8186</v>
      </c>
      <c r="C2741" t="s">
        <v>8</v>
      </c>
      <c r="D2741">
        <v>3.4910000000000001</v>
      </c>
      <c r="E2741" s="4">
        <v>1117</v>
      </c>
      <c r="F2741" t="str">
        <f>HYPERLINK("https://www.google.com/maps/search/?api=1&amp;query=24.82319623,46.65050616", "View Map")</f>
        <v>View Map</v>
      </c>
    </row>
    <row r="2742" spans="1:7" x14ac:dyDescent="0.3">
      <c r="A2742" t="s">
        <v>1912</v>
      </c>
      <c r="B2742" t="s">
        <v>1913</v>
      </c>
      <c r="C2742" t="s">
        <v>8</v>
      </c>
      <c r="D2742">
        <v>3.4910000000000001</v>
      </c>
      <c r="E2742" s="4">
        <v>1117</v>
      </c>
      <c r="F2742" t="str">
        <f>HYPERLINK("https://www.google.com/maps/search/?api=1&amp;query=24.54254289,46.70998253", "View Map")</f>
        <v>View Map</v>
      </c>
    </row>
    <row r="2743" spans="1:7" x14ac:dyDescent="0.3">
      <c r="A2743" t="s">
        <v>8846</v>
      </c>
      <c r="B2743" t="s">
        <v>8847</v>
      </c>
      <c r="C2743" t="s">
        <v>55</v>
      </c>
      <c r="D2743">
        <v>3.49</v>
      </c>
      <c r="E2743" s="4">
        <v>1117</v>
      </c>
      <c r="F2743" t="str">
        <f>HYPERLINK("https://www.google.com/maps/search/?api=1&amp;query=24.74395846,46.58412672", "View Map")</f>
        <v>View Map</v>
      </c>
    </row>
    <row r="2744" spans="1:7" x14ac:dyDescent="0.3">
      <c r="A2744" t="s">
        <v>7756</v>
      </c>
      <c r="B2744" t="s">
        <v>7757</v>
      </c>
      <c r="C2744" t="s">
        <v>8</v>
      </c>
      <c r="D2744">
        <v>3.4889999999999999</v>
      </c>
      <c r="E2744" s="4">
        <v>1116</v>
      </c>
      <c r="F2744" t="str">
        <f>HYPERLINK("https://www.google.com/maps/search/?api=1&amp;query=24.52648685,46.70435573", "View Map")</f>
        <v>View Map</v>
      </c>
    </row>
    <row r="2745" spans="1:7" x14ac:dyDescent="0.3">
      <c r="A2745" t="s">
        <v>5839</v>
      </c>
      <c r="B2745" t="s">
        <v>5840</v>
      </c>
      <c r="C2745" t="s">
        <v>255</v>
      </c>
      <c r="D2745">
        <v>3.488</v>
      </c>
      <c r="E2745" s="4">
        <v>1116</v>
      </c>
      <c r="F2745" t="str">
        <f>HYPERLINK("https://www.google.com/maps/search/?api=1&amp;query=24.30458833,43.75688667", "View Map")</f>
        <v>View Map</v>
      </c>
    </row>
    <row r="2746" spans="1:7" x14ac:dyDescent="0.3">
      <c r="A2746" t="s">
        <v>7992</v>
      </c>
      <c r="B2746" t="s">
        <v>7993</v>
      </c>
      <c r="C2746" t="s">
        <v>296</v>
      </c>
      <c r="D2746">
        <v>3.488</v>
      </c>
      <c r="E2746" s="4">
        <v>1116</v>
      </c>
      <c r="F2746" t="str">
        <f>HYPERLINK("https://www.google.com/maps/search/?api=1&amp;query=24.46587334,46.28198574", "View Map")</f>
        <v>View Map</v>
      </c>
      <c r="G2746" s="2">
        <v>0.5906817764829384</v>
      </c>
    </row>
    <row r="2747" spans="1:7" x14ac:dyDescent="0.3">
      <c r="A2747" t="s">
        <v>4493</v>
      </c>
      <c r="B2747" t="s">
        <v>4494</v>
      </c>
      <c r="C2747" t="s">
        <v>30</v>
      </c>
      <c r="D2747">
        <v>3.4870000000000001</v>
      </c>
      <c r="E2747" s="4">
        <v>1116</v>
      </c>
      <c r="F2747" t="str">
        <f>HYPERLINK("https://www.google.com/maps/search/?api=1&amp;query=24.16184041,47.2302534", "View Map")</f>
        <v>View Map</v>
      </c>
    </row>
    <row r="2748" spans="1:7" x14ac:dyDescent="0.3">
      <c r="A2748" t="s">
        <v>3979</v>
      </c>
      <c r="B2748" t="s">
        <v>3980</v>
      </c>
      <c r="C2748" t="s">
        <v>8</v>
      </c>
      <c r="D2748">
        <v>3.4860000000000002</v>
      </c>
      <c r="E2748" s="4">
        <v>1115</v>
      </c>
      <c r="F2748" t="str">
        <f>HYPERLINK("https://www.google.com/maps/search/?api=1&amp;query=24.56774478,46.65163705", "View Map")</f>
        <v>View Map</v>
      </c>
    </row>
    <row r="2749" spans="1:7" x14ac:dyDescent="0.3">
      <c r="A2749" t="s">
        <v>4538</v>
      </c>
      <c r="B2749" t="s">
        <v>4539</v>
      </c>
      <c r="C2749" t="s">
        <v>8</v>
      </c>
      <c r="D2749">
        <v>3.4849999999999999</v>
      </c>
      <c r="E2749" s="4">
        <v>1115</v>
      </c>
      <c r="F2749" t="str">
        <f>HYPERLINK("https://www.google.com/maps/search/?api=1&amp;query=24.56690937,46.54187861", "View Map")</f>
        <v>View Map</v>
      </c>
    </row>
    <row r="2750" spans="1:7" x14ac:dyDescent="0.3">
      <c r="A2750" t="s">
        <v>5086</v>
      </c>
      <c r="B2750" t="s">
        <v>5087</v>
      </c>
      <c r="C2750" t="s">
        <v>8</v>
      </c>
      <c r="D2750">
        <v>3.4849999999999999</v>
      </c>
      <c r="E2750" s="4">
        <v>1115</v>
      </c>
      <c r="F2750" t="str">
        <f>HYPERLINK("https://www.google.com/maps/search/?api=1&amp;query=24.77321573,46.64560772", "View Map")</f>
        <v>View Map</v>
      </c>
    </row>
    <row r="2751" spans="1:7" x14ac:dyDescent="0.3">
      <c r="A2751" t="s">
        <v>8198</v>
      </c>
      <c r="B2751" t="s">
        <v>8199</v>
      </c>
      <c r="C2751" t="s">
        <v>296</v>
      </c>
      <c r="D2751">
        <v>3.4830000000000001</v>
      </c>
      <c r="E2751" s="4">
        <v>1114</v>
      </c>
      <c r="F2751" t="str">
        <f>HYPERLINK("https://www.google.com/maps/search/?api=1&amp;query=24.13935333,46.19373947", "View Map")</f>
        <v>View Map</v>
      </c>
      <c r="G2751" s="2">
        <v>0.9200563122681813</v>
      </c>
    </row>
    <row r="2752" spans="1:7" x14ac:dyDescent="0.3">
      <c r="A2752" t="s">
        <v>11385</v>
      </c>
      <c r="B2752" t="s">
        <v>11386</v>
      </c>
      <c r="C2752" t="s">
        <v>8</v>
      </c>
      <c r="D2752">
        <v>3.4830000000000001</v>
      </c>
      <c r="E2752" s="4">
        <v>1115</v>
      </c>
      <c r="F2752" t="str">
        <f>HYPERLINK("https://www.google.com/maps/search/?api=1&amp;query=24.58124222,46.66664176", "View Map")</f>
        <v>View Map</v>
      </c>
    </row>
    <row r="2753" spans="1:7" x14ac:dyDescent="0.3">
      <c r="A2753" t="s">
        <v>73</v>
      </c>
      <c r="B2753" t="s">
        <v>4704</v>
      </c>
      <c r="C2753" t="s">
        <v>8</v>
      </c>
      <c r="D2753">
        <v>3.4830000000000001</v>
      </c>
      <c r="E2753" s="4">
        <v>1114</v>
      </c>
      <c r="F2753" t="str">
        <f>HYPERLINK("https://www.google.com/maps/search/?api=1&amp;query=24.87518521,46.62365942", "View Map")</f>
        <v>View Map</v>
      </c>
    </row>
    <row r="2754" spans="1:7" x14ac:dyDescent="0.3">
      <c r="A2754" t="s">
        <v>678</v>
      </c>
      <c r="B2754" t="s">
        <v>5537</v>
      </c>
      <c r="C2754" t="s">
        <v>21</v>
      </c>
      <c r="D2754">
        <v>3.4809999999999999</v>
      </c>
      <c r="E2754" s="4">
        <v>1114</v>
      </c>
      <c r="F2754" t="str">
        <f>HYPERLINK("https://www.google.com/maps/search/?api=1&amp;query=26.27471351,44.83758967", "View Map")</f>
        <v>View Map</v>
      </c>
      <c r="G2754" s="2">
        <v>0.64279408939142957</v>
      </c>
    </row>
    <row r="2755" spans="1:7" x14ac:dyDescent="0.3">
      <c r="A2755" t="s">
        <v>146</v>
      </c>
      <c r="B2755" t="s">
        <v>7250</v>
      </c>
      <c r="C2755" t="s">
        <v>8</v>
      </c>
      <c r="D2755">
        <v>3.48</v>
      </c>
      <c r="E2755" s="4">
        <v>1114</v>
      </c>
      <c r="F2755" t="str">
        <f>HYPERLINK("https://www.google.com/maps/search/?api=1&amp;query=24.51664533,46.66644697", "View Map")</f>
        <v>View Map</v>
      </c>
    </row>
    <row r="2756" spans="1:7" x14ac:dyDescent="0.3">
      <c r="A2756" t="s">
        <v>5822</v>
      </c>
      <c r="B2756" t="s">
        <v>5823</v>
      </c>
      <c r="C2756" t="s">
        <v>255</v>
      </c>
      <c r="D2756">
        <v>3.4790000000000001</v>
      </c>
      <c r="E2756" s="4">
        <v>1113</v>
      </c>
      <c r="F2756" t="str">
        <f>HYPERLINK("https://www.google.com/maps/search/?api=1&amp;query=25.3767129,44.50719616", "View Map")</f>
        <v>View Map</v>
      </c>
      <c r="G2756" s="2">
        <v>0.43793412969776258</v>
      </c>
    </row>
    <row r="2757" spans="1:7" x14ac:dyDescent="0.3">
      <c r="A2757" t="s">
        <v>73</v>
      </c>
      <c r="B2757" t="s">
        <v>3258</v>
      </c>
      <c r="C2757" t="s">
        <v>8</v>
      </c>
      <c r="D2757">
        <v>3.4780000000000002</v>
      </c>
      <c r="E2757" s="4">
        <v>1113</v>
      </c>
      <c r="F2757" t="str">
        <f>HYPERLINK("https://www.google.com/maps/search/?api=1&amp;query=24.61656146,46.50009838", "View Map")</f>
        <v>View Map</v>
      </c>
    </row>
    <row r="2758" spans="1:7" x14ac:dyDescent="0.3">
      <c r="A2758" t="s">
        <v>7853</v>
      </c>
      <c r="B2758" t="s">
        <v>7854</v>
      </c>
      <c r="C2758" t="s">
        <v>8</v>
      </c>
      <c r="D2758">
        <v>3.4780000000000002</v>
      </c>
      <c r="E2758" s="4">
        <v>1113</v>
      </c>
      <c r="F2758" t="str">
        <f>HYPERLINK("https://www.google.com/maps/search/?api=1&amp;query=24.5706,46.6983", "View Map")</f>
        <v>View Map</v>
      </c>
    </row>
    <row r="2759" spans="1:7" x14ac:dyDescent="0.3">
      <c r="A2759" t="s">
        <v>5573</v>
      </c>
      <c r="B2759" t="s">
        <v>5574</v>
      </c>
      <c r="C2759" t="s">
        <v>8</v>
      </c>
      <c r="D2759">
        <v>3.4769999999999999</v>
      </c>
      <c r="E2759" s="4">
        <v>1113</v>
      </c>
      <c r="F2759" t="str">
        <f>HYPERLINK("https://www.google.com/maps/search/?api=1&amp;query=24.63930419,46.71990735", "View Map")</f>
        <v>View Map</v>
      </c>
      <c r="G2759" s="2">
        <v>0.48252129320891551</v>
      </c>
    </row>
    <row r="2760" spans="1:7" x14ac:dyDescent="0.3">
      <c r="A2760" t="s">
        <v>11387</v>
      </c>
      <c r="B2760" t="s">
        <v>11388</v>
      </c>
      <c r="C2760" t="s">
        <v>255</v>
      </c>
      <c r="D2760">
        <v>3.4769999999999999</v>
      </c>
      <c r="E2760" s="4">
        <v>1113</v>
      </c>
      <c r="F2760" t="str">
        <f>HYPERLINK("https://www.google.com/maps/search/?api=1&amp;query=24.92513049,44.70535285", "View Map")</f>
        <v>View Map</v>
      </c>
      <c r="G2760" s="2">
        <v>0.50134978145548803</v>
      </c>
    </row>
    <row r="2761" spans="1:7" x14ac:dyDescent="0.3">
      <c r="A2761" t="s">
        <v>11389</v>
      </c>
      <c r="B2761" t="s">
        <v>11390</v>
      </c>
      <c r="C2761" t="s">
        <v>255</v>
      </c>
      <c r="D2761">
        <v>3.4769999999999999</v>
      </c>
      <c r="E2761" s="4">
        <v>1113</v>
      </c>
      <c r="F2761" t="str">
        <f>HYPERLINK("https://www.google.com/maps/search/?api=1&amp;query=24.55182631,43.90618635", "View Map")</f>
        <v>View Map</v>
      </c>
      <c r="G2761" s="2">
        <v>0.5592331325146459</v>
      </c>
    </row>
    <row r="2762" spans="1:7" x14ac:dyDescent="0.3">
      <c r="A2762" t="s">
        <v>73</v>
      </c>
      <c r="B2762" t="s">
        <v>1353</v>
      </c>
      <c r="C2762" t="s">
        <v>8</v>
      </c>
      <c r="D2762">
        <v>3.4769999999999999</v>
      </c>
      <c r="E2762" s="4">
        <v>1113</v>
      </c>
      <c r="F2762" t="str">
        <f>HYPERLINK("https://www.google.com/maps/search/?api=1&amp;query=24.82972943,46.67907707", "View Map")</f>
        <v>View Map</v>
      </c>
    </row>
    <row r="2763" spans="1:7" x14ac:dyDescent="0.3">
      <c r="A2763" t="s">
        <v>4716</v>
      </c>
      <c r="B2763" t="s">
        <v>4717</v>
      </c>
      <c r="C2763" t="s">
        <v>8</v>
      </c>
      <c r="D2763">
        <v>3.4750000000000001</v>
      </c>
      <c r="E2763" s="4">
        <v>1112</v>
      </c>
      <c r="F2763" t="str">
        <f>HYPERLINK("https://www.google.com/maps/search/?api=1&amp;query=24.80239133,46.7870053", "View Map")</f>
        <v>View Map</v>
      </c>
    </row>
    <row r="2764" spans="1:7" x14ac:dyDescent="0.3">
      <c r="A2764" t="s">
        <v>3162</v>
      </c>
      <c r="B2764" t="s">
        <v>3163</v>
      </c>
      <c r="C2764" t="s">
        <v>8</v>
      </c>
      <c r="D2764">
        <v>3.4740000000000002</v>
      </c>
      <c r="E2764" s="4">
        <v>1112</v>
      </c>
      <c r="F2764" t="str">
        <f>HYPERLINK("https://www.google.com/maps/search/?api=1&amp;query=24.70282583,46.82400919", "View Map")</f>
        <v>View Map</v>
      </c>
    </row>
    <row r="2765" spans="1:7" x14ac:dyDescent="0.3">
      <c r="A2765" t="s">
        <v>3649</v>
      </c>
      <c r="B2765" t="s">
        <v>3650</v>
      </c>
      <c r="C2765" t="s">
        <v>8</v>
      </c>
      <c r="D2765">
        <v>3.472</v>
      </c>
      <c r="E2765" s="4">
        <v>1111</v>
      </c>
      <c r="F2765" t="str">
        <f>HYPERLINK("https://www.google.com/maps/search/?api=1&amp;query=24.57241211,46.64518043", "View Map")</f>
        <v>View Map</v>
      </c>
    </row>
    <row r="2766" spans="1:7" x14ac:dyDescent="0.3">
      <c r="A2766" t="s">
        <v>8137</v>
      </c>
      <c r="B2766" t="s">
        <v>8138</v>
      </c>
      <c r="C2766" t="s">
        <v>255</v>
      </c>
      <c r="D2766">
        <v>3.472</v>
      </c>
      <c r="E2766" s="4">
        <v>1111</v>
      </c>
      <c r="F2766" t="str">
        <f>HYPERLINK("https://www.google.com/maps/search/?api=1&amp;query=24.70557921,44.89272263", "View Map")</f>
        <v>View Map</v>
      </c>
    </row>
    <row r="2767" spans="1:7" x14ac:dyDescent="0.3">
      <c r="A2767" t="s">
        <v>146</v>
      </c>
      <c r="B2767" t="s">
        <v>6683</v>
      </c>
      <c r="C2767" t="s">
        <v>8</v>
      </c>
      <c r="D2767">
        <v>3.472</v>
      </c>
      <c r="E2767" s="4">
        <v>1111</v>
      </c>
      <c r="F2767" t="str">
        <f>HYPERLINK("https://www.google.com/maps/search/?api=1&amp;query=24.55923703,46.60960588", "View Map")</f>
        <v>View Map</v>
      </c>
      <c r="G2767" s="2">
        <v>0.52488718770846932</v>
      </c>
    </row>
    <row r="2768" spans="1:7" x14ac:dyDescent="0.3">
      <c r="A2768" t="s">
        <v>3488</v>
      </c>
      <c r="B2768" t="s">
        <v>3489</v>
      </c>
      <c r="C2768" t="s">
        <v>30</v>
      </c>
      <c r="D2768">
        <v>3.472</v>
      </c>
      <c r="E2768" s="4">
        <v>1111</v>
      </c>
      <c r="F2768" t="str">
        <f>HYPERLINK("https://www.google.com/maps/search/?api=1&amp;query=24.2082673,47.263619", "View Map")</f>
        <v>View Map</v>
      </c>
      <c r="G2768" s="2">
        <v>0.41178040954383682</v>
      </c>
    </row>
    <row r="2769" spans="1:7" x14ac:dyDescent="0.3">
      <c r="A2769" t="s">
        <v>150</v>
      </c>
      <c r="B2769" t="s">
        <v>5919</v>
      </c>
      <c r="C2769" t="s">
        <v>8</v>
      </c>
      <c r="D2769">
        <v>3.4689999999999999</v>
      </c>
      <c r="E2769" s="4">
        <v>1110</v>
      </c>
      <c r="F2769" t="str">
        <f>HYPERLINK("https://www.google.com/maps/search/?api=1&amp;query=24.80479585,46.79033581", "View Map")</f>
        <v>View Map</v>
      </c>
    </row>
    <row r="2770" spans="1:7" x14ac:dyDescent="0.3">
      <c r="A2770" t="s">
        <v>46</v>
      </c>
      <c r="B2770" t="s">
        <v>5560</v>
      </c>
      <c r="C2770" t="s">
        <v>8</v>
      </c>
      <c r="D2770">
        <v>3.468</v>
      </c>
      <c r="E2770" s="4">
        <v>1110</v>
      </c>
      <c r="F2770" t="str">
        <f>HYPERLINK("https://www.google.com/maps/search/?api=1&amp;query=24.864137,46.625524", "View Map")</f>
        <v>View Map</v>
      </c>
    </row>
    <row r="2771" spans="1:7" x14ac:dyDescent="0.3">
      <c r="A2771" t="s">
        <v>8029</v>
      </c>
      <c r="B2771" t="s">
        <v>8030</v>
      </c>
      <c r="C2771" t="s">
        <v>8</v>
      </c>
      <c r="D2771">
        <v>3.4670000000000001</v>
      </c>
      <c r="E2771" s="4">
        <v>1109</v>
      </c>
      <c r="F2771" t="str">
        <f>HYPERLINK("https://www.google.com/maps/search/?api=1&amp;query=24.78872338,46.81821817", "View Map")</f>
        <v>View Map</v>
      </c>
    </row>
    <row r="2772" spans="1:7" x14ac:dyDescent="0.3">
      <c r="A2772" t="s">
        <v>7121</v>
      </c>
      <c r="B2772" t="s">
        <v>7122</v>
      </c>
      <c r="C2772" t="s">
        <v>137</v>
      </c>
      <c r="D2772">
        <v>3.4670000000000001</v>
      </c>
      <c r="E2772" s="4">
        <v>1109</v>
      </c>
      <c r="F2772" t="str">
        <f>HYPERLINK("https://www.google.com/maps/search/?api=1&amp;query=23.26630789,46.68240901", "View Map")</f>
        <v>View Map</v>
      </c>
      <c r="G2772" s="2">
        <v>0.51576981746011685</v>
      </c>
    </row>
    <row r="2773" spans="1:7" x14ac:dyDescent="0.3">
      <c r="A2773" t="s">
        <v>7557</v>
      </c>
      <c r="B2773" t="s">
        <v>7558</v>
      </c>
      <c r="C2773" t="s">
        <v>8</v>
      </c>
      <c r="D2773">
        <v>3.4660000000000002</v>
      </c>
      <c r="E2773" s="4">
        <v>1109</v>
      </c>
      <c r="F2773" t="str">
        <f>HYPERLINK("https://www.google.com/maps/search/?api=1&amp;query=24.52476539,46.70703789", "View Map")</f>
        <v>View Map</v>
      </c>
    </row>
    <row r="2774" spans="1:7" x14ac:dyDescent="0.3">
      <c r="A2774" t="s">
        <v>3783</v>
      </c>
      <c r="B2774" t="s">
        <v>3784</v>
      </c>
      <c r="C2774" t="s">
        <v>8</v>
      </c>
      <c r="D2774">
        <v>3.4660000000000002</v>
      </c>
      <c r="E2774" s="4">
        <v>1109</v>
      </c>
      <c r="F2774" t="str">
        <f>HYPERLINK("https://www.google.com/maps/search/?api=1&amp;query=24.70086,46.66201", "View Map")</f>
        <v>View Map</v>
      </c>
    </row>
    <row r="2775" spans="1:7" x14ac:dyDescent="0.3">
      <c r="A2775" t="s">
        <v>4347</v>
      </c>
      <c r="B2775" t="s">
        <v>4348</v>
      </c>
      <c r="C2775" t="s">
        <v>214</v>
      </c>
      <c r="D2775">
        <v>3.4660000000000002</v>
      </c>
      <c r="E2775" s="4">
        <v>1109</v>
      </c>
      <c r="F2775" t="str">
        <f>HYPERLINK("https://www.google.com/maps/search/?api=1&amp;query=25.89848637,45.34724455", "View Map")</f>
        <v>View Map</v>
      </c>
      <c r="G2775" s="2">
        <v>0.50281395999043721</v>
      </c>
    </row>
    <row r="2776" spans="1:7" x14ac:dyDescent="0.3">
      <c r="A2776" t="s">
        <v>46</v>
      </c>
      <c r="B2776" t="s">
        <v>5838</v>
      </c>
      <c r="C2776" t="s">
        <v>8</v>
      </c>
      <c r="D2776">
        <v>3.4660000000000002</v>
      </c>
      <c r="E2776" s="4">
        <v>1109</v>
      </c>
      <c r="F2776" t="str">
        <f>HYPERLINK("https://www.google.com/maps/search/?api=1&amp;query=24.88221777,46.8624745", "View Map")</f>
        <v>View Map</v>
      </c>
    </row>
    <row r="2777" spans="1:7" x14ac:dyDescent="0.3">
      <c r="A2777" t="s">
        <v>4799</v>
      </c>
      <c r="B2777" t="s">
        <v>4800</v>
      </c>
      <c r="C2777" t="s">
        <v>21</v>
      </c>
      <c r="D2777">
        <v>3.464</v>
      </c>
      <c r="E2777" s="4">
        <v>1109</v>
      </c>
      <c r="F2777" t="str">
        <f>HYPERLINK("https://www.google.com/maps/search/?api=1&amp;query=26.29294404,44.83806913", "View Map")</f>
        <v>View Map</v>
      </c>
      <c r="G2777" s="2">
        <v>0.55467626885358734</v>
      </c>
    </row>
    <row r="2778" spans="1:7" x14ac:dyDescent="0.3">
      <c r="A2778" t="s">
        <v>7669</v>
      </c>
      <c r="B2778" t="s">
        <v>7670</v>
      </c>
      <c r="C2778" t="s">
        <v>241</v>
      </c>
      <c r="D2778">
        <v>3.4630000000000001</v>
      </c>
      <c r="E2778" s="4">
        <v>1108</v>
      </c>
      <c r="F2778" t="str">
        <f>HYPERLINK("https://www.google.com/maps/search/?api=1&amp;query=20.46241885,44.84129387", "View Map")</f>
        <v>View Map</v>
      </c>
      <c r="G2778" s="2">
        <v>0.62630379569729089</v>
      </c>
    </row>
    <row r="2779" spans="1:7" x14ac:dyDescent="0.3">
      <c r="A2779" t="s">
        <v>4067</v>
      </c>
      <c r="B2779" t="s">
        <v>4068</v>
      </c>
      <c r="C2779" t="s">
        <v>8</v>
      </c>
      <c r="D2779">
        <v>3.4630000000000001</v>
      </c>
      <c r="E2779" s="4">
        <v>1108</v>
      </c>
      <c r="F2779" t="str">
        <f>HYPERLINK("https://www.google.com/maps/search/?api=1&amp;query=24.56680568,46.84948975", "View Map")</f>
        <v>View Map</v>
      </c>
      <c r="G2779" s="2">
        <v>0.40505112213282901</v>
      </c>
    </row>
    <row r="2780" spans="1:7" x14ac:dyDescent="0.3">
      <c r="A2780" t="s">
        <v>4273</v>
      </c>
      <c r="B2780" t="s">
        <v>4274</v>
      </c>
      <c r="C2780" t="s">
        <v>8</v>
      </c>
      <c r="D2780">
        <v>3.4620000000000002</v>
      </c>
      <c r="E2780" s="4">
        <v>1108</v>
      </c>
      <c r="F2780" t="str">
        <f>HYPERLINK("https://www.google.com/maps/search/?api=1&amp;query=24.50858488,46.94779739", "View Map")</f>
        <v>View Map</v>
      </c>
    </row>
    <row r="2781" spans="1:7" x14ac:dyDescent="0.3">
      <c r="A2781" t="s">
        <v>4462</v>
      </c>
      <c r="B2781" t="s">
        <v>4463</v>
      </c>
      <c r="C2781" t="s">
        <v>8</v>
      </c>
      <c r="D2781">
        <v>3.4620000000000002</v>
      </c>
      <c r="E2781" s="4">
        <v>1108</v>
      </c>
      <c r="F2781" t="str">
        <f>HYPERLINK("https://www.google.com/maps/search/?api=1&amp;query=24.81733812,46.88340268", "View Map")</f>
        <v>View Map</v>
      </c>
    </row>
    <row r="2782" spans="1:7" x14ac:dyDescent="0.3">
      <c r="A2782" t="s">
        <v>46</v>
      </c>
      <c r="B2782" t="s">
        <v>10094</v>
      </c>
      <c r="C2782" t="s">
        <v>8</v>
      </c>
      <c r="D2782">
        <v>3.4620000000000002</v>
      </c>
      <c r="E2782" s="4">
        <v>1108</v>
      </c>
      <c r="F2782" t="str">
        <f>HYPERLINK("https://www.google.com/maps/search/?api=1&amp;query=24.92334319,46.82037301", "View Map")</f>
        <v>View Map</v>
      </c>
    </row>
    <row r="2783" spans="1:7" x14ac:dyDescent="0.3">
      <c r="A2783" t="s">
        <v>46</v>
      </c>
      <c r="B2783" t="s">
        <v>7796</v>
      </c>
      <c r="C2783" t="s">
        <v>820</v>
      </c>
      <c r="D2783">
        <v>3.4609999999999999</v>
      </c>
      <c r="E2783" s="4">
        <v>1108</v>
      </c>
      <c r="F2783" t="str">
        <f>HYPERLINK("https://www.google.com/maps/search/?api=1&amp;query=0.0,0.0", "View Map")</f>
        <v>View Map</v>
      </c>
    </row>
    <row r="2784" spans="1:7" x14ac:dyDescent="0.3">
      <c r="A2784" t="s">
        <v>5563</v>
      </c>
      <c r="B2784" t="s">
        <v>5564</v>
      </c>
      <c r="C2784" t="s">
        <v>214</v>
      </c>
      <c r="D2784">
        <v>3.4609999999999999</v>
      </c>
      <c r="E2784" s="4">
        <v>1107</v>
      </c>
      <c r="F2784" t="str">
        <f>HYPERLINK("https://www.google.com/maps/search/?api=1&amp;query=25.69696571,45.8817406", "View Map")</f>
        <v>View Map</v>
      </c>
      <c r="G2784" s="2">
        <v>0.73763329309080261</v>
      </c>
    </row>
    <row r="2785" spans="1:7" x14ac:dyDescent="0.3">
      <c r="A2785" t="s">
        <v>5122</v>
      </c>
      <c r="B2785" t="s">
        <v>5123</v>
      </c>
      <c r="C2785" t="s">
        <v>8</v>
      </c>
      <c r="D2785">
        <v>3.46</v>
      </c>
      <c r="E2785" s="4">
        <v>1107</v>
      </c>
      <c r="F2785" t="str">
        <f>HYPERLINK("https://www.google.com/maps/search/?api=1&amp;query=24.73106364,46.8076619", "View Map")</f>
        <v>View Map</v>
      </c>
    </row>
    <row r="2786" spans="1:7" x14ac:dyDescent="0.3">
      <c r="A2786" t="s">
        <v>46</v>
      </c>
      <c r="B2786" t="s">
        <v>9421</v>
      </c>
      <c r="C2786" t="s">
        <v>8</v>
      </c>
      <c r="D2786">
        <v>3.4590000000000001</v>
      </c>
      <c r="E2786" s="4">
        <v>1107</v>
      </c>
      <c r="F2786" t="str">
        <f>HYPERLINK("https://www.google.com/maps/search/?api=1&amp;query=24.8766636,46.63321108", "View Map")</f>
        <v>View Map</v>
      </c>
    </row>
    <row r="2787" spans="1:7" x14ac:dyDescent="0.3">
      <c r="A2787" t="s">
        <v>46</v>
      </c>
      <c r="B2787" t="s">
        <v>10120</v>
      </c>
      <c r="C2787" t="s">
        <v>8</v>
      </c>
      <c r="D2787">
        <v>3.4580000000000002</v>
      </c>
      <c r="E2787" s="4">
        <v>1107</v>
      </c>
      <c r="F2787" t="str">
        <f>HYPERLINK("https://www.google.com/maps/search/?api=1&amp;query=24.92525789,46.82341566", "View Map")</f>
        <v>View Map</v>
      </c>
    </row>
    <row r="2788" spans="1:7" x14ac:dyDescent="0.3">
      <c r="A2788" t="s">
        <v>3441</v>
      </c>
      <c r="B2788" t="s">
        <v>3442</v>
      </c>
      <c r="C2788" t="s">
        <v>8</v>
      </c>
      <c r="D2788">
        <v>3.4580000000000002</v>
      </c>
      <c r="E2788" s="4">
        <v>1106</v>
      </c>
      <c r="F2788" t="str">
        <f>HYPERLINK("https://www.google.com/maps/search/?api=1&amp;query=24.62136966,46.73679417", "View Map")</f>
        <v>View Map</v>
      </c>
    </row>
    <row r="2789" spans="1:7" x14ac:dyDescent="0.3">
      <c r="A2789" t="s">
        <v>146</v>
      </c>
      <c r="B2789" t="s">
        <v>1147</v>
      </c>
      <c r="C2789" t="s">
        <v>8</v>
      </c>
      <c r="D2789">
        <v>3.4580000000000002</v>
      </c>
      <c r="E2789" s="4">
        <v>1106</v>
      </c>
      <c r="F2789" t="str">
        <f>HYPERLINK("https://www.google.com/maps/search/?api=1&amp;query=24.55363955,46.6674507", "View Map")</f>
        <v>View Map</v>
      </c>
    </row>
    <row r="2790" spans="1:7" x14ac:dyDescent="0.3">
      <c r="A2790" t="s">
        <v>6913</v>
      </c>
      <c r="B2790" t="s">
        <v>6914</v>
      </c>
      <c r="C2790" t="s">
        <v>241</v>
      </c>
      <c r="D2790">
        <v>3.4580000000000002</v>
      </c>
      <c r="E2790" s="4">
        <v>1107</v>
      </c>
      <c r="F2790" t="str">
        <f>HYPERLINK("https://www.google.com/maps/search/?api=1&amp;query=20.47265128,45.05310618", "View Map")</f>
        <v>View Map</v>
      </c>
      <c r="G2790" s="2">
        <v>0.84434906523325692</v>
      </c>
    </row>
    <row r="2791" spans="1:7" x14ac:dyDescent="0.3">
      <c r="A2791" t="s">
        <v>6082</v>
      </c>
      <c r="B2791" t="s">
        <v>6083</v>
      </c>
      <c r="C2791" t="s">
        <v>8</v>
      </c>
      <c r="D2791">
        <v>3.4550000000000001</v>
      </c>
      <c r="E2791" s="4">
        <v>1106</v>
      </c>
      <c r="F2791" t="str">
        <f>HYPERLINK("https://www.google.com/maps/search/?api=1&amp;query=24.53692088,46.66324574", "View Map")</f>
        <v>View Map</v>
      </c>
    </row>
    <row r="2792" spans="1:7" x14ac:dyDescent="0.3">
      <c r="A2792" t="s">
        <v>2095</v>
      </c>
      <c r="B2792" t="s">
        <v>2096</v>
      </c>
      <c r="C2792" t="s">
        <v>8</v>
      </c>
      <c r="D2792">
        <v>3.4550000000000001</v>
      </c>
      <c r="E2792" s="4">
        <v>1105</v>
      </c>
      <c r="F2792" t="str">
        <f>HYPERLINK("https://www.google.com/maps/search/?api=1&amp;query=24.5710914,46.79548608", "View Map")</f>
        <v>View Map</v>
      </c>
    </row>
    <row r="2793" spans="1:7" x14ac:dyDescent="0.3">
      <c r="A2793" t="s">
        <v>6453</v>
      </c>
      <c r="B2793" t="s">
        <v>6454</v>
      </c>
      <c r="C2793" t="s">
        <v>393</v>
      </c>
      <c r="D2793">
        <v>3.4540000000000002</v>
      </c>
      <c r="E2793" s="4">
        <v>1105</v>
      </c>
      <c r="F2793" t="str">
        <f>HYPERLINK("https://www.google.com/maps/search/?api=1&amp;query=22.75861218,44.39511158", "View Map")</f>
        <v>View Map</v>
      </c>
      <c r="G2793" s="2">
        <v>0.79709630433988177</v>
      </c>
    </row>
    <row r="2794" spans="1:7" x14ac:dyDescent="0.3">
      <c r="A2794" t="s">
        <v>1234</v>
      </c>
      <c r="B2794" t="s">
        <v>5098</v>
      </c>
      <c r="C2794" t="s">
        <v>296</v>
      </c>
      <c r="D2794">
        <v>3.4529999999999998</v>
      </c>
      <c r="E2794" s="4">
        <v>1105</v>
      </c>
      <c r="F2794" t="str">
        <f>HYPERLINK("https://www.google.com/maps/search/?api=1&amp;query=24.47380076,46.2697589", "View Map")</f>
        <v>View Map</v>
      </c>
      <c r="G2794" s="2">
        <v>0.493055355079561</v>
      </c>
    </row>
    <row r="2795" spans="1:7" x14ac:dyDescent="0.3">
      <c r="A2795" t="s">
        <v>6775</v>
      </c>
      <c r="B2795" t="s">
        <v>6776</v>
      </c>
      <c r="C2795" t="s">
        <v>8</v>
      </c>
      <c r="D2795">
        <v>3.452</v>
      </c>
      <c r="E2795" s="4">
        <v>1105</v>
      </c>
      <c r="F2795" t="str">
        <f>HYPERLINK("https://www.google.com/maps/search/?api=1&amp;query=24.55963634,46.71337314", "View Map")</f>
        <v>View Map</v>
      </c>
    </row>
    <row r="2796" spans="1:7" x14ac:dyDescent="0.3">
      <c r="A2796" t="s">
        <v>4647</v>
      </c>
      <c r="B2796" t="s">
        <v>4648</v>
      </c>
      <c r="C2796" t="s">
        <v>8</v>
      </c>
      <c r="D2796">
        <v>3.4489999999999998</v>
      </c>
      <c r="E2796" s="4">
        <v>1104</v>
      </c>
      <c r="F2796" t="str">
        <f>HYPERLINK("https://www.google.com/maps/search/?api=1&amp;query=24.75940706,46.73565536", "View Map")</f>
        <v>View Map</v>
      </c>
    </row>
    <row r="2797" spans="1:7" x14ac:dyDescent="0.3">
      <c r="A2797" t="s">
        <v>4485</v>
      </c>
      <c r="B2797" t="s">
        <v>4486</v>
      </c>
      <c r="C2797" t="s">
        <v>8</v>
      </c>
      <c r="D2797">
        <v>3.4489999999999998</v>
      </c>
      <c r="E2797" s="4">
        <v>1104</v>
      </c>
      <c r="F2797" t="str">
        <f>HYPERLINK("https://www.google.com/maps/search/?api=1&amp;query=24.68619982,46.82453137", "View Map")</f>
        <v>View Map</v>
      </c>
    </row>
    <row r="2798" spans="1:7" x14ac:dyDescent="0.3">
      <c r="A2798" t="s">
        <v>4400</v>
      </c>
      <c r="B2798" t="s">
        <v>4401</v>
      </c>
      <c r="C2798" t="s">
        <v>241</v>
      </c>
      <c r="D2798">
        <v>3.4489999999999998</v>
      </c>
      <c r="E2798" s="4">
        <v>1104</v>
      </c>
      <c r="F2798" t="str">
        <f>HYPERLINK("https://www.google.com/maps/search/?api=1&amp;query=20.45392653,44.82910373", "View Map")</f>
        <v>View Map</v>
      </c>
      <c r="G2798" s="2">
        <v>0.46469456547516291</v>
      </c>
    </row>
    <row r="2799" spans="1:7" x14ac:dyDescent="0.3">
      <c r="A2799" t="s">
        <v>5026</v>
      </c>
      <c r="B2799" t="s">
        <v>5027</v>
      </c>
      <c r="C2799" t="s">
        <v>8</v>
      </c>
      <c r="D2799">
        <v>3.448</v>
      </c>
      <c r="E2799" s="4">
        <v>1104</v>
      </c>
      <c r="F2799" t="str">
        <f>HYPERLINK("https://www.google.com/maps/search/?api=1&amp;query=24.55102918,46.66025004", "View Map")</f>
        <v>View Map</v>
      </c>
      <c r="G2799" s="2">
        <v>0.45751040324454489</v>
      </c>
    </row>
    <row r="2800" spans="1:7" x14ac:dyDescent="0.3">
      <c r="A2800" t="s">
        <v>4999</v>
      </c>
      <c r="B2800" t="s">
        <v>5000</v>
      </c>
      <c r="C2800" t="s">
        <v>8</v>
      </c>
      <c r="D2800">
        <v>3.448</v>
      </c>
      <c r="E2800" s="4">
        <v>1104</v>
      </c>
      <c r="F2800" t="str">
        <f>HYPERLINK("https://www.google.com/maps/search/?api=1&amp;query=24.72555095,46.83721331", "View Map")</f>
        <v>View Map</v>
      </c>
    </row>
    <row r="2801" spans="1:7" x14ac:dyDescent="0.3">
      <c r="A2801" t="s">
        <v>5234</v>
      </c>
      <c r="B2801" t="s">
        <v>5235</v>
      </c>
      <c r="C2801" t="s">
        <v>8</v>
      </c>
      <c r="D2801">
        <v>3.4470000000000001</v>
      </c>
      <c r="E2801" s="4">
        <v>1103</v>
      </c>
      <c r="F2801" t="str">
        <f>HYPERLINK("https://www.google.com/maps/search/?api=1&amp;query=24.78637907,46.77580592", "View Map")</f>
        <v>View Map</v>
      </c>
      <c r="G2801" s="2">
        <v>0.47544198325815751</v>
      </c>
    </row>
    <row r="2802" spans="1:7" x14ac:dyDescent="0.3">
      <c r="A2802" t="s">
        <v>627</v>
      </c>
      <c r="B2802" t="s">
        <v>4998</v>
      </c>
      <c r="C2802" t="s">
        <v>8</v>
      </c>
      <c r="D2802">
        <v>3.4470000000000001</v>
      </c>
      <c r="E2802" s="4">
        <v>1103</v>
      </c>
      <c r="F2802" t="str">
        <f>HYPERLINK("https://www.google.com/maps/search/?api=1&amp;query=24.64442634,46.55545005", "View Map")</f>
        <v>View Map</v>
      </c>
    </row>
    <row r="2803" spans="1:7" x14ac:dyDescent="0.3">
      <c r="A2803" t="s">
        <v>3703</v>
      </c>
      <c r="B2803" t="s">
        <v>3704</v>
      </c>
      <c r="C2803" t="s">
        <v>8</v>
      </c>
      <c r="D2803">
        <v>3.4460000000000002</v>
      </c>
      <c r="E2803" s="4">
        <v>1103</v>
      </c>
      <c r="F2803" t="str">
        <f>HYPERLINK("https://www.google.com/maps/search/?api=1&amp;query=24.7629499,46.69123064", "View Map")</f>
        <v>View Map</v>
      </c>
    </row>
    <row r="2804" spans="1:7" x14ac:dyDescent="0.3">
      <c r="A2804" t="s">
        <v>678</v>
      </c>
      <c r="B2804" t="s">
        <v>5221</v>
      </c>
      <c r="C2804" t="s">
        <v>21</v>
      </c>
      <c r="D2804">
        <v>3.4460000000000002</v>
      </c>
      <c r="E2804" s="4">
        <v>1103</v>
      </c>
      <c r="F2804" t="str">
        <f>HYPERLINK("https://www.google.com/maps/search/?api=1&amp;query=26.32287771,44.80793044", "View Map")</f>
        <v>View Map</v>
      </c>
      <c r="G2804" s="2">
        <v>0.7311668868647504</v>
      </c>
    </row>
    <row r="2805" spans="1:7" x14ac:dyDescent="0.3">
      <c r="A2805" t="s">
        <v>46</v>
      </c>
      <c r="B2805" t="s">
        <v>6367</v>
      </c>
      <c r="C2805" t="s">
        <v>8</v>
      </c>
      <c r="D2805">
        <v>3.4449999999999998</v>
      </c>
      <c r="E2805" s="4">
        <v>1102</v>
      </c>
      <c r="F2805" t="str">
        <f>HYPERLINK("https://www.google.com/maps/search/?api=1&amp;query=24.55737,46.78211", "View Map")</f>
        <v>View Map</v>
      </c>
      <c r="G2805" s="2">
        <v>0.45887945881789732</v>
      </c>
    </row>
    <row r="2806" spans="1:7" x14ac:dyDescent="0.3">
      <c r="A2806" t="s">
        <v>122</v>
      </c>
      <c r="B2806" t="s">
        <v>4133</v>
      </c>
      <c r="C2806" t="s">
        <v>137</v>
      </c>
      <c r="D2806">
        <v>3.444</v>
      </c>
      <c r="E2806" s="4">
        <v>1102</v>
      </c>
      <c r="F2806" t="str">
        <f>HYPERLINK("https://www.google.com/maps/search/?api=1&amp;query=22.99664573,46.0981717", "View Map")</f>
        <v>View Map</v>
      </c>
      <c r="G2806" s="2">
        <v>0.57631082253382215</v>
      </c>
    </row>
    <row r="2807" spans="1:7" x14ac:dyDescent="0.3">
      <c r="A2807" t="s">
        <v>1051</v>
      </c>
      <c r="B2807" t="s">
        <v>1052</v>
      </c>
      <c r="C2807" t="s">
        <v>214</v>
      </c>
      <c r="D2807">
        <v>3.4420000000000002</v>
      </c>
      <c r="E2807" s="4">
        <v>1102</v>
      </c>
      <c r="F2807" t="str">
        <f>HYPERLINK("https://www.google.com/maps/search/?api=1&amp;query=26.42395464,45.16643909", "View Map")</f>
        <v>View Map</v>
      </c>
      <c r="G2807" s="2">
        <v>0.26276832954334328</v>
      </c>
    </row>
    <row r="2808" spans="1:7" x14ac:dyDescent="0.3">
      <c r="A2808" t="s">
        <v>644</v>
      </c>
      <c r="B2808" t="s">
        <v>5863</v>
      </c>
      <c r="C2808" t="s">
        <v>646</v>
      </c>
      <c r="D2808">
        <v>3.4420000000000002</v>
      </c>
      <c r="E2808" s="4">
        <v>1101</v>
      </c>
      <c r="F2808" t="str">
        <f>HYPERLINK("https://www.google.com/maps/search/?api=1&amp;query=20.48708513,45.57296269", "View Map")</f>
        <v>View Map</v>
      </c>
    </row>
    <row r="2809" spans="1:7" x14ac:dyDescent="0.3">
      <c r="A2809" t="s">
        <v>7700</v>
      </c>
      <c r="B2809" t="s">
        <v>7701</v>
      </c>
      <c r="C2809" t="s">
        <v>8</v>
      </c>
      <c r="D2809">
        <v>3.4420000000000002</v>
      </c>
      <c r="E2809" s="4">
        <v>1101</v>
      </c>
      <c r="F2809" t="str">
        <f>HYPERLINK("https://www.google.com/maps/search/?api=1&amp;query=24.74151523,46.81355322", "View Map")</f>
        <v>View Map</v>
      </c>
    </row>
    <row r="2810" spans="1:7" x14ac:dyDescent="0.3">
      <c r="A2810" t="s">
        <v>146</v>
      </c>
      <c r="B2810" t="s">
        <v>4307</v>
      </c>
      <c r="C2810" t="s">
        <v>8</v>
      </c>
      <c r="D2810">
        <v>3.4409999999999998</v>
      </c>
      <c r="E2810" s="4">
        <v>1101</v>
      </c>
      <c r="F2810" t="str">
        <f>HYPERLINK("https://www.google.com/maps/search/?api=1&amp;query=24.48157673,46.63138669", "View Map")</f>
        <v>View Map</v>
      </c>
    </row>
    <row r="2811" spans="1:7" x14ac:dyDescent="0.3">
      <c r="A2811" t="s">
        <v>261</v>
      </c>
      <c r="B2811" t="s">
        <v>7265</v>
      </c>
      <c r="C2811" t="s">
        <v>8</v>
      </c>
      <c r="D2811">
        <v>3.44</v>
      </c>
      <c r="E2811" s="4">
        <v>1101</v>
      </c>
      <c r="F2811" t="str">
        <f>HYPERLINK("https://www.google.com/maps/search/?api=1&amp;query=24.67118064,46.85395964", "View Map")</f>
        <v>View Map</v>
      </c>
    </row>
    <row r="2812" spans="1:7" x14ac:dyDescent="0.3">
      <c r="A2812" t="s">
        <v>10753</v>
      </c>
      <c r="B2812" t="s">
        <v>10754</v>
      </c>
      <c r="C2812" t="s">
        <v>8</v>
      </c>
      <c r="D2812">
        <v>3.44</v>
      </c>
      <c r="E2812" s="4">
        <v>1101</v>
      </c>
      <c r="F2812" t="str">
        <f>HYPERLINK("https://www.google.com/maps/search/?api=1&amp;query=24.79737994,46.85992269", "View Map")</f>
        <v>View Map</v>
      </c>
    </row>
    <row r="2813" spans="1:7" x14ac:dyDescent="0.3">
      <c r="A2813" t="s">
        <v>8911</v>
      </c>
      <c r="B2813" t="s">
        <v>8912</v>
      </c>
      <c r="C2813" t="s">
        <v>8</v>
      </c>
      <c r="D2813">
        <v>3.44</v>
      </c>
      <c r="E2813" s="4">
        <v>1101</v>
      </c>
      <c r="F2813" t="str">
        <f>HYPERLINK("https://www.google.com/maps/search/?api=1&amp;query=24.56685625,46.77121183", "View Map")</f>
        <v>View Map</v>
      </c>
    </row>
    <row r="2814" spans="1:7" x14ac:dyDescent="0.3">
      <c r="A2814" t="s">
        <v>3288</v>
      </c>
      <c r="B2814" t="s">
        <v>3289</v>
      </c>
      <c r="C2814" t="s">
        <v>8</v>
      </c>
      <c r="D2814">
        <v>3.4390000000000001</v>
      </c>
      <c r="E2814" s="4">
        <v>1100</v>
      </c>
      <c r="F2814" t="str">
        <f>HYPERLINK("https://www.google.com/maps/search/?api=1&amp;query=24.73645164,46.64181861", "View Map")</f>
        <v>View Map</v>
      </c>
    </row>
    <row r="2815" spans="1:7" x14ac:dyDescent="0.3">
      <c r="A2815" t="s">
        <v>5679</v>
      </c>
      <c r="B2815" t="s">
        <v>5680</v>
      </c>
      <c r="C2815" t="s">
        <v>8</v>
      </c>
      <c r="D2815">
        <v>3.4369999999999998</v>
      </c>
      <c r="E2815" s="4">
        <v>1100</v>
      </c>
      <c r="F2815" t="str">
        <f>HYPERLINK("https://www.google.com/maps/search/?api=1&amp;query=24.77313,46.68023", "View Map")</f>
        <v>View Map</v>
      </c>
    </row>
    <row r="2816" spans="1:7" x14ac:dyDescent="0.3">
      <c r="A2816" t="s">
        <v>7587</v>
      </c>
      <c r="B2816" t="s">
        <v>7588</v>
      </c>
      <c r="C2816" t="s">
        <v>8</v>
      </c>
      <c r="D2816">
        <v>3.4359999999999999</v>
      </c>
      <c r="E2816" s="4">
        <v>1099</v>
      </c>
      <c r="F2816" t="str">
        <f>HYPERLINK("https://www.google.com/maps/search/?api=1&amp;query=24.70458709,46.82045029", "View Map")</f>
        <v>View Map</v>
      </c>
    </row>
    <row r="2817" spans="1:7" x14ac:dyDescent="0.3">
      <c r="A2817" t="s">
        <v>46</v>
      </c>
      <c r="B2817" t="s">
        <v>10115</v>
      </c>
      <c r="C2817" t="s">
        <v>820</v>
      </c>
      <c r="D2817">
        <v>3.4359999999999999</v>
      </c>
      <c r="E2817" s="4">
        <v>1100</v>
      </c>
      <c r="F2817" t="str">
        <f>HYPERLINK("https://www.google.com/maps/search/?api=1&amp;query=0.0,0.0", "View Map")</f>
        <v>View Map</v>
      </c>
    </row>
    <row r="2818" spans="1:7" x14ac:dyDescent="0.3">
      <c r="A2818" t="s">
        <v>259</v>
      </c>
      <c r="B2818" t="s">
        <v>3119</v>
      </c>
      <c r="C2818" t="s">
        <v>8</v>
      </c>
      <c r="D2818">
        <v>3.4350000000000001</v>
      </c>
      <c r="E2818" s="4">
        <v>1099</v>
      </c>
      <c r="F2818" t="str">
        <f>HYPERLINK("https://www.google.com/maps/search/?api=1&amp;query=24.75253842,46.77390533", "View Map")</f>
        <v>View Map</v>
      </c>
    </row>
    <row r="2819" spans="1:7" x14ac:dyDescent="0.3">
      <c r="A2819" t="s">
        <v>5677</v>
      </c>
      <c r="B2819" t="s">
        <v>5678</v>
      </c>
      <c r="C2819" t="s">
        <v>30</v>
      </c>
      <c r="D2819">
        <v>3.4329999999999998</v>
      </c>
      <c r="E2819" s="4">
        <v>1099</v>
      </c>
      <c r="F2819" t="str">
        <f>HYPERLINK("https://www.google.com/maps/search/?api=1&amp;query=24.20134994,47.28801865", "View Map")</f>
        <v>View Map</v>
      </c>
    </row>
    <row r="2820" spans="1:7" x14ac:dyDescent="0.3">
      <c r="A2820" t="s">
        <v>4524</v>
      </c>
      <c r="B2820" t="s">
        <v>4525</v>
      </c>
      <c r="C2820" t="s">
        <v>255</v>
      </c>
      <c r="D2820">
        <v>3.431</v>
      </c>
      <c r="E2820" s="4">
        <v>1098</v>
      </c>
      <c r="F2820" t="str">
        <f>HYPERLINK("https://www.google.com/maps/search/?api=1&amp;query=25.08225566,44.28410885", "View Map")</f>
        <v>View Map</v>
      </c>
      <c r="G2820" s="2">
        <v>0.3553881090943094</v>
      </c>
    </row>
    <row r="2821" spans="1:7" x14ac:dyDescent="0.3">
      <c r="A2821" t="s">
        <v>881</v>
      </c>
      <c r="B2821" t="s">
        <v>5022</v>
      </c>
      <c r="C2821" t="s">
        <v>883</v>
      </c>
      <c r="D2821">
        <v>3.431</v>
      </c>
      <c r="E2821" s="4">
        <v>1098</v>
      </c>
      <c r="F2821" t="str">
        <f>HYPERLINK("https://www.google.com/maps/search/?api=1&amp;query=25.53464809,47.17668441", "View Map")</f>
        <v>View Map</v>
      </c>
      <c r="G2821" s="2">
        <v>0.55089198593578037</v>
      </c>
    </row>
    <row r="2822" spans="1:7" x14ac:dyDescent="0.3">
      <c r="A2822" t="s">
        <v>1215</v>
      </c>
      <c r="B2822" t="s">
        <v>1216</v>
      </c>
      <c r="C2822" t="s">
        <v>8</v>
      </c>
      <c r="D2822">
        <v>3.43</v>
      </c>
      <c r="E2822" s="4">
        <v>1098</v>
      </c>
      <c r="F2822" t="str">
        <f>HYPERLINK("https://www.google.com/maps/search/?api=1&amp;query=24.78854595,46.65750142", "View Map")</f>
        <v>View Map</v>
      </c>
      <c r="G2822" s="2">
        <v>0.2008519051346663</v>
      </c>
    </row>
    <row r="2823" spans="1:7" x14ac:dyDescent="0.3">
      <c r="A2823" t="s">
        <v>5640</v>
      </c>
      <c r="B2823" t="s">
        <v>5641</v>
      </c>
      <c r="C2823" t="s">
        <v>738</v>
      </c>
      <c r="D2823">
        <v>3.4289999999999998</v>
      </c>
      <c r="E2823" s="4">
        <v>1097</v>
      </c>
      <c r="F2823" t="str">
        <f>HYPERLINK("https://www.google.com/maps/search/?api=1&amp;query=24.91144866,45.86340598", "View Map")</f>
        <v>View Map</v>
      </c>
      <c r="G2823" s="2">
        <v>0.73037320173812181</v>
      </c>
    </row>
    <row r="2824" spans="1:7" x14ac:dyDescent="0.3">
      <c r="A2824" t="s">
        <v>2086</v>
      </c>
      <c r="B2824" t="s">
        <v>2087</v>
      </c>
      <c r="C2824" t="s">
        <v>30</v>
      </c>
      <c r="D2824">
        <v>3.427</v>
      </c>
      <c r="E2824" s="4">
        <v>1097</v>
      </c>
      <c r="F2824" t="str">
        <f>HYPERLINK("https://www.google.com/maps/search/?api=1&amp;query=24.17037,47.22622", "View Map")</f>
        <v>View Map</v>
      </c>
      <c r="G2824" s="2">
        <v>0.29847235248978837</v>
      </c>
    </row>
    <row r="2825" spans="1:7" x14ac:dyDescent="0.3">
      <c r="A2825" t="s">
        <v>46</v>
      </c>
      <c r="B2825" t="s">
        <v>6391</v>
      </c>
      <c r="C2825" t="s">
        <v>8</v>
      </c>
      <c r="D2825">
        <v>3.427</v>
      </c>
      <c r="E2825" s="4">
        <v>1097</v>
      </c>
      <c r="F2825" t="str">
        <f>HYPERLINK("https://www.google.com/maps/search/?api=1&amp;query=24.62140919,46.51406057", "View Map")</f>
        <v>View Map</v>
      </c>
    </row>
    <row r="2826" spans="1:7" x14ac:dyDescent="0.3">
      <c r="A2826" t="s">
        <v>5251</v>
      </c>
      <c r="B2826" t="s">
        <v>5252</v>
      </c>
      <c r="C2826" t="s">
        <v>21</v>
      </c>
      <c r="D2826">
        <v>3.423</v>
      </c>
      <c r="E2826" s="4">
        <v>1095</v>
      </c>
      <c r="F2826" t="str">
        <f>HYPERLINK("https://www.google.com/maps/search/?api=1&amp;query=26.29031212,44.8347721", "View Map")</f>
        <v>View Map</v>
      </c>
      <c r="G2826" s="2">
        <v>0.65659320615706118</v>
      </c>
    </row>
    <row r="2827" spans="1:7" x14ac:dyDescent="0.3">
      <c r="A2827" t="s">
        <v>464</v>
      </c>
      <c r="B2827" t="s">
        <v>6899</v>
      </c>
      <c r="C2827" t="s">
        <v>466</v>
      </c>
      <c r="D2827">
        <v>3.42</v>
      </c>
      <c r="E2827" s="4">
        <v>1094</v>
      </c>
      <c r="F2827" t="str">
        <f>HYPERLINK("https://www.google.com/maps/search/?api=1&amp;query=24.58178629,46.14885065", "View Map")</f>
        <v>View Map</v>
      </c>
      <c r="G2827" s="2">
        <v>0.48147736251481599</v>
      </c>
    </row>
    <row r="2828" spans="1:7" x14ac:dyDescent="0.3">
      <c r="A2828" t="s">
        <v>4282</v>
      </c>
      <c r="B2828" t="s">
        <v>4283</v>
      </c>
      <c r="C2828" t="s">
        <v>21</v>
      </c>
      <c r="D2828">
        <v>3.42</v>
      </c>
      <c r="E2828" s="4">
        <v>1094</v>
      </c>
      <c r="F2828" t="str">
        <f>HYPERLINK("https://www.google.com/maps/search/?api=1&amp;query=26.29128665,44.83709874", "View Map")</f>
        <v>View Map</v>
      </c>
      <c r="G2828" s="2">
        <v>0.54110751421908687</v>
      </c>
    </row>
    <row r="2829" spans="1:7" x14ac:dyDescent="0.3">
      <c r="A2829" t="s">
        <v>5246</v>
      </c>
      <c r="B2829" t="s">
        <v>5247</v>
      </c>
      <c r="C2829" t="s">
        <v>442</v>
      </c>
      <c r="D2829">
        <v>3.42</v>
      </c>
      <c r="E2829" s="4">
        <v>1094</v>
      </c>
      <c r="F2829" t="str">
        <f>HYPERLINK("https://www.google.com/maps/search/?api=1&amp;query=23.62166231,46.51655548", "View Map")</f>
        <v>View Map</v>
      </c>
    </row>
    <row r="2830" spans="1:7" x14ac:dyDescent="0.3">
      <c r="A2830" t="s">
        <v>46</v>
      </c>
      <c r="B2830" t="s">
        <v>7426</v>
      </c>
      <c r="C2830" t="s">
        <v>8</v>
      </c>
      <c r="D2830">
        <v>3.419</v>
      </c>
      <c r="E2830" s="4">
        <v>1094</v>
      </c>
      <c r="F2830" t="str">
        <f>HYPERLINK("https://www.google.com/maps/search/?api=1&amp;query=24.82015369,46.83870204", "View Map")</f>
        <v>View Map</v>
      </c>
    </row>
    <row r="2831" spans="1:7" x14ac:dyDescent="0.3">
      <c r="A2831" t="s">
        <v>2867</v>
      </c>
      <c r="B2831" t="s">
        <v>5532</v>
      </c>
      <c r="C2831" t="s">
        <v>8</v>
      </c>
      <c r="D2831">
        <v>3.4169999999999998</v>
      </c>
      <c r="E2831" s="4">
        <v>1093</v>
      </c>
      <c r="F2831" t="str">
        <f>HYPERLINK("https://www.google.com/maps/search/?api=1&amp;query=24.79867649,46.75141039", "View Map")</f>
        <v>View Map</v>
      </c>
    </row>
    <row r="2832" spans="1:7" x14ac:dyDescent="0.3">
      <c r="A2832" t="s">
        <v>6416</v>
      </c>
      <c r="B2832" t="s">
        <v>6417</v>
      </c>
      <c r="C2832" t="s">
        <v>291</v>
      </c>
      <c r="D2832">
        <v>3.4140000000000001</v>
      </c>
      <c r="E2832" s="4">
        <v>1093</v>
      </c>
      <c r="F2832" t="str">
        <f>HYPERLINK("https://www.google.com/maps/search/?api=1&amp;query=24.33715447,45.80375785", "View Map")</f>
        <v>View Map</v>
      </c>
      <c r="G2832" s="2">
        <v>0.47739382727466267</v>
      </c>
    </row>
    <row r="2833" spans="1:7" x14ac:dyDescent="0.3">
      <c r="A2833" t="s">
        <v>73</v>
      </c>
      <c r="B2833" t="s">
        <v>9781</v>
      </c>
      <c r="C2833" t="s">
        <v>8</v>
      </c>
      <c r="D2833">
        <v>3.4129999999999998</v>
      </c>
      <c r="E2833" s="4">
        <v>1092</v>
      </c>
      <c r="F2833" t="str">
        <f>HYPERLINK("https://www.google.com/maps/search/?api=1&amp;query=24.86409161,46.63442743", "View Map")</f>
        <v>View Map</v>
      </c>
    </row>
    <row r="2834" spans="1:7" x14ac:dyDescent="0.3">
      <c r="A2834" t="s">
        <v>3380</v>
      </c>
      <c r="B2834" t="s">
        <v>3381</v>
      </c>
      <c r="C2834" t="s">
        <v>30</v>
      </c>
      <c r="D2834">
        <v>3.41</v>
      </c>
      <c r="E2834" s="4">
        <v>1091</v>
      </c>
      <c r="F2834" t="str">
        <f>HYPERLINK("https://www.google.com/maps/search/?api=1&amp;query=24.16500943,47.35244317", "View Map")</f>
        <v>View Map</v>
      </c>
    </row>
    <row r="2835" spans="1:7" x14ac:dyDescent="0.3">
      <c r="A2835" t="s">
        <v>2276</v>
      </c>
      <c r="B2835" t="s">
        <v>2277</v>
      </c>
      <c r="C2835" t="s">
        <v>8</v>
      </c>
      <c r="D2835">
        <v>3.4089999999999998</v>
      </c>
      <c r="E2835" s="4">
        <v>1091</v>
      </c>
      <c r="F2835" t="str">
        <f>HYPERLINK("https://www.google.com/maps/search/?api=1&amp;query=24.79445521,46.69715011", "View Map")</f>
        <v>View Map</v>
      </c>
      <c r="G2835" s="2">
        <v>0.25657898096796</v>
      </c>
    </row>
    <row r="2836" spans="1:7" x14ac:dyDescent="0.3">
      <c r="A2836" t="s">
        <v>150</v>
      </c>
      <c r="B2836" t="s">
        <v>9795</v>
      </c>
      <c r="C2836" t="s">
        <v>8</v>
      </c>
      <c r="D2836">
        <v>3.4079999999999999</v>
      </c>
      <c r="E2836" s="4">
        <v>1091</v>
      </c>
      <c r="F2836" t="str">
        <f>HYPERLINK("https://www.google.com/maps/search/?api=1&amp;query=24.82796432,46.76651492", "View Map")</f>
        <v>View Map</v>
      </c>
    </row>
    <row r="2837" spans="1:7" x14ac:dyDescent="0.3">
      <c r="A2837" t="s">
        <v>1002</v>
      </c>
      <c r="B2837" t="s">
        <v>6329</v>
      </c>
      <c r="C2837" t="s">
        <v>214</v>
      </c>
      <c r="D2837">
        <v>3.4079999999999999</v>
      </c>
      <c r="E2837" s="4">
        <v>1091</v>
      </c>
      <c r="F2837" t="str">
        <f>HYPERLINK("https://www.google.com/maps/search/?api=1&amp;query=25.9303779,45.37408238", "View Map")</f>
        <v>View Map</v>
      </c>
    </row>
    <row r="2838" spans="1:7" x14ac:dyDescent="0.3">
      <c r="A2838" t="s">
        <v>678</v>
      </c>
      <c r="B2838" t="s">
        <v>5209</v>
      </c>
      <c r="C2838" t="s">
        <v>21</v>
      </c>
      <c r="D2838">
        <v>3.407</v>
      </c>
      <c r="E2838" s="4">
        <v>1090</v>
      </c>
      <c r="F2838" t="str">
        <f>HYPERLINK("https://www.google.com/maps/search/?api=1&amp;query=26.34373775,44.79157212", "View Map")</f>
        <v>View Map</v>
      </c>
      <c r="G2838" s="2">
        <v>0.78103221663119737</v>
      </c>
    </row>
    <row r="2839" spans="1:7" x14ac:dyDescent="0.3">
      <c r="A2839" t="s">
        <v>4944</v>
      </c>
      <c r="B2839" t="s">
        <v>4945</v>
      </c>
      <c r="C2839" t="s">
        <v>214</v>
      </c>
      <c r="D2839">
        <v>3.407</v>
      </c>
      <c r="E2839" s="4">
        <v>1090</v>
      </c>
      <c r="F2839" t="str">
        <f>HYPERLINK("https://www.google.com/maps/search/?api=1&amp;query=25.69577542,45.87911518", "View Map")</f>
        <v>View Map</v>
      </c>
      <c r="G2839" s="2">
        <v>0.59968790183683052</v>
      </c>
    </row>
    <row r="2840" spans="1:7" x14ac:dyDescent="0.3">
      <c r="A2840" t="s">
        <v>4374</v>
      </c>
      <c r="B2840" t="s">
        <v>4375</v>
      </c>
      <c r="C2840" t="s">
        <v>646</v>
      </c>
      <c r="D2840">
        <v>3.4060000000000001</v>
      </c>
      <c r="E2840" s="4">
        <v>1090</v>
      </c>
      <c r="F2840" t="str">
        <f>HYPERLINK("https://www.google.com/maps/search/?api=1&amp;query=20.47285474,45.57557678", "View Map")</f>
        <v>View Map</v>
      </c>
    </row>
    <row r="2841" spans="1:7" x14ac:dyDescent="0.3">
      <c r="A2841" t="s">
        <v>11391</v>
      </c>
      <c r="B2841" t="s">
        <v>11392</v>
      </c>
      <c r="C2841" t="s">
        <v>8</v>
      </c>
      <c r="D2841">
        <v>3.4060000000000001</v>
      </c>
      <c r="E2841" s="4">
        <v>1090</v>
      </c>
      <c r="F2841" t="str">
        <f>HYPERLINK("https://www.google.com/maps/search/?api=1&amp;query=24.67625677,46.59440219", "View Map")</f>
        <v>View Map</v>
      </c>
    </row>
    <row r="2842" spans="1:7" x14ac:dyDescent="0.3">
      <c r="A2842" t="s">
        <v>146</v>
      </c>
      <c r="B2842" t="s">
        <v>4743</v>
      </c>
      <c r="C2842" t="s">
        <v>8</v>
      </c>
      <c r="D2842">
        <v>3.4049999999999998</v>
      </c>
      <c r="E2842" s="4">
        <v>1090</v>
      </c>
      <c r="F2842" t="str">
        <f>HYPERLINK("https://www.google.com/maps/search/?api=1&amp;query=24.56326244,46.57380798", "View Map")</f>
        <v>View Map</v>
      </c>
    </row>
    <row r="2843" spans="1:7" x14ac:dyDescent="0.3">
      <c r="A2843" t="s">
        <v>9266</v>
      </c>
      <c r="B2843" t="s">
        <v>9267</v>
      </c>
      <c r="C2843" t="s">
        <v>883</v>
      </c>
      <c r="D2843">
        <v>3.4039999999999999</v>
      </c>
      <c r="E2843" s="4">
        <v>1089</v>
      </c>
      <c r="F2843" t="str">
        <f>HYPERLINK("https://www.google.com/maps/search/?api=1&amp;query=25.53672846,47.17014031", "View Map")</f>
        <v>View Map</v>
      </c>
      <c r="G2843" s="2">
        <v>0.5003604926145564</v>
      </c>
    </row>
    <row r="2844" spans="1:7" x14ac:dyDescent="0.3">
      <c r="A2844" t="s">
        <v>8495</v>
      </c>
      <c r="B2844" t="s">
        <v>8496</v>
      </c>
      <c r="C2844" t="s">
        <v>8</v>
      </c>
      <c r="D2844">
        <v>3.4039999999999999</v>
      </c>
      <c r="E2844" s="4">
        <v>1089</v>
      </c>
      <c r="F2844" t="str">
        <f>HYPERLINK("https://www.google.com/maps/search/?api=1&amp;query=24.56874677,46.8361548", "View Map")</f>
        <v>View Map</v>
      </c>
    </row>
    <row r="2845" spans="1:7" x14ac:dyDescent="0.3">
      <c r="A2845" t="s">
        <v>46</v>
      </c>
      <c r="B2845" t="s">
        <v>8768</v>
      </c>
      <c r="C2845" t="s">
        <v>8</v>
      </c>
      <c r="D2845">
        <v>3.4020000000000001</v>
      </c>
      <c r="E2845" s="4">
        <v>1089</v>
      </c>
      <c r="F2845" t="str">
        <f>HYPERLINK("https://www.google.com/maps/search/?api=1&amp;query=24.92937923,46.806863", "View Map")</f>
        <v>View Map</v>
      </c>
    </row>
    <row r="2846" spans="1:7" x14ac:dyDescent="0.3">
      <c r="A2846" t="s">
        <v>3307</v>
      </c>
      <c r="B2846" t="s">
        <v>3308</v>
      </c>
      <c r="C2846" t="s">
        <v>296</v>
      </c>
      <c r="D2846">
        <v>3.4020000000000001</v>
      </c>
      <c r="E2846" s="4">
        <v>1089</v>
      </c>
      <c r="F2846" t="str">
        <f>HYPERLINK("https://www.google.com/maps/search/?api=1&amp;query=24.45867421,46.2692289", "View Map")</f>
        <v>View Map</v>
      </c>
      <c r="G2846" s="2">
        <v>0.48934308243705837</v>
      </c>
    </row>
    <row r="2847" spans="1:7" x14ac:dyDescent="0.3">
      <c r="A2847" t="s">
        <v>2960</v>
      </c>
      <c r="B2847" t="s">
        <v>2961</v>
      </c>
      <c r="C2847" t="s">
        <v>8</v>
      </c>
      <c r="D2847">
        <v>3.4020000000000001</v>
      </c>
      <c r="E2847" s="4">
        <v>1089</v>
      </c>
      <c r="F2847" t="str">
        <f>HYPERLINK("https://www.google.com/maps/search/?api=1&amp;query=24.56097905,46.69732179", "View Map")</f>
        <v>View Map</v>
      </c>
    </row>
    <row r="2848" spans="1:7" x14ac:dyDescent="0.3">
      <c r="A2848" t="s">
        <v>11393</v>
      </c>
      <c r="B2848" t="s">
        <v>11394</v>
      </c>
      <c r="C2848" t="s">
        <v>8</v>
      </c>
      <c r="D2848">
        <v>3.4020000000000001</v>
      </c>
      <c r="E2848" s="4">
        <v>1089</v>
      </c>
      <c r="F2848" t="str">
        <f>HYPERLINK("https://www.google.com/maps/search/?api=1&amp;query=24.79991039,46.74318327", "View Map")</f>
        <v>View Map</v>
      </c>
    </row>
    <row r="2849" spans="1:7" x14ac:dyDescent="0.3">
      <c r="A2849" t="s">
        <v>6645</v>
      </c>
      <c r="B2849" t="s">
        <v>6646</v>
      </c>
      <c r="C2849" t="s">
        <v>8</v>
      </c>
      <c r="D2849">
        <v>3.4009999999999998</v>
      </c>
      <c r="E2849" s="4">
        <v>1088</v>
      </c>
      <c r="F2849" t="str">
        <f>HYPERLINK("https://www.google.com/maps/search/?api=1&amp;query=24.54561656,46.65427932", "View Map")</f>
        <v>View Map</v>
      </c>
    </row>
    <row r="2850" spans="1:7" x14ac:dyDescent="0.3">
      <c r="A2850" t="s">
        <v>3428</v>
      </c>
      <c r="B2850" t="s">
        <v>3429</v>
      </c>
      <c r="C2850" t="s">
        <v>296</v>
      </c>
      <c r="D2850">
        <v>3.4009999999999998</v>
      </c>
      <c r="E2850" s="4">
        <v>1088</v>
      </c>
      <c r="F2850" t="str">
        <f>HYPERLINK("https://www.google.com/maps/search/?api=1&amp;query=24.47994898,46.29202814", "View Map")</f>
        <v>View Map</v>
      </c>
      <c r="G2850" s="2">
        <v>0.30431647234269188</v>
      </c>
    </row>
    <row r="2851" spans="1:7" x14ac:dyDescent="0.3">
      <c r="A2851" t="s">
        <v>627</v>
      </c>
      <c r="B2851" t="s">
        <v>4616</v>
      </c>
      <c r="C2851" t="s">
        <v>8</v>
      </c>
      <c r="D2851">
        <v>3.399</v>
      </c>
      <c r="E2851" s="4">
        <v>1088</v>
      </c>
      <c r="F2851" t="str">
        <f>HYPERLINK("https://www.google.com/maps/search/?api=1&amp;query=24.79641343,46.65581817", "View Map")</f>
        <v>View Map</v>
      </c>
    </row>
    <row r="2852" spans="1:7" x14ac:dyDescent="0.3">
      <c r="A2852" t="s">
        <v>5520</v>
      </c>
      <c r="B2852" t="s">
        <v>5521</v>
      </c>
      <c r="C2852" t="s">
        <v>291</v>
      </c>
      <c r="D2852">
        <v>3.399</v>
      </c>
      <c r="E2852" s="4">
        <v>1088</v>
      </c>
      <c r="F2852" t="str">
        <f>HYPERLINK("https://www.google.com/maps/search/?api=1&amp;query=23.6103233,44.4867038", "View Map")</f>
        <v>View Map</v>
      </c>
      <c r="G2852" s="2">
        <v>0.78448743435086965</v>
      </c>
    </row>
    <row r="2853" spans="1:7" x14ac:dyDescent="0.3">
      <c r="A2853" t="s">
        <v>11395</v>
      </c>
      <c r="B2853" t="s">
        <v>11396</v>
      </c>
      <c r="C2853" t="s">
        <v>241</v>
      </c>
      <c r="D2853">
        <v>3.399</v>
      </c>
      <c r="E2853" s="4">
        <v>1088</v>
      </c>
      <c r="F2853" t="str">
        <f>HYPERLINK("https://www.google.com/maps/search/?api=1&amp;query=20.4823895,44.77227631", "View Map")</f>
        <v>View Map</v>
      </c>
    </row>
    <row r="2854" spans="1:7" x14ac:dyDescent="0.3">
      <c r="A2854" t="s">
        <v>8177</v>
      </c>
      <c r="B2854" t="s">
        <v>8178</v>
      </c>
      <c r="C2854" t="s">
        <v>270</v>
      </c>
      <c r="D2854">
        <v>3.399</v>
      </c>
      <c r="E2854" s="4">
        <v>1088</v>
      </c>
      <c r="F2854" t="str">
        <f>HYPERLINK("https://www.google.com/maps/search/?api=1&amp;query=23.9163845,46.84086612", "View Map")</f>
        <v>View Map</v>
      </c>
    </row>
    <row r="2855" spans="1:7" x14ac:dyDescent="0.3">
      <c r="A2855" t="s">
        <v>5898</v>
      </c>
      <c r="B2855" t="s">
        <v>5899</v>
      </c>
      <c r="C2855" t="s">
        <v>8</v>
      </c>
      <c r="D2855">
        <v>3.3980000000000001</v>
      </c>
      <c r="E2855" s="4">
        <v>1087</v>
      </c>
      <c r="F2855" t="str">
        <f>HYPERLINK("https://www.google.com/maps/search/?api=1&amp;query=24.57768278,46.56258624", "View Map")</f>
        <v>View Map</v>
      </c>
      <c r="G2855" s="2">
        <v>0.438689420999549</v>
      </c>
    </row>
    <row r="2856" spans="1:7" x14ac:dyDescent="0.3">
      <c r="A2856" t="s">
        <v>28</v>
      </c>
      <c r="B2856" t="s">
        <v>4747</v>
      </c>
      <c r="C2856" t="s">
        <v>30</v>
      </c>
      <c r="D2856">
        <v>3.3980000000000001</v>
      </c>
      <c r="E2856" s="4">
        <v>1087</v>
      </c>
      <c r="F2856" t="str">
        <f>HYPERLINK("https://www.google.com/maps/search/?api=1&amp;query=24.13928563,47.27856597", "View Map")</f>
        <v>View Map</v>
      </c>
    </row>
    <row r="2857" spans="1:7" x14ac:dyDescent="0.3">
      <c r="A2857" t="s">
        <v>2471</v>
      </c>
      <c r="B2857" t="s">
        <v>2472</v>
      </c>
      <c r="C2857" t="s">
        <v>8</v>
      </c>
      <c r="D2857">
        <v>3.3980000000000001</v>
      </c>
      <c r="E2857" s="4">
        <v>1088</v>
      </c>
      <c r="F2857" t="str">
        <f>HYPERLINK("https://www.google.com/maps/search/?api=1&amp;query=24.8139523,46.79696303", "View Map")</f>
        <v>View Map</v>
      </c>
    </row>
    <row r="2858" spans="1:7" x14ac:dyDescent="0.3">
      <c r="A2858" t="s">
        <v>5320</v>
      </c>
      <c r="B2858" t="s">
        <v>5731</v>
      </c>
      <c r="C2858" t="s">
        <v>8</v>
      </c>
      <c r="D2858">
        <v>3.3969999999999998</v>
      </c>
      <c r="E2858" s="4">
        <v>1087</v>
      </c>
      <c r="F2858" t="str">
        <f>HYPERLINK("https://www.google.com/maps/search/?api=1&amp;query=24.59628553,46.68027523", "View Map")</f>
        <v>View Map</v>
      </c>
    </row>
    <row r="2859" spans="1:7" x14ac:dyDescent="0.3">
      <c r="A2859" t="s">
        <v>2197</v>
      </c>
      <c r="B2859" t="s">
        <v>2198</v>
      </c>
      <c r="C2859" t="s">
        <v>8</v>
      </c>
      <c r="D2859">
        <v>3.3940000000000001</v>
      </c>
      <c r="E2859" s="4">
        <v>1086</v>
      </c>
      <c r="F2859" t="str">
        <f>HYPERLINK("https://www.google.com/maps/search/?api=1&amp;query=24.61781262,46.73282348", "View Map")</f>
        <v>View Map</v>
      </c>
    </row>
    <row r="2860" spans="1:7" x14ac:dyDescent="0.3">
      <c r="A2860" t="s">
        <v>2591</v>
      </c>
      <c r="B2860" t="s">
        <v>2592</v>
      </c>
      <c r="C2860" t="s">
        <v>8</v>
      </c>
      <c r="D2860">
        <v>3.3919999999999999</v>
      </c>
      <c r="E2860" s="4">
        <v>1086</v>
      </c>
      <c r="F2860" t="str">
        <f>HYPERLINK("https://www.google.com/maps/search/?api=1&amp;query=24.71092091,46.83455047", "View Map")</f>
        <v>View Map</v>
      </c>
    </row>
    <row r="2861" spans="1:7" x14ac:dyDescent="0.3">
      <c r="A2861" t="s">
        <v>6293</v>
      </c>
      <c r="B2861" t="s">
        <v>6294</v>
      </c>
      <c r="C2861" t="s">
        <v>30</v>
      </c>
      <c r="D2861">
        <v>3.3919999999999999</v>
      </c>
      <c r="E2861" s="4">
        <v>1085</v>
      </c>
      <c r="F2861" t="str">
        <f>HYPERLINK("https://www.google.com/maps/search/?api=1&amp;query=24.13936721,47.36139719", "View Map")</f>
        <v>View Map</v>
      </c>
      <c r="G2861" s="2">
        <v>0.41007631239723669</v>
      </c>
    </row>
    <row r="2862" spans="1:7" x14ac:dyDescent="0.3">
      <c r="A2862" t="s">
        <v>4167</v>
      </c>
      <c r="B2862" t="s">
        <v>7295</v>
      </c>
      <c r="C2862" t="s">
        <v>8</v>
      </c>
      <c r="D2862">
        <v>3.3919999999999999</v>
      </c>
      <c r="E2862" s="4">
        <v>1085</v>
      </c>
      <c r="F2862" t="str">
        <f>HYPERLINK("https://www.google.com/maps/search/?api=1&amp;query=24.5900787,46.60434661", "View Map")</f>
        <v>View Map</v>
      </c>
    </row>
    <row r="2863" spans="1:7" x14ac:dyDescent="0.3">
      <c r="A2863" t="s">
        <v>73</v>
      </c>
      <c r="B2863" t="s">
        <v>2454</v>
      </c>
      <c r="C2863" t="s">
        <v>8</v>
      </c>
      <c r="D2863">
        <v>3.391</v>
      </c>
      <c r="E2863" s="4">
        <v>1085</v>
      </c>
      <c r="F2863" t="str">
        <f>HYPERLINK("https://www.google.com/maps/search/?api=1&amp;query=24.79565301,46.60994772", "View Map")</f>
        <v>View Map</v>
      </c>
    </row>
    <row r="2864" spans="1:7" x14ac:dyDescent="0.3">
      <c r="A2864" t="s">
        <v>8034</v>
      </c>
      <c r="B2864" t="s">
        <v>8035</v>
      </c>
      <c r="C2864" t="s">
        <v>393</v>
      </c>
      <c r="D2864">
        <v>3.391</v>
      </c>
      <c r="E2864" s="4">
        <v>1085</v>
      </c>
      <c r="F2864" t="str">
        <f>HYPERLINK("https://www.google.com/maps/search/?api=1&amp;query=22.48734252,45.04831063", "View Map")</f>
        <v>View Map</v>
      </c>
      <c r="G2864" s="2">
        <v>0.85354409394125019</v>
      </c>
    </row>
    <row r="2865" spans="1:7" x14ac:dyDescent="0.3">
      <c r="A2865" t="s">
        <v>5878</v>
      </c>
      <c r="B2865" t="s">
        <v>5879</v>
      </c>
      <c r="C2865" t="s">
        <v>8</v>
      </c>
      <c r="D2865">
        <v>3.39</v>
      </c>
      <c r="E2865" s="4">
        <v>1085</v>
      </c>
      <c r="F2865" t="str">
        <f>HYPERLINK("https://www.google.com/maps/search/?api=1&amp;query=24.753966,46.67009436", "View Map")</f>
        <v>View Map</v>
      </c>
    </row>
    <row r="2866" spans="1:7" x14ac:dyDescent="0.3">
      <c r="A2866" t="s">
        <v>4455</v>
      </c>
      <c r="B2866" t="s">
        <v>4456</v>
      </c>
      <c r="C2866" t="s">
        <v>214</v>
      </c>
      <c r="D2866">
        <v>3.3889999999999998</v>
      </c>
      <c r="E2866" s="4">
        <v>1084</v>
      </c>
      <c r="F2866" t="str">
        <f>HYPERLINK("https://www.google.com/maps/search/?api=1&amp;query=26.46809519,45.35691786", "View Map")</f>
        <v>View Map</v>
      </c>
      <c r="G2866" s="2">
        <v>0.77161212534137069</v>
      </c>
    </row>
    <row r="2867" spans="1:7" x14ac:dyDescent="0.3">
      <c r="A2867" t="s">
        <v>5320</v>
      </c>
      <c r="B2867" t="s">
        <v>6827</v>
      </c>
      <c r="C2867" t="s">
        <v>8</v>
      </c>
      <c r="D2867">
        <v>3.3889999999999998</v>
      </c>
      <c r="E2867" s="4">
        <v>1085</v>
      </c>
      <c r="F2867" t="str">
        <f>HYPERLINK("https://www.google.com/maps/search/?api=1&amp;query=24.60303417,46.6919254", "View Map")</f>
        <v>View Map</v>
      </c>
    </row>
    <row r="2868" spans="1:7" x14ac:dyDescent="0.3">
      <c r="A2868" t="s">
        <v>8855</v>
      </c>
      <c r="B2868" t="s">
        <v>8856</v>
      </c>
      <c r="C2868" t="s">
        <v>30</v>
      </c>
      <c r="D2868">
        <v>3.3889999999999998</v>
      </c>
      <c r="E2868" s="4">
        <v>1084</v>
      </c>
      <c r="F2868" t="str">
        <f>HYPERLINK("https://www.google.com/maps/search/?api=1&amp;query=24.14974367,47.37155679", "View Map")</f>
        <v>View Map</v>
      </c>
    </row>
    <row r="2869" spans="1:7" x14ac:dyDescent="0.3">
      <c r="A2869" t="s">
        <v>11358</v>
      </c>
      <c r="B2869" t="s">
        <v>11397</v>
      </c>
      <c r="C2869" t="s">
        <v>8</v>
      </c>
      <c r="D2869">
        <v>3.3879999999999999</v>
      </c>
      <c r="E2869" s="4">
        <v>1084</v>
      </c>
      <c r="F2869" t="str">
        <f>HYPERLINK("https://www.google.com/maps/search/?api=1&amp;query=24.57131413,46.63469525", "View Map")</f>
        <v>View Map</v>
      </c>
    </row>
    <row r="2870" spans="1:7" x14ac:dyDescent="0.3">
      <c r="A2870" t="s">
        <v>6374</v>
      </c>
      <c r="B2870" t="s">
        <v>6375</v>
      </c>
      <c r="C2870" t="s">
        <v>8</v>
      </c>
      <c r="D2870">
        <v>3.387</v>
      </c>
      <c r="E2870" s="4">
        <v>1084</v>
      </c>
      <c r="F2870" t="str">
        <f>HYPERLINK("https://www.google.com/maps/search/?api=1&amp;query=24.57428046,46.66244564", "View Map")</f>
        <v>View Map</v>
      </c>
    </row>
    <row r="2871" spans="1:7" x14ac:dyDescent="0.3">
      <c r="A2871" t="s">
        <v>627</v>
      </c>
      <c r="B2871" t="s">
        <v>11398</v>
      </c>
      <c r="C2871" t="s">
        <v>8</v>
      </c>
      <c r="D2871">
        <v>3.387</v>
      </c>
      <c r="E2871" s="4">
        <v>1084</v>
      </c>
      <c r="F2871" t="str">
        <f>HYPERLINK("https://www.google.com/maps/search/?api=1&amp;query=24.62373953,46.54477428", "View Map")</f>
        <v>View Map</v>
      </c>
    </row>
    <row r="2872" spans="1:7" x14ac:dyDescent="0.3">
      <c r="A2872" t="s">
        <v>4258</v>
      </c>
      <c r="B2872" t="s">
        <v>4259</v>
      </c>
      <c r="C2872" t="s">
        <v>646</v>
      </c>
      <c r="D2872">
        <v>3.387</v>
      </c>
      <c r="E2872" s="4">
        <v>1084</v>
      </c>
      <c r="F2872" t="str">
        <f>HYPERLINK("https://www.google.com/maps/search/?api=1&amp;query=20.40799975,45.4315882", "View Map")</f>
        <v>View Map</v>
      </c>
    </row>
    <row r="2873" spans="1:7" x14ac:dyDescent="0.3">
      <c r="A2873" t="s">
        <v>2908</v>
      </c>
      <c r="B2873" t="s">
        <v>2909</v>
      </c>
      <c r="C2873" t="s">
        <v>8</v>
      </c>
      <c r="D2873">
        <v>3.3860000000000001</v>
      </c>
      <c r="E2873" s="4">
        <v>1083</v>
      </c>
      <c r="F2873" t="str">
        <f>HYPERLINK("https://www.google.com/maps/search/?api=1&amp;query=24.71157002,46.63674319", "View Map")</f>
        <v>View Map</v>
      </c>
    </row>
    <row r="2874" spans="1:7" x14ac:dyDescent="0.3">
      <c r="A2874" t="s">
        <v>9180</v>
      </c>
      <c r="B2874" t="s">
        <v>9181</v>
      </c>
      <c r="C2874" t="s">
        <v>291</v>
      </c>
      <c r="D2874">
        <v>3.3849999999999998</v>
      </c>
      <c r="E2874" s="4">
        <v>1083</v>
      </c>
      <c r="F2874" t="str">
        <f>HYPERLINK("https://www.google.com/maps/search/?api=1&amp;query=23.82978216,45.64601368", "View Map")</f>
        <v>View Map</v>
      </c>
      <c r="G2874" s="2">
        <v>0.79985525152658976</v>
      </c>
    </row>
    <row r="2875" spans="1:7" x14ac:dyDescent="0.3">
      <c r="A2875" t="s">
        <v>5178</v>
      </c>
      <c r="B2875" t="s">
        <v>5179</v>
      </c>
      <c r="C2875" t="s">
        <v>30</v>
      </c>
      <c r="D2875">
        <v>3.3839999999999999</v>
      </c>
      <c r="E2875" s="4">
        <v>1083</v>
      </c>
      <c r="F2875" t="str">
        <f>HYPERLINK("https://www.google.com/maps/search/?api=1&amp;query=24.15557526,47.37570382", "View Map")</f>
        <v>View Map</v>
      </c>
      <c r="G2875" s="2">
        <v>0.65724701841099242</v>
      </c>
    </row>
    <row r="2876" spans="1:7" x14ac:dyDescent="0.3">
      <c r="A2876" t="s">
        <v>10387</v>
      </c>
      <c r="B2876" t="s">
        <v>10388</v>
      </c>
      <c r="C2876" t="s">
        <v>8</v>
      </c>
      <c r="D2876">
        <v>3.3820000000000001</v>
      </c>
      <c r="E2876" s="4">
        <v>1082</v>
      </c>
      <c r="F2876" t="str">
        <f>HYPERLINK("https://www.google.com/maps/search/?api=1&amp;query=24.83641929,46.79463942", "View Map")</f>
        <v>View Map</v>
      </c>
    </row>
    <row r="2877" spans="1:7" x14ac:dyDescent="0.3">
      <c r="A2877" t="s">
        <v>5952</v>
      </c>
      <c r="B2877" t="s">
        <v>5953</v>
      </c>
      <c r="C2877" t="s">
        <v>8</v>
      </c>
      <c r="D2877">
        <v>3.3820000000000001</v>
      </c>
      <c r="E2877" s="4">
        <v>1082</v>
      </c>
      <c r="F2877" t="str">
        <f>HYPERLINK("https://www.google.com/maps/search/?api=1&amp;query=24.78376069,46.64279419", "View Map")</f>
        <v>View Map</v>
      </c>
    </row>
    <row r="2878" spans="1:7" x14ac:dyDescent="0.3">
      <c r="A2878" t="s">
        <v>2312</v>
      </c>
      <c r="B2878" t="s">
        <v>2313</v>
      </c>
      <c r="C2878" t="s">
        <v>77</v>
      </c>
      <c r="D2878">
        <v>3.38</v>
      </c>
      <c r="E2878" s="4">
        <v>1082</v>
      </c>
      <c r="F2878" t="str">
        <f>HYPERLINK("https://www.google.com/maps/search/?api=1&amp;query=22.25706443,46.78236455", "View Map")</f>
        <v>View Map</v>
      </c>
      <c r="G2878" s="2">
        <v>0.35002968092223369</v>
      </c>
    </row>
    <row r="2879" spans="1:7" x14ac:dyDescent="0.3">
      <c r="A2879" t="s">
        <v>6611</v>
      </c>
      <c r="B2879" t="s">
        <v>6612</v>
      </c>
      <c r="C2879" t="s">
        <v>8</v>
      </c>
      <c r="D2879">
        <v>3.3780000000000001</v>
      </c>
      <c r="E2879" s="4">
        <v>1081</v>
      </c>
      <c r="F2879" t="str">
        <f>HYPERLINK("https://www.google.com/maps/search/?api=1&amp;query=24.58271887,46.62109676", "View Map")</f>
        <v>View Map</v>
      </c>
    </row>
    <row r="2880" spans="1:7" x14ac:dyDescent="0.3">
      <c r="A2880" t="s">
        <v>6773</v>
      </c>
      <c r="B2880" t="s">
        <v>6774</v>
      </c>
      <c r="C2880" t="s">
        <v>255</v>
      </c>
      <c r="D2880">
        <v>3.3780000000000001</v>
      </c>
      <c r="E2880" s="4">
        <v>1081</v>
      </c>
      <c r="F2880" t="str">
        <f>HYPERLINK("https://www.google.com/maps/search/?api=1&amp;query=25.18924563,44.60347064", "View Map")</f>
        <v>View Map</v>
      </c>
      <c r="G2880" s="2">
        <v>0.45277200596682587</v>
      </c>
    </row>
    <row r="2881" spans="1:7" x14ac:dyDescent="0.3">
      <c r="A2881" t="s">
        <v>28</v>
      </c>
      <c r="B2881" t="s">
        <v>10516</v>
      </c>
      <c r="C2881" t="s">
        <v>30</v>
      </c>
      <c r="D2881">
        <v>3.3759999999999999</v>
      </c>
      <c r="E2881" s="4">
        <v>1080</v>
      </c>
      <c r="F2881" t="str">
        <f>HYPERLINK("https://www.google.com/maps/search/?api=1&amp;query=24.16221239,47.30892066", "View Map")</f>
        <v>View Map</v>
      </c>
    </row>
    <row r="2882" spans="1:7" x14ac:dyDescent="0.3">
      <c r="A2882" t="s">
        <v>3773</v>
      </c>
      <c r="B2882" t="s">
        <v>3774</v>
      </c>
      <c r="C2882" t="s">
        <v>21</v>
      </c>
      <c r="D2882">
        <v>3.375</v>
      </c>
      <c r="E2882" s="4">
        <v>1080</v>
      </c>
      <c r="F2882" t="str">
        <f>HYPERLINK("https://www.google.com/maps/search/?api=1&amp;query=26.29242224,44.82905882", "View Map")</f>
        <v>View Map</v>
      </c>
      <c r="G2882" s="2">
        <v>0.51618904831934775</v>
      </c>
    </row>
    <row r="2883" spans="1:7" x14ac:dyDescent="0.3">
      <c r="A2883" t="s">
        <v>7024</v>
      </c>
      <c r="B2883" t="s">
        <v>7025</v>
      </c>
      <c r="C2883" t="s">
        <v>8</v>
      </c>
      <c r="D2883">
        <v>3.3740000000000001</v>
      </c>
      <c r="E2883" s="4">
        <v>1080</v>
      </c>
      <c r="F2883" t="str">
        <f>HYPERLINK("https://www.google.com/maps/search/?api=1&amp;query=24.61245219,46.67157611", "View Map")</f>
        <v>View Map</v>
      </c>
    </row>
    <row r="2884" spans="1:7" x14ac:dyDescent="0.3">
      <c r="A2884" t="s">
        <v>2026</v>
      </c>
      <c r="B2884" t="s">
        <v>2027</v>
      </c>
      <c r="C2884" t="s">
        <v>8</v>
      </c>
      <c r="D2884">
        <v>3.3730000000000002</v>
      </c>
      <c r="E2884" s="4">
        <v>1079</v>
      </c>
      <c r="F2884" t="str">
        <f>HYPERLINK("https://www.google.com/maps/search/?api=1&amp;query=24.69144616,46.70464628", "View Map")</f>
        <v>View Map</v>
      </c>
      <c r="G2884" s="2">
        <v>0.24511984185816649</v>
      </c>
    </row>
    <row r="2885" spans="1:7" x14ac:dyDescent="0.3">
      <c r="A2885" t="s">
        <v>150</v>
      </c>
      <c r="B2885" t="s">
        <v>6263</v>
      </c>
      <c r="C2885" t="s">
        <v>8</v>
      </c>
      <c r="D2885">
        <v>3.3730000000000002</v>
      </c>
      <c r="E2885" s="4">
        <v>1080</v>
      </c>
      <c r="F2885" t="str">
        <f>HYPERLINK("https://www.google.com/maps/search/?api=1&amp;query=24.8235384,46.83610754", "View Map")</f>
        <v>View Map</v>
      </c>
    </row>
    <row r="2886" spans="1:7" x14ac:dyDescent="0.3">
      <c r="A2886" t="s">
        <v>1750</v>
      </c>
      <c r="B2886" t="s">
        <v>6348</v>
      </c>
      <c r="C2886" t="s">
        <v>255</v>
      </c>
      <c r="D2886">
        <v>3.371</v>
      </c>
      <c r="E2886" s="4">
        <v>1079</v>
      </c>
      <c r="F2886" t="str">
        <f>HYPERLINK("https://www.google.com/maps/search/?api=1&amp;query=25.18699055,44.58080549", "View Map")</f>
        <v>View Map</v>
      </c>
      <c r="G2886" s="2">
        <v>0.58110959811885676</v>
      </c>
    </row>
    <row r="2887" spans="1:7" x14ac:dyDescent="0.3">
      <c r="A2887" t="s">
        <v>146</v>
      </c>
      <c r="B2887" t="s">
        <v>6228</v>
      </c>
      <c r="C2887" t="s">
        <v>8</v>
      </c>
      <c r="D2887">
        <v>3.3690000000000002</v>
      </c>
      <c r="E2887" s="4">
        <v>1078</v>
      </c>
      <c r="F2887" t="str">
        <f>HYPERLINK("https://www.google.com/maps/search/?api=1&amp;query=24.55363955,46.6674507", "View Map")</f>
        <v>View Map</v>
      </c>
    </row>
    <row r="2888" spans="1:7" x14ac:dyDescent="0.3">
      <c r="A2888" t="s">
        <v>627</v>
      </c>
      <c r="B2888" t="s">
        <v>3436</v>
      </c>
      <c r="C2888" t="s">
        <v>8</v>
      </c>
      <c r="D2888">
        <v>3.3679999999999999</v>
      </c>
      <c r="E2888" s="4">
        <v>1078</v>
      </c>
      <c r="F2888" t="str">
        <f>HYPERLINK("https://www.google.com/maps/search/?api=1&amp;query=24.8269,46.6361", "View Map")</f>
        <v>View Map</v>
      </c>
    </row>
    <row r="2889" spans="1:7" x14ac:dyDescent="0.3">
      <c r="A2889" t="s">
        <v>10336</v>
      </c>
      <c r="B2889" t="s">
        <v>10337</v>
      </c>
      <c r="C2889" t="s">
        <v>4447</v>
      </c>
      <c r="D2889">
        <v>3.3660000000000001</v>
      </c>
      <c r="E2889" s="4">
        <v>1077</v>
      </c>
      <c r="F2889" t="str">
        <f>HYPERLINK("https://www.google.com/maps/search/?api=1&amp;query=24.37711887,42.08170429", "View Map")</f>
        <v>View Map</v>
      </c>
      <c r="G2889" s="2">
        <v>1.035875324930448</v>
      </c>
    </row>
    <row r="2890" spans="1:7" x14ac:dyDescent="0.3">
      <c r="A2890" t="s">
        <v>5997</v>
      </c>
      <c r="B2890" t="s">
        <v>5998</v>
      </c>
      <c r="C2890" t="s">
        <v>1112</v>
      </c>
      <c r="D2890">
        <v>3.3660000000000001</v>
      </c>
      <c r="E2890" s="4">
        <v>1077</v>
      </c>
      <c r="F2890" t="str">
        <f>HYPERLINK("https://www.google.com/maps/search/?api=1&amp;query=26.02780234,44.94282068", "View Map")</f>
        <v>View Map</v>
      </c>
      <c r="G2890" s="2">
        <v>0.74310794492538745</v>
      </c>
    </row>
    <row r="2891" spans="1:7" x14ac:dyDescent="0.3">
      <c r="A2891" t="s">
        <v>5907</v>
      </c>
      <c r="B2891" t="s">
        <v>5908</v>
      </c>
      <c r="C2891" t="s">
        <v>8</v>
      </c>
      <c r="D2891">
        <v>3.3650000000000002</v>
      </c>
      <c r="E2891" s="4">
        <v>1077</v>
      </c>
      <c r="F2891" t="str">
        <f>HYPERLINK("https://www.google.com/maps/search/?api=1&amp;query=24.656609,46.70982143", "View Map")</f>
        <v>View Map</v>
      </c>
    </row>
    <row r="2892" spans="1:7" x14ac:dyDescent="0.3">
      <c r="A2892" t="s">
        <v>11399</v>
      </c>
      <c r="B2892" t="s">
        <v>11400</v>
      </c>
      <c r="C2892" t="s">
        <v>8</v>
      </c>
      <c r="D2892">
        <v>3.3639999999999999</v>
      </c>
      <c r="E2892" s="4">
        <v>1077</v>
      </c>
      <c r="F2892" t="str">
        <f>HYPERLINK("https://www.google.com/maps/search/?api=1&amp;query=24.6431252,46.59996808", "View Map")</f>
        <v>View Map</v>
      </c>
    </row>
    <row r="2893" spans="1:7" x14ac:dyDescent="0.3">
      <c r="A2893" t="s">
        <v>706</v>
      </c>
      <c r="B2893" t="s">
        <v>6187</v>
      </c>
      <c r="C2893" t="s">
        <v>8</v>
      </c>
      <c r="D2893">
        <v>3.3639999999999999</v>
      </c>
      <c r="E2893" s="4">
        <v>1076</v>
      </c>
      <c r="F2893" t="str">
        <f>HYPERLINK("https://www.google.com/maps/search/?api=1&amp;query=24.6281474,46.64944386", "View Map")</f>
        <v>View Map</v>
      </c>
      <c r="G2893" s="2">
        <v>0.61498740485687076</v>
      </c>
    </row>
    <row r="2894" spans="1:7" x14ac:dyDescent="0.3">
      <c r="A2894" t="s">
        <v>3528</v>
      </c>
      <c r="B2894" t="s">
        <v>3529</v>
      </c>
      <c r="C2894" t="s">
        <v>8</v>
      </c>
      <c r="D2894">
        <v>3.363</v>
      </c>
      <c r="E2894" s="4">
        <v>1076</v>
      </c>
      <c r="F2894" t="str">
        <f>HYPERLINK("https://www.google.com/maps/search/?api=1&amp;query=24.61923434,46.73555924", "View Map")</f>
        <v>View Map</v>
      </c>
    </row>
    <row r="2895" spans="1:7" x14ac:dyDescent="0.3">
      <c r="A2895" t="s">
        <v>5158</v>
      </c>
      <c r="B2895" t="s">
        <v>5159</v>
      </c>
      <c r="C2895" t="s">
        <v>8</v>
      </c>
      <c r="D2895">
        <v>3.363</v>
      </c>
      <c r="E2895" s="4">
        <v>1076</v>
      </c>
      <c r="F2895" t="str">
        <f>HYPERLINK("https://www.google.com/maps/search/?api=1&amp;query=24.6901217,46.64576329", "View Map")</f>
        <v>View Map</v>
      </c>
    </row>
    <row r="2896" spans="1:7" x14ac:dyDescent="0.3">
      <c r="A2896" t="s">
        <v>5872</v>
      </c>
      <c r="B2896" t="s">
        <v>5873</v>
      </c>
      <c r="C2896" t="s">
        <v>214</v>
      </c>
      <c r="D2896">
        <v>3.3610000000000002</v>
      </c>
      <c r="E2896" s="4">
        <v>1075</v>
      </c>
      <c r="F2896" t="str">
        <f>HYPERLINK("https://www.google.com/maps/search/?api=1&amp;query=25.94345715,45.36492035", "View Map")</f>
        <v>View Map</v>
      </c>
      <c r="G2896" s="2">
        <v>0.5516368047272302</v>
      </c>
    </row>
    <row r="2897" spans="1:7" x14ac:dyDescent="0.3">
      <c r="A2897" t="s">
        <v>46</v>
      </c>
      <c r="B2897" t="s">
        <v>7961</v>
      </c>
      <c r="C2897" t="s">
        <v>8</v>
      </c>
      <c r="D2897">
        <v>3.3559999999999999</v>
      </c>
      <c r="E2897" s="4">
        <v>1074</v>
      </c>
      <c r="F2897" t="str">
        <f>HYPERLINK("https://www.google.com/maps/search/?api=1&amp;query=24.88832178,46.63600145", "View Map")</f>
        <v>View Map</v>
      </c>
    </row>
    <row r="2898" spans="1:7" x14ac:dyDescent="0.3">
      <c r="A2898" t="s">
        <v>146</v>
      </c>
      <c r="B2898" t="s">
        <v>10097</v>
      </c>
      <c r="C2898" t="s">
        <v>8</v>
      </c>
      <c r="D2898">
        <v>3.3559999999999999</v>
      </c>
      <c r="E2898" s="4">
        <v>1074</v>
      </c>
      <c r="F2898" t="str">
        <f>HYPERLINK("https://www.google.com/maps/search/?api=1&amp;query=24.5733,46.6092", "View Map")</f>
        <v>View Map</v>
      </c>
    </row>
    <row r="2899" spans="1:7" x14ac:dyDescent="0.3">
      <c r="A2899" t="s">
        <v>11177</v>
      </c>
      <c r="B2899" t="s">
        <v>11178</v>
      </c>
      <c r="C2899" t="s">
        <v>241</v>
      </c>
      <c r="D2899">
        <v>3.3540000000000001</v>
      </c>
      <c r="E2899" s="4">
        <v>1073</v>
      </c>
      <c r="F2899" t="str">
        <f>HYPERLINK("https://www.google.com/maps/search/?api=1&amp;query=20.41289126,44.7095047", "View Map")</f>
        <v>View Map</v>
      </c>
    </row>
    <row r="2900" spans="1:7" x14ac:dyDescent="0.3">
      <c r="A2900" t="s">
        <v>10548</v>
      </c>
      <c r="B2900" t="s">
        <v>10549</v>
      </c>
      <c r="C2900" t="s">
        <v>646</v>
      </c>
      <c r="D2900">
        <v>3.3540000000000001</v>
      </c>
      <c r="E2900" s="4">
        <v>1073</v>
      </c>
      <c r="F2900" t="str">
        <f>HYPERLINK("https://www.google.com/maps/search/?api=1&amp;query=20.46139988,45.57659715", "View Map")</f>
        <v>View Map</v>
      </c>
    </row>
    <row r="2901" spans="1:7" x14ac:dyDescent="0.3">
      <c r="A2901" t="s">
        <v>632</v>
      </c>
      <c r="B2901" t="s">
        <v>11401</v>
      </c>
      <c r="C2901" t="s">
        <v>8</v>
      </c>
      <c r="D2901">
        <v>3.3540000000000001</v>
      </c>
      <c r="E2901" s="4">
        <v>1073</v>
      </c>
      <c r="F2901" t="str">
        <f>HYPERLINK("https://www.google.com/maps/search/?api=1&amp;query=24.59557975,46.60421244", "View Map")</f>
        <v>View Map</v>
      </c>
    </row>
    <row r="2902" spans="1:7" x14ac:dyDescent="0.3">
      <c r="A2902" t="s">
        <v>6321</v>
      </c>
      <c r="B2902" t="s">
        <v>6322</v>
      </c>
      <c r="C2902" t="s">
        <v>55</v>
      </c>
      <c r="D2902">
        <v>3.3540000000000001</v>
      </c>
      <c r="E2902" s="4">
        <v>1073</v>
      </c>
      <c r="F2902" t="str">
        <f>HYPERLINK("https://www.google.com/maps/search/?api=1&amp;query=24.90377968,46.38637225", "View Map")</f>
        <v>View Map</v>
      </c>
      <c r="G2902" s="2">
        <v>0.5859475847950224</v>
      </c>
    </row>
    <row r="2903" spans="1:7" x14ac:dyDescent="0.3">
      <c r="A2903" t="s">
        <v>5603</v>
      </c>
      <c r="B2903" t="s">
        <v>6227</v>
      </c>
      <c r="C2903" t="s">
        <v>8</v>
      </c>
      <c r="D2903">
        <v>3.3530000000000002</v>
      </c>
      <c r="E2903" s="4">
        <v>1073</v>
      </c>
      <c r="F2903" t="str">
        <f>HYPERLINK("https://www.google.com/maps/search/?api=1&amp;query=24.61098195,46.60350751", "View Map")</f>
        <v>View Map</v>
      </c>
    </row>
    <row r="2904" spans="1:7" x14ac:dyDescent="0.3">
      <c r="A2904" t="s">
        <v>46</v>
      </c>
      <c r="B2904" t="s">
        <v>6853</v>
      </c>
      <c r="C2904" t="s">
        <v>8</v>
      </c>
      <c r="D2904">
        <v>3.3530000000000002</v>
      </c>
      <c r="E2904" s="4">
        <v>1073</v>
      </c>
      <c r="F2904" t="str">
        <f>HYPERLINK("https://www.google.com/maps/search/?api=1&amp;query=24.81571172,46.7831409", "View Map")</f>
        <v>View Map</v>
      </c>
    </row>
    <row r="2905" spans="1:7" x14ac:dyDescent="0.3">
      <c r="A2905" t="s">
        <v>9757</v>
      </c>
      <c r="B2905" t="s">
        <v>9758</v>
      </c>
      <c r="C2905" t="s">
        <v>8</v>
      </c>
      <c r="D2905">
        <v>3.3519999999999999</v>
      </c>
      <c r="E2905" s="4">
        <v>1073</v>
      </c>
      <c r="F2905" t="str">
        <f>HYPERLINK("https://www.google.com/maps/search/?api=1&amp;query=24.83197841,46.64545065", "View Map")</f>
        <v>View Map</v>
      </c>
    </row>
    <row r="2906" spans="1:7" x14ac:dyDescent="0.3">
      <c r="A2906" t="s">
        <v>7060</v>
      </c>
      <c r="B2906" t="s">
        <v>7061</v>
      </c>
      <c r="C2906" t="s">
        <v>393</v>
      </c>
      <c r="D2906">
        <v>3.3519999999999999</v>
      </c>
      <c r="E2906" s="4">
        <v>1073</v>
      </c>
      <c r="F2906" t="str">
        <f>HYPERLINK("https://www.google.com/maps/search/?api=1&amp;query=23.79661057,45.32992681", "View Map")</f>
        <v>View Map</v>
      </c>
      <c r="G2906" s="2">
        <v>0.4358389616876025</v>
      </c>
    </row>
    <row r="2907" spans="1:7" x14ac:dyDescent="0.3">
      <c r="A2907" t="s">
        <v>46</v>
      </c>
      <c r="B2907" t="s">
        <v>10819</v>
      </c>
      <c r="C2907" t="s">
        <v>8</v>
      </c>
      <c r="D2907">
        <v>3.3519999999999999</v>
      </c>
      <c r="E2907" s="4">
        <v>1073</v>
      </c>
      <c r="F2907" t="str">
        <f>HYPERLINK("https://www.google.com/maps/search/?api=1&amp;query=24.64724593,46.49726664", "View Map")</f>
        <v>View Map</v>
      </c>
    </row>
    <row r="2908" spans="1:7" x14ac:dyDescent="0.3">
      <c r="A2908" t="s">
        <v>11402</v>
      </c>
      <c r="B2908" t="s">
        <v>11403</v>
      </c>
      <c r="C2908" t="s">
        <v>8</v>
      </c>
      <c r="D2908">
        <v>3.351</v>
      </c>
      <c r="E2908" s="4">
        <v>1072</v>
      </c>
      <c r="F2908" t="str">
        <f>HYPERLINK("https://www.google.com/maps/search/?api=1&amp;query=24.78235971,46.75069655", "View Map")</f>
        <v>View Map</v>
      </c>
    </row>
    <row r="2909" spans="1:7" x14ac:dyDescent="0.3">
      <c r="A2909" t="s">
        <v>752</v>
      </c>
      <c r="B2909" t="s">
        <v>753</v>
      </c>
      <c r="C2909" t="s">
        <v>30</v>
      </c>
      <c r="D2909">
        <v>3.35</v>
      </c>
      <c r="E2909" s="4">
        <v>1072</v>
      </c>
      <c r="F2909" t="str">
        <f>HYPERLINK("https://www.google.com/maps/search/?api=1&amp;query=24.16857854,47.35939734", "View Map")</f>
        <v>View Map</v>
      </c>
      <c r="G2909" s="2">
        <v>0.1588007335353871</v>
      </c>
    </row>
    <row r="2910" spans="1:7" x14ac:dyDescent="0.3">
      <c r="A2910" t="s">
        <v>46</v>
      </c>
      <c r="B2910" t="s">
        <v>8564</v>
      </c>
      <c r="C2910" t="s">
        <v>8</v>
      </c>
      <c r="D2910">
        <v>3.35</v>
      </c>
      <c r="E2910" s="4">
        <v>1072</v>
      </c>
      <c r="F2910" t="str">
        <f>HYPERLINK("https://www.google.com/maps/search/?api=1&amp;query=24.80154106,46.67644332", "View Map")</f>
        <v>View Map</v>
      </c>
    </row>
    <row r="2911" spans="1:7" x14ac:dyDescent="0.3">
      <c r="A2911" t="s">
        <v>261</v>
      </c>
      <c r="B2911" t="s">
        <v>6074</v>
      </c>
      <c r="C2911" t="s">
        <v>8</v>
      </c>
      <c r="D2911">
        <v>3.35</v>
      </c>
      <c r="E2911" s="4">
        <v>1072</v>
      </c>
      <c r="F2911" t="str">
        <f>HYPERLINK("https://www.google.com/maps/search/?api=1&amp;query=24.76075102,46.76860071", "View Map")</f>
        <v>View Map</v>
      </c>
    </row>
    <row r="2912" spans="1:7" x14ac:dyDescent="0.3">
      <c r="A2912" t="s">
        <v>4722</v>
      </c>
      <c r="B2912" t="s">
        <v>4723</v>
      </c>
      <c r="C2912" t="s">
        <v>8</v>
      </c>
      <c r="D2912">
        <v>3.3490000000000002</v>
      </c>
      <c r="E2912" s="4">
        <v>1072</v>
      </c>
      <c r="F2912" t="str">
        <f>HYPERLINK("https://www.google.com/maps/search/?api=1&amp;query=24.3942408,46.83394213", "View Map")</f>
        <v>View Map</v>
      </c>
      <c r="G2912" s="2">
        <v>0.45904539954091811</v>
      </c>
    </row>
    <row r="2913" spans="1:7" x14ac:dyDescent="0.3">
      <c r="A2913" t="s">
        <v>352</v>
      </c>
      <c r="B2913" t="s">
        <v>2792</v>
      </c>
      <c r="C2913" t="s">
        <v>8</v>
      </c>
      <c r="D2913">
        <v>3.3490000000000002</v>
      </c>
      <c r="E2913" s="4">
        <v>1072</v>
      </c>
      <c r="F2913" t="str">
        <f>HYPERLINK("https://www.google.com/maps/search/?api=1&amp;query=24.7437355,46.77996039", "View Map")</f>
        <v>View Map</v>
      </c>
    </row>
    <row r="2914" spans="1:7" x14ac:dyDescent="0.3">
      <c r="A2914" t="s">
        <v>644</v>
      </c>
      <c r="B2914" t="s">
        <v>3790</v>
      </c>
      <c r="C2914" t="s">
        <v>646</v>
      </c>
      <c r="D2914">
        <v>3.3479999999999999</v>
      </c>
      <c r="E2914" s="4">
        <v>1071</v>
      </c>
      <c r="F2914" t="str">
        <f>HYPERLINK("https://www.google.com/maps/search/?api=1&amp;query=20.44863091,45.59821595", "View Map")</f>
        <v>View Map</v>
      </c>
      <c r="G2914" s="2">
        <v>0.4291739909770832</v>
      </c>
    </row>
    <row r="2915" spans="1:7" x14ac:dyDescent="0.3">
      <c r="A2915" t="s">
        <v>1879</v>
      </c>
      <c r="B2915" t="s">
        <v>1880</v>
      </c>
      <c r="C2915" t="s">
        <v>8</v>
      </c>
      <c r="D2915">
        <v>3.3479999999999999</v>
      </c>
      <c r="E2915" s="4">
        <v>1072</v>
      </c>
      <c r="F2915" t="str">
        <f>HYPERLINK("https://www.google.com/maps/search/?api=1&amp;query=24.65552959,46.58225583", "View Map")</f>
        <v>View Map</v>
      </c>
    </row>
    <row r="2916" spans="1:7" x14ac:dyDescent="0.3">
      <c r="A2916" t="s">
        <v>4142</v>
      </c>
      <c r="B2916" t="s">
        <v>4143</v>
      </c>
      <c r="C2916" t="s">
        <v>55</v>
      </c>
      <c r="D2916">
        <v>3.3460000000000001</v>
      </c>
      <c r="E2916" s="4">
        <v>1071</v>
      </c>
      <c r="F2916" t="str">
        <f>HYPERLINK("https://www.google.com/maps/search/?api=1&amp;query=24.74611713,46.52684451", "View Map")</f>
        <v>View Map</v>
      </c>
    </row>
    <row r="2917" spans="1:7" x14ac:dyDescent="0.3">
      <c r="A2917" t="s">
        <v>46</v>
      </c>
      <c r="B2917" t="s">
        <v>6676</v>
      </c>
      <c r="C2917" t="s">
        <v>8</v>
      </c>
      <c r="D2917">
        <v>3.3460000000000001</v>
      </c>
      <c r="E2917" s="4">
        <v>1071</v>
      </c>
      <c r="F2917" t="str">
        <f>HYPERLINK("https://www.google.com/maps/search/?api=1&amp;query=24.80150202,46.67652617", "View Map")</f>
        <v>View Map</v>
      </c>
      <c r="G2917" s="2">
        <v>0.78014564094452576</v>
      </c>
    </row>
    <row r="2918" spans="1:7" x14ac:dyDescent="0.3">
      <c r="A2918" t="s">
        <v>46</v>
      </c>
      <c r="B2918" t="s">
        <v>6523</v>
      </c>
      <c r="C2918" t="s">
        <v>8</v>
      </c>
      <c r="D2918">
        <v>3.3450000000000002</v>
      </c>
      <c r="E2918" s="4">
        <v>1070</v>
      </c>
      <c r="F2918" t="str">
        <f>HYPERLINK("https://www.google.com/maps/search/?api=1&amp;query=24.85776149,46.63080403", "View Map")</f>
        <v>View Map</v>
      </c>
    </row>
    <row r="2919" spans="1:7" x14ac:dyDescent="0.3">
      <c r="A2919" t="s">
        <v>8643</v>
      </c>
      <c r="B2919" t="s">
        <v>8644</v>
      </c>
      <c r="C2919" t="s">
        <v>8</v>
      </c>
      <c r="D2919">
        <v>3.343</v>
      </c>
      <c r="E2919" s="4">
        <v>1070</v>
      </c>
      <c r="F2919" t="str">
        <f>HYPERLINK("https://www.google.com/maps/search/?api=1&amp;query=24.73880636,46.82314675", "View Map")</f>
        <v>View Map</v>
      </c>
    </row>
    <row r="2920" spans="1:7" x14ac:dyDescent="0.3">
      <c r="A2920" t="s">
        <v>146</v>
      </c>
      <c r="B2920" t="s">
        <v>8606</v>
      </c>
      <c r="C2920" t="s">
        <v>8</v>
      </c>
      <c r="D2920">
        <v>3.3410000000000002</v>
      </c>
      <c r="E2920" s="4">
        <v>1069</v>
      </c>
      <c r="F2920" t="str">
        <f>HYPERLINK("https://www.google.com/maps/search/?api=1&amp;query=24.56178627,46.5237511", "View Map")</f>
        <v>View Map</v>
      </c>
    </row>
    <row r="2921" spans="1:7" x14ac:dyDescent="0.3">
      <c r="A2921" t="s">
        <v>4595</v>
      </c>
      <c r="B2921" t="s">
        <v>4596</v>
      </c>
      <c r="C2921" t="s">
        <v>8</v>
      </c>
      <c r="D2921">
        <v>3.3370000000000002</v>
      </c>
      <c r="E2921" s="4">
        <v>1068</v>
      </c>
      <c r="F2921" t="str">
        <f>HYPERLINK("https://www.google.com/maps/search/?api=1&amp;query=24.71985871,46.82554207", "View Map")</f>
        <v>View Map</v>
      </c>
    </row>
    <row r="2922" spans="1:7" x14ac:dyDescent="0.3">
      <c r="A2922" t="s">
        <v>2013</v>
      </c>
      <c r="B2922" t="s">
        <v>2014</v>
      </c>
      <c r="C2922" t="s">
        <v>8</v>
      </c>
      <c r="D2922">
        <v>3.3370000000000002</v>
      </c>
      <c r="E2922" s="4">
        <v>1068</v>
      </c>
      <c r="F2922" t="str">
        <f>HYPERLINK("https://www.google.com/maps/search/?api=1&amp;query=24.75089116,46.62925675", "View Map")</f>
        <v>View Map</v>
      </c>
      <c r="G2922" s="2">
        <v>0.2906686621045777</v>
      </c>
    </row>
    <row r="2923" spans="1:7" x14ac:dyDescent="0.3">
      <c r="A2923" t="s">
        <v>4849</v>
      </c>
      <c r="B2923" t="s">
        <v>4850</v>
      </c>
      <c r="C2923" t="s">
        <v>883</v>
      </c>
      <c r="D2923">
        <v>3.3359999999999999</v>
      </c>
      <c r="E2923" s="4">
        <v>1067</v>
      </c>
      <c r="F2923" t="str">
        <f>HYPERLINK("https://www.google.com/maps/search/?api=1&amp;query=25.56990853,46.98225485", "View Map")</f>
        <v>View Map</v>
      </c>
      <c r="G2923" s="2">
        <v>0.37577493014544061</v>
      </c>
    </row>
    <row r="2924" spans="1:7" x14ac:dyDescent="0.3">
      <c r="A2924" t="s">
        <v>6406</v>
      </c>
      <c r="B2924" t="s">
        <v>6407</v>
      </c>
      <c r="C2924" t="s">
        <v>8</v>
      </c>
      <c r="D2924">
        <v>3.335</v>
      </c>
      <c r="E2924" s="4">
        <v>1067</v>
      </c>
      <c r="F2924" t="str">
        <f>HYPERLINK("https://www.google.com/maps/search/?api=1&amp;query=24.69901721,46.70317307", "View Map")</f>
        <v>View Map</v>
      </c>
    </row>
    <row r="2925" spans="1:7" x14ac:dyDescent="0.3">
      <c r="A2925" t="s">
        <v>4412</v>
      </c>
      <c r="B2925" t="s">
        <v>9473</v>
      </c>
      <c r="C2925" t="s">
        <v>16</v>
      </c>
      <c r="D2925">
        <v>3.335</v>
      </c>
      <c r="E2925" s="4">
        <v>1067</v>
      </c>
      <c r="F2925" t="str">
        <f>HYPERLINK("https://www.google.com/maps/search/?api=1&amp;query=23.91826117,42.93859601", "View Map")</f>
        <v>View Map</v>
      </c>
      <c r="G2925" s="2">
        <v>0.67398418974137031</v>
      </c>
    </row>
    <row r="2926" spans="1:7" x14ac:dyDescent="0.3">
      <c r="A2926" t="s">
        <v>4222</v>
      </c>
      <c r="B2926" t="s">
        <v>4223</v>
      </c>
      <c r="C2926" t="s">
        <v>8</v>
      </c>
      <c r="D2926">
        <v>3.3340000000000001</v>
      </c>
      <c r="E2926" s="4">
        <v>1067</v>
      </c>
      <c r="F2926" t="str">
        <f>HYPERLINK("https://www.google.com/maps/search/?api=1&amp;query=24.57216899,46.66021177", "View Map")</f>
        <v>View Map</v>
      </c>
    </row>
    <row r="2927" spans="1:7" x14ac:dyDescent="0.3">
      <c r="A2927" t="s">
        <v>6122</v>
      </c>
      <c r="B2927" t="s">
        <v>6123</v>
      </c>
      <c r="C2927" t="s">
        <v>296</v>
      </c>
      <c r="D2927">
        <v>3.3340000000000001</v>
      </c>
      <c r="E2927" s="4">
        <v>1067</v>
      </c>
      <c r="F2927" t="str">
        <f>HYPERLINK("https://www.google.com/maps/search/?api=1&amp;query=24.45073409,46.30022976", "View Map")</f>
        <v>View Map</v>
      </c>
    </row>
    <row r="2928" spans="1:7" x14ac:dyDescent="0.3">
      <c r="A2928" t="s">
        <v>2602</v>
      </c>
      <c r="B2928" t="s">
        <v>2603</v>
      </c>
      <c r="C2928" t="s">
        <v>8</v>
      </c>
      <c r="D2928">
        <v>3.3319999999999999</v>
      </c>
      <c r="E2928" s="4">
        <v>1066</v>
      </c>
      <c r="F2928" t="str">
        <f>HYPERLINK("https://www.google.com/maps/search/?api=1&amp;query=24.58846695,46.56164869", "View Map")</f>
        <v>View Map</v>
      </c>
    </row>
    <row r="2929" spans="1:7" x14ac:dyDescent="0.3">
      <c r="A2929" t="s">
        <v>7370</v>
      </c>
      <c r="B2929" t="s">
        <v>7371</v>
      </c>
      <c r="C2929" t="s">
        <v>8</v>
      </c>
      <c r="D2929">
        <v>3.3319999999999999</v>
      </c>
      <c r="E2929" s="4">
        <v>1066</v>
      </c>
      <c r="F2929" t="str">
        <f>HYPERLINK("https://www.google.com/maps/search/?api=1&amp;query=24.62839024,46.72038493", "View Map")</f>
        <v>View Map</v>
      </c>
    </row>
    <row r="2930" spans="1:7" x14ac:dyDescent="0.3">
      <c r="A2930" t="s">
        <v>385</v>
      </c>
      <c r="B2930" t="s">
        <v>5821</v>
      </c>
      <c r="C2930" t="s">
        <v>255</v>
      </c>
      <c r="D2930">
        <v>3.3290000000000002</v>
      </c>
      <c r="E2930" s="4">
        <v>1065</v>
      </c>
      <c r="F2930" t="str">
        <f>HYPERLINK("https://www.google.com/maps/search/?api=1&amp;query=24.54225559,44.40253415", "View Map")</f>
        <v>View Map</v>
      </c>
      <c r="G2930" s="2">
        <v>0.49953807800637468</v>
      </c>
    </row>
    <row r="2931" spans="1:7" x14ac:dyDescent="0.3">
      <c r="A2931" t="s">
        <v>860</v>
      </c>
      <c r="B2931" t="s">
        <v>3798</v>
      </c>
      <c r="C2931" t="s">
        <v>8</v>
      </c>
      <c r="D2931">
        <v>3.3290000000000002</v>
      </c>
      <c r="E2931" s="4">
        <v>1065</v>
      </c>
      <c r="F2931" t="str">
        <f>HYPERLINK("https://www.google.com/maps/search/?api=1&amp;query=24.78583374,46.8171458", "View Map")</f>
        <v>View Map</v>
      </c>
    </row>
    <row r="2932" spans="1:7" x14ac:dyDescent="0.3">
      <c r="A2932" t="s">
        <v>3895</v>
      </c>
      <c r="B2932" t="s">
        <v>3896</v>
      </c>
      <c r="C2932" t="s">
        <v>291</v>
      </c>
      <c r="D2932">
        <v>3.3290000000000002</v>
      </c>
      <c r="E2932" s="4">
        <v>1065</v>
      </c>
      <c r="F2932" t="str">
        <f>HYPERLINK("https://www.google.com/maps/search/?api=1&amp;query=24.0101955,45.19749412", "View Map")</f>
        <v>View Map</v>
      </c>
    </row>
    <row r="2933" spans="1:7" x14ac:dyDescent="0.3">
      <c r="A2933" t="s">
        <v>11278</v>
      </c>
      <c r="B2933" t="s">
        <v>11279</v>
      </c>
      <c r="C2933" t="s">
        <v>8</v>
      </c>
      <c r="D2933">
        <v>3.327</v>
      </c>
      <c r="E2933" s="4">
        <v>1065</v>
      </c>
      <c r="F2933" t="str">
        <f>HYPERLINK("https://www.google.com/maps/search/?api=1&amp;query=24.57250535,46.65660856", "View Map")</f>
        <v>View Map</v>
      </c>
    </row>
    <row r="2934" spans="1:7" x14ac:dyDescent="0.3">
      <c r="A2934" t="s">
        <v>4918</v>
      </c>
      <c r="B2934" t="s">
        <v>4919</v>
      </c>
      <c r="C2934" t="s">
        <v>8</v>
      </c>
      <c r="D2934">
        <v>3.327</v>
      </c>
      <c r="E2934" s="4">
        <v>1065</v>
      </c>
      <c r="F2934" t="str">
        <f>HYPERLINK("https://www.google.com/maps/search/?api=1&amp;query=24.81256081,46.75290913", "View Map")</f>
        <v>View Map</v>
      </c>
    </row>
    <row r="2935" spans="1:7" x14ac:dyDescent="0.3">
      <c r="A2935" t="s">
        <v>5890</v>
      </c>
      <c r="B2935" t="s">
        <v>5891</v>
      </c>
      <c r="C2935" t="s">
        <v>393</v>
      </c>
      <c r="D2935">
        <v>3.327</v>
      </c>
      <c r="E2935" s="4">
        <v>1065</v>
      </c>
      <c r="F2935" t="str">
        <f>HYPERLINK("https://www.google.com/maps/search/?api=1&amp;query=22.51801633,44.94757355", "View Map")</f>
        <v>View Map</v>
      </c>
      <c r="G2935" s="2">
        <v>0.63528980674153523</v>
      </c>
    </row>
    <row r="2936" spans="1:7" x14ac:dyDescent="0.3">
      <c r="A2936" t="s">
        <v>28</v>
      </c>
      <c r="B2936" t="s">
        <v>4422</v>
      </c>
      <c r="C2936" t="s">
        <v>30</v>
      </c>
      <c r="D2936">
        <v>3.327</v>
      </c>
      <c r="E2936" s="4">
        <v>1065</v>
      </c>
      <c r="F2936" t="str">
        <f>HYPERLINK("https://www.google.com/maps/search/?api=1&amp;query=24.10752162,47.27322458", "View Map")</f>
        <v>View Map</v>
      </c>
    </row>
    <row r="2937" spans="1:7" x14ac:dyDescent="0.3">
      <c r="A2937" t="s">
        <v>11404</v>
      </c>
      <c r="B2937" t="s">
        <v>11405</v>
      </c>
      <c r="C2937" t="s">
        <v>55</v>
      </c>
      <c r="D2937">
        <v>3.3260000000000001</v>
      </c>
      <c r="E2937" s="4">
        <v>1064</v>
      </c>
      <c r="F2937" t="str">
        <f>HYPERLINK("https://www.google.com/maps/search/?api=1&amp;query=24.74346695,46.58836502", "View Map")</f>
        <v>View Map</v>
      </c>
    </row>
    <row r="2938" spans="1:7" x14ac:dyDescent="0.3">
      <c r="A2938" t="s">
        <v>146</v>
      </c>
      <c r="B2938" t="s">
        <v>8909</v>
      </c>
      <c r="C2938" t="s">
        <v>8</v>
      </c>
      <c r="D2938">
        <v>3.3260000000000001</v>
      </c>
      <c r="E2938" s="4">
        <v>1064</v>
      </c>
      <c r="F2938" t="str">
        <f>HYPERLINK("https://www.google.com/maps/search/?api=1&amp;query=24.59,46.7", "View Map")</f>
        <v>View Map</v>
      </c>
    </row>
    <row r="2939" spans="1:7" x14ac:dyDescent="0.3">
      <c r="A2939" t="s">
        <v>1910</v>
      </c>
      <c r="B2939" t="s">
        <v>1911</v>
      </c>
      <c r="C2939" t="s">
        <v>8</v>
      </c>
      <c r="D2939">
        <v>3.3250000000000002</v>
      </c>
      <c r="E2939" s="4">
        <v>1064</v>
      </c>
      <c r="F2939" t="str">
        <f>HYPERLINK("https://www.google.com/maps/search/?api=1&amp;query=24.73437013,46.82422422", "View Map")</f>
        <v>View Map</v>
      </c>
    </row>
    <row r="2940" spans="1:7" x14ac:dyDescent="0.3">
      <c r="A2940" t="s">
        <v>7462</v>
      </c>
      <c r="B2940" t="s">
        <v>7463</v>
      </c>
      <c r="C2940" t="s">
        <v>291</v>
      </c>
      <c r="D2940">
        <v>3.323</v>
      </c>
      <c r="E2940" s="4">
        <v>1063</v>
      </c>
      <c r="F2940" t="str">
        <f>HYPERLINK("https://www.google.com/maps/search/?api=1&amp;query=24.27453971,45.18168505", "View Map")</f>
        <v>View Map</v>
      </c>
      <c r="G2940" s="2">
        <v>0.8342037106038418</v>
      </c>
    </row>
    <row r="2941" spans="1:7" x14ac:dyDescent="0.3">
      <c r="A2941" t="s">
        <v>352</v>
      </c>
      <c r="B2941" t="s">
        <v>1929</v>
      </c>
      <c r="C2941" t="s">
        <v>8</v>
      </c>
      <c r="D2941">
        <v>3.3210000000000002</v>
      </c>
      <c r="E2941" s="4">
        <v>1063</v>
      </c>
      <c r="F2941" t="str">
        <f>HYPERLINK("https://www.google.com/maps/search/?api=1&amp;query=24.75987601,46.77954643", "View Map")</f>
        <v>View Map</v>
      </c>
    </row>
    <row r="2942" spans="1:7" x14ac:dyDescent="0.3">
      <c r="A2942" t="s">
        <v>46</v>
      </c>
      <c r="B2942" t="s">
        <v>7905</v>
      </c>
      <c r="C2942" t="s">
        <v>8</v>
      </c>
      <c r="D2942">
        <v>3.3210000000000002</v>
      </c>
      <c r="E2942" s="4">
        <v>1063</v>
      </c>
      <c r="F2942" t="str">
        <f>HYPERLINK("https://www.google.com/maps/search/?api=1&amp;query=24.8867,46.6106", "View Map")</f>
        <v>View Map</v>
      </c>
    </row>
    <row r="2943" spans="1:7" x14ac:dyDescent="0.3">
      <c r="A2943" t="s">
        <v>6921</v>
      </c>
      <c r="B2943" t="s">
        <v>6922</v>
      </c>
      <c r="C2943" t="s">
        <v>8</v>
      </c>
      <c r="D2943">
        <v>3.319</v>
      </c>
      <c r="E2943" s="4">
        <v>1062</v>
      </c>
      <c r="F2943" t="str">
        <f>HYPERLINK("https://www.google.com/maps/search/?api=1&amp;query=24.57812328,46.76772617", "View Map")</f>
        <v>View Map</v>
      </c>
    </row>
    <row r="2944" spans="1:7" x14ac:dyDescent="0.3">
      <c r="A2944" t="s">
        <v>7663</v>
      </c>
      <c r="B2944" t="s">
        <v>7664</v>
      </c>
      <c r="C2944" t="s">
        <v>8</v>
      </c>
      <c r="D2944">
        <v>3.319</v>
      </c>
      <c r="E2944" s="4">
        <v>1062</v>
      </c>
      <c r="F2944" t="str">
        <f>HYPERLINK("https://www.google.com/maps/search/?api=1&amp;query=24.56011764,46.78177022", "View Map")</f>
        <v>View Map</v>
      </c>
    </row>
    <row r="2945" spans="1:7" x14ac:dyDescent="0.3">
      <c r="A2945" t="s">
        <v>6349</v>
      </c>
      <c r="B2945" t="s">
        <v>6350</v>
      </c>
      <c r="C2945" t="s">
        <v>291</v>
      </c>
      <c r="D2945">
        <v>3.319</v>
      </c>
      <c r="E2945" s="4">
        <v>1062</v>
      </c>
      <c r="F2945" t="str">
        <f>HYPERLINK("https://www.google.com/maps/search/?api=1&amp;query=23.98394233,45.06760502", "View Map")</f>
        <v>View Map</v>
      </c>
      <c r="G2945" s="2">
        <v>0.58278569610101738</v>
      </c>
    </row>
    <row r="2946" spans="1:7" x14ac:dyDescent="0.3">
      <c r="A2946" t="s">
        <v>3059</v>
      </c>
      <c r="B2946" t="s">
        <v>9288</v>
      </c>
      <c r="C2946" t="s">
        <v>291</v>
      </c>
      <c r="D2946">
        <v>3.319</v>
      </c>
      <c r="E2946" s="4">
        <v>1062</v>
      </c>
      <c r="F2946" t="str">
        <f>HYPERLINK("https://www.google.com/maps/search/?api=1&amp;query=24.09731708,45.33097938", "View Map")</f>
        <v>View Map</v>
      </c>
      <c r="G2946" s="2">
        <v>0.9602432223253784</v>
      </c>
    </row>
    <row r="2947" spans="1:7" x14ac:dyDescent="0.3">
      <c r="A2947" t="s">
        <v>1349</v>
      </c>
      <c r="B2947" t="s">
        <v>6195</v>
      </c>
      <c r="C2947" t="s">
        <v>270</v>
      </c>
      <c r="D2947">
        <v>3.3180000000000001</v>
      </c>
      <c r="E2947" s="4">
        <v>1062</v>
      </c>
      <c r="F2947" t="str">
        <f>HYPERLINK("https://www.google.com/maps/search/?api=1&amp;query=23.95941997,47.11521836", "View Map")</f>
        <v>View Map</v>
      </c>
      <c r="G2947" s="2">
        <v>0.75117623924551924</v>
      </c>
    </row>
    <row r="2948" spans="1:7" x14ac:dyDescent="0.3">
      <c r="A2948" t="s">
        <v>411</v>
      </c>
      <c r="B2948" t="s">
        <v>3055</v>
      </c>
      <c r="C2948" t="s">
        <v>77</v>
      </c>
      <c r="D2948">
        <v>3.3180000000000001</v>
      </c>
      <c r="E2948" s="4">
        <v>1062</v>
      </c>
      <c r="F2948" t="str">
        <f>HYPERLINK("https://www.google.com/maps/search/?api=1&amp;query=22.27756152,46.72174519", "View Map")</f>
        <v>View Map</v>
      </c>
      <c r="G2948" s="2">
        <v>0.43931568782291353</v>
      </c>
    </row>
    <row r="2949" spans="1:7" x14ac:dyDescent="0.3">
      <c r="A2949" t="s">
        <v>5903</v>
      </c>
      <c r="B2949" t="s">
        <v>5904</v>
      </c>
      <c r="C2949" t="s">
        <v>214</v>
      </c>
      <c r="D2949">
        <v>3.3170000000000002</v>
      </c>
      <c r="E2949" s="4">
        <v>1061</v>
      </c>
      <c r="F2949" t="str">
        <f>HYPERLINK("https://www.google.com/maps/search/?api=1&amp;query=25.82612768,45.80816858", "View Map")</f>
        <v>View Map</v>
      </c>
      <c r="G2949" s="2">
        <v>0.74188961047368862</v>
      </c>
    </row>
    <row r="2950" spans="1:7" x14ac:dyDescent="0.3">
      <c r="A2950" t="s">
        <v>8796</v>
      </c>
      <c r="B2950" t="s">
        <v>8797</v>
      </c>
      <c r="C2950" t="s">
        <v>241</v>
      </c>
      <c r="D2950">
        <v>3.3170000000000002</v>
      </c>
      <c r="E2950" s="4">
        <v>1061</v>
      </c>
      <c r="F2950" t="str">
        <f>HYPERLINK("https://www.google.com/maps/search/?api=1&amp;query=20.44793977,44.65425261", "View Map")</f>
        <v>View Map</v>
      </c>
    </row>
    <row r="2951" spans="1:7" x14ac:dyDescent="0.3">
      <c r="A2951" t="s">
        <v>3582</v>
      </c>
      <c r="B2951" t="s">
        <v>3583</v>
      </c>
      <c r="C2951" t="s">
        <v>8</v>
      </c>
      <c r="D2951">
        <v>3.31</v>
      </c>
      <c r="E2951" s="4">
        <v>1059</v>
      </c>
      <c r="F2951" t="str">
        <f>HYPERLINK("https://www.google.com/maps/search/?api=1&amp;query=24.72740175,46.82874819", "View Map")</f>
        <v>View Map</v>
      </c>
    </row>
    <row r="2952" spans="1:7" x14ac:dyDescent="0.3">
      <c r="A2952" t="s">
        <v>6485</v>
      </c>
      <c r="B2952" t="s">
        <v>6486</v>
      </c>
      <c r="C2952" t="s">
        <v>466</v>
      </c>
      <c r="D2952">
        <v>3.31</v>
      </c>
      <c r="E2952" s="4">
        <v>1059</v>
      </c>
      <c r="F2952" t="str">
        <f>HYPERLINK("https://www.google.com/maps/search/?api=1&amp;query=24.59405338,46.1395481", "View Map")</f>
        <v>View Map</v>
      </c>
      <c r="G2952" s="2">
        <v>0.46737350190541971</v>
      </c>
    </row>
    <row r="2953" spans="1:7" x14ac:dyDescent="0.3">
      <c r="A2953" t="s">
        <v>3718</v>
      </c>
      <c r="B2953" t="s">
        <v>3719</v>
      </c>
      <c r="C2953" t="s">
        <v>214</v>
      </c>
      <c r="D2953">
        <v>3.31</v>
      </c>
      <c r="E2953" s="4">
        <v>1059</v>
      </c>
      <c r="F2953" t="str">
        <f>HYPERLINK("https://www.google.com/maps/search/?api=1&amp;query=25.92158669,45.38114229", "View Map")</f>
        <v>View Map</v>
      </c>
      <c r="G2953" s="2">
        <v>0.51260374245558538</v>
      </c>
    </row>
    <row r="2954" spans="1:7" x14ac:dyDescent="0.3">
      <c r="A2954" t="s">
        <v>6278</v>
      </c>
      <c r="B2954" t="s">
        <v>6279</v>
      </c>
      <c r="C2954" t="s">
        <v>8</v>
      </c>
      <c r="D2954">
        <v>3.3069999999999999</v>
      </c>
      <c r="E2954" s="4">
        <v>1058</v>
      </c>
      <c r="F2954" t="str">
        <f>HYPERLINK("https://www.google.com/maps/search/?api=1&amp;query=24.7691183,46.81951705", "View Map")</f>
        <v>View Map</v>
      </c>
      <c r="G2954" s="2">
        <v>0.43146795130333743</v>
      </c>
    </row>
    <row r="2955" spans="1:7" x14ac:dyDescent="0.3">
      <c r="A2955" t="s">
        <v>1043</v>
      </c>
      <c r="B2955" t="s">
        <v>8384</v>
      </c>
      <c r="C2955" t="s">
        <v>8</v>
      </c>
      <c r="D2955">
        <v>3.306</v>
      </c>
      <c r="E2955" s="4">
        <v>1058</v>
      </c>
      <c r="F2955" t="str">
        <f>HYPERLINK("https://www.google.com/maps/search/?api=1&amp;query=24.83713771,46.76798431", "View Map")</f>
        <v>View Map</v>
      </c>
    </row>
    <row r="2956" spans="1:7" x14ac:dyDescent="0.3">
      <c r="A2956" t="s">
        <v>11406</v>
      </c>
      <c r="B2956" t="s">
        <v>11407</v>
      </c>
      <c r="C2956" t="s">
        <v>214</v>
      </c>
      <c r="D2956">
        <v>3.3039999999999998</v>
      </c>
      <c r="E2956" s="4">
        <v>1057</v>
      </c>
      <c r="F2956" t="str">
        <f>HYPERLINK("https://www.google.com/maps/search/?api=1&amp;query=26.83176752,45.22282634", "View Map")</f>
        <v>View Map</v>
      </c>
      <c r="G2956" s="2">
        <v>0.62767478315093461</v>
      </c>
    </row>
    <row r="2957" spans="1:7" x14ac:dyDescent="0.3">
      <c r="A2957" t="s">
        <v>4702</v>
      </c>
      <c r="B2957" t="s">
        <v>4703</v>
      </c>
      <c r="C2957" t="s">
        <v>8</v>
      </c>
      <c r="D2957">
        <v>3.3039999999999998</v>
      </c>
      <c r="E2957" s="4">
        <v>1057</v>
      </c>
      <c r="F2957" t="str">
        <f>HYPERLINK("https://www.google.com/maps/search/?api=1&amp;query=24.68619865,46.69726107", "View Map")</f>
        <v>View Map</v>
      </c>
    </row>
    <row r="2958" spans="1:7" x14ac:dyDescent="0.3">
      <c r="A2958" t="s">
        <v>46</v>
      </c>
      <c r="B2958" t="s">
        <v>3393</v>
      </c>
      <c r="C2958" t="s">
        <v>8</v>
      </c>
      <c r="D2958">
        <v>3.3039999999999998</v>
      </c>
      <c r="E2958" s="4">
        <v>1057</v>
      </c>
      <c r="F2958" t="str">
        <f>HYPERLINK("https://www.google.com/maps/search/?api=1&amp;query=24.68199808,46.56583415", "View Map")</f>
        <v>View Map</v>
      </c>
    </row>
    <row r="2959" spans="1:7" x14ac:dyDescent="0.3">
      <c r="A2959" t="s">
        <v>5474</v>
      </c>
      <c r="B2959" t="s">
        <v>5475</v>
      </c>
      <c r="C2959" t="s">
        <v>214</v>
      </c>
      <c r="D2959">
        <v>3.3029999999999999</v>
      </c>
      <c r="E2959" s="4">
        <v>1057</v>
      </c>
      <c r="F2959" t="str">
        <f>HYPERLINK("https://www.google.com/maps/search/?api=1&amp;query=26.49899477,45.34078412", "View Map")</f>
        <v>View Map</v>
      </c>
      <c r="G2959" s="2">
        <v>0.78461597889489776</v>
      </c>
    </row>
    <row r="2960" spans="1:7" x14ac:dyDescent="0.3">
      <c r="A2960" t="s">
        <v>5291</v>
      </c>
      <c r="B2960" t="s">
        <v>5292</v>
      </c>
      <c r="C2960" t="s">
        <v>8</v>
      </c>
      <c r="D2960">
        <v>3.3029999999999999</v>
      </c>
      <c r="E2960" s="4">
        <v>1057</v>
      </c>
      <c r="F2960" t="str">
        <f>HYPERLINK("https://www.google.com/maps/search/?api=1&amp;query=24.74301698,46.70647905", "View Map")</f>
        <v>View Map</v>
      </c>
    </row>
    <row r="2961" spans="1:7" x14ac:dyDescent="0.3">
      <c r="A2961" t="s">
        <v>46</v>
      </c>
      <c r="B2961" t="s">
        <v>7570</v>
      </c>
      <c r="C2961" t="s">
        <v>8</v>
      </c>
      <c r="D2961">
        <v>3.3029999999999999</v>
      </c>
      <c r="E2961" s="4">
        <v>1057</v>
      </c>
      <c r="F2961" t="str">
        <f>HYPERLINK("https://www.google.com/maps/search/?api=1&amp;query=24.60823321,46.47230012", "View Map")</f>
        <v>View Map</v>
      </c>
    </row>
    <row r="2962" spans="1:7" x14ac:dyDescent="0.3">
      <c r="A2962" t="s">
        <v>52</v>
      </c>
      <c r="B2962" t="s">
        <v>3525</v>
      </c>
      <c r="C2962" t="s">
        <v>8</v>
      </c>
      <c r="D2962">
        <v>3.302</v>
      </c>
      <c r="E2962" s="4">
        <v>1057</v>
      </c>
      <c r="F2962" t="str">
        <f>HYPERLINK("https://www.google.com/maps/search/?api=1&amp;query=24.71360067,46.82437061", "View Map")</f>
        <v>View Map</v>
      </c>
      <c r="G2962" s="2">
        <v>0.2986433150652355</v>
      </c>
    </row>
    <row r="2963" spans="1:7" x14ac:dyDescent="0.3">
      <c r="A2963" t="s">
        <v>6959</v>
      </c>
      <c r="B2963" t="s">
        <v>6960</v>
      </c>
      <c r="C2963" t="s">
        <v>255</v>
      </c>
      <c r="D2963">
        <v>3.3010000000000002</v>
      </c>
      <c r="E2963" s="4">
        <v>1056</v>
      </c>
      <c r="F2963" t="str">
        <f>HYPERLINK("https://www.google.com/maps/search/?api=1&amp;query=24.50384924,44.391134", "View Map")</f>
        <v>View Map</v>
      </c>
    </row>
    <row r="2964" spans="1:7" x14ac:dyDescent="0.3">
      <c r="A2964" t="s">
        <v>5427</v>
      </c>
      <c r="B2964" t="s">
        <v>5428</v>
      </c>
      <c r="C2964" t="s">
        <v>30</v>
      </c>
      <c r="D2964">
        <v>3.3010000000000002</v>
      </c>
      <c r="E2964" s="4">
        <v>1056</v>
      </c>
      <c r="F2964" t="str">
        <f>HYPERLINK("https://www.google.com/maps/search/?api=1&amp;query=24.19345316,47.26475986", "View Map")</f>
        <v>View Map</v>
      </c>
      <c r="G2964" s="2">
        <v>0.43977693384517369</v>
      </c>
    </row>
    <row r="2965" spans="1:7" x14ac:dyDescent="0.3">
      <c r="A2965" t="s">
        <v>7979</v>
      </c>
      <c r="B2965" t="s">
        <v>7980</v>
      </c>
      <c r="C2965" t="s">
        <v>8</v>
      </c>
      <c r="D2965">
        <v>3.3</v>
      </c>
      <c r="E2965" s="4">
        <v>1056</v>
      </c>
      <c r="F2965" t="str">
        <f>HYPERLINK("https://www.google.com/maps/search/?api=1&amp;query=24.789043,46.79221283", "View Map")</f>
        <v>View Map</v>
      </c>
    </row>
    <row r="2966" spans="1:7" x14ac:dyDescent="0.3">
      <c r="A2966" t="s">
        <v>11408</v>
      </c>
      <c r="B2966" t="s">
        <v>11409</v>
      </c>
      <c r="C2966" t="s">
        <v>8</v>
      </c>
      <c r="D2966">
        <v>3.2989999999999999</v>
      </c>
      <c r="E2966" s="4">
        <v>1056</v>
      </c>
      <c r="F2966" t="str">
        <f>HYPERLINK("https://www.google.com/maps/search/?api=1&amp;query=24.63110158,46.56686122", "View Map")</f>
        <v>View Map</v>
      </c>
    </row>
    <row r="2967" spans="1:7" x14ac:dyDescent="0.3">
      <c r="A2967" t="s">
        <v>4996</v>
      </c>
      <c r="B2967" t="s">
        <v>4997</v>
      </c>
      <c r="C2967" t="s">
        <v>8</v>
      </c>
      <c r="D2967">
        <v>3.2970000000000002</v>
      </c>
      <c r="E2967" s="4">
        <v>1055</v>
      </c>
      <c r="F2967" t="str">
        <f>HYPERLINK("https://www.google.com/maps/search/?api=1&amp;query=24.7563553,46.70733311", "View Map")</f>
        <v>View Map</v>
      </c>
    </row>
    <row r="2968" spans="1:7" x14ac:dyDescent="0.3">
      <c r="A2968" t="s">
        <v>1639</v>
      </c>
      <c r="B2968" t="s">
        <v>1640</v>
      </c>
      <c r="C2968" t="s">
        <v>8</v>
      </c>
      <c r="D2968">
        <v>3.2970000000000002</v>
      </c>
      <c r="E2968" s="4">
        <v>1055</v>
      </c>
      <c r="F2968" t="str">
        <f>HYPERLINK("https://www.google.com/maps/search/?api=1&amp;query=24.78801414,46.62810331", "View Map")</f>
        <v>View Map</v>
      </c>
    </row>
    <row r="2969" spans="1:7" x14ac:dyDescent="0.3">
      <c r="A2969" t="s">
        <v>22</v>
      </c>
      <c r="B2969" t="s">
        <v>6507</v>
      </c>
      <c r="C2969" t="s">
        <v>241</v>
      </c>
      <c r="D2969">
        <v>3.2959999999999998</v>
      </c>
      <c r="E2969" s="4">
        <v>1055</v>
      </c>
      <c r="F2969" t="str">
        <f>HYPERLINK("https://www.google.com/maps/search/?api=1&amp;query=20.46185495,44.80866706", "View Map")</f>
        <v>View Map</v>
      </c>
      <c r="G2969" s="2">
        <v>0.75164986880725981</v>
      </c>
    </row>
    <row r="2970" spans="1:7" x14ac:dyDescent="0.3">
      <c r="A2970" t="s">
        <v>5007</v>
      </c>
      <c r="B2970" t="s">
        <v>5008</v>
      </c>
      <c r="C2970" t="s">
        <v>8</v>
      </c>
      <c r="D2970">
        <v>3.2930000000000001</v>
      </c>
      <c r="E2970" s="4">
        <v>1054</v>
      </c>
      <c r="F2970" t="str">
        <f>HYPERLINK("https://www.google.com/maps/search/?api=1&amp;query=24.71571067,46.82345801", "View Map")</f>
        <v>View Map</v>
      </c>
    </row>
    <row r="2971" spans="1:7" x14ac:dyDescent="0.3">
      <c r="A2971" t="s">
        <v>6607</v>
      </c>
      <c r="B2971" t="s">
        <v>6608</v>
      </c>
      <c r="C2971" t="s">
        <v>8</v>
      </c>
      <c r="D2971">
        <v>3.2919999999999998</v>
      </c>
      <c r="E2971" s="4">
        <v>1053</v>
      </c>
      <c r="F2971" t="str">
        <f>HYPERLINK("https://www.google.com/maps/search/?api=1&amp;query=24.60888921,46.60308595", "View Map")</f>
        <v>View Map</v>
      </c>
    </row>
    <row r="2972" spans="1:7" x14ac:dyDescent="0.3">
      <c r="A2972" t="s">
        <v>6883</v>
      </c>
      <c r="B2972" t="s">
        <v>6884</v>
      </c>
      <c r="C2972" t="s">
        <v>270</v>
      </c>
      <c r="D2972">
        <v>3.2909999999999999</v>
      </c>
      <c r="E2972" s="4">
        <v>1053</v>
      </c>
      <c r="F2972" t="str">
        <f>HYPERLINK("https://www.google.com/maps/search/?api=1&amp;query=24.01519589,47.13417083", "View Map")</f>
        <v>View Map</v>
      </c>
    </row>
    <row r="2973" spans="1:7" x14ac:dyDescent="0.3">
      <c r="A2973" t="s">
        <v>4818</v>
      </c>
      <c r="B2973" t="s">
        <v>4819</v>
      </c>
      <c r="C2973" t="s">
        <v>1112</v>
      </c>
      <c r="D2973">
        <v>3.2909999999999999</v>
      </c>
      <c r="E2973" s="4">
        <v>1053</v>
      </c>
      <c r="F2973" t="str">
        <f>HYPERLINK("https://www.google.com/maps/search/?api=1&amp;query=26.02922486,44.94000357", "View Map")</f>
        <v>View Map</v>
      </c>
      <c r="G2973" s="2">
        <v>0.37625507544449732</v>
      </c>
    </row>
    <row r="2974" spans="1:7" x14ac:dyDescent="0.3">
      <c r="A2974" t="s">
        <v>4617</v>
      </c>
      <c r="B2974" t="s">
        <v>4618</v>
      </c>
      <c r="C2974" t="s">
        <v>8</v>
      </c>
      <c r="D2974">
        <v>3.2909999999999999</v>
      </c>
      <c r="E2974" s="4">
        <v>1053</v>
      </c>
      <c r="F2974" t="str">
        <f>HYPERLINK("https://www.google.com/maps/search/?api=1&amp;query=24.80817943,46.90203331", "View Map")</f>
        <v>View Map</v>
      </c>
    </row>
    <row r="2975" spans="1:7" x14ac:dyDescent="0.3">
      <c r="A2975" t="s">
        <v>5704</v>
      </c>
      <c r="B2975" t="s">
        <v>5705</v>
      </c>
      <c r="C2975" t="s">
        <v>8</v>
      </c>
      <c r="D2975">
        <v>3.29</v>
      </c>
      <c r="E2975" s="4">
        <v>1053</v>
      </c>
      <c r="F2975" t="str">
        <f>HYPERLINK("https://www.google.com/maps/search/?api=1&amp;query=24.76462182,46.76403247", "View Map")</f>
        <v>View Map</v>
      </c>
    </row>
    <row r="2976" spans="1:7" x14ac:dyDescent="0.3">
      <c r="A2976" t="s">
        <v>627</v>
      </c>
      <c r="B2976" t="s">
        <v>7847</v>
      </c>
      <c r="C2976" t="s">
        <v>8</v>
      </c>
      <c r="D2976">
        <v>3.2890000000000001</v>
      </c>
      <c r="E2976" s="4">
        <v>1052</v>
      </c>
      <c r="F2976" t="str">
        <f>HYPERLINK("https://www.google.com/maps/search/?api=1&amp;query=24.64007348,46.54325791", "View Map")</f>
        <v>View Map</v>
      </c>
      <c r="G2976" s="2">
        <v>0.53363708939385091</v>
      </c>
    </row>
    <row r="2977" spans="1:7" x14ac:dyDescent="0.3">
      <c r="A2977" t="s">
        <v>6152</v>
      </c>
      <c r="B2977" t="s">
        <v>6153</v>
      </c>
      <c r="C2977" t="s">
        <v>21</v>
      </c>
      <c r="D2977">
        <v>3.286</v>
      </c>
      <c r="E2977" s="4">
        <v>1052</v>
      </c>
      <c r="F2977" t="str">
        <f>HYPERLINK("https://www.google.com/maps/search/?api=1&amp;query=26.30910046,44.81340118", "View Map")</f>
        <v>View Map</v>
      </c>
      <c r="G2977" s="2">
        <v>0.67533879796665985</v>
      </c>
    </row>
    <row r="2978" spans="1:7" x14ac:dyDescent="0.3">
      <c r="A2978" t="s">
        <v>8615</v>
      </c>
      <c r="B2978" t="s">
        <v>8616</v>
      </c>
      <c r="C2978" t="s">
        <v>8</v>
      </c>
      <c r="D2978">
        <v>3.2850000000000001</v>
      </c>
      <c r="E2978" s="4">
        <v>1051</v>
      </c>
      <c r="F2978" t="str">
        <f>HYPERLINK("https://www.google.com/maps/search/?api=1&amp;query=24.67619409,46.7902534", "View Map")</f>
        <v>View Map</v>
      </c>
    </row>
    <row r="2979" spans="1:7" x14ac:dyDescent="0.3">
      <c r="A2979" t="s">
        <v>1391</v>
      </c>
      <c r="B2979" t="s">
        <v>5040</v>
      </c>
      <c r="C2979" t="s">
        <v>8</v>
      </c>
      <c r="D2979">
        <v>3.2839999999999998</v>
      </c>
      <c r="E2979" s="4">
        <v>1051</v>
      </c>
      <c r="F2979" t="str">
        <f>HYPERLINK("https://www.google.com/maps/search/?api=1&amp;query=24.72752671,46.84777358", "View Map")</f>
        <v>View Map</v>
      </c>
    </row>
    <row r="2980" spans="1:7" x14ac:dyDescent="0.3">
      <c r="A2980" t="s">
        <v>1904</v>
      </c>
      <c r="B2980" t="s">
        <v>1905</v>
      </c>
      <c r="C2980" t="s">
        <v>8</v>
      </c>
      <c r="D2980">
        <v>3.2839999999999998</v>
      </c>
      <c r="E2980" s="4">
        <v>1051</v>
      </c>
      <c r="F2980" t="str">
        <f>HYPERLINK("https://www.google.com/maps/search/?api=1&amp;query=24.55258167,46.6535492", "View Map")</f>
        <v>View Map</v>
      </c>
    </row>
    <row r="2981" spans="1:7" x14ac:dyDescent="0.3">
      <c r="A2981" t="s">
        <v>5307</v>
      </c>
      <c r="B2981" t="s">
        <v>5308</v>
      </c>
      <c r="C2981" t="s">
        <v>8</v>
      </c>
      <c r="D2981">
        <v>3.2839999999999998</v>
      </c>
      <c r="E2981" s="4">
        <v>1051</v>
      </c>
      <c r="F2981" t="str">
        <f>HYPERLINK("https://www.google.com/maps/search/?api=1&amp;query=24.60960461,46.67700999", "View Map")</f>
        <v>View Map</v>
      </c>
      <c r="G2981" s="2">
        <v>0.88666993031158214</v>
      </c>
    </row>
    <row r="2982" spans="1:7" x14ac:dyDescent="0.3">
      <c r="A2982" t="s">
        <v>3371</v>
      </c>
      <c r="B2982" t="s">
        <v>3372</v>
      </c>
      <c r="C2982" t="s">
        <v>393</v>
      </c>
      <c r="D2982">
        <v>3.2839999999999998</v>
      </c>
      <c r="E2982" s="4">
        <v>1051</v>
      </c>
      <c r="F2982" t="str">
        <f>HYPERLINK("https://www.google.com/maps/search/?api=1&amp;query=23.57552805,45.57842444", "View Map")</f>
        <v>View Map</v>
      </c>
      <c r="G2982" s="2">
        <v>0.34339942353867597</v>
      </c>
    </row>
    <row r="2983" spans="1:7" x14ac:dyDescent="0.3">
      <c r="A2983" t="s">
        <v>362</v>
      </c>
      <c r="B2983" t="s">
        <v>7831</v>
      </c>
      <c r="C2983" t="s">
        <v>364</v>
      </c>
      <c r="D2983">
        <v>3.2829999999999999</v>
      </c>
      <c r="E2983" s="4">
        <v>1050</v>
      </c>
      <c r="F2983" t="str">
        <f>HYPERLINK("https://www.google.com/maps/search/?api=1&amp;query=25.25513442,45.86010035", "View Map")</f>
        <v>View Map</v>
      </c>
      <c r="G2983" s="2">
        <v>0.70087736583743865</v>
      </c>
    </row>
    <row r="2984" spans="1:7" x14ac:dyDescent="0.3">
      <c r="A2984" t="s">
        <v>4642</v>
      </c>
      <c r="B2984" t="s">
        <v>4643</v>
      </c>
      <c r="C2984" t="s">
        <v>241</v>
      </c>
      <c r="D2984">
        <v>3.2829999999999999</v>
      </c>
      <c r="E2984" s="4">
        <v>1051</v>
      </c>
      <c r="F2984" t="str">
        <f>HYPERLINK("https://www.google.com/maps/search/?api=1&amp;query=20.45625797,44.79848915", "View Map")</f>
        <v>View Map</v>
      </c>
      <c r="G2984" s="2">
        <v>0.72750125246826192</v>
      </c>
    </row>
    <row r="2985" spans="1:7" x14ac:dyDescent="0.3">
      <c r="A2985" t="s">
        <v>9294</v>
      </c>
      <c r="B2985" t="s">
        <v>9295</v>
      </c>
      <c r="C2985" t="s">
        <v>442</v>
      </c>
      <c r="D2985">
        <v>3.282</v>
      </c>
      <c r="E2985" s="4">
        <v>1050</v>
      </c>
      <c r="F2985" t="str">
        <f>HYPERLINK("https://www.google.com/maps/search/?api=1&amp;query=23.64032506,46.50089542", "View Map")</f>
        <v>View Map</v>
      </c>
    </row>
    <row r="2986" spans="1:7" x14ac:dyDescent="0.3">
      <c r="A2986" t="s">
        <v>3664</v>
      </c>
      <c r="B2986" t="s">
        <v>3665</v>
      </c>
      <c r="C2986" t="s">
        <v>8</v>
      </c>
      <c r="D2986">
        <v>3.282</v>
      </c>
      <c r="E2986" s="4">
        <v>1050</v>
      </c>
      <c r="F2986" t="str">
        <f>HYPERLINK("https://www.google.com/maps/search/?api=1&amp;query=24.58380007,46.6673584", "View Map")</f>
        <v>View Map</v>
      </c>
      <c r="G2986" s="2">
        <v>0.28077572993042071</v>
      </c>
    </row>
    <row r="2987" spans="1:7" x14ac:dyDescent="0.3">
      <c r="A2987" t="s">
        <v>6559</v>
      </c>
      <c r="B2987" t="s">
        <v>6560</v>
      </c>
      <c r="C2987" t="s">
        <v>214</v>
      </c>
      <c r="D2987">
        <v>3.2810000000000001</v>
      </c>
      <c r="E2987" s="4">
        <v>1050</v>
      </c>
      <c r="F2987" t="str">
        <f>HYPERLINK("https://www.google.com/maps/search/?api=1&amp;query=26.63710087,45.27251216", "View Map")</f>
        <v>View Map</v>
      </c>
      <c r="G2987" s="2">
        <v>0.62945219813134701</v>
      </c>
    </row>
    <row r="2988" spans="1:7" x14ac:dyDescent="0.3">
      <c r="A2988" t="s">
        <v>1397</v>
      </c>
      <c r="B2988" t="s">
        <v>3627</v>
      </c>
      <c r="C2988" t="s">
        <v>8</v>
      </c>
      <c r="D2988">
        <v>3.278</v>
      </c>
      <c r="E2988" s="4">
        <v>1049</v>
      </c>
      <c r="F2988" t="str">
        <f>HYPERLINK("https://www.google.com/maps/search/?api=1&amp;query=24.77162154,46.66114227", "View Map")</f>
        <v>View Map</v>
      </c>
    </row>
    <row r="2989" spans="1:7" x14ac:dyDescent="0.3">
      <c r="A2989" t="s">
        <v>4012</v>
      </c>
      <c r="B2989" t="s">
        <v>4013</v>
      </c>
      <c r="C2989" t="s">
        <v>8</v>
      </c>
      <c r="D2989">
        <v>3.2770000000000001</v>
      </c>
      <c r="E2989" s="4">
        <v>1049</v>
      </c>
      <c r="F2989" t="str">
        <f>HYPERLINK("https://www.google.com/maps/search/?api=1&amp;query=24.60466498,46.63437106", "View Map")</f>
        <v>View Map</v>
      </c>
    </row>
    <row r="2990" spans="1:7" x14ac:dyDescent="0.3">
      <c r="A2990" t="s">
        <v>6360</v>
      </c>
      <c r="B2990" t="s">
        <v>6361</v>
      </c>
      <c r="C2990" t="s">
        <v>8</v>
      </c>
      <c r="D2990">
        <v>3.274</v>
      </c>
      <c r="E2990" s="4">
        <v>1048</v>
      </c>
      <c r="F2990" t="str">
        <f>HYPERLINK("https://www.google.com/maps/search/?api=1&amp;query=24.77351916,46.80573385", "View Map")</f>
        <v>View Map</v>
      </c>
    </row>
    <row r="2991" spans="1:7" x14ac:dyDescent="0.3">
      <c r="A2991" t="s">
        <v>46</v>
      </c>
      <c r="B2991" t="s">
        <v>5492</v>
      </c>
      <c r="C2991" t="s">
        <v>55</v>
      </c>
      <c r="D2991">
        <v>3.2730000000000001</v>
      </c>
      <c r="E2991" s="4">
        <v>1047</v>
      </c>
      <c r="F2991" t="str">
        <f>HYPERLINK("https://www.google.com/maps/search/?api=1&amp;query=24.77772577,46.56393009", "View Map")</f>
        <v>View Map</v>
      </c>
      <c r="G2991" s="2">
        <v>0.81710572853201657</v>
      </c>
    </row>
    <row r="2992" spans="1:7" x14ac:dyDescent="0.3">
      <c r="A2992" t="s">
        <v>6647</v>
      </c>
      <c r="B2992" t="s">
        <v>6648</v>
      </c>
      <c r="C2992" t="s">
        <v>8</v>
      </c>
      <c r="D2992">
        <v>3.2730000000000001</v>
      </c>
      <c r="E2992" s="4">
        <v>1047</v>
      </c>
      <c r="F2992" t="str">
        <f>HYPERLINK("https://www.google.com/maps/search/?api=1&amp;query=24.73456321,46.81040083", "View Map")</f>
        <v>View Map</v>
      </c>
    </row>
    <row r="2993" spans="1:7" x14ac:dyDescent="0.3">
      <c r="A2993" t="s">
        <v>6319</v>
      </c>
      <c r="B2993" t="s">
        <v>6320</v>
      </c>
      <c r="C2993" t="s">
        <v>8</v>
      </c>
      <c r="D2993">
        <v>3.2719999999999998</v>
      </c>
      <c r="E2993" s="4">
        <v>1047</v>
      </c>
      <c r="F2993" t="str">
        <f>HYPERLINK("https://www.google.com/maps/search/?api=1&amp;query=24.69621488,46.81417334", "View Map")</f>
        <v>View Map</v>
      </c>
    </row>
    <row r="2994" spans="1:7" x14ac:dyDescent="0.3">
      <c r="A2994" t="s">
        <v>881</v>
      </c>
      <c r="B2994" t="s">
        <v>3976</v>
      </c>
      <c r="C2994" t="s">
        <v>883</v>
      </c>
      <c r="D2994">
        <v>3.2719999999999998</v>
      </c>
      <c r="E2994" s="4">
        <v>1047</v>
      </c>
      <c r="F2994" t="str">
        <f>HYPERLINK("https://www.google.com/maps/search/?api=1&amp;query=25.54272302,47.18462426", "View Map")</f>
        <v>View Map</v>
      </c>
    </row>
    <row r="2995" spans="1:7" x14ac:dyDescent="0.3">
      <c r="A2995" t="s">
        <v>3547</v>
      </c>
      <c r="B2995" t="s">
        <v>3548</v>
      </c>
      <c r="C2995" t="s">
        <v>30</v>
      </c>
      <c r="D2995">
        <v>3.2719999999999998</v>
      </c>
      <c r="E2995" s="4">
        <v>1047</v>
      </c>
      <c r="F2995" t="str">
        <f>HYPERLINK("https://www.google.com/maps/search/?api=1&amp;query=24.20460489,47.26899991", "View Map")</f>
        <v>View Map</v>
      </c>
      <c r="G2995" s="2">
        <v>0.33092829399708612</v>
      </c>
    </row>
    <row r="2996" spans="1:7" x14ac:dyDescent="0.3">
      <c r="A2996" t="s">
        <v>8188</v>
      </c>
      <c r="B2996" t="s">
        <v>8189</v>
      </c>
      <c r="C2996" t="s">
        <v>214</v>
      </c>
      <c r="D2996">
        <v>3.27</v>
      </c>
      <c r="E2996" s="4">
        <v>1046</v>
      </c>
      <c r="F2996" t="str">
        <f>HYPERLINK("https://www.google.com/maps/search/?api=1&amp;query=25.92113084,45.36272064", "View Map")</f>
        <v>View Map</v>
      </c>
    </row>
    <row r="2997" spans="1:7" x14ac:dyDescent="0.3">
      <c r="A2997" t="s">
        <v>362</v>
      </c>
      <c r="B2997" t="s">
        <v>5462</v>
      </c>
      <c r="C2997" t="s">
        <v>364</v>
      </c>
      <c r="D2997">
        <v>3.2690000000000001</v>
      </c>
      <c r="E2997" s="4">
        <v>1046</v>
      </c>
      <c r="F2997" t="str">
        <f>HYPERLINK("https://www.google.com/maps/search/?api=1&amp;query=25.23249072,45.87836293", "View Map")</f>
        <v>View Map</v>
      </c>
      <c r="G2997" s="2">
        <v>0.51352379088132116</v>
      </c>
    </row>
    <row r="2998" spans="1:7" x14ac:dyDescent="0.3">
      <c r="A2998" t="s">
        <v>5671</v>
      </c>
      <c r="B2998" t="s">
        <v>5672</v>
      </c>
      <c r="C2998" t="s">
        <v>8</v>
      </c>
      <c r="D2998">
        <v>3.2669999999999999</v>
      </c>
      <c r="E2998" s="4">
        <v>1045</v>
      </c>
      <c r="F2998" t="str">
        <f>HYPERLINK("https://www.google.com/maps/search/?api=1&amp;query=24.6148259,46.74424522", "View Map")</f>
        <v>View Map</v>
      </c>
    </row>
    <row r="2999" spans="1:7" x14ac:dyDescent="0.3">
      <c r="A2999" t="s">
        <v>3303</v>
      </c>
      <c r="B2999" t="s">
        <v>3304</v>
      </c>
      <c r="C2999" t="s">
        <v>8</v>
      </c>
      <c r="D2999">
        <v>3.266</v>
      </c>
      <c r="E2999" s="4">
        <v>1045</v>
      </c>
      <c r="F2999" t="str">
        <f>HYPERLINK("https://www.google.com/maps/search/?api=1&amp;query=24.70491,46.82291", "View Map")</f>
        <v>View Map</v>
      </c>
      <c r="G2999" s="2">
        <v>0.4772038915642654</v>
      </c>
    </row>
    <row r="3000" spans="1:7" x14ac:dyDescent="0.3">
      <c r="A3000" t="s">
        <v>9079</v>
      </c>
      <c r="B3000" t="s">
        <v>9080</v>
      </c>
      <c r="C3000" t="s">
        <v>8</v>
      </c>
      <c r="D3000">
        <v>3.266</v>
      </c>
      <c r="E3000" s="4">
        <v>1045</v>
      </c>
      <c r="F3000" t="str">
        <f>HYPERLINK("https://www.google.com/maps/search/?api=1&amp;query=24.59149671,46.72615141", "View Map")</f>
        <v>View Map</v>
      </c>
    </row>
    <row r="3001" spans="1:7" x14ac:dyDescent="0.3">
      <c r="A3001" t="s">
        <v>433</v>
      </c>
      <c r="B3001" t="s">
        <v>6927</v>
      </c>
      <c r="C3001" t="s">
        <v>137</v>
      </c>
      <c r="D3001">
        <v>3.2639999999999998</v>
      </c>
      <c r="E3001" s="4">
        <v>1044</v>
      </c>
      <c r="F3001" t="str">
        <f>HYPERLINK("https://www.google.com/maps/search/?api=1&amp;query=23.49091911,46.88930802", "View Map")</f>
        <v>View Map</v>
      </c>
      <c r="G3001" s="2">
        <v>0.65922690375641357</v>
      </c>
    </row>
    <row r="3002" spans="1:7" x14ac:dyDescent="0.3">
      <c r="A3002" t="s">
        <v>4014</v>
      </c>
      <c r="B3002" t="s">
        <v>8582</v>
      </c>
      <c r="C3002" t="s">
        <v>8</v>
      </c>
      <c r="D3002">
        <v>3.2629999999999999</v>
      </c>
      <c r="E3002" s="4">
        <v>1044</v>
      </c>
      <c r="F3002" t="str">
        <f>HYPERLINK("https://www.google.com/maps/search/?api=1&amp;query=24.60298522,46.61640474", "View Map")</f>
        <v>View Map</v>
      </c>
    </row>
    <row r="3003" spans="1:7" x14ac:dyDescent="0.3">
      <c r="A3003" t="s">
        <v>6758</v>
      </c>
      <c r="B3003" t="s">
        <v>6759</v>
      </c>
      <c r="C3003" t="s">
        <v>286</v>
      </c>
      <c r="D3003">
        <v>3.2629999999999999</v>
      </c>
      <c r="E3003" s="4">
        <v>1044</v>
      </c>
      <c r="F3003" t="str">
        <f>HYPERLINK("https://www.google.com/maps/search/?api=1&amp;query=25.22875269,45.25288397", "View Map")</f>
        <v>View Map</v>
      </c>
      <c r="G3003" s="2">
        <v>0.54231387416532573</v>
      </c>
    </row>
    <row r="3004" spans="1:7" x14ac:dyDescent="0.3">
      <c r="A3004" t="s">
        <v>46</v>
      </c>
      <c r="B3004" t="s">
        <v>7169</v>
      </c>
      <c r="C3004" t="s">
        <v>8</v>
      </c>
      <c r="D3004">
        <v>3.262</v>
      </c>
      <c r="E3004" s="4">
        <v>1044</v>
      </c>
      <c r="F3004" t="str">
        <f>HYPERLINK("https://www.google.com/maps/search/?api=1&amp;query=24.8276279,46.80258216", "View Map")</f>
        <v>View Map</v>
      </c>
      <c r="G3004" s="2">
        <v>0.9049541465108516</v>
      </c>
    </row>
    <row r="3005" spans="1:7" x14ac:dyDescent="0.3">
      <c r="A3005" t="s">
        <v>6008</v>
      </c>
      <c r="B3005" t="s">
        <v>6009</v>
      </c>
      <c r="C3005" t="s">
        <v>137</v>
      </c>
      <c r="D3005">
        <v>3.2610000000000001</v>
      </c>
      <c r="E3005" s="4">
        <v>1044</v>
      </c>
      <c r="F3005" t="str">
        <f>HYPERLINK("https://www.google.com/maps/search/?api=1&amp;query=23.4914,46.8797", "View Map")</f>
        <v>View Map</v>
      </c>
    </row>
    <row r="3006" spans="1:7" x14ac:dyDescent="0.3">
      <c r="A3006" t="s">
        <v>3786</v>
      </c>
      <c r="B3006" t="s">
        <v>10501</v>
      </c>
      <c r="C3006" t="s">
        <v>8</v>
      </c>
      <c r="D3006">
        <v>3.2610000000000001</v>
      </c>
      <c r="E3006" s="4">
        <v>1044</v>
      </c>
      <c r="F3006" t="str">
        <f>HYPERLINK("https://www.google.com/maps/search/?api=1&amp;query=24.69292043,46.76261806", "View Map")</f>
        <v>View Map</v>
      </c>
      <c r="G3006" s="2">
        <v>0.58171331355309863</v>
      </c>
    </row>
    <row r="3007" spans="1:7" x14ac:dyDescent="0.3">
      <c r="A3007" t="s">
        <v>6548</v>
      </c>
      <c r="B3007" t="s">
        <v>6549</v>
      </c>
      <c r="C3007" t="s">
        <v>8</v>
      </c>
      <c r="D3007">
        <v>3.26</v>
      </c>
      <c r="E3007" s="4">
        <v>1043</v>
      </c>
      <c r="F3007" t="str">
        <f>HYPERLINK("https://www.google.com/maps/search/?api=1&amp;query=24.71158805,46.81123478", "View Map")</f>
        <v>View Map</v>
      </c>
    </row>
    <row r="3008" spans="1:7" x14ac:dyDescent="0.3">
      <c r="A3008" t="s">
        <v>6466</v>
      </c>
      <c r="B3008" t="s">
        <v>6467</v>
      </c>
      <c r="C3008" t="s">
        <v>270</v>
      </c>
      <c r="D3008">
        <v>3.26</v>
      </c>
      <c r="E3008" s="4">
        <v>1043</v>
      </c>
      <c r="F3008" t="str">
        <f>HYPERLINK("https://www.google.com/maps/search/?api=1&amp;query=23.96230265,47.11384862", "View Map")</f>
        <v>View Map</v>
      </c>
      <c r="G3008" s="2">
        <v>0.6382052742606571</v>
      </c>
    </row>
    <row r="3009" spans="1:7" x14ac:dyDescent="0.3">
      <c r="A3009" t="s">
        <v>7547</v>
      </c>
      <c r="B3009" t="s">
        <v>7548</v>
      </c>
      <c r="C3009" t="s">
        <v>291</v>
      </c>
      <c r="D3009">
        <v>3.26</v>
      </c>
      <c r="E3009" s="4">
        <v>1043</v>
      </c>
      <c r="F3009" t="str">
        <f>HYPERLINK("https://www.google.com/maps/search/?api=1&amp;query=23.764479,45.08108117", "View Map")</f>
        <v>View Map</v>
      </c>
      <c r="G3009" s="2">
        <v>0.91019419946143509</v>
      </c>
    </row>
    <row r="3010" spans="1:7" x14ac:dyDescent="0.3">
      <c r="A3010" t="s">
        <v>150</v>
      </c>
      <c r="B3010" t="s">
        <v>8943</v>
      </c>
      <c r="C3010" t="s">
        <v>8</v>
      </c>
      <c r="D3010">
        <v>3.2589999999999999</v>
      </c>
      <c r="E3010" s="4">
        <v>1043</v>
      </c>
      <c r="F3010" t="str">
        <f>HYPERLINK("https://www.google.com/maps/search/?api=1&amp;query=24.80864369,46.84182029", "View Map")</f>
        <v>View Map</v>
      </c>
    </row>
    <row r="3011" spans="1:7" x14ac:dyDescent="0.3">
      <c r="A3011" t="s">
        <v>5689</v>
      </c>
      <c r="B3011" t="s">
        <v>5690</v>
      </c>
      <c r="C3011" t="s">
        <v>21</v>
      </c>
      <c r="D3011">
        <v>3.2589999999999999</v>
      </c>
      <c r="E3011" s="4">
        <v>1043</v>
      </c>
      <c r="F3011" t="str">
        <f>HYPERLINK("https://www.google.com/maps/search/?api=1&amp;query=26.28957921,44.81276338", "View Map")</f>
        <v>View Map</v>
      </c>
      <c r="G3011" s="2">
        <v>0.59961153218387586</v>
      </c>
    </row>
    <row r="3012" spans="1:7" x14ac:dyDescent="0.3">
      <c r="A3012" t="s">
        <v>918</v>
      </c>
      <c r="B3012" t="s">
        <v>7062</v>
      </c>
      <c r="C3012" t="s">
        <v>8</v>
      </c>
      <c r="D3012">
        <v>3.2589999999999999</v>
      </c>
      <c r="E3012" s="4">
        <v>1043</v>
      </c>
      <c r="F3012" t="str">
        <f>HYPERLINK("https://www.google.com/maps/search/?api=1&amp;query=24.70231294,46.75759735", "View Map")</f>
        <v>View Map</v>
      </c>
    </row>
    <row r="3013" spans="1:7" x14ac:dyDescent="0.3">
      <c r="A3013" t="s">
        <v>5577</v>
      </c>
      <c r="B3013" t="s">
        <v>5578</v>
      </c>
      <c r="C3013" t="s">
        <v>286</v>
      </c>
      <c r="D3013">
        <v>3.258</v>
      </c>
      <c r="E3013" s="4">
        <v>1042</v>
      </c>
      <c r="F3013" t="str">
        <f>HYPERLINK("https://www.google.com/maps/search/?api=1&amp;query=25.34861061,45.16985348", "View Map")</f>
        <v>View Map</v>
      </c>
      <c r="G3013" s="2">
        <v>0.57899959458736716</v>
      </c>
    </row>
    <row r="3014" spans="1:7" x14ac:dyDescent="0.3">
      <c r="A3014" t="s">
        <v>5962</v>
      </c>
      <c r="B3014" t="s">
        <v>5963</v>
      </c>
      <c r="C3014" t="s">
        <v>738</v>
      </c>
      <c r="D3014">
        <v>3.258</v>
      </c>
      <c r="E3014" s="4">
        <v>1043</v>
      </c>
      <c r="F3014" t="str">
        <f>HYPERLINK("https://www.google.com/maps/search/?api=1&amp;query=25.11986064,46.09102111", "View Map")</f>
        <v>View Map</v>
      </c>
      <c r="G3014" s="2">
        <v>0.61774064988741817</v>
      </c>
    </row>
    <row r="3015" spans="1:7" x14ac:dyDescent="0.3">
      <c r="A3015" t="s">
        <v>1922</v>
      </c>
      <c r="B3015" t="s">
        <v>1923</v>
      </c>
      <c r="C3015" t="s">
        <v>255</v>
      </c>
      <c r="D3015">
        <v>3.2559999999999998</v>
      </c>
      <c r="E3015" s="4">
        <v>1042</v>
      </c>
      <c r="F3015" t="str">
        <f>HYPERLINK("https://www.google.com/maps/search/?api=1&amp;query=24.79363121,44.81721559", "View Map")</f>
        <v>View Map</v>
      </c>
      <c r="G3015" s="2">
        <v>0.20404366680701841</v>
      </c>
    </row>
    <row r="3016" spans="1:7" x14ac:dyDescent="0.3">
      <c r="A3016" t="s">
        <v>5382</v>
      </c>
      <c r="B3016" t="s">
        <v>5383</v>
      </c>
      <c r="C3016" t="s">
        <v>8</v>
      </c>
      <c r="D3016">
        <v>3.2559999999999998</v>
      </c>
      <c r="E3016" s="4">
        <v>1042</v>
      </c>
      <c r="F3016" t="str">
        <f>HYPERLINK("https://www.google.com/maps/search/?api=1&amp;query=24.6546478,46.74515324", "View Map")</f>
        <v>View Map</v>
      </c>
      <c r="G3016" s="2">
        <v>0.67871818077135504</v>
      </c>
    </row>
    <row r="3017" spans="1:7" x14ac:dyDescent="0.3">
      <c r="A3017" t="s">
        <v>3959</v>
      </c>
      <c r="B3017" t="s">
        <v>3960</v>
      </c>
      <c r="C3017" t="s">
        <v>8</v>
      </c>
      <c r="D3017">
        <v>3.2559999999999998</v>
      </c>
      <c r="E3017" s="4">
        <v>1042</v>
      </c>
      <c r="F3017" t="str">
        <f>HYPERLINK("https://www.google.com/maps/search/?api=1&amp;query=24.5842836,46.67268871", "View Map")</f>
        <v>View Map</v>
      </c>
    </row>
    <row r="3018" spans="1:7" x14ac:dyDescent="0.3">
      <c r="A3018" t="s">
        <v>4883</v>
      </c>
      <c r="B3018" t="s">
        <v>4884</v>
      </c>
      <c r="C3018" t="s">
        <v>286</v>
      </c>
      <c r="D3018">
        <v>3.2549999999999999</v>
      </c>
      <c r="E3018" s="4">
        <v>1042</v>
      </c>
      <c r="F3018" t="str">
        <f>HYPERLINK("https://www.google.com/maps/search/?api=1&amp;query=25.29960131,45.52492078", "View Map")</f>
        <v>View Map</v>
      </c>
      <c r="G3018" s="2">
        <v>0.72856040684612988</v>
      </c>
    </row>
    <row r="3019" spans="1:7" x14ac:dyDescent="0.3">
      <c r="A3019" t="s">
        <v>46</v>
      </c>
      <c r="B3019" t="s">
        <v>7478</v>
      </c>
      <c r="C3019" t="s">
        <v>8</v>
      </c>
      <c r="D3019">
        <v>3.2549999999999999</v>
      </c>
      <c r="E3019" s="4">
        <v>1041</v>
      </c>
      <c r="F3019" t="str">
        <f>HYPERLINK("https://www.google.com/maps/search/?api=1&amp;query=24.82558304,46.65672149", "View Map")</f>
        <v>View Map</v>
      </c>
    </row>
    <row r="3020" spans="1:7" x14ac:dyDescent="0.3">
      <c r="A3020" t="s">
        <v>2485</v>
      </c>
      <c r="B3020" t="s">
        <v>5835</v>
      </c>
      <c r="C3020" t="s">
        <v>255</v>
      </c>
      <c r="D3020">
        <v>3.2549999999999999</v>
      </c>
      <c r="E3020" s="4">
        <v>1042</v>
      </c>
      <c r="F3020" t="str">
        <f>HYPERLINK("https://www.google.com/maps/search/?api=1&amp;query=24.69517765,43.70745903", "View Map")</f>
        <v>View Map</v>
      </c>
      <c r="G3020" s="2">
        <v>0.67245464994823878</v>
      </c>
    </row>
    <row r="3021" spans="1:7" x14ac:dyDescent="0.3">
      <c r="A3021" t="s">
        <v>2233</v>
      </c>
      <c r="B3021" t="s">
        <v>2234</v>
      </c>
      <c r="C3021" t="s">
        <v>8</v>
      </c>
      <c r="D3021">
        <v>3.254</v>
      </c>
      <c r="E3021" s="4">
        <v>1041</v>
      </c>
      <c r="F3021" t="str">
        <f>HYPERLINK("https://www.google.com/maps/search/?api=1&amp;query=24.62077793,46.72050534", "View Map")</f>
        <v>View Map</v>
      </c>
      <c r="G3021" s="2">
        <v>0.21282201670072451</v>
      </c>
    </row>
    <row r="3022" spans="1:7" x14ac:dyDescent="0.3">
      <c r="A3022" t="s">
        <v>6342</v>
      </c>
      <c r="B3022" t="s">
        <v>6343</v>
      </c>
      <c r="C3022" t="s">
        <v>296</v>
      </c>
      <c r="D3022">
        <v>3.2530000000000001</v>
      </c>
      <c r="E3022" s="4">
        <v>1041</v>
      </c>
      <c r="F3022" t="str">
        <f>HYPERLINK("https://www.google.com/maps/search/?api=1&amp;query=24.48155957,46.2812214", "View Map")</f>
        <v>View Map</v>
      </c>
    </row>
    <row r="3023" spans="1:7" x14ac:dyDescent="0.3">
      <c r="A3023" t="s">
        <v>46</v>
      </c>
      <c r="B3023" t="s">
        <v>8791</v>
      </c>
      <c r="C3023" t="s">
        <v>8</v>
      </c>
      <c r="D3023">
        <v>3.2519999999999998</v>
      </c>
      <c r="E3023" s="4">
        <v>1041</v>
      </c>
      <c r="F3023" t="str">
        <f>HYPERLINK("https://www.google.com/maps/search/?api=1&amp;query=24.5739061,46.79219834", "View Map")</f>
        <v>View Map</v>
      </c>
    </row>
    <row r="3024" spans="1:7" x14ac:dyDescent="0.3">
      <c r="A3024" t="s">
        <v>8552</v>
      </c>
      <c r="B3024" t="s">
        <v>8553</v>
      </c>
      <c r="C3024" t="s">
        <v>393</v>
      </c>
      <c r="D3024">
        <v>3.25</v>
      </c>
      <c r="E3024" s="4">
        <v>1040</v>
      </c>
      <c r="F3024" t="str">
        <f>HYPERLINK("https://www.google.com/maps/search/?api=1&amp;query=23.56533475,45.45149249", "View Map")</f>
        <v>View Map</v>
      </c>
      <c r="G3024" s="2">
        <v>0.7365859182328911</v>
      </c>
    </row>
    <row r="3025" spans="1:7" x14ac:dyDescent="0.3">
      <c r="A3025" t="s">
        <v>8055</v>
      </c>
      <c r="B3025" t="s">
        <v>8056</v>
      </c>
      <c r="C3025" t="s">
        <v>21</v>
      </c>
      <c r="D3025">
        <v>3.2490000000000001</v>
      </c>
      <c r="E3025" s="4">
        <v>1040</v>
      </c>
      <c r="F3025" t="str">
        <f>HYPERLINK("https://www.google.com/maps/search/?api=1&amp;query=26.18729674,44.82209687", "View Map")</f>
        <v>View Map</v>
      </c>
      <c r="G3025" s="2">
        <v>0.42574115266431611</v>
      </c>
    </row>
    <row r="3026" spans="1:7" x14ac:dyDescent="0.3">
      <c r="A3026" t="s">
        <v>5852</v>
      </c>
      <c r="B3026" t="s">
        <v>5853</v>
      </c>
      <c r="C3026" t="s">
        <v>21</v>
      </c>
      <c r="D3026">
        <v>3.2490000000000001</v>
      </c>
      <c r="E3026" s="4">
        <v>1040</v>
      </c>
      <c r="F3026" t="str">
        <f>HYPERLINK("https://www.google.com/maps/search/?api=1&amp;query=26.28497677,44.83485852", "View Map")</f>
        <v>View Map</v>
      </c>
      <c r="G3026" s="2">
        <v>0.61945935452484557</v>
      </c>
    </row>
    <row r="3027" spans="1:7" x14ac:dyDescent="0.3">
      <c r="A3027" t="s">
        <v>1635</v>
      </c>
      <c r="B3027" t="s">
        <v>1636</v>
      </c>
      <c r="C3027" t="s">
        <v>30</v>
      </c>
      <c r="D3027">
        <v>3.2490000000000001</v>
      </c>
      <c r="E3027" s="4">
        <v>1040</v>
      </c>
      <c r="F3027" t="str">
        <f>HYPERLINK("https://www.google.com/maps/search/?api=1&amp;query=24.14651854,47.36520797", "View Map")</f>
        <v>View Map</v>
      </c>
      <c r="G3027" s="2">
        <v>0.31927225928499592</v>
      </c>
    </row>
    <row r="3028" spans="1:7" x14ac:dyDescent="0.3">
      <c r="A3028" t="s">
        <v>4950</v>
      </c>
      <c r="B3028" t="s">
        <v>4951</v>
      </c>
      <c r="C3028" t="s">
        <v>214</v>
      </c>
      <c r="D3028">
        <v>3.2480000000000002</v>
      </c>
      <c r="E3028" s="4">
        <v>1039</v>
      </c>
      <c r="F3028" t="str">
        <f>HYPERLINK("https://www.google.com/maps/search/?api=1&amp;query=25.7108,45.8628", "View Map")</f>
        <v>View Map</v>
      </c>
      <c r="G3028" s="2">
        <v>0.68163688998201588</v>
      </c>
    </row>
    <row r="3029" spans="1:7" x14ac:dyDescent="0.3">
      <c r="A3029" t="s">
        <v>765</v>
      </c>
      <c r="B3029" t="s">
        <v>6160</v>
      </c>
      <c r="C3029" t="s">
        <v>8</v>
      </c>
      <c r="D3029">
        <v>3.2480000000000002</v>
      </c>
      <c r="E3029" s="4">
        <v>1039</v>
      </c>
      <c r="F3029" t="str">
        <f>HYPERLINK("https://www.google.com/maps/search/?api=1&amp;query=24.68785637,46.77270771", "View Map")</f>
        <v>View Map</v>
      </c>
    </row>
    <row r="3030" spans="1:7" x14ac:dyDescent="0.3">
      <c r="A3030" t="s">
        <v>2949</v>
      </c>
      <c r="B3030" t="s">
        <v>2950</v>
      </c>
      <c r="C3030" t="s">
        <v>8</v>
      </c>
      <c r="D3030">
        <v>3.2469999999999999</v>
      </c>
      <c r="E3030" s="4">
        <v>1039</v>
      </c>
      <c r="F3030" t="str">
        <f>HYPERLINK("https://www.google.com/maps/search/?api=1&amp;query=24.83112837,46.6431487", "View Map")</f>
        <v>View Map</v>
      </c>
    </row>
    <row r="3031" spans="1:7" x14ac:dyDescent="0.3">
      <c r="A3031" t="s">
        <v>5215</v>
      </c>
      <c r="B3031" t="s">
        <v>5216</v>
      </c>
      <c r="C3031" t="s">
        <v>8</v>
      </c>
      <c r="D3031">
        <v>3.2469999999999999</v>
      </c>
      <c r="E3031" s="4">
        <v>1039</v>
      </c>
      <c r="F3031" t="str">
        <f>HYPERLINK("https://www.google.com/maps/search/?api=1&amp;query=24.61904927,46.71494535", "View Map")</f>
        <v>View Map</v>
      </c>
    </row>
    <row r="3032" spans="1:7" x14ac:dyDescent="0.3">
      <c r="A3032" t="s">
        <v>6688</v>
      </c>
      <c r="B3032" t="s">
        <v>6689</v>
      </c>
      <c r="C3032" t="s">
        <v>291</v>
      </c>
      <c r="D3032">
        <v>3.2450000000000001</v>
      </c>
      <c r="E3032" s="4">
        <v>1039</v>
      </c>
      <c r="F3032" t="str">
        <f>HYPERLINK("https://www.google.com/maps/search/?api=1&amp;query=23.22733295,44.69133866", "View Map")</f>
        <v>View Map</v>
      </c>
      <c r="G3032" s="2">
        <v>0.9531586806605532</v>
      </c>
    </row>
    <row r="3033" spans="1:7" x14ac:dyDescent="0.3">
      <c r="A3033" t="s">
        <v>4797</v>
      </c>
      <c r="B3033" t="s">
        <v>4798</v>
      </c>
      <c r="C3033" t="s">
        <v>883</v>
      </c>
      <c r="D3033">
        <v>3.242</v>
      </c>
      <c r="E3033" s="4">
        <v>1037</v>
      </c>
      <c r="F3033" t="str">
        <f>HYPERLINK("https://www.google.com/maps/search/?api=1&amp;query=25.55083568,47.1737786", "View Map")</f>
        <v>View Map</v>
      </c>
      <c r="G3033" s="2">
        <v>0.35540952592704461</v>
      </c>
    </row>
    <row r="3034" spans="1:7" x14ac:dyDescent="0.3">
      <c r="A3034" t="s">
        <v>46</v>
      </c>
      <c r="B3034" t="s">
        <v>9078</v>
      </c>
      <c r="C3034" t="s">
        <v>55</v>
      </c>
      <c r="D3034">
        <v>3.242</v>
      </c>
      <c r="E3034" s="4">
        <v>1037</v>
      </c>
      <c r="F3034" t="str">
        <f>HYPERLINK("https://www.google.com/maps/search/?api=1&amp;query=24.83085588,46.57274894", "View Map")</f>
        <v>View Map</v>
      </c>
    </row>
    <row r="3035" spans="1:7" x14ac:dyDescent="0.3">
      <c r="A3035" t="s">
        <v>6597</v>
      </c>
      <c r="B3035" t="s">
        <v>6598</v>
      </c>
      <c r="C3035" t="s">
        <v>8</v>
      </c>
      <c r="D3035">
        <v>3.2410000000000001</v>
      </c>
      <c r="E3035" s="4">
        <v>1037</v>
      </c>
      <c r="F3035" t="str">
        <f>HYPERLINK("https://www.google.com/maps/search/?api=1&amp;query=24.65746489,46.82236998", "View Map")</f>
        <v>View Map</v>
      </c>
    </row>
    <row r="3036" spans="1:7" x14ac:dyDescent="0.3">
      <c r="A3036" t="s">
        <v>762</v>
      </c>
      <c r="B3036" t="s">
        <v>763</v>
      </c>
      <c r="C3036" t="s">
        <v>8</v>
      </c>
      <c r="D3036">
        <v>3.2410000000000001</v>
      </c>
      <c r="E3036" s="4">
        <v>1037</v>
      </c>
      <c r="F3036" t="str">
        <f>HYPERLINK("https://www.google.com/maps/search/?api=1&amp;query=24.79833816,46.70643161", "View Map")</f>
        <v>View Map</v>
      </c>
      <c r="G3036" s="2">
        <v>0.18110942105006661</v>
      </c>
    </row>
    <row r="3037" spans="1:7" x14ac:dyDescent="0.3">
      <c r="A3037" t="s">
        <v>6287</v>
      </c>
      <c r="B3037" t="s">
        <v>6288</v>
      </c>
      <c r="C3037" t="s">
        <v>8</v>
      </c>
      <c r="D3037">
        <v>3.238</v>
      </c>
      <c r="E3037" s="4">
        <v>1036</v>
      </c>
      <c r="F3037" t="str">
        <f>HYPERLINK("https://www.google.com/maps/search/?api=1&amp;query=24.60012094,46.73295767", "View Map")</f>
        <v>View Map</v>
      </c>
    </row>
    <row r="3038" spans="1:7" x14ac:dyDescent="0.3">
      <c r="A3038" t="s">
        <v>860</v>
      </c>
      <c r="B3038" t="s">
        <v>4556</v>
      </c>
      <c r="C3038" t="s">
        <v>8</v>
      </c>
      <c r="D3038">
        <v>3.238</v>
      </c>
      <c r="E3038" s="4">
        <v>1036</v>
      </c>
      <c r="F3038" t="str">
        <f>HYPERLINK("https://www.google.com/maps/search/?api=1&amp;query=24.61373628,46.75084666", "View Map")</f>
        <v>View Map</v>
      </c>
    </row>
    <row r="3039" spans="1:7" x14ac:dyDescent="0.3">
      <c r="A3039" t="s">
        <v>1729</v>
      </c>
      <c r="B3039" t="s">
        <v>4713</v>
      </c>
      <c r="C3039" t="s">
        <v>8</v>
      </c>
      <c r="D3039">
        <v>3.2360000000000002</v>
      </c>
      <c r="E3039" s="4">
        <v>1035</v>
      </c>
      <c r="F3039" t="str">
        <f>HYPERLINK("https://www.google.com/maps/search/?api=1&amp;query=24.8242,46.7614", "View Map")</f>
        <v>View Map</v>
      </c>
      <c r="G3039" s="2">
        <v>0.45893996068360599</v>
      </c>
    </row>
    <row r="3040" spans="1:7" x14ac:dyDescent="0.3">
      <c r="A3040" t="s">
        <v>1251</v>
      </c>
      <c r="B3040" t="s">
        <v>6716</v>
      </c>
      <c r="C3040" t="s">
        <v>8</v>
      </c>
      <c r="D3040">
        <v>3.2349999999999999</v>
      </c>
      <c r="E3040" s="4">
        <v>1035</v>
      </c>
      <c r="F3040" t="str">
        <f>HYPERLINK("https://www.google.com/maps/search/?api=1&amp;query=24.65144175,46.57815229", "View Map")</f>
        <v>View Map</v>
      </c>
      <c r="G3040" s="2">
        <v>0.6522773906027719</v>
      </c>
    </row>
    <row r="3041" spans="1:7" x14ac:dyDescent="0.3">
      <c r="A3041" t="s">
        <v>46</v>
      </c>
      <c r="B3041" t="s">
        <v>8175</v>
      </c>
      <c r="C3041" t="s">
        <v>8</v>
      </c>
      <c r="D3041">
        <v>3.2349999999999999</v>
      </c>
      <c r="E3041" s="4">
        <v>1035</v>
      </c>
      <c r="F3041" t="str">
        <f>HYPERLINK("https://www.google.com/maps/search/?api=1&amp;query=24.8476377,46.79006813", "View Map")</f>
        <v>View Map</v>
      </c>
    </row>
    <row r="3042" spans="1:7" x14ac:dyDescent="0.3">
      <c r="A3042" t="s">
        <v>891</v>
      </c>
      <c r="B3042" t="s">
        <v>892</v>
      </c>
      <c r="C3042" t="s">
        <v>30</v>
      </c>
      <c r="D3042">
        <v>3.2349999999999999</v>
      </c>
      <c r="E3042" s="4">
        <v>1035</v>
      </c>
      <c r="F3042" t="str">
        <f>HYPERLINK("https://www.google.com/maps/search/?api=1&amp;query=24.15499071,47.31498239", "View Map")</f>
        <v>View Map</v>
      </c>
      <c r="G3042" s="2">
        <v>0.12067818007987779</v>
      </c>
    </row>
    <row r="3043" spans="1:7" x14ac:dyDescent="0.3">
      <c r="A3043" t="s">
        <v>8882</v>
      </c>
      <c r="B3043" t="s">
        <v>8883</v>
      </c>
      <c r="C3043" t="s">
        <v>393</v>
      </c>
      <c r="D3043">
        <v>3.2349999999999999</v>
      </c>
      <c r="E3043" s="4">
        <v>1035</v>
      </c>
      <c r="F3043" t="str">
        <f>HYPERLINK("https://www.google.com/maps/search/?api=1&amp;query=23.29451198,45.16536592", "View Map")</f>
        <v>View Map</v>
      </c>
      <c r="G3043" s="2">
        <v>0.6366574237109881</v>
      </c>
    </row>
    <row r="3044" spans="1:7" x14ac:dyDescent="0.3">
      <c r="A3044" t="s">
        <v>4835</v>
      </c>
      <c r="B3044" t="s">
        <v>4836</v>
      </c>
      <c r="C3044" t="s">
        <v>8</v>
      </c>
      <c r="D3044">
        <v>3.234</v>
      </c>
      <c r="E3044" s="4">
        <v>1035</v>
      </c>
      <c r="F3044" t="str">
        <f>HYPERLINK("https://www.google.com/maps/search/?api=1&amp;query=24.67790644,46.76702772", "View Map")</f>
        <v>View Map</v>
      </c>
    </row>
    <row r="3045" spans="1:7" x14ac:dyDescent="0.3">
      <c r="A3045" t="s">
        <v>1262</v>
      </c>
      <c r="B3045" t="s">
        <v>3823</v>
      </c>
      <c r="C3045" t="s">
        <v>8</v>
      </c>
      <c r="D3045">
        <v>3.2330000000000001</v>
      </c>
      <c r="E3045" s="4">
        <v>1034</v>
      </c>
      <c r="F3045" t="str">
        <f>HYPERLINK("https://www.google.com/maps/search/?api=1&amp;query=24.75714954,46.8044179", "View Map")</f>
        <v>View Map</v>
      </c>
    </row>
    <row r="3046" spans="1:7" x14ac:dyDescent="0.3">
      <c r="A3046" t="s">
        <v>881</v>
      </c>
      <c r="B3046" t="s">
        <v>7384</v>
      </c>
      <c r="C3046" t="s">
        <v>820</v>
      </c>
      <c r="D3046">
        <v>3.2330000000000001</v>
      </c>
      <c r="E3046" s="4">
        <v>1035</v>
      </c>
      <c r="F3046" t="str">
        <f>HYPERLINK("https://www.google.com/maps/search/?api=1&amp;query=0.0,0.0", "View Map")</f>
        <v>View Map</v>
      </c>
      <c r="G3046" s="2">
        <v>0.54759891782704662</v>
      </c>
    </row>
    <row r="3047" spans="1:7" x14ac:dyDescent="0.3">
      <c r="A3047" t="s">
        <v>46</v>
      </c>
      <c r="B3047" t="s">
        <v>9965</v>
      </c>
      <c r="C3047" t="s">
        <v>8</v>
      </c>
      <c r="D3047">
        <v>3.2320000000000002</v>
      </c>
      <c r="E3047" s="4">
        <v>1034</v>
      </c>
      <c r="F3047" t="str">
        <f>HYPERLINK("https://www.google.com/maps/search/?api=1&amp;query=24.57526456,46.75556312", "View Map")</f>
        <v>View Map</v>
      </c>
    </row>
    <row r="3048" spans="1:7" x14ac:dyDescent="0.3">
      <c r="A3048" t="s">
        <v>9641</v>
      </c>
      <c r="B3048" t="s">
        <v>9642</v>
      </c>
      <c r="C3048" t="s">
        <v>8</v>
      </c>
      <c r="D3048">
        <v>3.2320000000000002</v>
      </c>
      <c r="E3048" s="4">
        <v>1034</v>
      </c>
      <c r="F3048" t="str">
        <f>HYPERLINK("https://www.google.com/maps/search/?api=1&amp;query=24.79191384,46.69051219", "View Map")</f>
        <v>View Map</v>
      </c>
    </row>
    <row r="3049" spans="1:7" x14ac:dyDescent="0.3">
      <c r="A3049" t="s">
        <v>6494</v>
      </c>
      <c r="B3049" t="s">
        <v>6495</v>
      </c>
      <c r="C3049" t="s">
        <v>1112</v>
      </c>
      <c r="D3049">
        <v>3.2309999999999999</v>
      </c>
      <c r="E3049" s="4">
        <v>1034</v>
      </c>
      <c r="F3049" t="str">
        <f>HYPERLINK("https://www.google.com/maps/search/?api=1&amp;query=26.03472293,44.93648153", "View Map")</f>
        <v>View Map</v>
      </c>
      <c r="G3049" s="2">
        <v>0.73946650087610366</v>
      </c>
    </row>
    <row r="3050" spans="1:7" x14ac:dyDescent="0.3">
      <c r="A3050" t="s">
        <v>6302</v>
      </c>
      <c r="B3050" t="s">
        <v>6303</v>
      </c>
      <c r="C3050" t="s">
        <v>738</v>
      </c>
      <c r="D3050">
        <v>3.23</v>
      </c>
      <c r="E3050" s="4">
        <v>1034</v>
      </c>
      <c r="F3050" t="str">
        <f>HYPERLINK("https://www.google.com/maps/search/?api=1&amp;query=25.13094909,46.13165232", "View Map")</f>
        <v>View Map</v>
      </c>
      <c r="G3050" s="2">
        <v>0.64413323524313038</v>
      </c>
    </row>
    <row r="3051" spans="1:7" x14ac:dyDescent="0.3">
      <c r="A3051" t="s">
        <v>5683</v>
      </c>
      <c r="B3051" t="s">
        <v>5684</v>
      </c>
      <c r="C3051" t="s">
        <v>8</v>
      </c>
      <c r="D3051">
        <v>3.2280000000000002</v>
      </c>
      <c r="E3051" s="4">
        <v>1033</v>
      </c>
      <c r="F3051" t="str">
        <f>HYPERLINK("https://www.google.com/maps/search/?api=1&amp;query=24.615,46.7242", "View Map")</f>
        <v>View Map</v>
      </c>
    </row>
    <row r="3052" spans="1:7" x14ac:dyDescent="0.3">
      <c r="A3052" t="s">
        <v>5601</v>
      </c>
      <c r="B3052" t="s">
        <v>5602</v>
      </c>
      <c r="C3052" t="s">
        <v>8</v>
      </c>
      <c r="D3052">
        <v>3.2280000000000002</v>
      </c>
      <c r="E3052" s="4">
        <v>1033</v>
      </c>
      <c r="F3052" t="str">
        <f>HYPERLINK("https://www.google.com/maps/search/?api=1&amp;query=24.58247189,46.69210319", "View Map")</f>
        <v>View Map</v>
      </c>
    </row>
    <row r="3053" spans="1:7" x14ac:dyDescent="0.3">
      <c r="A3053" t="s">
        <v>4271</v>
      </c>
      <c r="B3053" t="s">
        <v>4272</v>
      </c>
      <c r="C3053" t="s">
        <v>8</v>
      </c>
      <c r="D3053">
        <v>3.2269999999999999</v>
      </c>
      <c r="E3053" s="4">
        <v>1033</v>
      </c>
      <c r="F3053" t="str">
        <f>HYPERLINK("https://www.google.com/maps/search/?api=1&amp;query=24.75081,46.6834", "View Map")</f>
        <v>View Map</v>
      </c>
    </row>
    <row r="3054" spans="1:7" x14ac:dyDescent="0.3">
      <c r="A3054" t="s">
        <v>1954</v>
      </c>
      <c r="B3054" t="s">
        <v>1955</v>
      </c>
      <c r="C3054" t="s">
        <v>8</v>
      </c>
      <c r="D3054">
        <v>3.226</v>
      </c>
      <c r="E3054" s="4">
        <v>1032</v>
      </c>
      <c r="F3054" t="str">
        <f>HYPERLINK("https://www.google.com/maps/search/?api=1&amp;query=24.65742346,46.72664967", "View Map")</f>
        <v>View Map</v>
      </c>
    </row>
    <row r="3055" spans="1:7" x14ac:dyDescent="0.3">
      <c r="A3055" t="s">
        <v>5315</v>
      </c>
      <c r="B3055" t="s">
        <v>5316</v>
      </c>
      <c r="C3055" t="s">
        <v>291</v>
      </c>
      <c r="D3055">
        <v>3.226</v>
      </c>
      <c r="E3055" s="4">
        <v>1032</v>
      </c>
      <c r="F3055" t="str">
        <f>HYPERLINK("https://www.google.com/maps/search/?api=1&amp;query=24.26961945,45.88241433", "View Map")</f>
        <v>View Map</v>
      </c>
      <c r="G3055" s="2">
        <v>0.78685232524581383</v>
      </c>
    </row>
    <row r="3056" spans="1:7" x14ac:dyDescent="0.3">
      <c r="A3056" t="s">
        <v>717</v>
      </c>
      <c r="B3056" t="s">
        <v>718</v>
      </c>
      <c r="C3056" t="s">
        <v>255</v>
      </c>
      <c r="D3056">
        <v>3.2250000000000001</v>
      </c>
      <c r="E3056" s="4">
        <v>1032</v>
      </c>
      <c r="F3056" t="str">
        <f>HYPERLINK("https://www.google.com/maps/search/?api=1&amp;query=24.52590159,44.39200649", "View Map")</f>
        <v>View Map</v>
      </c>
      <c r="G3056" s="2">
        <v>0.15972945923297019</v>
      </c>
    </row>
    <row r="3057" spans="1:7" x14ac:dyDescent="0.3">
      <c r="A3057" t="s">
        <v>4415</v>
      </c>
      <c r="B3057" t="s">
        <v>4416</v>
      </c>
      <c r="C3057" t="s">
        <v>214</v>
      </c>
      <c r="D3057">
        <v>3.2250000000000001</v>
      </c>
      <c r="E3057" s="4">
        <v>1032</v>
      </c>
      <c r="F3057" t="str">
        <f>HYPERLINK("https://www.google.com/maps/search/?api=1&amp;query=26.21894027,45.38882602", "View Map")</f>
        <v>View Map</v>
      </c>
      <c r="G3057" s="2">
        <v>0.58714039729201961</v>
      </c>
    </row>
    <row r="3058" spans="1:7" x14ac:dyDescent="0.3">
      <c r="A3058" t="s">
        <v>2076</v>
      </c>
      <c r="B3058" t="s">
        <v>10091</v>
      </c>
      <c r="C3058" t="s">
        <v>8</v>
      </c>
      <c r="D3058">
        <v>3.2250000000000001</v>
      </c>
      <c r="E3058" s="4">
        <v>1032</v>
      </c>
      <c r="F3058" t="str">
        <f>HYPERLINK("https://www.google.com/maps/search/?api=1&amp;query=24.57300444,46.71496257", "View Map")</f>
        <v>View Map</v>
      </c>
    </row>
    <row r="3059" spans="1:7" x14ac:dyDescent="0.3">
      <c r="A3059" t="s">
        <v>5449</v>
      </c>
      <c r="B3059" t="s">
        <v>5450</v>
      </c>
      <c r="C3059" t="s">
        <v>883</v>
      </c>
      <c r="D3059">
        <v>3.2240000000000002</v>
      </c>
      <c r="E3059" s="4">
        <v>1032</v>
      </c>
      <c r="F3059" t="str">
        <f>HYPERLINK("https://www.google.com/maps/search/?api=1&amp;query=25.57391493,46.97979039", "View Map")</f>
        <v>View Map</v>
      </c>
      <c r="G3059" s="2">
        <v>0.79856094058148908</v>
      </c>
    </row>
    <row r="3060" spans="1:7" x14ac:dyDescent="0.3">
      <c r="A3060" t="s">
        <v>3651</v>
      </c>
      <c r="B3060" t="s">
        <v>3652</v>
      </c>
      <c r="C3060" t="s">
        <v>77</v>
      </c>
      <c r="D3060">
        <v>3.2229999999999999</v>
      </c>
      <c r="E3060" s="4">
        <v>1031</v>
      </c>
      <c r="F3060" t="str">
        <f>HYPERLINK("https://www.google.com/maps/search/?api=1&amp;query=22.33265848,46.63413355", "View Map")</f>
        <v>View Map</v>
      </c>
    </row>
    <row r="3061" spans="1:7" x14ac:dyDescent="0.3">
      <c r="A3061" t="s">
        <v>6338</v>
      </c>
      <c r="B3061" t="s">
        <v>6339</v>
      </c>
      <c r="C3061" t="s">
        <v>55</v>
      </c>
      <c r="D3061">
        <v>3.2229999999999999</v>
      </c>
      <c r="E3061" s="4">
        <v>1031</v>
      </c>
      <c r="F3061" t="str">
        <f>HYPERLINK("https://www.google.com/maps/search/?api=1&amp;query=24.76719441,46.58582488", "View Map")</f>
        <v>View Map</v>
      </c>
    </row>
    <row r="3062" spans="1:7" x14ac:dyDescent="0.3">
      <c r="A3062" t="s">
        <v>8988</v>
      </c>
      <c r="B3062" t="s">
        <v>8989</v>
      </c>
      <c r="C3062" t="s">
        <v>291</v>
      </c>
      <c r="D3062">
        <v>3.222</v>
      </c>
      <c r="E3062" s="4">
        <v>1031</v>
      </c>
      <c r="F3062" t="str">
        <f>HYPERLINK("https://www.google.com/maps/search/?api=1&amp;query=24.55576503,45.68443363", "View Map")</f>
        <v>View Map</v>
      </c>
      <c r="G3062" s="2">
        <v>0.47077520681088431</v>
      </c>
    </row>
    <row r="3063" spans="1:7" x14ac:dyDescent="0.3">
      <c r="A3063" t="s">
        <v>11158</v>
      </c>
      <c r="B3063" t="s">
        <v>11159</v>
      </c>
      <c r="C3063" t="s">
        <v>241</v>
      </c>
      <c r="D3063">
        <v>3.222</v>
      </c>
      <c r="E3063" s="4">
        <v>1031</v>
      </c>
      <c r="F3063" t="str">
        <f>HYPERLINK("https://www.google.com/maps/search/?api=1&amp;query=20.44265859,44.85059647", "View Map")</f>
        <v>View Map</v>
      </c>
    </row>
    <row r="3064" spans="1:7" x14ac:dyDescent="0.3">
      <c r="A3064" t="s">
        <v>2076</v>
      </c>
      <c r="B3064" t="s">
        <v>6012</v>
      </c>
      <c r="C3064" t="s">
        <v>8</v>
      </c>
      <c r="D3064">
        <v>3.222</v>
      </c>
      <c r="E3064" s="4">
        <v>1031</v>
      </c>
      <c r="F3064" t="str">
        <f>HYPERLINK("https://www.google.com/maps/search/?api=1&amp;query=24.56388862,46.71046769", "View Map")</f>
        <v>View Map</v>
      </c>
    </row>
    <row r="3065" spans="1:7" x14ac:dyDescent="0.3">
      <c r="A3065" t="s">
        <v>4666</v>
      </c>
      <c r="B3065" t="s">
        <v>4667</v>
      </c>
      <c r="C3065" t="s">
        <v>21</v>
      </c>
      <c r="D3065">
        <v>3.22</v>
      </c>
      <c r="E3065" s="4">
        <v>1030</v>
      </c>
      <c r="F3065" t="str">
        <f>HYPERLINK("https://www.google.com/maps/search/?api=1&amp;query=26.29411352,44.7935574", "View Map")</f>
        <v>View Map</v>
      </c>
      <c r="G3065" s="2">
        <v>0.46491465260265202</v>
      </c>
    </row>
    <row r="3066" spans="1:7" x14ac:dyDescent="0.3">
      <c r="A3066" t="s">
        <v>7296</v>
      </c>
      <c r="B3066" t="s">
        <v>7297</v>
      </c>
      <c r="C3066" t="s">
        <v>8</v>
      </c>
      <c r="D3066">
        <v>3.22</v>
      </c>
      <c r="E3066" s="4">
        <v>1030</v>
      </c>
      <c r="F3066" t="str">
        <f>HYPERLINK("https://www.google.com/maps/search/?api=1&amp;query=24.55588667,46.69380051", "View Map")</f>
        <v>View Map</v>
      </c>
    </row>
    <row r="3067" spans="1:7" x14ac:dyDescent="0.3">
      <c r="A3067" t="s">
        <v>5147</v>
      </c>
      <c r="B3067" t="s">
        <v>5148</v>
      </c>
      <c r="C3067" t="s">
        <v>214</v>
      </c>
      <c r="D3067">
        <v>3.22</v>
      </c>
      <c r="E3067" s="4">
        <v>1030</v>
      </c>
      <c r="F3067" t="str">
        <f>HYPERLINK("https://www.google.com/maps/search/?api=1&amp;query=25.91347112,45.37601134", "View Map")</f>
        <v>View Map</v>
      </c>
      <c r="G3067" s="2">
        <v>0.3829806114889468</v>
      </c>
    </row>
    <row r="3068" spans="1:7" x14ac:dyDescent="0.3">
      <c r="A3068" t="s">
        <v>4612</v>
      </c>
      <c r="B3068" t="s">
        <v>4613</v>
      </c>
      <c r="C3068" t="s">
        <v>241</v>
      </c>
      <c r="D3068">
        <v>3.22</v>
      </c>
      <c r="E3068" s="4">
        <v>1030</v>
      </c>
      <c r="F3068" t="str">
        <f>HYPERLINK("https://www.google.com/maps/search/?api=1&amp;query=20.44415432,44.79756388", "View Map")</f>
        <v>View Map</v>
      </c>
      <c r="G3068" s="2">
        <v>0.3254269330092493</v>
      </c>
    </row>
    <row r="3069" spans="1:7" x14ac:dyDescent="0.3">
      <c r="A3069" t="s">
        <v>7248</v>
      </c>
      <c r="B3069" t="s">
        <v>7249</v>
      </c>
      <c r="C3069" t="s">
        <v>214</v>
      </c>
      <c r="D3069">
        <v>3.2189999999999999</v>
      </c>
      <c r="E3069" s="4">
        <v>1030</v>
      </c>
      <c r="F3069" t="str">
        <f>HYPERLINK("https://www.google.com/maps/search/?api=1&amp;query=25.74443176,45.84126251", "View Map")</f>
        <v>View Map</v>
      </c>
    </row>
    <row r="3070" spans="1:7" x14ac:dyDescent="0.3">
      <c r="A3070" t="s">
        <v>5518</v>
      </c>
      <c r="B3070" t="s">
        <v>5519</v>
      </c>
      <c r="C3070" t="s">
        <v>8</v>
      </c>
      <c r="D3070">
        <v>3.2170000000000001</v>
      </c>
      <c r="E3070" s="4">
        <v>1029</v>
      </c>
      <c r="F3070" t="str">
        <f>HYPERLINK("https://www.google.com/maps/search/?api=1&amp;query=24.61379686,46.64277521", "View Map")</f>
        <v>View Map</v>
      </c>
    </row>
    <row r="3071" spans="1:7" x14ac:dyDescent="0.3">
      <c r="A3071" t="s">
        <v>2597</v>
      </c>
      <c r="B3071" t="s">
        <v>11410</v>
      </c>
      <c r="C3071" t="s">
        <v>291</v>
      </c>
      <c r="D3071">
        <v>3.2160000000000002</v>
      </c>
      <c r="E3071" s="4">
        <v>1029</v>
      </c>
      <c r="F3071" t="str">
        <f>HYPERLINK("https://www.google.com/maps/search/?api=1&amp;query=23.25153,44.77399167", "View Map")</f>
        <v>View Map</v>
      </c>
      <c r="G3071" s="2">
        <v>0.62969446902673909</v>
      </c>
    </row>
    <row r="3072" spans="1:7" x14ac:dyDescent="0.3">
      <c r="A3072" t="s">
        <v>934</v>
      </c>
      <c r="B3072" t="s">
        <v>2663</v>
      </c>
      <c r="C3072" t="s">
        <v>8</v>
      </c>
      <c r="D3072">
        <v>3.2130000000000001</v>
      </c>
      <c r="E3072" s="4">
        <v>1028</v>
      </c>
      <c r="F3072" t="str">
        <f>HYPERLINK("https://www.google.com/maps/search/?api=1&amp;query=24.64885868,46.80072088", "View Map")</f>
        <v>View Map</v>
      </c>
      <c r="G3072" s="2">
        <v>0.3148355271706646</v>
      </c>
    </row>
    <row r="3073" spans="1:7" x14ac:dyDescent="0.3">
      <c r="A3073" t="s">
        <v>8172</v>
      </c>
      <c r="B3073" t="s">
        <v>8173</v>
      </c>
      <c r="C3073" t="s">
        <v>8</v>
      </c>
      <c r="D3073">
        <v>3.2109999999999999</v>
      </c>
      <c r="E3073" s="4">
        <v>1027</v>
      </c>
      <c r="F3073" t="str">
        <f>HYPERLINK("https://www.google.com/maps/search/?api=1&amp;query=24.6388695,46.79192884", "View Map")</f>
        <v>View Map</v>
      </c>
    </row>
    <row r="3074" spans="1:7" x14ac:dyDescent="0.3">
      <c r="A3074" t="s">
        <v>3716</v>
      </c>
      <c r="B3074" t="s">
        <v>3717</v>
      </c>
      <c r="C3074" t="s">
        <v>8</v>
      </c>
      <c r="D3074">
        <v>3.21</v>
      </c>
      <c r="E3074" s="4">
        <v>1027</v>
      </c>
      <c r="F3074" t="str">
        <f>HYPERLINK("https://www.google.com/maps/search/?api=1&amp;query=24.77746257,46.68158165", "View Map")</f>
        <v>View Map</v>
      </c>
    </row>
    <row r="3075" spans="1:7" x14ac:dyDescent="0.3">
      <c r="A3075" t="s">
        <v>46</v>
      </c>
      <c r="B3075" t="s">
        <v>4060</v>
      </c>
      <c r="C3075" t="s">
        <v>55</v>
      </c>
      <c r="D3075">
        <v>3.21</v>
      </c>
      <c r="E3075" s="4">
        <v>1027</v>
      </c>
      <c r="F3075" t="str">
        <f>HYPERLINK("https://www.google.com/maps/search/?api=1&amp;query=24.73986,46.51493", "View Map")</f>
        <v>View Map</v>
      </c>
      <c r="G3075" s="2">
        <v>0.45611770864941031</v>
      </c>
    </row>
    <row r="3076" spans="1:7" x14ac:dyDescent="0.3">
      <c r="A3076" t="s">
        <v>3036</v>
      </c>
      <c r="B3076" t="s">
        <v>3037</v>
      </c>
      <c r="C3076" t="s">
        <v>8</v>
      </c>
      <c r="D3076">
        <v>3.2069999999999999</v>
      </c>
      <c r="E3076" s="4">
        <v>1026</v>
      </c>
      <c r="F3076" t="str">
        <f>HYPERLINK("https://www.google.com/maps/search/?api=1&amp;query=24.74466858,46.64722074", "View Map")</f>
        <v>View Map</v>
      </c>
    </row>
    <row r="3077" spans="1:7" x14ac:dyDescent="0.3">
      <c r="A3077" t="s">
        <v>4705</v>
      </c>
      <c r="B3077" t="s">
        <v>4706</v>
      </c>
      <c r="C3077" t="s">
        <v>291</v>
      </c>
      <c r="D3077">
        <v>3.206</v>
      </c>
      <c r="E3077" s="4">
        <v>1026</v>
      </c>
      <c r="F3077" t="str">
        <f>HYPERLINK("https://www.google.com/maps/search/?api=1&amp;query=24.06957216,45.29535756", "View Map")</f>
        <v>View Map</v>
      </c>
    </row>
    <row r="3078" spans="1:7" x14ac:dyDescent="0.3">
      <c r="A3078" t="s">
        <v>5003</v>
      </c>
      <c r="B3078" t="s">
        <v>5004</v>
      </c>
      <c r="C3078" t="s">
        <v>8</v>
      </c>
      <c r="D3078">
        <v>3.2040000000000002</v>
      </c>
      <c r="E3078" s="4">
        <v>1025</v>
      </c>
      <c r="F3078" t="str">
        <f>HYPERLINK("https://www.google.com/maps/search/?api=1&amp;query=24.65797652,46.73842717", "View Map")</f>
        <v>View Map</v>
      </c>
    </row>
    <row r="3079" spans="1:7" x14ac:dyDescent="0.3">
      <c r="A3079" t="s">
        <v>8462</v>
      </c>
      <c r="B3079" t="s">
        <v>8463</v>
      </c>
      <c r="C3079" t="s">
        <v>8</v>
      </c>
      <c r="D3079">
        <v>3.2029999999999998</v>
      </c>
      <c r="E3079" s="4">
        <v>1025</v>
      </c>
      <c r="F3079" t="str">
        <f>HYPERLINK("https://www.google.com/maps/search/?api=1&amp;query=24.56897164,46.69396734", "View Map")</f>
        <v>View Map</v>
      </c>
    </row>
    <row r="3080" spans="1:7" x14ac:dyDescent="0.3">
      <c r="A3080" t="s">
        <v>11411</v>
      </c>
      <c r="B3080" t="s">
        <v>11412</v>
      </c>
      <c r="C3080" t="s">
        <v>8</v>
      </c>
      <c r="D3080">
        <v>3.2029999999999998</v>
      </c>
      <c r="E3080" s="4">
        <v>1025</v>
      </c>
      <c r="F3080" t="str">
        <f>HYPERLINK("https://www.google.com/maps/search/?api=1&amp;query=24.605067,46.594343", "View Map")</f>
        <v>View Map</v>
      </c>
      <c r="G3080" s="2">
        <v>0.46712643104587581</v>
      </c>
    </row>
    <row r="3081" spans="1:7" x14ac:dyDescent="0.3">
      <c r="A3081" t="s">
        <v>2867</v>
      </c>
      <c r="B3081" t="s">
        <v>5404</v>
      </c>
      <c r="C3081" t="s">
        <v>8</v>
      </c>
      <c r="D3081">
        <v>3.2010000000000001</v>
      </c>
      <c r="E3081" s="4">
        <v>1024</v>
      </c>
      <c r="F3081" t="str">
        <f>HYPERLINK("https://www.google.com/maps/search/?api=1&amp;query=24.65559527,46.72915864", "View Map")</f>
        <v>View Map</v>
      </c>
    </row>
    <row r="3082" spans="1:7" x14ac:dyDescent="0.3">
      <c r="A3082" t="s">
        <v>4595</v>
      </c>
      <c r="B3082" t="s">
        <v>6414</v>
      </c>
      <c r="C3082" t="s">
        <v>8</v>
      </c>
      <c r="D3082">
        <v>3.1989999999999998</v>
      </c>
      <c r="E3082" s="4">
        <v>1024</v>
      </c>
      <c r="F3082" t="str">
        <f>HYPERLINK("https://www.google.com/maps/search/?api=1&amp;query=24.73224884,46.82499009", "View Map")</f>
        <v>View Map</v>
      </c>
    </row>
    <row r="3083" spans="1:7" x14ac:dyDescent="0.3">
      <c r="A3083" t="s">
        <v>11413</v>
      </c>
      <c r="B3083" t="s">
        <v>11414</v>
      </c>
      <c r="C3083" t="s">
        <v>8</v>
      </c>
      <c r="D3083">
        <v>3.1989999999999998</v>
      </c>
      <c r="E3083" s="4">
        <v>1024</v>
      </c>
      <c r="F3083" t="str">
        <f>HYPERLINK("https://www.google.com/maps/search/?api=1&amp;query=24.40276508,46.84022507", "View Map")</f>
        <v>View Map</v>
      </c>
      <c r="G3083" s="2">
        <v>0.41275826430081503</v>
      </c>
    </row>
    <row r="3084" spans="1:7" x14ac:dyDescent="0.3">
      <c r="A3084" t="s">
        <v>7635</v>
      </c>
      <c r="B3084" t="s">
        <v>7636</v>
      </c>
      <c r="C3084" t="s">
        <v>4447</v>
      </c>
      <c r="D3084">
        <v>3.198</v>
      </c>
      <c r="E3084" s="4">
        <v>1023</v>
      </c>
      <c r="F3084" t="str">
        <f>HYPERLINK("https://www.google.com/maps/search/?api=1&amp;query=24.44016569,41.85807789", "View Map")</f>
        <v>View Map</v>
      </c>
      <c r="G3084" s="2">
        <v>0.9098259422974242</v>
      </c>
    </row>
    <row r="3085" spans="1:7" x14ac:dyDescent="0.3">
      <c r="A3085" t="s">
        <v>11415</v>
      </c>
      <c r="B3085" t="s">
        <v>11416</v>
      </c>
      <c r="C3085" t="s">
        <v>291</v>
      </c>
      <c r="D3085">
        <v>3.1960000000000002</v>
      </c>
      <c r="E3085" s="4">
        <v>1023</v>
      </c>
      <c r="F3085" t="str">
        <f>HYPERLINK("https://www.google.com/maps/search/?api=1&amp;query=24.34164789,45.83899876", "View Map")</f>
        <v>View Map</v>
      </c>
    </row>
    <row r="3086" spans="1:7" x14ac:dyDescent="0.3">
      <c r="A3086" t="s">
        <v>146</v>
      </c>
      <c r="B3086" t="s">
        <v>3843</v>
      </c>
      <c r="C3086" t="s">
        <v>8</v>
      </c>
      <c r="D3086">
        <v>3.1960000000000002</v>
      </c>
      <c r="E3086" s="4">
        <v>1023</v>
      </c>
      <c r="F3086" t="str">
        <f>HYPERLINK("https://www.google.com/maps/search/?api=1&amp;query=24.55537117,46.56147134", "View Map")</f>
        <v>View Map</v>
      </c>
    </row>
    <row r="3087" spans="1:7" x14ac:dyDescent="0.3">
      <c r="A3087" t="s">
        <v>4830</v>
      </c>
      <c r="B3087" t="s">
        <v>4831</v>
      </c>
      <c r="C3087" t="s">
        <v>8</v>
      </c>
      <c r="D3087">
        <v>3.1960000000000002</v>
      </c>
      <c r="E3087" s="4">
        <v>1023</v>
      </c>
      <c r="F3087" t="str">
        <f>HYPERLINK("https://www.google.com/maps/search/?api=1&amp;query=24.67108266,46.81242773", "View Map")</f>
        <v>View Map</v>
      </c>
    </row>
    <row r="3088" spans="1:7" x14ac:dyDescent="0.3">
      <c r="A3088" t="s">
        <v>4967</v>
      </c>
      <c r="B3088" t="s">
        <v>4968</v>
      </c>
      <c r="C3088" t="s">
        <v>241</v>
      </c>
      <c r="D3088">
        <v>3.1949999999999998</v>
      </c>
      <c r="E3088" s="4">
        <v>1022</v>
      </c>
      <c r="F3088" t="str">
        <f>HYPERLINK("https://www.google.com/maps/search/?api=1&amp;query=20.46012959,44.8325353", "View Map")</f>
        <v>View Map</v>
      </c>
      <c r="G3088" s="2">
        <v>0.41627964813504509</v>
      </c>
    </row>
    <row r="3089" spans="1:7" x14ac:dyDescent="0.3">
      <c r="A3089" t="s">
        <v>112</v>
      </c>
      <c r="B3089" t="s">
        <v>4893</v>
      </c>
      <c r="C3089" t="s">
        <v>8</v>
      </c>
      <c r="D3089">
        <v>3.1949999999999998</v>
      </c>
      <c r="E3089" s="4">
        <v>1022</v>
      </c>
      <c r="F3089" t="str">
        <f>HYPERLINK("https://www.google.com/maps/search/?api=1&amp;query=24.58057329,46.55179855", "View Map")</f>
        <v>View Map</v>
      </c>
    </row>
    <row r="3090" spans="1:7" x14ac:dyDescent="0.3">
      <c r="A3090" t="s">
        <v>6247</v>
      </c>
      <c r="B3090" t="s">
        <v>6248</v>
      </c>
      <c r="C3090" t="s">
        <v>8</v>
      </c>
      <c r="D3090">
        <v>3.1949999999999998</v>
      </c>
      <c r="E3090" s="4">
        <v>1023</v>
      </c>
      <c r="F3090" t="str">
        <f>HYPERLINK("https://www.google.com/maps/search/?api=1&amp;query=24.65588646,46.75547512", "View Map")</f>
        <v>View Map</v>
      </c>
    </row>
    <row r="3091" spans="1:7" x14ac:dyDescent="0.3">
      <c r="A3091" t="s">
        <v>6313</v>
      </c>
      <c r="B3091" t="s">
        <v>6314</v>
      </c>
      <c r="C3091" t="s">
        <v>8</v>
      </c>
      <c r="D3091">
        <v>3.1949999999999998</v>
      </c>
      <c r="E3091" s="4">
        <v>1022</v>
      </c>
      <c r="F3091" t="str">
        <f>HYPERLINK("https://www.google.com/maps/search/?api=1&amp;query=24.8043107,46.66636311", "View Map")</f>
        <v>View Map</v>
      </c>
    </row>
    <row r="3092" spans="1:7" x14ac:dyDescent="0.3">
      <c r="A3092" t="s">
        <v>6814</v>
      </c>
      <c r="B3092" t="s">
        <v>6815</v>
      </c>
      <c r="C3092" t="s">
        <v>8</v>
      </c>
      <c r="D3092">
        <v>3.1949999999999998</v>
      </c>
      <c r="E3092" s="4">
        <v>1022</v>
      </c>
      <c r="F3092" t="str">
        <f>HYPERLINK("https://www.google.com/maps/search/?api=1&amp;query=24.57140106,46.7823948", "View Map")</f>
        <v>View Map</v>
      </c>
    </row>
    <row r="3093" spans="1:7" x14ac:dyDescent="0.3">
      <c r="A3093" t="s">
        <v>8026</v>
      </c>
      <c r="B3093" t="s">
        <v>8027</v>
      </c>
      <c r="C3093" t="s">
        <v>364</v>
      </c>
      <c r="D3093">
        <v>3.1930000000000001</v>
      </c>
      <c r="E3093" s="4">
        <v>1022</v>
      </c>
      <c r="F3093" t="str">
        <f>HYPERLINK("https://www.google.com/maps/search/?api=1&amp;query=25.16076551,45.79628386", "View Map")</f>
        <v>View Map</v>
      </c>
      <c r="G3093" s="2">
        <v>0.88383917206119988</v>
      </c>
    </row>
    <row r="3094" spans="1:7" x14ac:dyDescent="0.3">
      <c r="A3094" t="s">
        <v>7419</v>
      </c>
      <c r="B3094" t="s">
        <v>7420</v>
      </c>
      <c r="C3094" t="s">
        <v>8</v>
      </c>
      <c r="D3094">
        <v>3.1920000000000002</v>
      </c>
      <c r="E3094" s="4">
        <v>1022</v>
      </c>
      <c r="F3094" t="str">
        <f>HYPERLINK("https://www.google.com/maps/search/?api=1&amp;query=24.65819426,46.5860862", "View Map")</f>
        <v>View Map</v>
      </c>
      <c r="G3094" s="2">
        <v>0.76034377746139858</v>
      </c>
    </row>
    <row r="3095" spans="1:7" x14ac:dyDescent="0.3">
      <c r="A3095" t="s">
        <v>908</v>
      </c>
      <c r="B3095" t="s">
        <v>909</v>
      </c>
      <c r="C3095" t="s">
        <v>8</v>
      </c>
      <c r="D3095">
        <v>3.1920000000000002</v>
      </c>
      <c r="E3095" s="4">
        <v>1022</v>
      </c>
      <c r="F3095" t="str">
        <f>HYPERLINK("https://www.google.com/maps/search/?api=1&amp;query=24.7825397,46.61671202", "View Map")</f>
        <v>View Map</v>
      </c>
    </row>
    <row r="3096" spans="1:7" x14ac:dyDescent="0.3">
      <c r="A3096" t="s">
        <v>6253</v>
      </c>
      <c r="B3096" t="s">
        <v>6834</v>
      </c>
      <c r="C3096" t="s">
        <v>255</v>
      </c>
      <c r="D3096">
        <v>3.1909999999999998</v>
      </c>
      <c r="E3096" s="4">
        <v>1021</v>
      </c>
      <c r="F3096" t="str">
        <f>HYPERLINK("https://www.google.com/maps/search/?api=1&amp;query=24.33907538,44.80788009", "View Map")</f>
        <v>View Map</v>
      </c>
      <c r="G3096" s="2">
        <v>0.61911856561652323</v>
      </c>
    </row>
    <row r="3097" spans="1:7" x14ac:dyDescent="0.3">
      <c r="A3097" t="s">
        <v>5802</v>
      </c>
      <c r="B3097" t="s">
        <v>5803</v>
      </c>
      <c r="C3097" t="s">
        <v>364</v>
      </c>
      <c r="D3097">
        <v>3.1909999999999998</v>
      </c>
      <c r="E3097" s="4">
        <v>1021</v>
      </c>
      <c r="F3097" t="str">
        <f>HYPERLINK("https://www.google.com/maps/search/?api=1&amp;query=25.17208609,45.80203158", "View Map")</f>
        <v>View Map</v>
      </c>
    </row>
    <row r="3098" spans="1:7" x14ac:dyDescent="0.3">
      <c r="A3098" t="s">
        <v>242</v>
      </c>
      <c r="B3098" t="s">
        <v>8116</v>
      </c>
      <c r="C3098" t="s">
        <v>8</v>
      </c>
      <c r="D3098">
        <v>3.19</v>
      </c>
      <c r="E3098" s="4">
        <v>1021</v>
      </c>
      <c r="F3098" t="str">
        <f>HYPERLINK("https://www.google.com/maps/search/?api=1&amp;query=24.77348636,46.80756957", "View Map")</f>
        <v>View Map</v>
      </c>
    </row>
    <row r="3099" spans="1:7" x14ac:dyDescent="0.3">
      <c r="A3099" t="s">
        <v>5343</v>
      </c>
      <c r="B3099" t="s">
        <v>5344</v>
      </c>
      <c r="C3099" t="s">
        <v>8</v>
      </c>
      <c r="D3099">
        <v>3.1890000000000001</v>
      </c>
      <c r="E3099" s="4">
        <v>1020</v>
      </c>
      <c r="F3099" t="str">
        <f>HYPERLINK("https://www.google.com/maps/search/?api=1&amp;query=24.81847379,46.81534706", "View Map")</f>
        <v>View Map</v>
      </c>
    </row>
    <row r="3100" spans="1:7" x14ac:dyDescent="0.3">
      <c r="A3100" t="s">
        <v>10878</v>
      </c>
      <c r="B3100" t="s">
        <v>10879</v>
      </c>
      <c r="C3100" t="s">
        <v>55</v>
      </c>
      <c r="D3100">
        <v>3.1880000000000002</v>
      </c>
      <c r="E3100" s="4">
        <v>1020</v>
      </c>
      <c r="F3100" t="str">
        <f>HYPERLINK("https://www.google.com/maps/search/?api=1&amp;query=24.74899343,46.56930956", "View Map")</f>
        <v>View Map</v>
      </c>
    </row>
    <row r="3101" spans="1:7" x14ac:dyDescent="0.3">
      <c r="A3101" t="s">
        <v>150</v>
      </c>
      <c r="B3101" t="s">
        <v>5804</v>
      </c>
      <c r="C3101" t="s">
        <v>8</v>
      </c>
      <c r="D3101">
        <v>3.1880000000000002</v>
      </c>
      <c r="E3101" s="4">
        <v>1020</v>
      </c>
      <c r="F3101" t="str">
        <f>HYPERLINK("https://www.google.com/maps/search/?api=1&amp;query=24.81753844,46.8770442", "View Map")</f>
        <v>View Map</v>
      </c>
    </row>
    <row r="3102" spans="1:7" x14ac:dyDescent="0.3">
      <c r="A3102" t="s">
        <v>5669</v>
      </c>
      <c r="B3102" t="s">
        <v>5670</v>
      </c>
      <c r="C3102" t="s">
        <v>8</v>
      </c>
      <c r="D3102">
        <v>3.1859999999999999</v>
      </c>
      <c r="E3102" s="4">
        <v>1019</v>
      </c>
      <c r="F3102" t="str">
        <f>HYPERLINK("https://www.google.com/maps/search/?api=1&amp;query=24.60749038,46.74804161", "View Map")</f>
        <v>View Map</v>
      </c>
    </row>
    <row r="3103" spans="1:7" x14ac:dyDescent="0.3">
      <c r="A3103" t="s">
        <v>7351</v>
      </c>
      <c r="B3103" t="s">
        <v>7352</v>
      </c>
      <c r="C3103" t="s">
        <v>8</v>
      </c>
      <c r="D3103">
        <v>3.1840000000000002</v>
      </c>
      <c r="E3103" s="4">
        <v>1019</v>
      </c>
      <c r="F3103" t="str">
        <f>HYPERLINK("https://www.google.com/maps/search/?api=1&amp;query=24.8016151,46.64619247", "View Map")</f>
        <v>View Map</v>
      </c>
    </row>
    <row r="3104" spans="1:7" x14ac:dyDescent="0.3">
      <c r="A3104" t="s">
        <v>4324</v>
      </c>
      <c r="B3104" t="s">
        <v>4696</v>
      </c>
      <c r="C3104" t="s">
        <v>8</v>
      </c>
      <c r="D3104">
        <v>3.1840000000000002</v>
      </c>
      <c r="E3104" s="4">
        <v>1019</v>
      </c>
      <c r="F3104" t="str">
        <f>HYPERLINK("https://www.google.com/maps/search/?api=1&amp;query=24.50292507,46.63061117", "View Map")</f>
        <v>View Map</v>
      </c>
      <c r="G3104" s="2">
        <v>0.47501104719364667</v>
      </c>
    </row>
    <row r="3105" spans="1:7" x14ac:dyDescent="0.3">
      <c r="A3105" t="s">
        <v>2439</v>
      </c>
      <c r="B3105" t="s">
        <v>2440</v>
      </c>
      <c r="C3105" t="s">
        <v>8</v>
      </c>
      <c r="D3105">
        <v>3.1819999999999999</v>
      </c>
      <c r="E3105" s="4">
        <v>1018</v>
      </c>
      <c r="F3105" t="str">
        <f>HYPERLINK("https://www.google.com/maps/search/?api=1&amp;query=24.70104458,46.78713846", "View Map")</f>
        <v>View Map</v>
      </c>
    </row>
    <row r="3106" spans="1:7" x14ac:dyDescent="0.3">
      <c r="A3106" t="s">
        <v>5756</v>
      </c>
      <c r="B3106" t="s">
        <v>5757</v>
      </c>
      <c r="C3106" t="s">
        <v>21</v>
      </c>
      <c r="D3106">
        <v>3.1819999999999999</v>
      </c>
      <c r="E3106" s="4">
        <v>1018</v>
      </c>
      <c r="F3106" t="str">
        <f>HYPERLINK("https://www.google.com/maps/search/?api=1&amp;query=26.28938709,44.81911629", "View Map")</f>
        <v>View Map</v>
      </c>
      <c r="G3106" s="2">
        <v>0.60262209312366377</v>
      </c>
    </row>
    <row r="3107" spans="1:7" x14ac:dyDescent="0.3">
      <c r="A3107" t="s">
        <v>627</v>
      </c>
      <c r="B3107" t="s">
        <v>10799</v>
      </c>
      <c r="C3107" t="s">
        <v>8</v>
      </c>
      <c r="D3107">
        <v>3.181</v>
      </c>
      <c r="E3107" s="4">
        <v>1018</v>
      </c>
      <c r="F3107" t="str">
        <f>HYPERLINK("https://www.google.com/maps/search/?api=1&amp;query=24.80660484,46.6263806", "View Map")</f>
        <v>View Map</v>
      </c>
    </row>
    <row r="3108" spans="1:7" x14ac:dyDescent="0.3">
      <c r="A3108" t="s">
        <v>11417</v>
      </c>
      <c r="B3108" t="s">
        <v>11418</v>
      </c>
      <c r="C3108" t="s">
        <v>214</v>
      </c>
      <c r="D3108">
        <v>3.181</v>
      </c>
      <c r="E3108" s="4">
        <v>1018</v>
      </c>
      <c r="F3108" t="str">
        <f>HYPERLINK("https://www.google.com/maps/search/?api=1&amp;query=26.88108936,45.31515068", "View Map")</f>
        <v>View Map</v>
      </c>
      <c r="G3108" s="2">
        <v>0.41716988310161163</v>
      </c>
    </row>
    <row r="3109" spans="1:7" x14ac:dyDescent="0.3">
      <c r="A3109" t="s">
        <v>2867</v>
      </c>
      <c r="B3109" t="s">
        <v>6997</v>
      </c>
      <c r="C3109" t="s">
        <v>8</v>
      </c>
      <c r="D3109">
        <v>3.18</v>
      </c>
      <c r="E3109" s="4">
        <v>1018</v>
      </c>
      <c r="F3109" t="str">
        <f>HYPERLINK("https://www.google.com/maps/search/?api=1&amp;query=24.5773279,46.78669752", "View Map")</f>
        <v>View Map</v>
      </c>
    </row>
    <row r="3110" spans="1:7" x14ac:dyDescent="0.3">
      <c r="A3110" t="s">
        <v>146</v>
      </c>
      <c r="B3110" t="s">
        <v>1115</v>
      </c>
      <c r="C3110" t="s">
        <v>8</v>
      </c>
      <c r="D3110">
        <v>3.18</v>
      </c>
      <c r="E3110" s="4">
        <v>1018</v>
      </c>
      <c r="F3110" t="str">
        <f>HYPERLINK("https://www.google.com/maps/search/?api=1&amp;query=24.56143855,46.55122751", "View Map")</f>
        <v>View Map</v>
      </c>
    </row>
    <row r="3111" spans="1:7" x14ac:dyDescent="0.3">
      <c r="A3111" t="s">
        <v>6031</v>
      </c>
      <c r="B3111" t="s">
        <v>6032</v>
      </c>
      <c r="C3111" t="s">
        <v>255</v>
      </c>
      <c r="D3111">
        <v>3.1779999999999999</v>
      </c>
      <c r="E3111" s="4">
        <v>1017</v>
      </c>
      <c r="F3111" t="str">
        <f>HYPERLINK("https://www.google.com/maps/search/?api=1&amp;query=24.53853447,44.27143806", "View Map")</f>
        <v>View Map</v>
      </c>
      <c r="G3111" s="2">
        <v>0.68257274482130814</v>
      </c>
    </row>
    <row r="3112" spans="1:7" x14ac:dyDescent="0.3">
      <c r="A3112" t="s">
        <v>5378</v>
      </c>
      <c r="B3112" t="s">
        <v>5379</v>
      </c>
      <c r="C3112" t="s">
        <v>77</v>
      </c>
      <c r="D3112">
        <v>3.1779999999999999</v>
      </c>
      <c r="E3112" s="4">
        <v>1017</v>
      </c>
      <c r="F3112" t="str">
        <f>HYPERLINK("https://www.google.com/maps/search/?api=1&amp;query=22.2836513,46.73014606", "View Map")</f>
        <v>View Map</v>
      </c>
    </row>
    <row r="3113" spans="1:7" x14ac:dyDescent="0.3">
      <c r="A3113" t="s">
        <v>6199</v>
      </c>
      <c r="B3113" t="s">
        <v>6200</v>
      </c>
      <c r="C3113" t="s">
        <v>8</v>
      </c>
      <c r="D3113">
        <v>3.177</v>
      </c>
      <c r="E3113" s="4">
        <v>1017</v>
      </c>
      <c r="F3113" t="str">
        <f>HYPERLINK("https://www.google.com/maps/search/?api=1&amp;query=24.78139443,46.75686147", "View Map")</f>
        <v>View Map</v>
      </c>
    </row>
    <row r="3114" spans="1:7" x14ac:dyDescent="0.3">
      <c r="A3114" t="s">
        <v>5468</v>
      </c>
      <c r="B3114" t="s">
        <v>5469</v>
      </c>
      <c r="C3114" t="s">
        <v>8</v>
      </c>
      <c r="D3114">
        <v>3.1739999999999999</v>
      </c>
      <c r="E3114" s="4">
        <v>1016</v>
      </c>
      <c r="F3114" t="str">
        <f>HYPERLINK("https://www.google.com/maps/search/?api=1&amp;query=24.73249627,46.84929082", "View Map")</f>
        <v>View Map</v>
      </c>
    </row>
    <row r="3115" spans="1:7" x14ac:dyDescent="0.3">
      <c r="A3115" t="s">
        <v>5338</v>
      </c>
      <c r="B3115" t="s">
        <v>5339</v>
      </c>
      <c r="C3115" t="s">
        <v>77</v>
      </c>
      <c r="D3115">
        <v>3.1739999999999999</v>
      </c>
      <c r="E3115" s="4">
        <v>1016</v>
      </c>
      <c r="F3115" t="str">
        <f>HYPERLINK("https://www.google.com/maps/search/?api=1&amp;query=22.35268259,46.66879953", "View Map")</f>
        <v>View Map</v>
      </c>
      <c r="G3115" s="2">
        <v>0.52509548211537127</v>
      </c>
    </row>
    <row r="3116" spans="1:7" x14ac:dyDescent="0.3">
      <c r="A3116" t="s">
        <v>73</v>
      </c>
      <c r="B3116" t="s">
        <v>400</v>
      </c>
      <c r="C3116" t="s">
        <v>8</v>
      </c>
      <c r="D3116">
        <v>3.173</v>
      </c>
      <c r="E3116" s="4">
        <v>1015</v>
      </c>
      <c r="F3116" t="str">
        <f>HYPERLINK("https://www.google.com/maps/search/?api=1&amp;query=24.81487507,46.61758932", "View Map")</f>
        <v>View Map</v>
      </c>
      <c r="G3116" s="2">
        <v>0.1031766266878268</v>
      </c>
    </row>
    <row r="3117" spans="1:7" x14ac:dyDescent="0.3">
      <c r="A3117" t="s">
        <v>385</v>
      </c>
      <c r="B3117" t="s">
        <v>5422</v>
      </c>
      <c r="C3117" t="s">
        <v>255</v>
      </c>
      <c r="D3117">
        <v>3.17</v>
      </c>
      <c r="E3117" s="4">
        <v>1014</v>
      </c>
      <c r="F3117" t="str">
        <f>HYPERLINK("https://www.google.com/maps/search/?api=1&amp;query=24.5272251,44.39335204", "View Map")</f>
        <v>View Map</v>
      </c>
    </row>
    <row r="3118" spans="1:7" x14ac:dyDescent="0.3">
      <c r="A3118" t="s">
        <v>7732</v>
      </c>
      <c r="B3118" t="s">
        <v>7733</v>
      </c>
      <c r="C3118" t="s">
        <v>8</v>
      </c>
      <c r="D3118">
        <v>3.1680000000000001</v>
      </c>
      <c r="E3118" s="4">
        <v>1014</v>
      </c>
      <c r="F3118" t="str">
        <f>HYPERLINK("https://www.google.com/maps/search/?api=1&amp;query=24.65705276,46.67542806", "View Map")</f>
        <v>View Map</v>
      </c>
    </row>
    <row r="3119" spans="1:7" x14ac:dyDescent="0.3">
      <c r="A3119" t="s">
        <v>275</v>
      </c>
      <c r="B3119" t="s">
        <v>7530</v>
      </c>
      <c r="C3119" t="s">
        <v>8</v>
      </c>
      <c r="D3119">
        <v>3.1680000000000001</v>
      </c>
      <c r="E3119" s="4">
        <v>1014</v>
      </c>
      <c r="F3119" t="str">
        <f>HYPERLINK("https://www.google.com/maps/search/?api=1&amp;query=24.76762151,46.73791755", "View Map")</f>
        <v>View Map</v>
      </c>
      <c r="G3119" s="2">
        <v>0.4657883211060147</v>
      </c>
    </row>
    <row r="3120" spans="1:7" x14ac:dyDescent="0.3">
      <c r="A3120" t="s">
        <v>11419</v>
      </c>
      <c r="B3120" t="s">
        <v>11420</v>
      </c>
      <c r="C3120" t="s">
        <v>30</v>
      </c>
      <c r="D3120">
        <v>3.1589999999999998</v>
      </c>
      <c r="E3120" s="4">
        <v>1011</v>
      </c>
      <c r="F3120" t="str">
        <f>HYPERLINK("https://www.google.com/maps/search/?api=1&amp;query=24.14661508,47.35671141", "View Map")</f>
        <v>View Map</v>
      </c>
      <c r="G3120" s="2">
        <v>0.48422645455140351</v>
      </c>
    </row>
    <row r="3121" spans="1:7" x14ac:dyDescent="0.3">
      <c r="A3121" t="s">
        <v>150</v>
      </c>
      <c r="B3121" t="s">
        <v>7699</v>
      </c>
      <c r="C3121" t="s">
        <v>8</v>
      </c>
      <c r="D3121">
        <v>3.1589999999999998</v>
      </c>
      <c r="E3121" s="4">
        <v>1011</v>
      </c>
      <c r="F3121" t="str">
        <f>HYPERLINK("https://www.google.com/maps/search/?api=1&amp;query=24.83418982,46.74371809", "View Map")</f>
        <v>View Map</v>
      </c>
    </row>
    <row r="3122" spans="1:7" x14ac:dyDescent="0.3">
      <c r="A3122" t="s">
        <v>5764</v>
      </c>
      <c r="B3122" t="s">
        <v>5765</v>
      </c>
      <c r="C3122" t="s">
        <v>291</v>
      </c>
      <c r="D3122">
        <v>3.1579999999999999</v>
      </c>
      <c r="E3122" s="4">
        <v>1011</v>
      </c>
      <c r="F3122" t="str">
        <f>HYPERLINK("https://www.google.com/maps/search/?api=1&amp;query=24.30419788,45.82768897", "View Map")</f>
        <v>View Map</v>
      </c>
      <c r="G3122" s="2">
        <v>0.88168190398704926</v>
      </c>
    </row>
    <row r="3123" spans="1:7" x14ac:dyDescent="0.3">
      <c r="A3123" t="s">
        <v>5090</v>
      </c>
      <c r="B3123" t="s">
        <v>5091</v>
      </c>
      <c r="C3123" t="s">
        <v>8</v>
      </c>
      <c r="D3123">
        <v>3.1579999999999999</v>
      </c>
      <c r="E3123" s="4">
        <v>1010</v>
      </c>
      <c r="F3123" t="str">
        <f>HYPERLINK("https://www.google.com/maps/search/?api=1&amp;query=24.71378733,46.696004", "View Map")</f>
        <v>View Map</v>
      </c>
    </row>
    <row r="3124" spans="1:7" x14ac:dyDescent="0.3">
      <c r="A3124" t="s">
        <v>9945</v>
      </c>
      <c r="B3124" t="s">
        <v>9946</v>
      </c>
      <c r="C3124" t="s">
        <v>21</v>
      </c>
      <c r="D3124">
        <v>3.157</v>
      </c>
      <c r="E3124" s="4">
        <v>1010</v>
      </c>
      <c r="F3124" t="str">
        <f>HYPERLINK("https://www.google.com/maps/search/?api=1&amp;query=26.25259888,44.82221262", "View Map")</f>
        <v>View Map</v>
      </c>
      <c r="G3124" s="2">
        <v>0.76877191518276078</v>
      </c>
    </row>
    <row r="3125" spans="1:7" x14ac:dyDescent="0.3">
      <c r="A3125" t="s">
        <v>7316</v>
      </c>
      <c r="B3125" t="s">
        <v>7317</v>
      </c>
      <c r="C3125" t="s">
        <v>8</v>
      </c>
      <c r="D3125">
        <v>3.157</v>
      </c>
      <c r="E3125" s="4">
        <v>1010</v>
      </c>
      <c r="F3125" t="str">
        <f>HYPERLINK("https://www.google.com/maps/search/?api=1&amp;query=24.59872643,46.70370813", "View Map")</f>
        <v>View Map</v>
      </c>
    </row>
    <row r="3126" spans="1:7" x14ac:dyDescent="0.3">
      <c r="A3126" t="s">
        <v>11421</v>
      </c>
      <c r="B3126" t="s">
        <v>11422</v>
      </c>
      <c r="C3126" t="s">
        <v>393</v>
      </c>
      <c r="D3126">
        <v>3.1560000000000001</v>
      </c>
      <c r="E3126" s="4">
        <v>1010</v>
      </c>
      <c r="F3126" t="str">
        <f>HYPERLINK("https://www.google.com/maps/search/?api=1&amp;query=23.54869278,45.47526191", "View Map")</f>
        <v>View Map</v>
      </c>
      <c r="G3126" s="2">
        <v>0.94211263001951717</v>
      </c>
    </row>
    <row r="3127" spans="1:7" x14ac:dyDescent="0.3">
      <c r="A3127" t="s">
        <v>46</v>
      </c>
      <c r="B3127" t="s">
        <v>6860</v>
      </c>
      <c r="C3127" t="s">
        <v>8</v>
      </c>
      <c r="D3127">
        <v>3.1539999999999999</v>
      </c>
      <c r="E3127" s="4">
        <v>1009</v>
      </c>
      <c r="F3127" t="str">
        <f>HYPERLINK("https://www.google.com/maps/search/?api=1&amp;query=24.7794697,46.8378725", "View Map")</f>
        <v>View Map</v>
      </c>
    </row>
    <row r="3128" spans="1:7" x14ac:dyDescent="0.3">
      <c r="A3128" t="s">
        <v>5727</v>
      </c>
      <c r="B3128" t="s">
        <v>5728</v>
      </c>
      <c r="C3128" t="s">
        <v>8</v>
      </c>
      <c r="D3128">
        <v>3.1539999999999999</v>
      </c>
      <c r="E3128" s="4">
        <v>1009</v>
      </c>
      <c r="F3128" t="str">
        <f>HYPERLINK("https://www.google.com/maps/search/?api=1&amp;query=24.59826043,46.58311059", "View Map")</f>
        <v>View Map</v>
      </c>
    </row>
    <row r="3129" spans="1:7" x14ac:dyDescent="0.3">
      <c r="A3129" t="s">
        <v>2063</v>
      </c>
      <c r="B3129" t="s">
        <v>2064</v>
      </c>
      <c r="C3129" t="s">
        <v>255</v>
      </c>
      <c r="D3129">
        <v>3.1509999999999998</v>
      </c>
      <c r="E3129" s="4">
        <v>1008</v>
      </c>
      <c r="F3129" t="str">
        <f>HYPERLINK("https://www.google.com/maps/search/?api=1&amp;query=24.51519258,44.38269998", "View Map")</f>
        <v>View Map</v>
      </c>
      <c r="G3129" s="2">
        <v>0.23555901763502229</v>
      </c>
    </row>
    <row r="3130" spans="1:7" x14ac:dyDescent="0.3">
      <c r="A3130" t="s">
        <v>6767</v>
      </c>
      <c r="B3130" t="s">
        <v>6768</v>
      </c>
      <c r="C3130" t="s">
        <v>286</v>
      </c>
      <c r="D3130">
        <v>3.1480000000000001</v>
      </c>
      <c r="E3130" s="4">
        <v>1007</v>
      </c>
      <c r="F3130" t="str">
        <f>HYPERLINK("https://www.google.com/maps/search/?api=1&amp;query=25.44723793,45.29628393", "View Map")</f>
        <v>View Map</v>
      </c>
      <c r="G3130" s="2">
        <v>0.74146672047965501</v>
      </c>
    </row>
    <row r="3131" spans="1:7" x14ac:dyDescent="0.3">
      <c r="A3131" t="s">
        <v>7115</v>
      </c>
      <c r="B3131" t="s">
        <v>7116</v>
      </c>
      <c r="C3131" t="s">
        <v>883</v>
      </c>
      <c r="D3131">
        <v>3.1480000000000001</v>
      </c>
      <c r="E3131" s="4">
        <v>1007</v>
      </c>
      <c r="F3131" t="str">
        <f>HYPERLINK("https://www.google.com/maps/search/?api=1&amp;query=25.40775821,47.21124846", "View Map")</f>
        <v>View Map</v>
      </c>
      <c r="G3131" s="2">
        <v>0.73827409221496088</v>
      </c>
    </row>
    <row r="3132" spans="1:7" x14ac:dyDescent="0.3">
      <c r="A3132" t="s">
        <v>10525</v>
      </c>
      <c r="B3132" t="s">
        <v>10526</v>
      </c>
      <c r="C3132" t="s">
        <v>8</v>
      </c>
      <c r="D3132">
        <v>3.1469999999999998</v>
      </c>
      <c r="E3132" s="4">
        <v>1007</v>
      </c>
      <c r="F3132" t="str">
        <f>HYPERLINK("https://www.google.com/maps/search/?api=1&amp;query=24.5996097,46.68403518", "View Map")</f>
        <v>View Map</v>
      </c>
    </row>
    <row r="3133" spans="1:7" x14ac:dyDescent="0.3">
      <c r="A3133" t="s">
        <v>289</v>
      </c>
      <c r="B3133" t="s">
        <v>5781</v>
      </c>
      <c r="C3133" t="s">
        <v>393</v>
      </c>
      <c r="D3133">
        <v>3.1469999999999998</v>
      </c>
      <c r="E3133" s="4">
        <v>1007</v>
      </c>
      <c r="F3133" t="str">
        <f>HYPERLINK("https://www.google.com/maps/search/?api=1&amp;query=22.61735234,45.07455042", "View Map")</f>
        <v>View Map</v>
      </c>
      <c r="G3133" s="2">
        <v>0.91706217294297721</v>
      </c>
    </row>
    <row r="3134" spans="1:7" x14ac:dyDescent="0.3">
      <c r="A3134" t="s">
        <v>11080</v>
      </c>
      <c r="B3134" t="s">
        <v>11081</v>
      </c>
      <c r="C3134" t="s">
        <v>8</v>
      </c>
      <c r="D3134">
        <v>3.1469999999999998</v>
      </c>
      <c r="E3134" s="4">
        <v>1007</v>
      </c>
      <c r="F3134" t="str">
        <f>HYPERLINK("https://www.google.com/maps/search/?api=1&amp;query=24.60107853,46.62434525", "View Map")</f>
        <v>View Map</v>
      </c>
    </row>
    <row r="3135" spans="1:7" x14ac:dyDescent="0.3">
      <c r="A3135" t="s">
        <v>7137</v>
      </c>
      <c r="B3135" t="s">
        <v>7138</v>
      </c>
      <c r="C3135" t="s">
        <v>8</v>
      </c>
      <c r="D3135">
        <v>3.1469999999999998</v>
      </c>
      <c r="E3135" s="4">
        <v>1007</v>
      </c>
      <c r="F3135" t="str">
        <f>HYPERLINK("https://www.google.com/maps/search/?api=1&amp;query=24.53152096,46.72424144", "View Map")</f>
        <v>View Map</v>
      </c>
    </row>
    <row r="3136" spans="1:7" x14ac:dyDescent="0.3">
      <c r="A3136" t="s">
        <v>5352</v>
      </c>
      <c r="B3136" t="s">
        <v>5353</v>
      </c>
      <c r="C3136" t="s">
        <v>270</v>
      </c>
      <c r="D3136">
        <v>3.1469999999999998</v>
      </c>
      <c r="E3136" s="4">
        <v>1007</v>
      </c>
      <c r="F3136" t="str">
        <f>HYPERLINK("https://www.google.com/maps/search/?api=1&amp;query=23.99436462,47.1318983", "View Map")</f>
        <v>View Map</v>
      </c>
    </row>
    <row r="3137" spans="1:7" x14ac:dyDescent="0.3">
      <c r="A3137" t="s">
        <v>46</v>
      </c>
      <c r="B3137" t="s">
        <v>9113</v>
      </c>
      <c r="C3137" t="s">
        <v>55</v>
      </c>
      <c r="D3137">
        <v>3.1459999999999999</v>
      </c>
      <c r="E3137" s="4">
        <v>1007</v>
      </c>
      <c r="F3137" t="str">
        <f>HYPERLINK("https://www.google.com/maps/search/?api=1&amp;query=24.78145877,46.57774639", "View Map")</f>
        <v>View Map</v>
      </c>
    </row>
    <row r="3138" spans="1:7" x14ac:dyDescent="0.3">
      <c r="A3138" t="s">
        <v>7543</v>
      </c>
      <c r="B3138" t="s">
        <v>7544</v>
      </c>
      <c r="C3138" t="s">
        <v>8</v>
      </c>
      <c r="D3138">
        <v>3.145</v>
      </c>
      <c r="E3138" s="4">
        <v>1007</v>
      </c>
      <c r="F3138" t="str">
        <f>HYPERLINK("https://www.google.com/maps/search/?api=1&amp;query=24.55335453,46.86842219", "View Map")</f>
        <v>View Map</v>
      </c>
    </row>
    <row r="3139" spans="1:7" x14ac:dyDescent="0.3">
      <c r="A3139" t="s">
        <v>7728</v>
      </c>
      <c r="B3139" t="s">
        <v>7729</v>
      </c>
      <c r="C3139" t="s">
        <v>8</v>
      </c>
      <c r="D3139">
        <v>3.1440000000000001</v>
      </c>
      <c r="E3139" s="4">
        <v>1006</v>
      </c>
      <c r="F3139" t="str">
        <f>HYPERLINK("https://www.google.com/maps/search/?api=1&amp;query=24.72159968,46.83753929", "View Map")</f>
        <v>View Map</v>
      </c>
    </row>
    <row r="3140" spans="1:7" x14ac:dyDescent="0.3">
      <c r="A3140" t="s">
        <v>5760</v>
      </c>
      <c r="B3140" t="s">
        <v>5761</v>
      </c>
      <c r="C3140" t="s">
        <v>8</v>
      </c>
      <c r="D3140">
        <v>3.1419999999999999</v>
      </c>
      <c r="E3140" s="4">
        <v>1005</v>
      </c>
      <c r="F3140" t="str">
        <f>HYPERLINK("https://www.google.com/maps/search/?api=1&amp;query=24.70083532,46.76946321", "View Map")</f>
        <v>View Map</v>
      </c>
    </row>
    <row r="3141" spans="1:7" x14ac:dyDescent="0.3">
      <c r="A3141" t="s">
        <v>46</v>
      </c>
      <c r="B3141" t="s">
        <v>656</v>
      </c>
      <c r="C3141" t="s">
        <v>55</v>
      </c>
      <c r="D3141">
        <v>3.141</v>
      </c>
      <c r="E3141" s="4">
        <v>1005</v>
      </c>
      <c r="F3141" t="str">
        <f>HYPERLINK("https://www.google.com/maps/search/?api=1&amp;query=24.78281,46.56064", "View Map")</f>
        <v>View Map</v>
      </c>
      <c r="G3141" s="2">
        <v>0.1225609875566345</v>
      </c>
    </row>
    <row r="3142" spans="1:7" x14ac:dyDescent="0.3">
      <c r="A3142" t="s">
        <v>10366</v>
      </c>
      <c r="B3142" t="s">
        <v>10367</v>
      </c>
      <c r="C3142" t="s">
        <v>241</v>
      </c>
      <c r="D3142">
        <v>3.1379999999999999</v>
      </c>
      <c r="E3142" s="4">
        <v>1004</v>
      </c>
      <c r="F3142" t="str">
        <f>HYPERLINK("https://www.google.com/maps/search/?api=1&amp;query=20.41361575,44.83857602", "View Map")</f>
        <v>View Map</v>
      </c>
    </row>
    <row r="3143" spans="1:7" x14ac:dyDescent="0.3">
      <c r="A3143" t="s">
        <v>6376</v>
      </c>
      <c r="B3143" t="s">
        <v>6377</v>
      </c>
      <c r="C3143" t="s">
        <v>393</v>
      </c>
      <c r="D3143">
        <v>3.137</v>
      </c>
      <c r="E3143" s="4">
        <v>1004</v>
      </c>
      <c r="F3143" t="str">
        <f>HYPERLINK("https://www.google.com/maps/search/?api=1&amp;query=23.22779555,45.53071492", "View Map")</f>
        <v>View Map</v>
      </c>
      <c r="G3143" s="2">
        <v>0.56402775039360231</v>
      </c>
    </row>
    <row r="3144" spans="1:7" x14ac:dyDescent="0.3">
      <c r="A3144" t="s">
        <v>46</v>
      </c>
      <c r="B3144" t="s">
        <v>7690</v>
      </c>
      <c r="C3144" t="s">
        <v>8</v>
      </c>
      <c r="D3144">
        <v>3.137</v>
      </c>
      <c r="E3144" s="4">
        <v>1004</v>
      </c>
      <c r="F3144" t="str">
        <f>HYPERLINK("https://www.google.com/maps/search/?api=1&amp;query=24.83664801,46.66750039", "View Map")</f>
        <v>View Map</v>
      </c>
    </row>
    <row r="3145" spans="1:7" x14ac:dyDescent="0.3">
      <c r="A3145" t="s">
        <v>10404</v>
      </c>
      <c r="B3145" t="s">
        <v>10405</v>
      </c>
      <c r="C3145" t="s">
        <v>699</v>
      </c>
      <c r="D3145">
        <v>3.137</v>
      </c>
      <c r="E3145" s="4">
        <v>1004</v>
      </c>
      <c r="F3145" t="str">
        <f>HYPERLINK("https://www.google.com/maps/search/?api=1&amp;query=24.44878782,45.44294053", "View Map")</f>
        <v>View Map</v>
      </c>
      <c r="G3145" s="2">
        <v>0.56583666258834153</v>
      </c>
    </row>
    <row r="3146" spans="1:7" x14ac:dyDescent="0.3">
      <c r="A3146" t="s">
        <v>7190</v>
      </c>
      <c r="B3146" t="s">
        <v>7191</v>
      </c>
      <c r="C3146" t="s">
        <v>393</v>
      </c>
      <c r="D3146">
        <v>3.137</v>
      </c>
      <c r="E3146" s="4">
        <v>1004</v>
      </c>
      <c r="F3146" t="str">
        <f>HYPERLINK("https://www.google.com/maps/search/?api=1&amp;query=22.66914164,44.73575916", "View Map")</f>
        <v>View Map</v>
      </c>
      <c r="G3146" s="2">
        <v>0.95806438453464704</v>
      </c>
    </row>
    <row r="3147" spans="1:7" x14ac:dyDescent="0.3">
      <c r="A3147" t="s">
        <v>1265</v>
      </c>
      <c r="B3147" t="s">
        <v>1266</v>
      </c>
      <c r="C3147" t="s">
        <v>738</v>
      </c>
      <c r="D3147">
        <v>3.1360000000000001</v>
      </c>
      <c r="E3147" s="4">
        <v>1004</v>
      </c>
      <c r="F3147" t="str">
        <f>HYPERLINK("https://www.google.com/maps/search/?api=1&amp;query=25.12535448,46.12211564", "View Map")</f>
        <v>View Map</v>
      </c>
    </row>
    <row r="3148" spans="1:7" x14ac:dyDescent="0.3">
      <c r="A3148" t="s">
        <v>717</v>
      </c>
      <c r="B3148" t="s">
        <v>7748</v>
      </c>
      <c r="C3148" t="s">
        <v>255</v>
      </c>
      <c r="D3148">
        <v>3.1339999999999999</v>
      </c>
      <c r="E3148" s="4">
        <v>1003</v>
      </c>
      <c r="F3148" t="str">
        <f>HYPERLINK("https://www.google.com/maps/search/?api=1&amp;query=24.50237073,44.34834525", "View Map")</f>
        <v>View Map</v>
      </c>
      <c r="G3148" s="2">
        <v>0.58531130687677002</v>
      </c>
    </row>
    <row r="3149" spans="1:7" x14ac:dyDescent="0.3">
      <c r="A3149" t="s">
        <v>7539</v>
      </c>
      <c r="B3149" t="s">
        <v>7540</v>
      </c>
      <c r="C3149" t="s">
        <v>255</v>
      </c>
      <c r="D3149">
        <v>3.133</v>
      </c>
      <c r="E3149" s="4">
        <v>1002</v>
      </c>
      <c r="F3149" t="str">
        <f>HYPERLINK("https://www.google.com/maps/search/?api=1&amp;query=24.45646052,44.70920896", "View Map")</f>
        <v>View Map</v>
      </c>
      <c r="G3149" s="2">
        <v>0.51725298281218712</v>
      </c>
    </row>
    <row r="3150" spans="1:7" x14ac:dyDescent="0.3">
      <c r="A3150" t="s">
        <v>5746</v>
      </c>
      <c r="B3150" t="s">
        <v>5747</v>
      </c>
      <c r="C3150" t="s">
        <v>21</v>
      </c>
      <c r="D3150">
        <v>3.1320000000000001</v>
      </c>
      <c r="E3150" s="4">
        <v>1002</v>
      </c>
      <c r="F3150" t="str">
        <f>HYPERLINK("https://www.google.com/maps/search/?api=1&amp;query=26.17024604,44.84871994", "View Map")</f>
        <v>View Map</v>
      </c>
      <c r="G3150" s="2">
        <v>0.702493026136497</v>
      </c>
    </row>
    <row r="3151" spans="1:7" x14ac:dyDescent="0.3">
      <c r="A3151" t="s">
        <v>11423</v>
      </c>
      <c r="B3151" t="s">
        <v>11424</v>
      </c>
      <c r="C3151" t="s">
        <v>883</v>
      </c>
      <c r="D3151">
        <v>3.1309999999999998</v>
      </c>
      <c r="E3151" s="4">
        <v>1002</v>
      </c>
      <c r="F3151" t="str">
        <f>HYPERLINK("https://www.google.com/maps/search/?api=1&amp;query=25.56355493,47.17225135", "View Map")</f>
        <v>View Map</v>
      </c>
    </row>
    <row r="3152" spans="1:7" x14ac:dyDescent="0.3">
      <c r="A3152" t="s">
        <v>8042</v>
      </c>
      <c r="B3152" t="s">
        <v>8043</v>
      </c>
      <c r="C3152" t="s">
        <v>393</v>
      </c>
      <c r="D3152">
        <v>3.13</v>
      </c>
      <c r="E3152" s="4">
        <v>1002</v>
      </c>
      <c r="F3152" t="str">
        <f>HYPERLINK("https://www.google.com/maps/search/?api=1&amp;query=22.52428968,44.8090174", "View Map")</f>
        <v>View Map</v>
      </c>
      <c r="G3152" s="2">
        <v>0.76567568995379121</v>
      </c>
    </row>
    <row r="3153" spans="1:7" x14ac:dyDescent="0.3">
      <c r="A3153" t="s">
        <v>1273</v>
      </c>
      <c r="B3153" t="s">
        <v>9376</v>
      </c>
      <c r="C3153" t="s">
        <v>241</v>
      </c>
      <c r="D3153">
        <v>3.13</v>
      </c>
      <c r="E3153" s="4">
        <v>1001</v>
      </c>
      <c r="F3153" t="str">
        <f>HYPERLINK("https://www.google.com/maps/search/?api=1&amp;query=20.4503241,44.8405842", "View Map")</f>
        <v>View Map</v>
      </c>
      <c r="G3153" s="2">
        <v>1.069738339434452</v>
      </c>
    </row>
    <row r="3154" spans="1:7" x14ac:dyDescent="0.3">
      <c r="A3154" t="s">
        <v>6163</v>
      </c>
      <c r="B3154" t="s">
        <v>6164</v>
      </c>
      <c r="C3154" t="s">
        <v>8</v>
      </c>
      <c r="D3154">
        <v>3.13</v>
      </c>
      <c r="E3154" s="4">
        <v>1002</v>
      </c>
      <c r="F3154" t="str">
        <f>HYPERLINK("https://www.google.com/maps/search/?api=1&amp;query=24.61951786,46.7029792", "View Map")</f>
        <v>View Map</v>
      </c>
    </row>
    <row r="3155" spans="1:7" x14ac:dyDescent="0.3">
      <c r="A3155" t="s">
        <v>4294</v>
      </c>
      <c r="B3155" t="s">
        <v>6826</v>
      </c>
      <c r="C3155" t="s">
        <v>8</v>
      </c>
      <c r="D3155">
        <v>3.129</v>
      </c>
      <c r="E3155" s="4">
        <v>1001</v>
      </c>
      <c r="F3155" t="str">
        <f>HYPERLINK("https://www.google.com/maps/search/?api=1&amp;query=24.74493399,46.77377883", "View Map")</f>
        <v>View Map</v>
      </c>
    </row>
    <row r="3156" spans="1:7" x14ac:dyDescent="0.3">
      <c r="A3156" t="s">
        <v>4278</v>
      </c>
      <c r="B3156" t="s">
        <v>4279</v>
      </c>
      <c r="C3156" t="s">
        <v>8</v>
      </c>
      <c r="D3156">
        <v>3.129</v>
      </c>
      <c r="E3156" s="4">
        <v>1001</v>
      </c>
      <c r="F3156" t="str">
        <f>HYPERLINK("https://www.google.com/maps/search/?api=1&amp;query=24.55872124,46.70698581", "View Map")</f>
        <v>View Map</v>
      </c>
    </row>
    <row r="3157" spans="1:7" x14ac:dyDescent="0.3">
      <c r="A3157" t="s">
        <v>6356</v>
      </c>
      <c r="B3157" t="s">
        <v>6357</v>
      </c>
      <c r="C3157" t="s">
        <v>8</v>
      </c>
      <c r="D3157">
        <v>3.1269999999999998</v>
      </c>
      <c r="E3157" s="4">
        <v>1001</v>
      </c>
      <c r="F3157" t="str">
        <f>HYPERLINK("https://www.google.com/maps/search/?api=1&amp;query=24.67966117,46.75848429", "View Map")</f>
        <v>View Map</v>
      </c>
    </row>
    <row r="3158" spans="1:7" x14ac:dyDescent="0.3">
      <c r="A3158" t="s">
        <v>46</v>
      </c>
      <c r="B3158" t="s">
        <v>6638</v>
      </c>
      <c r="C3158" t="s">
        <v>8</v>
      </c>
      <c r="D3158">
        <v>3.1269999999999998</v>
      </c>
      <c r="E3158" s="4">
        <v>1001</v>
      </c>
      <c r="F3158" t="str">
        <f>HYPERLINK("https://www.google.com/maps/search/?api=1&amp;query=24.6067,46.5183", "View Map")</f>
        <v>View Map</v>
      </c>
    </row>
    <row r="3159" spans="1:7" x14ac:dyDescent="0.3">
      <c r="A3159" t="s">
        <v>1582</v>
      </c>
      <c r="B3159" t="s">
        <v>1583</v>
      </c>
      <c r="C3159" t="s">
        <v>8</v>
      </c>
      <c r="D3159">
        <v>3.1259999999999999</v>
      </c>
      <c r="E3159" s="4">
        <v>1000</v>
      </c>
      <c r="F3159" t="str">
        <f>HYPERLINK("https://www.google.com/maps/search/?api=1&amp;query=24.63077482,46.68537339", "View Map")</f>
        <v>View Map</v>
      </c>
    </row>
    <row r="3160" spans="1:7" x14ac:dyDescent="0.3">
      <c r="A3160" t="s">
        <v>10145</v>
      </c>
      <c r="B3160" t="s">
        <v>10146</v>
      </c>
      <c r="C3160" t="s">
        <v>296</v>
      </c>
      <c r="D3160">
        <v>3.1259999999999999</v>
      </c>
      <c r="E3160" s="4">
        <v>1000</v>
      </c>
      <c r="F3160" t="str">
        <f>HYPERLINK("https://www.google.com/maps/search/?api=1&amp;query=24.47174856,46.26727057", "View Map")</f>
        <v>View Map</v>
      </c>
    </row>
    <row r="3161" spans="1:7" x14ac:dyDescent="0.3">
      <c r="A3161" t="s">
        <v>7133</v>
      </c>
      <c r="B3161" t="s">
        <v>7134</v>
      </c>
      <c r="C3161" t="s">
        <v>77</v>
      </c>
      <c r="D3161">
        <v>3.1240000000000001</v>
      </c>
      <c r="E3161" s="4">
        <v>1000</v>
      </c>
      <c r="F3161" t="str">
        <f>HYPERLINK("https://www.google.com/maps/search/?api=1&amp;query=22.075193,46.59952712", "View Map")</f>
        <v>View Map</v>
      </c>
      <c r="G3161" s="2">
        <v>0.55312970334043321</v>
      </c>
    </row>
    <row r="3162" spans="1:7" x14ac:dyDescent="0.3">
      <c r="A3162" t="s">
        <v>2897</v>
      </c>
      <c r="B3162" t="s">
        <v>2898</v>
      </c>
      <c r="C3162" t="s">
        <v>30</v>
      </c>
      <c r="D3162">
        <v>3.121</v>
      </c>
      <c r="E3162">
        <v>999</v>
      </c>
      <c r="F3162" t="str">
        <f>HYPERLINK("https://www.google.com/maps/search/?api=1&amp;query=24.15643066,47.34191796", "View Map")</f>
        <v>View Map</v>
      </c>
      <c r="G3162" s="2">
        <v>0.3288714029263789</v>
      </c>
    </row>
    <row r="3163" spans="1:7" x14ac:dyDescent="0.3">
      <c r="A3163" t="s">
        <v>146</v>
      </c>
      <c r="B3163" t="s">
        <v>11425</v>
      </c>
      <c r="C3163" t="s">
        <v>8</v>
      </c>
      <c r="D3163">
        <v>3.121</v>
      </c>
      <c r="E3163">
        <v>999</v>
      </c>
      <c r="F3163" t="str">
        <f>HYPERLINK("https://www.google.com/maps/search/?api=1&amp;query=24.58690787,46.66430678", "View Map")</f>
        <v>View Map</v>
      </c>
    </row>
    <row r="3164" spans="1:7" x14ac:dyDescent="0.3">
      <c r="A3164" t="s">
        <v>146</v>
      </c>
      <c r="B3164" t="s">
        <v>9161</v>
      </c>
      <c r="C3164" t="s">
        <v>8</v>
      </c>
      <c r="D3164">
        <v>3.12</v>
      </c>
      <c r="E3164">
        <v>998</v>
      </c>
      <c r="F3164" t="str">
        <f>HYPERLINK("https://www.google.com/maps/search/?api=1&amp;query=24.57209052,46.55457131", "View Map")</f>
        <v>View Map</v>
      </c>
    </row>
    <row r="3165" spans="1:7" x14ac:dyDescent="0.3">
      <c r="A3165" t="s">
        <v>627</v>
      </c>
      <c r="B3165" t="s">
        <v>5051</v>
      </c>
      <c r="C3165" t="s">
        <v>8</v>
      </c>
      <c r="D3165">
        <v>3.1190000000000002</v>
      </c>
      <c r="E3165">
        <v>998</v>
      </c>
      <c r="F3165" t="str">
        <f>HYPERLINK("https://www.google.com/maps/search/?api=1&amp;query=24.78738884,46.62578337", "View Map")</f>
        <v>View Map</v>
      </c>
    </row>
    <row r="3166" spans="1:7" x14ac:dyDescent="0.3">
      <c r="A3166" t="s">
        <v>5882</v>
      </c>
      <c r="B3166" t="s">
        <v>5883</v>
      </c>
      <c r="C3166" t="s">
        <v>8</v>
      </c>
      <c r="D3166">
        <v>3.1179999999999999</v>
      </c>
      <c r="E3166">
        <v>998</v>
      </c>
      <c r="F3166" t="str">
        <f>HYPERLINK("https://www.google.com/maps/search/?api=1&amp;query=24.59708604,46.67724313", "View Map")</f>
        <v>View Map</v>
      </c>
    </row>
    <row r="3167" spans="1:7" x14ac:dyDescent="0.3">
      <c r="A3167" t="s">
        <v>2063</v>
      </c>
      <c r="B3167" t="s">
        <v>8473</v>
      </c>
      <c r="C3167" t="s">
        <v>255</v>
      </c>
      <c r="D3167">
        <v>3.117</v>
      </c>
      <c r="E3167">
        <v>998</v>
      </c>
      <c r="F3167" t="str">
        <f>HYPERLINK("https://www.google.com/maps/search/?api=1&amp;query=24.56379574,44.44562436", "View Map")</f>
        <v>View Map</v>
      </c>
    </row>
    <row r="3168" spans="1:7" x14ac:dyDescent="0.3">
      <c r="A3168" t="s">
        <v>7691</v>
      </c>
      <c r="B3168" t="s">
        <v>7692</v>
      </c>
      <c r="C3168" t="s">
        <v>8</v>
      </c>
      <c r="D3168">
        <v>3.117</v>
      </c>
      <c r="E3168">
        <v>997</v>
      </c>
      <c r="F3168" t="str">
        <f>HYPERLINK("https://www.google.com/maps/search/?api=1&amp;query=24.72908518,46.66035017", "View Map")</f>
        <v>View Map</v>
      </c>
      <c r="G3168" s="2">
        <v>0.82843976360446869</v>
      </c>
    </row>
    <row r="3169" spans="1:7" x14ac:dyDescent="0.3">
      <c r="A3169" t="s">
        <v>1859</v>
      </c>
      <c r="B3169" t="s">
        <v>1860</v>
      </c>
      <c r="C3169" t="s">
        <v>8</v>
      </c>
      <c r="D3169">
        <v>3.1150000000000002</v>
      </c>
      <c r="E3169">
        <v>997</v>
      </c>
      <c r="F3169" t="str">
        <f>HYPERLINK("https://www.google.com/maps/search/?api=1&amp;query=24.74136346,46.66900499", "View Map")</f>
        <v>View Map</v>
      </c>
    </row>
    <row r="3170" spans="1:7" x14ac:dyDescent="0.3">
      <c r="A3170" t="s">
        <v>7893</v>
      </c>
      <c r="B3170" t="s">
        <v>7894</v>
      </c>
      <c r="C3170" t="s">
        <v>270</v>
      </c>
      <c r="D3170">
        <v>3.113</v>
      </c>
      <c r="E3170">
        <v>996</v>
      </c>
      <c r="F3170" t="str">
        <f>HYPERLINK("https://www.google.com/maps/search/?api=1&amp;query=24.13293292,47.15505113", "View Map")</f>
        <v>View Map</v>
      </c>
    </row>
    <row r="3171" spans="1:7" x14ac:dyDescent="0.3">
      <c r="A3171" t="s">
        <v>5663</v>
      </c>
      <c r="B3171" t="s">
        <v>5664</v>
      </c>
      <c r="C3171" t="s">
        <v>8</v>
      </c>
      <c r="D3171">
        <v>3.113</v>
      </c>
      <c r="E3171">
        <v>996</v>
      </c>
      <c r="F3171" t="str">
        <f>HYPERLINK("https://www.google.com/maps/search/?api=1&amp;query=24.5987296,46.79995374", "View Map")</f>
        <v>View Map</v>
      </c>
    </row>
    <row r="3172" spans="1:7" x14ac:dyDescent="0.3">
      <c r="A3172" t="s">
        <v>9239</v>
      </c>
      <c r="B3172" t="s">
        <v>9240</v>
      </c>
      <c r="C3172" t="s">
        <v>8</v>
      </c>
      <c r="D3172">
        <v>3.1120000000000001</v>
      </c>
      <c r="E3172">
        <v>996</v>
      </c>
      <c r="F3172" t="str">
        <f>HYPERLINK("https://www.google.com/maps/search/?api=1&amp;query=24.8050507,46.86419857", "View Map")</f>
        <v>View Map</v>
      </c>
    </row>
    <row r="3173" spans="1:7" x14ac:dyDescent="0.3">
      <c r="A3173" t="s">
        <v>11426</v>
      </c>
      <c r="B3173" t="s">
        <v>11427</v>
      </c>
      <c r="C3173" t="s">
        <v>255</v>
      </c>
      <c r="D3173">
        <v>3.1110000000000002</v>
      </c>
      <c r="E3173">
        <v>996</v>
      </c>
      <c r="F3173" t="str">
        <f>HYPERLINK("https://www.google.com/maps/search/?api=1&amp;query=25.28116775,44.2146171", "View Map")</f>
        <v>View Map</v>
      </c>
      <c r="G3173" s="2">
        <v>0.80799787380748311</v>
      </c>
    </row>
    <row r="3174" spans="1:7" x14ac:dyDescent="0.3">
      <c r="A3174" t="s">
        <v>4155</v>
      </c>
      <c r="B3174" t="s">
        <v>4457</v>
      </c>
      <c r="C3174" t="s">
        <v>883</v>
      </c>
      <c r="D3174">
        <v>3.11</v>
      </c>
      <c r="E3174">
        <v>995</v>
      </c>
      <c r="F3174" t="str">
        <f>HYPERLINK("https://www.google.com/maps/search/?api=1&amp;query=25.55450464,47.16384012", "View Map")</f>
        <v>View Map</v>
      </c>
    </row>
    <row r="3175" spans="1:7" x14ac:dyDescent="0.3">
      <c r="A3175" t="s">
        <v>7941</v>
      </c>
      <c r="B3175" t="s">
        <v>7942</v>
      </c>
      <c r="C3175" t="s">
        <v>8</v>
      </c>
      <c r="D3175">
        <v>3.11</v>
      </c>
      <c r="E3175">
        <v>995</v>
      </c>
      <c r="F3175" t="str">
        <f>HYPERLINK("https://www.google.com/maps/search/?api=1&amp;query=24.74743239,46.79256609", "View Map")</f>
        <v>View Map</v>
      </c>
    </row>
    <row r="3176" spans="1:7" x14ac:dyDescent="0.3">
      <c r="A3176" t="s">
        <v>5481</v>
      </c>
      <c r="B3176" t="s">
        <v>5482</v>
      </c>
      <c r="C3176" t="s">
        <v>1112</v>
      </c>
      <c r="D3176">
        <v>3.11</v>
      </c>
      <c r="E3176">
        <v>995</v>
      </c>
      <c r="F3176" t="str">
        <f>HYPERLINK("https://www.google.com/maps/search/?api=1&amp;query=26.02051471,44.94877729", "View Map")</f>
        <v>View Map</v>
      </c>
      <c r="G3176" s="2">
        <v>0.5896304913109417</v>
      </c>
    </row>
    <row r="3177" spans="1:7" x14ac:dyDescent="0.3">
      <c r="A3177" t="s">
        <v>411</v>
      </c>
      <c r="B3177" t="s">
        <v>4662</v>
      </c>
      <c r="C3177" t="s">
        <v>77</v>
      </c>
      <c r="D3177">
        <v>3.109</v>
      </c>
      <c r="E3177">
        <v>995</v>
      </c>
      <c r="F3177" t="str">
        <f>HYPERLINK("https://www.google.com/maps/search/?api=1&amp;query=22.32206347,46.70301756", "View Map")</f>
        <v>View Map</v>
      </c>
      <c r="G3177" s="2">
        <v>0.57366445449549819</v>
      </c>
    </row>
    <row r="3178" spans="1:7" x14ac:dyDescent="0.3">
      <c r="A3178" t="s">
        <v>9903</v>
      </c>
      <c r="B3178" t="s">
        <v>9904</v>
      </c>
      <c r="C3178" t="s">
        <v>8</v>
      </c>
      <c r="D3178">
        <v>3.109</v>
      </c>
      <c r="E3178">
        <v>995</v>
      </c>
      <c r="F3178" t="str">
        <f>HYPERLINK("https://www.google.com/maps/search/?api=1&amp;query=24.6578,46.6983", "View Map")</f>
        <v>View Map</v>
      </c>
    </row>
    <row r="3179" spans="1:7" x14ac:dyDescent="0.3">
      <c r="A3179" t="s">
        <v>5204</v>
      </c>
      <c r="B3179" t="s">
        <v>5205</v>
      </c>
      <c r="C3179" t="s">
        <v>8</v>
      </c>
      <c r="D3179">
        <v>3.1080000000000001</v>
      </c>
      <c r="E3179">
        <v>994</v>
      </c>
      <c r="F3179" t="str">
        <f>HYPERLINK("https://www.google.com/maps/search/?api=1&amp;query=24.77104745,46.7581445", "View Map")</f>
        <v>View Map</v>
      </c>
    </row>
    <row r="3180" spans="1:7" x14ac:dyDescent="0.3">
      <c r="A3180" t="s">
        <v>6075</v>
      </c>
      <c r="B3180" t="s">
        <v>6076</v>
      </c>
      <c r="C3180" t="s">
        <v>738</v>
      </c>
      <c r="D3180">
        <v>3.1059999999999999</v>
      </c>
      <c r="E3180">
        <v>994</v>
      </c>
      <c r="F3180" t="str">
        <f>HYPERLINK("https://www.google.com/maps/search/?api=1&amp;query=25.16923831,46.33964045", "View Map")</f>
        <v>View Map</v>
      </c>
      <c r="G3180" s="2">
        <v>0.70029666337107643</v>
      </c>
    </row>
    <row r="3181" spans="1:7" x14ac:dyDescent="0.3">
      <c r="A3181" t="s">
        <v>4256</v>
      </c>
      <c r="B3181" t="s">
        <v>4257</v>
      </c>
      <c r="C3181" t="s">
        <v>8</v>
      </c>
      <c r="D3181">
        <v>3.105</v>
      </c>
      <c r="E3181">
        <v>994</v>
      </c>
      <c r="F3181" t="str">
        <f>HYPERLINK("https://www.google.com/maps/search/?api=1&amp;query=24.76246741,46.7965763", "View Map")</f>
        <v>View Map</v>
      </c>
    </row>
    <row r="3182" spans="1:7" x14ac:dyDescent="0.3">
      <c r="A3182" t="s">
        <v>11428</v>
      </c>
      <c r="B3182" t="s">
        <v>11429</v>
      </c>
      <c r="C3182" t="s">
        <v>296</v>
      </c>
      <c r="D3182">
        <v>3.105</v>
      </c>
      <c r="E3182">
        <v>994</v>
      </c>
      <c r="F3182" t="str">
        <f>HYPERLINK("https://www.google.com/maps/search/?api=1&amp;query=24.48866389,46.26807007", "View Map")</f>
        <v>View Map</v>
      </c>
      <c r="G3182" s="2">
        <v>0.42260596829613378</v>
      </c>
    </row>
    <row r="3183" spans="1:7" x14ac:dyDescent="0.3">
      <c r="A3183" t="s">
        <v>6274</v>
      </c>
      <c r="B3183" t="s">
        <v>6275</v>
      </c>
      <c r="C3183" t="s">
        <v>255</v>
      </c>
      <c r="D3183">
        <v>3.105</v>
      </c>
      <c r="E3183">
        <v>994</v>
      </c>
      <c r="F3183" t="str">
        <f>HYPERLINK("https://www.google.com/maps/search/?api=1&amp;query=25.01227312,43.5215894", "View Map")</f>
        <v>View Map</v>
      </c>
      <c r="G3183" s="2">
        <v>0.89286925968823605</v>
      </c>
    </row>
    <row r="3184" spans="1:7" x14ac:dyDescent="0.3">
      <c r="A3184" t="s">
        <v>1512</v>
      </c>
      <c r="B3184" t="s">
        <v>1513</v>
      </c>
      <c r="C3184" t="s">
        <v>291</v>
      </c>
      <c r="D3184">
        <v>3.105</v>
      </c>
      <c r="E3184">
        <v>994</v>
      </c>
      <c r="F3184" t="str">
        <f>HYPERLINK("https://www.google.com/maps/search/?api=1&amp;query=24.54918392,45.70646594", "View Map")</f>
        <v>View Map</v>
      </c>
      <c r="G3184" s="2">
        <v>0.2948437195346203</v>
      </c>
    </row>
    <row r="3185" spans="1:7" x14ac:dyDescent="0.3">
      <c r="A3185" t="s">
        <v>6935</v>
      </c>
      <c r="B3185" t="s">
        <v>6936</v>
      </c>
      <c r="C3185" t="s">
        <v>8</v>
      </c>
      <c r="D3185">
        <v>3.1040000000000001</v>
      </c>
      <c r="E3185">
        <v>993</v>
      </c>
      <c r="F3185" t="str">
        <f>HYPERLINK("https://www.google.com/maps/search/?api=1&amp;query=24.63789255,46.72210323", "View Map")</f>
        <v>View Map</v>
      </c>
    </row>
    <row r="3186" spans="1:7" x14ac:dyDescent="0.3">
      <c r="A3186" t="s">
        <v>300</v>
      </c>
      <c r="B3186" t="s">
        <v>4608</v>
      </c>
      <c r="C3186" t="s">
        <v>8</v>
      </c>
      <c r="D3186">
        <v>3.1040000000000001</v>
      </c>
      <c r="E3186">
        <v>993</v>
      </c>
      <c r="F3186" t="str">
        <f>HYPERLINK("https://www.google.com/maps/search/?api=1&amp;query=24.78675534,46.69088504", "View Map")</f>
        <v>View Map</v>
      </c>
    </row>
    <row r="3187" spans="1:7" x14ac:dyDescent="0.3">
      <c r="A3187" t="s">
        <v>3735</v>
      </c>
      <c r="B3187" t="s">
        <v>8630</v>
      </c>
      <c r="C3187" t="s">
        <v>255</v>
      </c>
      <c r="D3187">
        <v>3.1040000000000001</v>
      </c>
      <c r="E3187">
        <v>993</v>
      </c>
      <c r="F3187" t="str">
        <f>HYPERLINK("https://www.google.com/maps/search/?api=1&amp;query=25.12097333,44.67006", "View Map")</f>
        <v>View Map</v>
      </c>
      <c r="G3187" s="2">
        <v>0.56692173838682824</v>
      </c>
    </row>
    <row r="3188" spans="1:7" x14ac:dyDescent="0.3">
      <c r="A3188" t="s">
        <v>3226</v>
      </c>
      <c r="B3188" t="s">
        <v>3227</v>
      </c>
      <c r="C3188" t="s">
        <v>8</v>
      </c>
      <c r="D3188">
        <v>3.1040000000000001</v>
      </c>
      <c r="E3188">
        <v>993</v>
      </c>
      <c r="F3188" t="str">
        <f>HYPERLINK("https://www.google.com/maps/search/?api=1&amp;query=24.69087579,46.6892298", "View Map")</f>
        <v>View Map</v>
      </c>
    </row>
    <row r="3189" spans="1:7" x14ac:dyDescent="0.3">
      <c r="A3189" t="s">
        <v>5700</v>
      </c>
      <c r="B3189" t="s">
        <v>5701</v>
      </c>
      <c r="C3189" t="s">
        <v>55</v>
      </c>
      <c r="D3189">
        <v>3.1040000000000001</v>
      </c>
      <c r="E3189">
        <v>993</v>
      </c>
      <c r="F3189" t="str">
        <f>HYPERLINK("https://www.google.com/maps/search/?api=1&amp;query=24.74352549,46.57230921", "View Map")</f>
        <v>View Map</v>
      </c>
    </row>
    <row r="3190" spans="1:7" x14ac:dyDescent="0.3">
      <c r="A3190" t="s">
        <v>11083</v>
      </c>
      <c r="B3190" t="s">
        <v>11084</v>
      </c>
      <c r="C3190" t="s">
        <v>8</v>
      </c>
      <c r="D3190">
        <v>3.1030000000000002</v>
      </c>
      <c r="E3190">
        <v>993</v>
      </c>
      <c r="F3190" t="str">
        <f>HYPERLINK("https://www.google.com/maps/search/?api=1&amp;query=24.59592663,46.71440201", "View Map")</f>
        <v>View Map</v>
      </c>
    </row>
    <row r="3191" spans="1:7" x14ac:dyDescent="0.3">
      <c r="A3191" t="s">
        <v>6104</v>
      </c>
      <c r="B3191" t="s">
        <v>6105</v>
      </c>
      <c r="C3191" t="s">
        <v>8</v>
      </c>
      <c r="D3191">
        <v>3.1030000000000002</v>
      </c>
      <c r="E3191">
        <v>993</v>
      </c>
      <c r="F3191" t="str">
        <f>HYPERLINK("https://www.google.com/maps/search/?api=1&amp;query=24.6108,46.7208", "View Map")</f>
        <v>View Map</v>
      </c>
    </row>
    <row r="3192" spans="1:7" x14ac:dyDescent="0.3">
      <c r="A3192" t="s">
        <v>5737</v>
      </c>
      <c r="B3192" t="s">
        <v>5738</v>
      </c>
      <c r="C3192" t="s">
        <v>393</v>
      </c>
      <c r="D3192">
        <v>3.1019999999999999</v>
      </c>
      <c r="E3192">
        <v>992</v>
      </c>
      <c r="F3192" t="str">
        <f>HYPERLINK("https://www.google.com/maps/search/?api=1&amp;query=23.56557354,45.44692007", "View Map")</f>
        <v>View Map</v>
      </c>
      <c r="G3192" s="2">
        <v>0.86085023306040431</v>
      </c>
    </row>
    <row r="3193" spans="1:7" x14ac:dyDescent="0.3">
      <c r="A3193" t="s">
        <v>31</v>
      </c>
      <c r="B3193" t="s">
        <v>5778</v>
      </c>
      <c r="C3193" t="s">
        <v>8</v>
      </c>
      <c r="D3193">
        <v>3.1019999999999999</v>
      </c>
      <c r="E3193">
        <v>993</v>
      </c>
      <c r="F3193" t="str">
        <f>HYPERLINK("https://www.google.com/maps/search/?api=1&amp;query=24.55182071,46.76246338", "View Map")</f>
        <v>View Map</v>
      </c>
      <c r="G3193" s="2">
        <v>0.61944738006005706</v>
      </c>
    </row>
    <row r="3194" spans="1:7" x14ac:dyDescent="0.3">
      <c r="A3194" t="s">
        <v>3445</v>
      </c>
      <c r="B3194" t="s">
        <v>3446</v>
      </c>
      <c r="C3194" t="s">
        <v>8</v>
      </c>
      <c r="D3194">
        <v>3.101</v>
      </c>
      <c r="E3194">
        <v>992</v>
      </c>
      <c r="F3194" t="str">
        <f>HYPERLINK("https://www.google.com/maps/search/?api=1&amp;query=24.64226278,46.54672361", "View Map")</f>
        <v>View Map</v>
      </c>
    </row>
    <row r="3195" spans="1:7" x14ac:dyDescent="0.3">
      <c r="A3195" t="s">
        <v>661</v>
      </c>
      <c r="B3195" t="s">
        <v>6176</v>
      </c>
      <c r="C3195" t="s">
        <v>214</v>
      </c>
      <c r="D3195">
        <v>3.101</v>
      </c>
      <c r="E3195">
        <v>992</v>
      </c>
      <c r="F3195" t="str">
        <f>HYPERLINK("https://www.google.com/maps/search/?api=1&amp;query=25.62337307,45.57722311", "View Map")</f>
        <v>View Map</v>
      </c>
      <c r="G3195" s="2">
        <v>0.79728976801404916</v>
      </c>
    </row>
    <row r="3196" spans="1:7" x14ac:dyDescent="0.3">
      <c r="A3196" t="s">
        <v>4069</v>
      </c>
      <c r="B3196" t="s">
        <v>4070</v>
      </c>
      <c r="C3196" t="s">
        <v>8</v>
      </c>
      <c r="D3196">
        <v>3.0979999999999999</v>
      </c>
      <c r="E3196">
        <v>991</v>
      </c>
      <c r="F3196" t="str">
        <f>HYPERLINK("https://www.google.com/maps/search/?api=1&amp;query=24.62827066,46.70069355", "View Map")</f>
        <v>View Map</v>
      </c>
    </row>
    <row r="3197" spans="1:7" x14ac:dyDescent="0.3">
      <c r="A3197" t="s">
        <v>2281</v>
      </c>
      <c r="B3197" t="s">
        <v>8527</v>
      </c>
      <c r="C3197" t="s">
        <v>8</v>
      </c>
      <c r="D3197">
        <v>3.0960000000000001</v>
      </c>
      <c r="E3197">
        <v>991</v>
      </c>
      <c r="F3197" t="str">
        <f>HYPERLINK("https://www.google.com/maps/search/?api=1&amp;query=24.70701599,46.80209152", "View Map")</f>
        <v>View Map</v>
      </c>
    </row>
    <row r="3198" spans="1:7" x14ac:dyDescent="0.3">
      <c r="A3198" t="s">
        <v>7353</v>
      </c>
      <c r="B3198" t="s">
        <v>7354</v>
      </c>
      <c r="C3198" t="s">
        <v>8</v>
      </c>
      <c r="D3198">
        <v>3.0960000000000001</v>
      </c>
      <c r="E3198">
        <v>991</v>
      </c>
      <c r="F3198" t="str">
        <f>HYPERLINK("https://www.google.com/maps/search/?api=1&amp;query=24.81391481,46.6502242", "View Map")</f>
        <v>View Map</v>
      </c>
    </row>
    <row r="3199" spans="1:7" x14ac:dyDescent="0.3">
      <c r="A3199" t="s">
        <v>28</v>
      </c>
      <c r="B3199" t="s">
        <v>3465</v>
      </c>
      <c r="C3199" t="s">
        <v>30</v>
      </c>
      <c r="D3199">
        <v>3.0960000000000001</v>
      </c>
      <c r="E3199">
        <v>991</v>
      </c>
      <c r="F3199" t="str">
        <f>HYPERLINK("https://www.google.com/maps/search/?api=1&amp;query=24.14955868,47.373937", "View Map")</f>
        <v>View Map</v>
      </c>
      <c r="G3199" s="2">
        <v>0.43154560707926032</v>
      </c>
    </row>
    <row r="3200" spans="1:7" x14ac:dyDescent="0.3">
      <c r="A3200" t="s">
        <v>7105</v>
      </c>
      <c r="B3200" t="s">
        <v>7106</v>
      </c>
      <c r="C3200" t="s">
        <v>8</v>
      </c>
      <c r="D3200">
        <v>3.0950000000000002</v>
      </c>
      <c r="E3200">
        <v>990</v>
      </c>
      <c r="F3200" t="str">
        <f>HYPERLINK("https://www.google.com/maps/search/?api=1&amp;query=24.66505504,46.73443238", "View Map")</f>
        <v>View Map</v>
      </c>
      <c r="G3200" s="2">
        <v>1.023729654995081</v>
      </c>
    </row>
    <row r="3201" spans="1:7" x14ac:dyDescent="0.3">
      <c r="A3201" t="s">
        <v>46</v>
      </c>
      <c r="B3201" t="s">
        <v>2332</v>
      </c>
      <c r="C3201" t="s">
        <v>8</v>
      </c>
      <c r="D3201">
        <v>3.093</v>
      </c>
      <c r="E3201">
        <v>990</v>
      </c>
      <c r="F3201" t="str">
        <f>HYPERLINK("https://www.google.com/maps/search/?api=1&amp;query=24.87531205,46.86324002", "View Map")</f>
        <v>View Map</v>
      </c>
    </row>
    <row r="3202" spans="1:7" x14ac:dyDescent="0.3">
      <c r="A3202" t="s">
        <v>46</v>
      </c>
      <c r="B3202" t="s">
        <v>4922</v>
      </c>
      <c r="C3202" t="s">
        <v>8</v>
      </c>
      <c r="D3202">
        <v>3.093</v>
      </c>
      <c r="E3202">
        <v>990</v>
      </c>
      <c r="F3202" t="str">
        <f>HYPERLINK("https://www.google.com/maps/search/?api=1&amp;query=24.83819136,46.64715421", "View Map")</f>
        <v>View Map</v>
      </c>
    </row>
    <row r="3203" spans="1:7" x14ac:dyDescent="0.3">
      <c r="A3203" t="s">
        <v>881</v>
      </c>
      <c r="B3203" t="s">
        <v>8249</v>
      </c>
      <c r="C3203" t="s">
        <v>883</v>
      </c>
      <c r="D3203">
        <v>3.093</v>
      </c>
      <c r="E3203">
        <v>990</v>
      </c>
      <c r="F3203" t="str">
        <f>HYPERLINK("https://www.google.com/maps/search/?api=1&amp;query=25.54742231,47.1744815", "View Map")</f>
        <v>View Map</v>
      </c>
      <c r="G3203" s="2">
        <v>0.5419268500856611</v>
      </c>
    </row>
    <row r="3204" spans="1:7" x14ac:dyDescent="0.3">
      <c r="A3204" t="s">
        <v>5328</v>
      </c>
      <c r="B3204" t="s">
        <v>5329</v>
      </c>
      <c r="C3204" t="s">
        <v>291</v>
      </c>
      <c r="D3204">
        <v>3.0920000000000001</v>
      </c>
      <c r="E3204">
        <v>989</v>
      </c>
      <c r="F3204" t="str">
        <f>HYPERLINK("https://www.google.com/maps/search/?api=1&amp;query=24.22366552,44.90031108", "View Map")</f>
        <v>View Map</v>
      </c>
      <c r="G3204" s="2">
        <v>0.57919988202671491</v>
      </c>
    </row>
    <row r="3205" spans="1:7" x14ac:dyDescent="0.3">
      <c r="A3205" t="s">
        <v>1046</v>
      </c>
      <c r="B3205" t="s">
        <v>7208</v>
      </c>
      <c r="C3205" t="s">
        <v>8</v>
      </c>
      <c r="D3205">
        <v>3.0920000000000001</v>
      </c>
      <c r="E3205">
        <v>990</v>
      </c>
      <c r="F3205" t="str">
        <f>HYPERLINK("https://www.google.com/maps/search/?api=1&amp;query=24.71101036,46.80786874", "View Map")</f>
        <v>View Map</v>
      </c>
    </row>
    <row r="3206" spans="1:7" x14ac:dyDescent="0.3">
      <c r="A3206" t="s">
        <v>7514</v>
      </c>
      <c r="B3206" t="s">
        <v>7515</v>
      </c>
      <c r="C3206" t="s">
        <v>8</v>
      </c>
      <c r="D3206">
        <v>3.0920000000000001</v>
      </c>
      <c r="E3206">
        <v>990</v>
      </c>
      <c r="F3206" t="str">
        <f>HYPERLINK("https://www.google.com/maps/search/?api=1&amp;query=24.69909441,46.82676965", "View Map")</f>
        <v>View Map</v>
      </c>
    </row>
    <row r="3207" spans="1:7" x14ac:dyDescent="0.3">
      <c r="A3207" t="s">
        <v>3737</v>
      </c>
      <c r="B3207" t="s">
        <v>3738</v>
      </c>
      <c r="C3207" t="s">
        <v>8</v>
      </c>
      <c r="D3207">
        <v>3.0920000000000001</v>
      </c>
      <c r="E3207">
        <v>990</v>
      </c>
      <c r="F3207" t="str">
        <f>HYPERLINK("https://www.google.com/maps/search/?api=1&amp;query=24.57021532,46.68724537", "View Map")</f>
        <v>View Map</v>
      </c>
      <c r="G3207" s="2">
        <v>0.29146995960096522</v>
      </c>
    </row>
    <row r="3208" spans="1:7" x14ac:dyDescent="0.3">
      <c r="A3208" t="s">
        <v>7081</v>
      </c>
      <c r="B3208" t="s">
        <v>7082</v>
      </c>
      <c r="C3208" t="s">
        <v>255</v>
      </c>
      <c r="D3208">
        <v>3.0910000000000002</v>
      </c>
      <c r="E3208">
        <v>989</v>
      </c>
      <c r="F3208" t="str">
        <f>HYPERLINK("https://www.google.com/maps/search/?api=1&amp;query=24.61841351,43.65445251", "View Map")</f>
        <v>View Map</v>
      </c>
      <c r="G3208" s="2">
        <v>0.58192217342127772</v>
      </c>
    </row>
    <row r="3209" spans="1:7" x14ac:dyDescent="0.3">
      <c r="A3209" t="s">
        <v>1273</v>
      </c>
      <c r="B3209" t="s">
        <v>6740</v>
      </c>
      <c r="C3209" t="s">
        <v>241</v>
      </c>
      <c r="D3209">
        <v>3.09</v>
      </c>
      <c r="E3209">
        <v>989</v>
      </c>
      <c r="F3209" t="str">
        <f>HYPERLINK("https://www.google.com/maps/search/?api=1&amp;query=20.44932248,44.81553019", "View Map")</f>
        <v>View Map</v>
      </c>
      <c r="G3209" s="2">
        <v>0.76561772844634846</v>
      </c>
    </row>
    <row r="3210" spans="1:7" x14ac:dyDescent="0.3">
      <c r="A3210" t="s">
        <v>6955</v>
      </c>
      <c r="B3210" t="s">
        <v>6956</v>
      </c>
      <c r="C3210" t="s">
        <v>8</v>
      </c>
      <c r="D3210">
        <v>3.09</v>
      </c>
      <c r="E3210">
        <v>989</v>
      </c>
      <c r="F3210" t="str">
        <f>HYPERLINK("https://www.google.com/maps/search/?api=1&amp;query=24.59071612,46.67004526", "View Map")</f>
        <v>View Map</v>
      </c>
      <c r="G3210" s="2">
        <v>0.46313637204575892</v>
      </c>
    </row>
    <row r="3211" spans="1:7" x14ac:dyDescent="0.3">
      <c r="A3211" t="s">
        <v>2827</v>
      </c>
      <c r="B3211" t="s">
        <v>2828</v>
      </c>
      <c r="C3211" t="s">
        <v>8</v>
      </c>
      <c r="D3211">
        <v>3.09</v>
      </c>
      <c r="E3211">
        <v>989</v>
      </c>
      <c r="F3211" t="str">
        <f>HYPERLINK("https://www.google.com/maps/search/?api=1&amp;query=24.59681291,46.75703064", "View Map")</f>
        <v>View Map</v>
      </c>
    </row>
    <row r="3212" spans="1:7" x14ac:dyDescent="0.3">
      <c r="A3212" t="s">
        <v>6557</v>
      </c>
      <c r="B3212" t="s">
        <v>6558</v>
      </c>
      <c r="C3212" t="s">
        <v>8</v>
      </c>
      <c r="D3212">
        <v>3.089</v>
      </c>
      <c r="E3212">
        <v>988</v>
      </c>
      <c r="F3212" t="str">
        <f>HYPERLINK("https://www.google.com/maps/search/?api=1&amp;query=24.70833156,46.62823253", "View Map")</f>
        <v>View Map</v>
      </c>
    </row>
    <row r="3213" spans="1:7" x14ac:dyDescent="0.3">
      <c r="A3213" t="s">
        <v>838</v>
      </c>
      <c r="B3213" t="s">
        <v>839</v>
      </c>
      <c r="C3213" t="s">
        <v>30</v>
      </c>
      <c r="D3213">
        <v>3.089</v>
      </c>
      <c r="E3213">
        <v>988</v>
      </c>
      <c r="F3213" t="str">
        <f>HYPERLINK("https://www.google.com/maps/search/?api=1&amp;query=24.21638332,47.32697028", "View Map")</f>
        <v>View Map</v>
      </c>
      <c r="G3213" s="2">
        <v>0.20907818211044141</v>
      </c>
    </row>
    <row r="3214" spans="1:7" x14ac:dyDescent="0.3">
      <c r="A3214" t="s">
        <v>5558</v>
      </c>
      <c r="B3214" t="s">
        <v>5559</v>
      </c>
      <c r="C3214" t="s">
        <v>8</v>
      </c>
      <c r="D3214">
        <v>3.089</v>
      </c>
      <c r="E3214">
        <v>989</v>
      </c>
      <c r="F3214" t="str">
        <f>HYPERLINK("https://www.google.com/maps/search/?api=1&amp;query=24.53334819,46.71084819", "View Map")</f>
        <v>View Map</v>
      </c>
    </row>
    <row r="3215" spans="1:7" x14ac:dyDescent="0.3">
      <c r="A3215" t="s">
        <v>6245</v>
      </c>
      <c r="B3215" t="s">
        <v>6246</v>
      </c>
      <c r="C3215" t="s">
        <v>8</v>
      </c>
      <c r="D3215">
        <v>3.0880000000000001</v>
      </c>
      <c r="E3215">
        <v>988</v>
      </c>
      <c r="F3215" t="str">
        <f>HYPERLINK("https://www.google.com/maps/search/?api=1&amp;query=24.53681225,46.70143153", "View Map")</f>
        <v>View Map</v>
      </c>
    </row>
    <row r="3216" spans="1:7" x14ac:dyDescent="0.3">
      <c r="A3216" t="s">
        <v>8834</v>
      </c>
      <c r="B3216" t="s">
        <v>8835</v>
      </c>
      <c r="C3216" t="s">
        <v>291</v>
      </c>
      <c r="D3216">
        <v>3.0880000000000001</v>
      </c>
      <c r="E3216">
        <v>988</v>
      </c>
      <c r="F3216" t="str">
        <f>HYPERLINK("https://www.google.com/maps/search/?api=1&amp;query=24.0588756,45.27448845", "View Map")</f>
        <v>View Map</v>
      </c>
    </row>
    <row r="3217" spans="1:7" x14ac:dyDescent="0.3">
      <c r="A3217" t="s">
        <v>5154</v>
      </c>
      <c r="B3217" t="s">
        <v>5155</v>
      </c>
      <c r="C3217" t="s">
        <v>8</v>
      </c>
      <c r="D3217">
        <v>3.0870000000000002</v>
      </c>
      <c r="E3217">
        <v>988</v>
      </c>
      <c r="F3217" t="str">
        <f>HYPERLINK("https://www.google.com/maps/search/?api=1&amp;query=24.56231932,46.68050073", "View Map")</f>
        <v>View Map</v>
      </c>
    </row>
    <row r="3218" spans="1:7" x14ac:dyDescent="0.3">
      <c r="A3218" t="s">
        <v>7015</v>
      </c>
      <c r="B3218" t="s">
        <v>7016</v>
      </c>
      <c r="C3218" t="s">
        <v>8</v>
      </c>
      <c r="D3218">
        <v>3.0870000000000002</v>
      </c>
      <c r="E3218">
        <v>988</v>
      </c>
      <c r="F3218" t="str">
        <f>HYPERLINK("https://www.google.com/maps/search/?api=1&amp;query=24.60680673,46.76526728", "View Map")</f>
        <v>View Map</v>
      </c>
    </row>
    <row r="3219" spans="1:7" x14ac:dyDescent="0.3">
      <c r="A3219" t="s">
        <v>11103</v>
      </c>
      <c r="B3219" t="s">
        <v>11104</v>
      </c>
      <c r="C3219" t="s">
        <v>8</v>
      </c>
      <c r="D3219">
        <v>3.0870000000000002</v>
      </c>
      <c r="E3219">
        <v>988</v>
      </c>
      <c r="F3219" t="str">
        <f>HYPERLINK("https://www.google.com/maps/search/?api=1&amp;query=24.59388837,46.59087851", "View Map")</f>
        <v>View Map</v>
      </c>
    </row>
    <row r="3220" spans="1:7" x14ac:dyDescent="0.3">
      <c r="A3220" t="s">
        <v>7561</v>
      </c>
      <c r="B3220" t="s">
        <v>7562</v>
      </c>
      <c r="C3220" t="s">
        <v>255</v>
      </c>
      <c r="D3220">
        <v>3.0870000000000002</v>
      </c>
      <c r="E3220">
        <v>988</v>
      </c>
      <c r="F3220" t="str">
        <f>HYPERLINK("https://www.google.com/maps/search/?api=1&amp;query=25.33984738,44.51033243", "View Map")</f>
        <v>View Map</v>
      </c>
      <c r="G3220" s="2">
        <v>0.63063463260636332</v>
      </c>
    </row>
    <row r="3221" spans="1:7" x14ac:dyDescent="0.3">
      <c r="A3221" t="s">
        <v>9487</v>
      </c>
      <c r="B3221" t="s">
        <v>9488</v>
      </c>
      <c r="C3221" t="s">
        <v>8</v>
      </c>
      <c r="D3221">
        <v>3.0859999999999999</v>
      </c>
      <c r="E3221">
        <v>988</v>
      </c>
      <c r="F3221" t="str">
        <f>HYPERLINK("https://www.google.com/maps/search/?api=1&amp;query=24.61280683,46.66140039", "View Map")</f>
        <v>View Map</v>
      </c>
    </row>
    <row r="3222" spans="1:7" x14ac:dyDescent="0.3">
      <c r="A3222" t="s">
        <v>146</v>
      </c>
      <c r="B3222" t="s">
        <v>11430</v>
      </c>
      <c r="C3222" t="s">
        <v>8</v>
      </c>
      <c r="D3222">
        <v>3.0859999999999999</v>
      </c>
      <c r="E3222">
        <v>988</v>
      </c>
      <c r="F3222" t="str">
        <f>HYPERLINK("https://www.google.com/maps/search/?api=1&amp;query=24.55237201,46.49586316", "View Map")</f>
        <v>View Map</v>
      </c>
      <c r="G3222" s="2">
        <v>0.42949561137343373</v>
      </c>
    </row>
    <row r="3223" spans="1:7" x14ac:dyDescent="0.3">
      <c r="A3223" t="s">
        <v>4564</v>
      </c>
      <c r="B3223" t="s">
        <v>5264</v>
      </c>
      <c r="C3223" t="s">
        <v>8</v>
      </c>
      <c r="D3223">
        <v>3.0859999999999999</v>
      </c>
      <c r="E3223">
        <v>988</v>
      </c>
      <c r="F3223" t="str">
        <f>HYPERLINK("https://www.google.com/maps/search/?api=1&amp;query=24.54020845,46.70759082", "View Map")</f>
        <v>View Map</v>
      </c>
      <c r="G3223" s="2">
        <v>0.34598899600226241</v>
      </c>
    </row>
    <row r="3224" spans="1:7" x14ac:dyDescent="0.3">
      <c r="A3224" t="s">
        <v>7809</v>
      </c>
      <c r="B3224" t="s">
        <v>7810</v>
      </c>
      <c r="C3224" t="s">
        <v>8</v>
      </c>
      <c r="D3224">
        <v>3.0859999999999999</v>
      </c>
      <c r="E3224">
        <v>987</v>
      </c>
      <c r="F3224" t="str">
        <f>HYPERLINK("https://www.google.com/maps/search/?api=1&amp;query=24.74503756,46.61500998", "View Map")</f>
        <v>View Map</v>
      </c>
    </row>
    <row r="3225" spans="1:7" x14ac:dyDescent="0.3">
      <c r="A3225" t="s">
        <v>4189</v>
      </c>
      <c r="B3225" t="s">
        <v>4190</v>
      </c>
      <c r="C3225" t="s">
        <v>291</v>
      </c>
      <c r="D3225">
        <v>3.0859999999999999</v>
      </c>
      <c r="E3225">
        <v>987</v>
      </c>
      <c r="F3225" t="str">
        <f>HYPERLINK("https://www.google.com/maps/search/?api=1&amp;query=24.08545776,45.29278503", "View Map")</f>
        <v>View Map</v>
      </c>
      <c r="G3225" s="2">
        <v>0.48639273515137449</v>
      </c>
    </row>
    <row r="3226" spans="1:7" x14ac:dyDescent="0.3">
      <c r="A3226" t="s">
        <v>6534</v>
      </c>
      <c r="B3226" t="s">
        <v>6535</v>
      </c>
      <c r="C3226" t="s">
        <v>21</v>
      </c>
      <c r="D3226">
        <v>3.085</v>
      </c>
      <c r="E3226">
        <v>987</v>
      </c>
      <c r="F3226" t="str">
        <f>HYPERLINK("https://www.google.com/maps/search/?api=1&amp;query=26.29369473,44.81495526", "View Map")</f>
        <v>View Map</v>
      </c>
      <c r="G3226" s="2">
        <v>0.6059897211293136</v>
      </c>
    </row>
    <row r="3227" spans="1:7" x14ac:dyDescent="0.3">
      <c r="A3227" t="s">
        <v>46</v>
      </c>
      <c r="B3227" t="s">
        <v>5916</v>
      </c>
      <c r="C3227" t="s">
        <v>8</v>
      </c>
      <c r="D3227">
        <v>3.0840000000000001</v>
      </c>
      <c r="E3227">
        <v>987</v>
      </c>
      <c r="F3227" t="str">
        <f>HYPERLINK("https://www.google.com/maps/search/?api=1&amp;query=24.80816634,46.81859988", "View Map")</f>
        <v>View Map</v>
      </c>
    </row>
    <row r="3228" spans="1:7" x14ac:dyDescent="0.3">
      <c r="A3228" t="s">
        <v>7895</v>
      </c>
      <c r="B3228" t="s">
        <v>7896</v>
      </c>
      <c r="C3228" t="s">
        <v>8</v>
      </c>
      <c r="D3228">
        <v>3.0840000000000001</v>
      </c>
      <c r="E3228">
        <v>987</v>
      </c>
      <c r="F3228" t="str">
        <f>HYPERLINK("https://www.google.com/maps/search/?api=1&amp;query=24.70018325,46.64911574", "View Map")</f>
        <v>View Map</v>
      </c>
    </row>
    <row r="3229" spans="1:7" x14ac:dyDescent="0.3">
      <c r="A3229" t="s">
        <v>1273</v>
      </c>
      <c r="B3229" t="s">
        <v>6033</v>
      </c>
      <c r="C3229" t="s">
        <v>241</v>
      </c>
      <c r="D3229">
        <v>3.0840000000000001</v>
      </c>
      <c r="E3229">
        <v>987</v>
      </c>
      <c r="F3229" t="str">
        <f>HYPERLINK("https://www.google.com/maps/search/?api=1&amp;query=20.41997353,45.10805314", "View Map")</f>
        <v>View Map</v>
      </c>
      <c r="G3229" s="2">
        <v>0.59902382660945241</v>
      </c>
    </row>
    <row r="3230" spans="1:7" x14ac:dyDescent="0.3">
      <c r="A3230" t="s">
        <v>11431</v>
      </c>
      <c r="B3230" t="s">
        <v>11432</v>
      </c>
      <c r="C3230" t="s">
        <v>8</v>
      </c>
      <c r="D3230">
        <v>3.0840000000000001</v>
      </c>
      <c r="E3230">
        <v>987</v>
      </c>
      <c r="F3230" t="str">
        <f>HYPERLINK("https://www.google.com/maps/search/?api=1&amp;query=24.78915732,46.90621672", "View Map")</f>
        <v>View Map</v>
      </c>
    </row>
    <row r="3231" spans="1:7" x14ac:dyDescent="0.3">
      <c r="A3231" t="s">
        <v>6327</v>
      </c>
      <c r="B3231" t="s">
        <v>6328</v>
      </c>
      <c r="C3231" t="s">
        <v>255</v>
      </c>
      <c r="D3231">
        <v>3.0830000000000002</v>
      </c>
      <c r="E3231">
        <v>986</v>
      </c>
      <c r="F3231" t="str">
        <f>HYPERLINK("https://www.google.com/maps/search/?api=1&amp;query=24.49930694,44.60278719", "View Map")</f>
        <v>View Map</v>
      </c>
      <c r="G3231" s="2">
        <v>0.77350566950227528</v>
      </c>
    </row>
    <row r="3232" spans="1:7" x14ac:dyDescent="0.3">
      <c r="A3232" t="s">
        <v>2964</v>
      </c>
      <c r="B3232" t="s">
        <v>3462</v>
      </c>
      <c r="C3232" t="s">
        <v>8</v>
      </c>
      <c r="D3232">
        <v>3.0819999999999999</v>
      </c>
      <c r="E3232">
        <v>986</v>
      </c>
      <c r="F3232" t="str">
        <f>HYPERLINK("https://www.google.com/maps/search/?api=1&amp;query=24.74754931,46.82205751", "View Map")</f>
        <v>View Map</v>
      </c>
    </row>
    <row r="3233" spans="1:7" x14ac:dyDescent="0.3">
      <c r="A3233" t="s">
        <v>28</v>
      </c>
      <c r="B3233" t="s">
        <v>4964</v>
      </c>
      <c r="C3233" t="s">
        <v>30</v>
      </c>
      <c r="D3233">
        <v>3.0819999999999999</v>
      </c>
      <c r="E3233">
        <v>986</v>
      </c>
      <c r="F3233" t="str">
        <f>HYPERLINK("https://www.google.com/maps/search/?api=1&amp;query=24.13816298,47.37775885", "View Map")</f>
        <v>View Map</v>
      </c>
      <c r="G3233" s="2">
        <v>0.47544293638228818</v>
      </c>
    </row>
    <row r="3234" spans="1:7" x14ac:dyDescent="0.3">
      <c r="A3234" t="s">
        <v>46</v>
      </c>
      <c r="B3234" t="s">
        <v>7642</v>
      </c>
      <c r="C3234" t="s">
        <v>8</v>
      </c>
      <c r="D3234">
        <v>3.0819999999999999</v>
      </c>
      <c r="E3234">
        <v>986</v>
      </c>
      <c r="F3234" t="str">
        <f>HYPERLINK("https://www.google.com/maps/search/?api=1&amp;query=24.780909,46.90640957", "View Map")</f>
        <v>View Map</v>
      </c>
    </row>
    <row r="3235" spans="1:7" x14ac:dyDescent="0.3">
      <c r="A3235" t="s">
        <v>5656</v>
      </c>
      <c r="B3235" t="s">
        <v>5657</v>
      </c>
      <c r="C3235" t="s">
        <v>30</v>
      </c>
      <c r="D3235">
        <v>3.081</v>
      </c>
      <c r="E3235">
        <v>986</v>
      </c>
      <c r="F3235" t="str">
        <f>HYPERLINK("https://www.google.com/maps/search/?api=1&amp;query=24.13346,47.24654", "View Map")</f>
        <v>View Map</v>
      </c>
      <c r="G3235" s="2">
        <v>0.4135895614851714</v>
      </c>
    </row>
    <row r="3236" spans="1:7" x14ac:dyDescent="0.3">
      <c r="A3236" t="s">
        <v>11433</v>
      </c>
      <c r="B3236" t="s">
        <v>11434</v>
      </c>
      <c r="C3236" t="s">
        <v>8</v>
      </c>
      <c r="D3236">
        <v>3.08</v>
      </c>
      <c r="E3236">
        <v>986</v>
      </c>
      <c r="F3236" t="str">
        <f>HYPERLINK("https://www.google.com/maps/search/?api=1&amp;query=24.62984596,46.81270418", "View Map")</f>
        <v>View Map</v>
      </c>
    </row>
    <row r="3237" spans="1:7" x14ac:dyDescent="0.3">
      <c r="A3237" t="s">
        <v>358</v>
      </c>
      <c r="B3237" t="s">
        <v>5068</v>
      </c>
      <c r="C3237" t="s">
        <v>8</v>
      </c>
      <c r="D3237">
        <v>3.08</v>
      </c>
      <c r="E3237">
        <v>985</v>
      </c>
      <c r="F3237" t="str">
        <f>HYPERLINK("https://www.google.com/maps/search/?api=1&amp;query=24.79579869,46.70471849", "View Map")</f>
        <v>View Map</v>
      </c>
    </row>
    <row r="3238" spans="1:7" x14ac:dyDescent="0.3">
      <c r="A3238" t="s">
        <v>28</v>
      </c>
      <c r="B3238" t="s">
        <v>3474</v>
      </c>
      <c r="C3238" t="s">
        <v>30</v>
      </c>
      <c r="D3238">
        <v>3.0790000000000002</v>
      </c>
      <c r="E3238">
        <v>985</v>
      </c>
      <c r="F3238" t="str">
        <f>HYPERLINK("https://www.google.com/maps/search/?api=1&amp;query=24.0945035,47.27503035", "View Map")</f>
        <v>View Map</v>
      </c>
      <c r="G3238" s="2">
        <v>0.44726794112675072</v>
      </c>
    </row>
    <row r="3239" spans="1:7" x14ac:dyDescent="0.3">
      <c r="A3239" t="s">
        <v>2208</v>
      </c>
      <c r="B3239" t="s">
        <v>2209</v>
      </c>
      <c r="C3239" t="s">
        <v>30</v>
      </c>
      <c r="D3239">
        <v>3.0779999999999998</v>
      </c>
      <c r="E3239">
        <v>985</v>
      </c>
      <c r="F3239" t="str">
        <f>HYPERLINK("https://www.google.com/maps/search/?api=1&amp;query=24.15396657,47.32782008", "View Map")</f>
        <v>View Map</v>
      </c>
    </row>
    <row r="3240" spans="1:7" x14ac:dyDescent="0.3">
      <c r="A3240" t="s">
        <v>46</v>
      </c>
      <c r="B3240" t="s">
        <v>917</v>
      </c>
      <c r="C3240" t="s">
        <v>8</v>
      </c>
      <c r="D3240">
        <v>3.0779999999999998</v>
      </c>
      <c r="E3240">
        <v>985</v>
      </c>
      <c r="F3240" t="str">
        <f>HYPERLINK("https://www.google.com/maps/search/?api=1&amp;query=24.82624901,46.79934931", "View Map")</f>
        <v>View Map</v>
      </c>
      <c r="G3240" s="2">
        <v>0.1000237635635693</v>
      </c>
    </row>
    <row r="3241" spans="1:7" x14ac:dyDescent="0.3">
      <c r="A3241" t="s">
        <v>9731</v>
      </c>
      <c r="B3241" t="s">
        <v>9732</v>
      </c>
      <c r="C3241" t="s">
        <v>255</v>
      </c>
      <c r="D3241">
        <v>3.077</v>
      </c>
      <c r="E3241">
        <v>985</v>
      </c>
      <c r="F3241" t="str">
        <f>HYPERLINK("https://www.google.com/maps/search/?api=1&amp;query=24.28682192,43.73175809", "View Map")</f>
        <v>View Map</v>
      </c>
      <c r="G3241" s="2">
        <v>0.42951752616079097</v>
      </c>
    </row>
    <row r="3242" spans="1:7" x14ac:dyDescent="0.3">
      <c r="A3242" t="s">
        <v>7934</v>
      </c>
      <c r="B3242" t="s">
        <v>7935</v>
      </c>
      <c r="C3242" t="s">
        <v>393</v>
      </c>
      <c r="D3242">
        <v>3.0760000000000001</v>
      </c>
      <c r="E3242">
        <v>984</v>
      </c>
      <c r="F3242" t="str">
        <f>HYPERLINK("https://www.google.com/maps/search/?api=1&amp;query=22.80417473,45.16692418", "View Map")</f>
        <v>View Map</v>
      </c>
      <c r="G3242" s="2">
        <v>0.81798331037722183</v>
      </c>
    </row>
    <row r="3243" spans="1:7" x14ac:dyDescent="0.3">
      <c r="A3243" t="s">
        <v>6911</v>
      </c>
      <c r="B3243" t="s">
        <v>6912</v>
      </c>
      <c r="C3243" t="s">
        <v>8</v>
      </c>
      <c r="D3243">
        <v>3.0760000000000001</v>
      </c>
      <c r="E3243">
        <v>984</v>
      </c>
      <c r="F3243" t="str">
        <f>HYPERLINK("https://www.google.com/maps/search/?api=1&amp;query=24.64446094,46.7183882", "View Map")</f>
        <v>View Map</v>
      </c>
    </row>
    <row r="3244" spans="1:7" x14ac:dyDescent="0.3">
      <c r="A3244" t="s">
        <v>150</v>
      </c>
      <c r="B3244" t="s">
        <v>987</v>
      </c>
      <c r="C3244" t="s">
        <v>8</v>
      </c>
      <c r="D3244">
        <v>3.0760000000000001</v>
      </c>
      <c r="E3244">
        <v>984</v>
      </c>
      <c r="F3244" t="str">
        <f>HYPERLINK("https://www.google.com/maps/search/?api=1&amp;query=24.81519369,46.74698505", "View Map")</f>
        <v>View Map</v>
      </c>
      <c r="G3244" s="2">
        <v>0.1079040887117987</v>
      </c>
    </row>
    <row r="3245" spans="1:7" x14ac:dyDescent="0.3">
      <c r="A3245" t="s">
        <v>717</v>
      </c>
      <c r="B3245" t="s">
        <v>6220</v>
      </c>
      <c r="C3245" t="s">
        <v>255</v>
      </c>
      <c r="D3245">
        <v>3.0739999999999998</v>
      </c>
      <c r="E3245">
        <v>984</v>
      </c>
      <c r="F3245" t="str">
        <f>HYPERLINK("https://www.google.com/maps/search/?api=1&amp;query=24.48673631,44.3841789", "View Map")</f>
        <v>View Map</v>
      </c>
      <c r="G3245" s="2">
        <v>0.65827009223241262</v>
      </c>
    </row>
    <row r="3246" spans="1:7" x14ac:dyDescent="0.3">
      <c r="A3246" t="s">
        <v>6095</v>
      </c>
      <c r="B3246" t="s">
        <v>6096</v>
      </c>
      <c r="C3246" t="s">
        <v>270</v>
      </c>
      <c r="D3246">
        <v>3.0739999999999998</v>
      </c>
      <c r="E3246">
        <v>984</v>
      </c>
      <c r="F3246" t="str">
        <f>HYPERLINK("https://www.google.com/maps/search/?api=1&amp;query=23.82445946,46.96289869", "View Map")</f>
        <v>View Map</v>
      </c>
      <c r="G3246" s="2">
        <v>0.76099116196269323</v>
      </c>
    </row>
    <row r="3247" spans="1:7" x14ac:dyDescent="0.3">
      <c r="A3247" t="s">
        <v>4084</v>
      </c>
      <c r="B3247" t="s">
        <v>4085</v>
      </c>
      <c r="C3247" t="s">
        <v>8</v>
      </c>
      <c r="D3247">
        <v>3.0739999999999998</v>
      </c>
      <c r="E3247">
        <v>984</v>
      </c>
      <c r="F3247" t="str">
        <f>HYPERLINK("https://www.google.com/maps/search/?api=1&amp;query=24.57384886,46.71337917", "View Map")</f>
        <v>View Map</v>
      </c>
    </row>
    <row r="3248" spans="1:7" x14ac:dyDescent="0.3">
      <c r="A3248" t="s">
        <v>881</v>
      </c>
      <c r="B3248" t="s">
        <v>7968</v>
      </c>
      <c r="C3248" t="s">
        <v>883</v>
      </c>
      <c r="D3248">
        <v>3.0739999999999998</v>
      </c>
      <c r="E3248">
        <v>984</v>
      </c>
      <c r="F3248" t="str">
        <f>HYPERLINK("https://www.google.com/maps/search/?api=1&amp;query=25.55198712,47.17972003", "View Map")</f>
        <v>View Map</v>
      </c>
    </row>
    <row r="3249" spans="1:7" x14ac:dyDescent="0.3">
      <c r="A3249" t="s">
        <v>6086</v>
      </c>
      <c r="B3249" t="s">
        <v>6087</v>
      </c>
      <c r="C3249" t="s">
        <v>214</v>
      </c>
      <c r="D3249">
        <v>3.073</v>
      </c>
      <c r="E3249">
        <v>983</v>
      </c>
      <c r="F3249" t="str">
        <f>HYPERLINK("https://www.google.com/maps/search/?api=1&amp;query=26.42533026,45.3547619", "View Map")</f>
        <v>View Map</v>
      </c>
      <c r="G3249" s="2">
        <v>0.68650341981958851</v>
      </c>
    </row>
    <row r="3250" spans="1:7" x14ac:dyDescent="0.3">
      <c r="A3250" t="s">
        <v>6456</v>
      </c>
      <c r="B3250" t="s">
        <v>6457</v>
      </c>
      <c r="C3250" t="s">
        <v>291</v>
      </c>
      <c r="D3250">
        <v>3.0720000000000001</v>
      </c>
      <c r="E3250">
        <v>983</v>
      </c>
      <c r="F3250" t="str">
        <f>HYPERLINK("https://www.google.com/maps/search/?api=1&amp;query=24.07320049,45.29831846", "View Map")</f>
        <v>View Map</v>
      </c>
      <c r="G3250" s="2">
        <v>0.77111348432751203</v>
      </c>
    </row>
    <row r="3251" spans="1:7" x14ac:dyDescent="0.3">
      <c r="A3251" t="s">
        <v>706</v>
      </c>
      <c r="B3251" t="s">
        <v>8183</v>
      </c>
      <c r="C3251" t="s">
        <v>8</v>
      </c>
      <c r="D3251">
        <v>3.0710000000000002</v>
      </c>
      <c r="E3251">
        <v>983</v>
      </c>
      <c r="F3251" t="str">
        <f>HYPERLINK("https://www.google.com/maps/search/?api=1&amp;query=24.55604611,46.69934432", "View Map")</f>
        <v>View Map</v>
      </c>
    </row>
    <row r="3252" spans="1:7" x14ac:dyDescent="0.3">
      <c r="A3252" t="s">
        <v>6957</v>
      </c>
      <c r="B3252" t="s">
        <v>6958</v>
      </c>
      <c r="C3252" t="s">
        <v>8</v>
      </c>
      <c r="D3252">
        <v>3.069</v>
      </c>
      <c r="E3252">
        <v>982</v>
      </c>
      <c r="F3252" t="str">
        <f>HYPERLINK("https://www.google.com/maps/search/?api=1&amp;query=24.55442151,46.7069751", "View Map")</f>
        <v>View Map</v>
      </c>
    </row>
    <row r="3253" spans="1:7" x14ac:dyDescent="0.3">
      <c r="A3253" t="s">
        <v>5894</v>
      </c>
      <c r="B3253" t="s">
        <v>5895</v>
      </c>
      <c r="C3253" t="s">
        <v>8</v>
      </c>
      <c r="D3253">
        <v>3.0670000000000002</v>
      </c>
      <c r="E3253">
        <v>981</v>
      </c>
      <c r="F3253" t="str">
        <f>HYPERLINK("https://www.google.com/maps/search/?api=1&amp;query=24.6054738,46.65457095", "View Map")</f>
        <v>View Map</v>
      </c>
    </row>
    <row r="3254" spans="1:7" x14ac:dyDescent="0.3">
      <c r="A3254" t="s">
        <v>46</v>
      </c>
      <c r="B3254" t="s">
        <v>7645</v>
      </c>
      <c r="C3254" t="s">
        <v>8</v>
      </c>
      <c r="D3254">
        <v>3.0659999999999998</v>
      </c>
      <c r="E3254">
        <v>981</v>
      </c>
      <c r="F3254" t="str">
        <f>HYPERLINK("https://www.google.com/maps/search/?api=1&amp;query=24.65536958,46.58692233", "View Map")</f>
        <v>View Map</v>
      </c>
    </row>
    <row r="3255" spans="1:7" x14ac:dyDescent="0.3">
      <c r="A3255" t="s">
        <v>150</v>
      </c>
      <c r="B3255" t="s">
        <v>9593</v>
      </c>
      <c r="C3255" t="s">
        <v>8</v>
      </c>
      <c r="D3255">
        <v>3.0649999999999999</v>
      </c>
      <c r="E3255">
        <v>981</v>
      </c>
      <c r="F3255" t="str">
        <f>HYPERLINK("https://www.google.com/maps/search/?api=1&amp;query=24.66535291,46.72518773", "View Map")</f>
        <v>View Map</v>
      </c>
    </row>
    <row r="3256" spans="1:7" x14ac:dyDescent="0.3">
      <c r="A3256" t="s">
        <v>2964</v>
      </c>
      <c r="B3256" t="s">
        <v>2965</v>
      </c>
      <c r="C3256" t="s">
        <v>8</v>
      </c>
      <c r="D3256">
        <v>3.0649999999999999</v>
      </c>
      <c r="E3256">
        <v>981</v>
      </c>
      <c r="F3256" t="str">
        <f>HYPERLINK("https://www.google.com/maps/search/?api=1&amp;query=24.71793968,46.65749159", "View Map")</f>
        <v>View Map</v>
      </c>
    </row>
    <row r="3257" spans="1:7" x14ac:dyDescent="0.3">
      <c r="A3257" t="s">
        <v>11131</v>
      </c>
      <c r="B3257" t="s">
        <v>11132</v>
      </c>
      <c r="C3257" t="s">
        <v>16</v>
      </c>
      <c r="D3257">
        <v>3.0630000000000002</v>
      </c>
      <c r="E3257">
        <v>980</v>
      </c>
      <c r="F3257" t="str">
        <f>HYPERLINK("https://www.google.com/maps/search/?api=1&amp;query=24.24754709,42.37477814", "View Map")</f>
        <v>View Map</v>
      </c>
      <c r="G3257" s="2">
        <v>0.73346528951666012</v>
      </c>
    </row>
    <row r="3258" spans="1:7" x14ac:dyDescent="0.3">
      <c r="A3258" t="s">
        <v>7042</v>
      </c>
      <c r="B3258" t="s">
        <v>7043</v>
      </c>
      <c r="C3258" t="s">
        <v>255</v>
      </c>
      <c r="D3258">
        <v>3.0630000000000002</v>
      </c>
      <c r="E3258">
        <v>980</v>
      </c>
      <c r="F3258" t="str">
        <f>HYPERLINK("https://www.google.com/maps/search/?api=1&amp;query=24.20917421,43.3479982", "View Map")</f>
        <v>View Map</v>
      </c>
      <c r="G3258" s="2">
        <v>0.55518744240371631</v>
      </c>
    </row>
    <row r="3259" spans="1:7" x14ac:dyDescent="0.3">
      <c r="A3259" t="s">
        <v>2614</v>
      </c>
      <c r="B3259" t="s">
        <v>2615</v>
      </c>
      <c r="C3259" t="s">
        <v>8</v>
      </c>
      <c r="D3259">
        <v>3.0619999999999998</v>
      </c>
      <c r="E3259">
        <v>980</v>
      </c>
      <c r="F3259" t="str">
        <f>HYPERLINK("https://www.google.com/maps/search/?api=1&amp;query=24.69143883,46.8090988", "View Map")</f>
        <v>View Map</v>
      </c>
    </row>
    <row r="3260" spans="1:7" x14ac:dyDescent="0.3">
      <c r="A3260" t="s">
        <v>10346</v>
      </c>
      <c r="B3260" t="s">
        <v>10347</v>
      </c>
      <c r="C3260" t="s">
        <v>8</v>
      </c>
      <c r="D3260">
        <v>3.0619999999999998</v>
      </c>
      <c r="E3260">
        <v>980</v>
      </c>
      <c r="F3260" t="str">
        <f>HYPERLINK("https://www.google.com/maps/search/?api=1&amp;query=24.6977115,46.76944296", "View Map")</f>
        <v>View Map</v>
      </c>
    </row>
    <row r="3261" spans="1:7" x14ac:dyDescent="0.3">
      <c r="A3261" t="s">
        <v>6088</v>
      </c>
      <c r="B3261" t="s">
        <v>6089</v>
      </c>
      <c r="C3261" t="s">
        <v>214</v>
      </c>
      <c r="D3261">
        <v>3.0619999999999998</v>
      </c>
      <c r="E3261">
        <v>980</v>
      </c>
      <c r="F3261" t="str">
        <f>HYPERLINK("https://www.google.com/maps/search/?api=1&amp;query=25.7131,45.85972", "View Map")</f>
        <v>View Map</v>
      </c>
      <c r="G3261" s="2">
        <v>0.77936899831493056</v>
      </c>
    </row>
    <row r="3262" spans="1:7" x14ac:dyDescent="0.3">
      <c r="A3262" t="s">
        <v>5591</v>
      </c>
      <c r="B3262" t="s">
        <v>5592</v>
      </c>
      <c r="C3262" t="s">
        <v>286</v>
      </c>
      <c r="D3262">
        <v>3.0619999999999998</v>
      </c>
      <c r="E3262">
        <v>980</v>
      </c>
      <c r="F3262" t="str">
        <f>HYPERLINK("https://www.google.com/maps/search/?api=1&amp;query=25.23529417,45.24566151", "View Map")</f>
        <v>View Map</v>
      </c>
      <c r="G3262" s="2">
        <v>0.78919427566814759</v>
      </c>
    </row>
    <row r="3263" spans="1:7" x14ac:dyDescent="0.3">
      <c r="A3263" t="s">
        <v>4959</v>
      </c>
      <c r="B3263" t="s">
        <v>4960</v>
      </c>
      <c r="C3263" t="s">
        <v>8</v>
      </c>
      <c r="D3263">
        <v>3.06</v>
      </c>
      <c r="E3263">
        <v>979</v>
      </c>
      <c r="F3263" t="str">
        <f>HYPERLINK("https://www.google.com/maps/search/?api=1&amp;query=24.7583,46.7833", "View Map")</f>
        <v>View Map</v>
      </c>
    </row>
    <row r="3264" spans="1:7" x14ac:dyDescent="0.3">
      <c r="A3264" t="s">
        <v>11435</v>
      </c>
      <c r="B3264" t="s">
        <v>11436</v>
      </c>
      <c r="C3264" t="s">
        <v>137</v>
      </c>
      <c r="D3264">
        <v>3.06</v>
      </c>
      <c r="E3264">
        <v>979</v>
      </c>
      <c r="F3264" t="str">
        <f>HYPERLINK("https://www.google.com/maps/search/?api=1&amp;query=23.49221266,46.87637439", "View Map")</f>
        <v>View Map</v>
      </c>
    </row>
    <row r="3265" spans="1:7" x14ac:dyDescent="0.3">
      <c r="A3265" t="s">
        <v>5357</v>
      </c>
      <c r="B3265" t="s">
        <v>5358</v>
      </c>
      <c r="C3265" t="s">
        <v>4447</v>
      </c>
      <c r="D3265">
        <v>3.06</v>
      </c>
      <c r="E3265">
        <v>979</v>
      </c>
      <c r="F3265" t="str">
        <f>HYPERLINK("https://www.google.com/maps/search/?api=1&amp;query=24.20984616,41.97424905", "View Map")</f>
        <v>View Map</v>
      </c>
      <c r="G3265" s="2">
        <v>0.87834585079493588</v>
      </c>
    </row>
    <row r="3266" spans="1:7" x14ac:dyDescent="0.3">
      <c r="A3266" t="s">
        <v>717</v>
      </c>
      <c r="B3266" t="s">
        <v>6144</v>
      </c>
      <c r="C3266" t="s">
        <v>255</v>
      </c>
      <c r="D3266">
        <v>3.0590000000000002</v>
      </c>
      <c r="E3266">
        <v>979</v>
      </c>
      <c r="F3266" t="str">
        <f>HYPERLINK("https://www.google.com/maps/search/?api=1&amp;query=24.54456886,44.43271592", "View Map")</f>
        <v>View Map</v>
      </c>
      <c r="G3266" s="2">
        <v>0.83969770706885738</v>
      </c>
    </row>
    <row r="3267" spans="1:7" x14ac:dyDescent="0.3">
      <c r="A3267" t="s">
        <v>8718</v>
      </c>
      <c r="B3267" t="s">
        <v>8719</v>
      </c>
      <c r="C3267" t="s">
        <v>214</v>
      </c>
      <c r="D3267">
        <v>3.0590000000000002</v>
      </c>
      <c r="E3267">
        <v>979</v>
      </c>
      <c r="F3267" t="str">
        <f>HYPERLINK("https://www.google.com/maps/search/?api=1&amp;query=25.89762519,45.34557389", "View Map")</f>
        <v>View Map</v>
      </c>
      <c r="G3267" s="2">
        <v>0.51976392248094228</v>
      </c>
    </row>
    <row r="3268" spans="1:7" x14ac:dyDescent="0.3">
      <c r="A3268" t="s">
        <v>146</v>
      </c>
      <c r="B3268" t="s">
        <v>1493</v>
      </c>
      <c r="C3268" t="s">
        <v>8</v>
      </c>
      <c r="D3268">
        <v>3.0579999999999998</v>
      </c>
      <c r="E3268">
        <v>979</v>
      </c>
      <c r="F3268" t="str">
        <f>HYPERLINK("https://www.google.com/maps/search/?api=1&amp;query=24.57827001,46.67196013", "View Map")</f>
        <v>View Map</v>
      </c>
    </row>
    <row r="3269" spans="1:7" x14ac:dyDescent="0.3">
      <c r="A3269" t="s">
        <v>5024</v>
      </c>
      <c r="B3269" t="s">
        <v>5025</v>
      </c>
      <c r="C3269" t="s">
        <v>21</v>
      </c>
      <c r="D3269">
        <v>3.0579999999999998</v>
      </c>
      <c r="E3269">
        <v>979</v>
      </c>
      <c r="F3269" t="str">
        <f>HYPERLINK("https://www.google.com/maps/search/?api=1&amp;query=26.33224144,44.78434966", "View Map")</f>
        <v>View Map</v>
      </c>
      <c r="G3269" s="2">
        <v>0.56078485550178869</v>
      </c>
    </row>
    <row r="3270" spans="1:7" x14ac:dyDescent="0.3">
      <c r="A3270" t="s">
        <v>4372</v>
      </c>
      <c r="B3270" t="s">
        <v>4373</v>
      </c>
      <c r="C3270" t="s">
        <v>291</v>
      </c>
      <c r="D3270">
        <v>3.0579999999999998</v>
      </c>
      <c r="E3270">
        <v>979</v>
      </c>
      <c r="F3270" t="str">
        <f>HYPERLINK("https://www.google.com/maps/search/?api=1&amp;query=24.04980918,45.26207937", "View Map")</f>
        <v>View Map</v>
      </c>
    </row>
    <row r="3271" spans="1:7" x14ac:dyDescent="0.3">
      <c r="A3271" t="s">
        <v>146</v>
      </c>
      <c r="B3271" t="s">
        <v>8836</v>
      </c>
      <c r="C3271" t="s">
        <v>55</v>
      </c>
      <c r="D3271">
        <v>3.0550000000000002</v>
      </c>
      <c r="E3271">
        <v>977</v>
      </c>
      <c r="F3271" t="str">
        <f>HYPERLINK("https://www.google.com/maps/search/?api=1&amp;query=24.7572,46.5453", "View Map")</f>
        <v>View Map</v>
      </c>
      <c r="G3271" s="2">
        <v>0.88411584021817891</v>
      </c>
    </row>
    <row r="3272" spans="1:7" x14ac:dyDescent="0.3">
      <c r="A3272" t="s">
        <v>5975</v>
      </c>
      <c r="B3272" t="s">
        <v>5976</v>
      </c>
      <c r="C3272" t="s">
        <v>8</v>
      </c>
      <c r="D3272">
        <v>3.0550000000000002</v>
      </c>
      <c r="E3272">
        <v>978</v>
      </c>
      <c r="F3272" t="str">
        <f>HYPERLINK("https://www.google.com/maps/search/?api=1&amp;query=24.58646029,46.63881093", "View Map")</f>
        <v>View Map</v>
      </c>
    </row>
    <row r="3273" spans="1:7" x14ac:dyDescent="0.3">
      <c r="A3273" t="s">
        <v>7109</v>
      </c>
      <c r="B3273" t="s">
        <v>7110</v>
      </c>
      <c r="C3273" t="s">
        <v>8</v>
      </c>
      <c r="D3273">
        <v>3.0539999999999998</v>
      </c>
      <c r="E3273">
        <v>977</v>
      </c>
      <c r="F3273" t="str">
        <f>HYPERLINK("https://www.google.com/maps/search/?api=1&amp;query=24.70409773,46.76719183", "View Map")</f>
        <v>View Map</v>
      </c>
    </row>
    <row r="3274" spans="1:7" x14ac:dyDescent="0.3">
      <c r="A3274" t="s">
        <v>9755</v>
      </c>
      <c r="B3274" t="s">
        <v>9756</v>
      </c>
      <c r="C3274" t="s">
        <v>8</v>
      </c>
      <c r="D3274">
        <v>3.0539999999999998</v>
      </c>
      <c r="E3274">
        <v>977</v>
      </c>
      <c r="F3274" t="str">
        <f>HYPERLINK("https://www.google.com/maps/search/?api=1&amp;query=24.41027743,46.84188136", "View Map")</f>
        <v>View Map</v>
      </c>
    </row>
    <row r="3275" spans="1:7" x14ac:dyDescent="0.3">
      <c r="A3275" t="s">
        <v>3735</v>
      </c>
      <c r="B3275" t="s">
        <v>11437</v>
      </c>
      <c r="C3275" t="s">
        <v>255</v>
      </c>
      <c r="D3275">
        <v>3.0529999999999999</v>
      </c>
      <c r="E3275">
        <v>977</v>
      </c>
      <c r="F3275" t="str">
        <f>HYPERLINK("https://www.google.com/maps/search/?api=1&amp;query=25.37763757,44.44068938", "View Map")</f>
        <v>View Map</v>
      </c>
      <c r="G3275" s="2">
        <v>0.71440491215314539</v>
      </c>
    </row>
    <row r="3276" spans="1:7" x14ac:dyDescent="0.3">
      <c r="A3276" t="s">
        <v>4940</v>
      </c>
      <c r="B3276" t="s">
        <v>4941</v>
      </c>
      <c r="C3276" t="s">
        <v>1112</v>
      </c>
      <c r="D3276">
        <v>3.052</v>
      </c>
      <c r="E3276">
        <v>977</v>
      </c>
      <c r="F3276" t="str">
        <f>HYPERLINK("https://www.google.com/maps/search/?api=1&amp;query=26.03373657,44.9423371", "View Map")</f>
        <v>View Map</v>
      </c>
      <c r="G3276" s="2">
        <v>0.56440605855834092</v>
      </c>
    </row>
    <row r="3277" spans="1:7" x14ac:dyDescent="0.3">
      <c r="A3277" t="s">
        <v>3795</v>
      </c>
      <c r="B3277" t="s">
        <v>3796</v>
      </c>
      <c r="C3277" t="s">
        <v>8</v>
      </c>
      <c r="D3277">
        <v>3.052</v>
      </c>
      <c r="E3277">
        <v>977</v>
      </c>
      <c r="F3277" t="str">
        <f>HYPERLINK("https://www.google.com/maps/search/?api=1&amp;query=24.61448719,46.71491019", "View Map")</f>
        <v>View Map</v>
      </c>
    </row>
    <row r="3278" spans="1:7" x14ac:dyDescent="0.3">
      <c r="A3278" t="s">
        <v>4236</v>
      </c>
      <c r="B3278" t="s">
        <v>4237</v>
      </c>
      <c r="C3278" t="s">
        <v>8</v>
      </c>
      <c r="D3278">
        <v>3.0510000000000002</v>
      </c>
      <c r="E3278">
        <v>976</v>
      </c>
      <c r="F3278" t="str">
        <f>HYPERLINK("https://www.google.com/maps/search/?api=1&amp;query=24.78442,46.6849", "View Map")</f>
        <v>View Map</v>
      </c>
    </row>
    <row r="3279" spans="1:7" x14ac:dyDescent="0.3">
      <c r="A3279" t="s">
        <v>7022</v>
      </c>
      <c r="B3279" t="s">
        <v>7023</v>
      </c>
      <c r="C3279" t="s">
        <v>255</v>
      </c>
      <c r="D3279">
        <v>3.0510000000000002</v>
      </c>
      <c r="E3279">
        <v>976</v>
      </c>
      <c r="F3279" t="str">
        <f>HYPERLINK("https://www.google.com/maps/search/?api=1&amp;query=25.19855617,44.20171961", "View Map")</f>
        <v>View Map</v>
      </c>
      <c r="G3279" s="2">
        <v>0.48066069476131618</v>
      </c>
    </row>
    <row r="3280" spans="1:7" x14ac:dyDescent="0.3">
      <c r="A3280" t="s">
        <v>3324</v>
      </c>
      <c r="B3280" t="s">
        <v>3325</v>
      </c>
      <c r="C3280" t="s">
        <v>8</v>
      </c>
      <c r="D3280">
        <v>3.0510000000000002</v>
      </c>
      <c r="E3280">
        <v>976</v>
      </c>
      <c r="F3280" t="str">
        <f>HYPERLINK("https://www.google.com/maps/search/?api=1&amp;query=24.65038768,46.76493806", "View Map")</f>
        <v>View Map</v>
      </c>
    </row>
    <row r="3281" spans="1:7" x14ac:dyDescent="0.3">
      <c r="A3281" t="s">
        <v>1167</v>
      </c>
      <c r="B3281" t="s">
        <v>1168</v>
      </c>
      <c r="C3281" t="s">
        <v>8</v>
      </c>
      <c r="D3281">
        <v>3.0510000000000002</v>
      </c>
      <c r="E3281">
        <v>976</v>
      </c>
      <c r="F3281" t="str">
        <f>HYPERLINK("https://www.google.com/maps/search/?api=1&amp;query=24.74905368,46.62230801", "View Map")</f>
        <v>View Map</v>
      </c>
      <c r="G3281" s="2">
        <v>0.1181371633776863</v>
      </c>
    </row>
    <row r="3282" spans="1:7" x14ac:dyDescent="0.3">
      <c r="A3282" t="s">
        <v>2218</v>
      </c>
      <c r="B3282" t="s">
        <v>2219</v>
      </c>
      <c r="C3282" t="s">
        <v>8</v>
      </c>
      <c r="D3282">
        <v>3.05</v>
      </c>
      <c r="E3282">
        <v>976</v>
      </c>
      <c r="F3282" t="str">
        <f>HYPERLINK("https://www.google.com/maps/search/?api=1&amp;query=24.57897632,46.58187586", "View Map")</f>
        <v>View Map</v>
      </c>
      <c r="G3282" s="2">
        <v>0.19200994521792289</v>
      </c>
    </row>
    <row r="3283" spans="1:7" x14ac:dyDescent="0.3">
      <c r="A3283" t="s">
        <v>7667</v>
      </c>
      <c r="B3283" t="s">
        <v>7668</v>
      </c>
      <c r="C3283" t="s">
        <v>8</v>
      </c>
      <c r="D3283">
        <v>3.05</v>
      </c>
      <c r="E3283">
        <v>976</v>
      </c>
      <c r="F3283" t="str">
        <f>HYPERLINK("https://www.google.com/maps/search/?api=1&amp;query=24.68384044,46.76442379", "View Map")</f>
        <v>View Map</v>
      </c>
      <c r="G3283" s="2">
        <v>0.63969881273242457</v>
      </c>
    </row>
    <row r="3284" spans="1:7" x14ac:dyDescent="0.3">
      <c r="A3284" t="s">
        <v>22</v>
      </c>
      <c r="B3284" t="s">
        <v>4817</v>
      </c>
      <c r="C3284" t="s">
        <v>255</v>
      </c>
      <c r="D3284">
        <v>3.0489999999999999</v>
      </c>
      <c r="E3284">
        <v>976</v>
      </c>
      <c r="F3284" t="str">
        <f>HYPERLINK("https://www.google.com/maps/search/?api=1&amp;query=25.49227438,44.41025467", "View Map")</f>
        <v>View Map</v>
      </c>
      <c r="G3284" s="2">
        <v>0.54000510728087192</v>
      </c>
    </row>
    <row r="3285" spans="1:7" x14ac:dyDescent="0.3">
      <c r="A3285" t="s">
        <v>5288</v>
      </c>
      <c r="B3285" t="s">
        <v>5289</v>
      </c>
      <c r="C3285" t="s">
        <v>30</v>
      </c>
      <c r="D3285">
        <v>3.048</v>
      </c>
      <c r="E3285">
        <v>975</v>
      </c>
      <c r="F3285" t="str">
        <f>HYPERLINK("https://www.google.com/maps/search/?api=1&amp;query=24.15109138,47.36192047", "View Map")</f>
        <v>View Map</v>
      </c>
      <c r="G3285" s="2">
        <v>0.48712630894203413</v>
      </c>
    </row>
    <row r="3286" spans="1:7" x14ac:dyDescent="0.3">
      <c r="A3286" t="s">
        <v>2063</v>
      </c>
      <c r="B3286" t="s">
        <v>8370</v>
      </c>
      <c r="C3286" t="s">
        <v>255</v>
      </c>
      <c r="D3286">
        <v>3.048</v>
      </c>
      <c r="E3286">
        <v>975</v>
      </c>
      <c r="F3286" t="str">
        <f>HYPERLINK("https://www.google.com/maps/search/?api=1&amp;query=24.51329197,44.37699739", "View Map")</f>
        <v>View Map</v>
      </c>
      <c r="G3286" s="2">
        <v>0.50589330133688282</v>
      </c>
    </row>
    <row r="3287" spans="1:7" x14ac:dyDescent="0.3">
      <c r="A3287" t="s">
        <v>7417</v>
      </c>
      <c r="B3287" t="s">
        <v>7418</v>
      </c>
      <c r="C3287" t="s">
        <v>270</v>
      </c>
      <c r="D3287">
        <v>3.048</v>
      </c>
      <c r="E3287">
        <v>975</v>
      </c>
      <c r="F3287" t="str">
        <f>HYPERLINK("https://www.google.com/maps/search/?api=1&amp;query=23.99650315,47.11416247", "View Map")</f>
        <v>View Map</v>
      </c>
      <c r="G3287" s="2">
        <v>0.44390655944604041</v>
      </c>
    </row>
    <row r="3288" spans="1:7" x14ac:dyDescent="0.3">
      <c r="A3288" t="s">
        <v>5274</v>
      </c>
      <c r="B3288" t="s">
        <v>6196</v>
      </c>
      <c r="C3288" t="s">
        <v>8</v>
      </c>
      <c r="D3288">
        <v>3.048</v>
      </c>
      <c r="E3288">
        <v>975</v>
      </c>
      <c r="F3288" t="str">
        <f>HYPERLINK("https://www.google.com/maps/search/?api=1&amp;query=24.77396,46.67822", "View Map")</f>
        <v>View Map</v>
      </c>
    </row>
    <row r="3289" spans="1:7" x14ac:dyDescent="0.3">
      <c r="A3289" t="s">
        <v>289</v>
      </c>
      <c r="B3289" t="s">
        <v>6241</v>
      </c>
      <c r="C3289" t="s">
        <v>291</v>
      </c>
      <c r="D3289">
        <v>3.0470000000000002</v>
      </c>
      <c r="E3289">
        <v>975</v>
      </c>
      <c r="F3289" t="str">
        <f>HYPERLINK("https://www.google.com/maps/search/?api=1&amp;query=24.2058339,45.87611714", "View Map")</f>
        <v>View Map</v>
      </c>
      <c r="G3289" s="2">
        <v>0.86591455542231377</v>
      </c>
    </row>
    <row r="3290" spans="1:7" x14ac:dyDescent="0.3">
      <c r="A3290" t="s">
        <v>4218</v>
      </c>
      <c r="B3290" t="s">
        <v>4219</v>
      </c>
      <c r="C3290" t="s">
        <v>30</v>
      </c>
      <c r="D3290">
        <v>3.0470000000000002</v>
      </c>
      <c r="E3290">
        <v>975</v>
      </c>
      <c r="F3290" t="str">
        <f>HYPERLINK("https://www.google.com/maps/search/?api=1&amp;query=24.2074,47.25553", "View Map")</f>
        <v>View Map</v>
      </c>
      <c r="G3290" s="2">
        <v>0.36361761440895868</v>
      </c>
    </row>
    <row r="3291" spans="1:7" x14ac:dyDescent="0.3">
      <c r="A3291" t="s">
        <v>6603</v>
      </c>
      <c r="B3291" t="s">
        <v>6604</v>
      </c>
      <c r="C3291" t="s">
        <v>8</v>
      </c>
      <c r="D3291">
        <v>3.0459999999999998</v>
      </c>
      <c r="E3291">
        <v>975</v>
      </c>
      <c r="F3291" t="str">
        <f>HYPERLINK("https://www.google.com/maps/search/?api=1&amp;query=24.61734424,46.71565425", "View Map")</f>
        <v>View Map</v>
      </c>
    </row>
    <row r="3292" spans="1:7" x14ac:dyDescent="0.3">
      <c r="A3292" t="s">
        <v>7559</v>
      </c>
      <c r="B3292" t="s">
        <v>7560</v>
      </c>
      <c r="C3292" t="s">
        <v>8</v>
      </c>
      <c r="D3292">
        <v>3.0459999999999998</v>
      </c>
      <c r="E3292">
        <v>975</v>
      </c>
      <c r="F3292" t="str">
        <f>HYPERLINK("https://www.google.com/maps/search/?api=1&amp;query=24.71854783,46.81383625", "View Map")</f>
        <v>View Map</v>
      </c>
    </row>
    <row r="3293" spans="1:7" x14ac:dyDescent="0.3">
      <c r="A3293" t="s">
        <v>3946</v>
      </c>
      <c r="B3293" t="s">
        <v>3947</v>
      </c>
      <c r="C3293" t="s">
        <v>55</v>
      </c>
      <c r="D3293">
        <v>3.0459999999999998</v>
      </c>
      <c r="E3293">
        <v>975</v>
      </c>
      <c r="F3293" t="str">
        <f>HYPERLINK("https://www.google.com/maps/search/?api=1&amp;query=25.0125383,46.46613682", "View Map")</f>
        <v>View Map</v>
      </c>
    </row>
    <row r="3294" spans="1:7" x14ac:dyDescent="0.3">
      <c r="A3294" t="s">
        <v>627</v>
      </c>
      <c r="B3294" t="s">
        <v>10957</v>
      </c>
      <c r="C3294" t="s">
        <v>8</v>
      </c>
      <c r="D3294">
        <v>3.0449999999999999</v>
      </c>
      <c r="E3294">
        <v>974</v>
      </c>
      <c r="F3294" t="str">
        <f>HYPERLINK("https://www.google.com/maps/search/?api=1&amp;query=24.63453204,46.54721356", "View Map")</f>
        <v>View Map</v>
      </c>
    </row>
    <row r="3295" spans="1:7" x14ac:dyDescent="0.3">
      <c r="A3295" t="s">
        <v>8816</v>
      </c>
      <c r="B3295" t="s">
        <v>8817</v>
      </c>
      <c r="C3295" t="s">
        <v>30</v>
      </c>
      <c r="D3295">
        <v>3.044</v>
      </c>
      <c r="E3295">
        <v>974</v>
      </c>
      <c r="F3295" t="str">
        <f>HYPERLINK("https://www.google.com/maps/search/?api=1&amp;query=24.15717094,47.32261224", "View Map")</f>
        <v>View Map</v>
      </c>
    </row>
    <row r="3296" spans="1:7" x14ac:dyDescent="0.3">
      <c r="A3296" t="s">
        <v>5905</v>
      </c>
      <c r="B3296" t="s">
        <v>5906</v>
      </c>
      <c r="C3296" t="s">
        <v>393</v>
      </c>
      <c r="D3296">
        <v>3.0430000000000001</v>
      </c>
      <c r="E3296">
        <v>974</v>
      </c>
      <c r="F3296" t="str">
        <f>HYPERLINK("https://www.google.com/maps/search/?api=1&amp;query=23.46339127,45.79299603", "View Map")</f>
        <v>View Map</v>
      </c>
      <c r="G3296" s="2">
        <v>0.61619968996396568</v>
      </c>
    </row>
    <row r="3297" spans="1:7" x14ac:dyDescent="0.3">
      <c r="A3297" t="s">
        <v>1683</v>
      </c>
      <c r="B3297" t="s">
        <v>1684</v>
      </c>
      <c r="C3297" t="s">
        <v>77</v>
      </c>
      <c r="D3297">
        <v>3.0430000000000001</v>
      </c>
      <c r="E3297">
        <v>974</v>
      </c>
      <c r="F3297" t="str">
        <f>HYPERLINK("https://www.google.com/maps/search/?api=1&amp;query=22.30248169,46.70596099", "View Map")</f>
        <v>View Map</v>
      </c>
      <c r="G3297" s="2">
        <v>0.16977141725692879</v>
      </c>
    </row>
    <row r="3298" spans="1:7" x14ac:dyDescent="0.3">
      <c r="A3298" t="s">
        <v>46</v>
      </c>
      <c r="B3298" t="s">
        <v>4402</v>
      </c>
      <c r="C3298" t="s">
        <v>55</v>
      </c>
      <c r="D3298">
        <v>3.0419999999999998</v>
      </c>
      <c r="E3298">
        <v>973</v>
      </c>
      <c r="F3298" t="str">
        <f>HYPERLINK("https://www.google.com/maps/search/?api=1&amp;query=24.77900361,46.56888038", "View Map")</f>
        <v>View Map</v>
      </c>
      <c r="G3298" s="2">
        <v>0.33793025721306269</v>
      </c>
    </row>
    <row r="3299" spans="1:7" x14ac:dyDescent="0.3">
      <c r="A3299" t="s">
        <v>11438</v>
      </c>
      <c r="B3299" t="s">
        <v>11439</v>
      </c>
      <c r="C3299" t="s">
        <v>8</v>
      </c>
      <c r="D3299">
        <v>3.04</v>
      </c>
      <c r="E3299">
        <v>973</v>
      </c>
      <c r="F3299" t="str">
        <f>HYPERLINK("https://www.google.com/maps/search/?api=1&amp;query=24.62885643,46.7951782", "View Map")</f>
        <v>View Map</v>
      </c>
    </row>
    <row r="3300" spans="1:7" x14ac:dyDescent="0.3">
      <c r="A3300" t="s">
        <v>459</v>
      </c>
      <c r="B3300" t="s">
        <v>6882</v>
      </c>
      <c r="C3300" t="s">
        <v>286</v>
      </c>
      <c r="D3300">
        <v>3.04</v>
      </c>
      <c r="E3300">
        <v>973</v>
      </c>
      <c r="F3300" t="str">
        <f>HYPERLINK("https://www.google.com/maps/search/?api=1&amp;query=25.21227148,45.24943444", "View Map")</f>
        <v>View Map</v>
      </c>
      <c r="G3300" s="2">
        <v>0.71040305836948836</v>
      </c>
    </row>
    <row r="3301" spans="1:7" x14ac:dyDescent="0.3">
      <c r="A3301" t="s">
        <v>881</v>
      </c>
      <c r="B3301" t="s">
        <v>4224</v>
      </c>
      <c r="C3301" t="s">
        <v>883</v>
      </c>
      <c r="D3301">
        <v>3.0390000000000001</v>
      </c>
      <c r="E3301">
        <v>973</v>
      </c>
      <c r="F3301" t="str">
        <f>HYPERLINK("https://www.google.com/maps/search/?api=1&amp;query=25.54985068,47.16127394", "View Map")</f>
        <v>View Map</v>
      </c>
      <c r="G3301" s="2">
        <v>0.6796303742120956</v>
      </c>
    </row>
    <row r="3302" spans="1:7" x14ac:dyDescent="0.3">
      <c r="A3302" t="s">
        <v>1234</v>
      </c>
      <c r="B3302" t="s">
        <v>6624</v>
      </c>
      <c r="C3302" t="s">
        <v>77</v>
      </c>
      <c r="D3302">
        <v>3.0379999999999998</v>
      </c>
      <c r="E3302">
        <v>972</v>
      </c>
      <c r="F3302" t="str">
        <f>HYPERLINK("https://www.google.com/maps/search/?api=1&amp;query=22.29285338,46.71552439", "View Map")</f>
        <v>View Map</v>
      </c>
    </row>
    <row r="3303" spans="1:7" x14ac:dyDescent="0.3">
      <c r="A3303" t="s">
        <v>5827</v>
      </c>
      <c r="B3303" t="s">
        <v>5828</v>
      </c>
      <c r="C3303" t="s">
        <v>8</v>
      </c>
      <c r="D3303">
        <v>3.0369999999999999</v>
      </c>
      <c r="E3303">
        <v>972</v>
      </c>
      <c r="F3303" t="str">
        <f>HYPERLINK("https://www.google.com/maps/search/?api=1&amp;query=24.62398434,46.67861971", "View Map")</f>
        <v>View Map</v>
      </c>
    </row>
    <row r="3304" spans="1:7" x14ac:dyDescent="0.3">
      <c r="A3304" t="s">
        <v>3243</v>
      </c>
      <c r="B3304" t="s">
        <v>3244</v>
      </c>
      <c r="C3304" t="s">
        <v>8</v>
      </c>
      <c r="D3304">
        <v>3.0369999999999999</v>
      </c>
      <c r="E3304">
        <v>972</v>
      </c>
      <c r="F3304" t="str">
        <f>HYPERLINK("https://www.google.com/maps/search/?api=1&amp;query=24.79599211,46.78337301", "View Map")</f>
        <v>View Map</v>
      </c>
    </row>
    <row r="3305" spans="1:7" x14ac:dyDescent="0.3">
      <c r="A3305" t="s">
        <v>5917</v>
      </c>
      <c r="B3305" t="s">
        <v>5918</v>
      </c>
      <c r="C3305" t="s">
        <v>291</v>
      </c>
      <c r="D3305">
        <v>3.036</v>
      </c>
      <c r="E3305">
        <v>971</v>
      </c>
      <c r="F3305" t="str">
        <f>HYPERLINK("https://www.google.com/maps/search/?api=1&amp;query=23.82978216,45.64601368", "View Map")</f>
        <v>View Map</v>
      </c>
      <c r="G3305" s="2">
        <v>0.8509094712186015</v>
      </c>
    </row>
    <row r="3306" spans="1:7" x14ac:dyDescent="0.3">
      <c r="A3306" t="s">
        <v>4268</v>
      </c>
      <c r="B3306" t="s">
        <v>4269</v>
      </c>
      <c r="C3306" t="s">
        <v>8</v>
      </c>
      <c r="D3306">
        <v>3.0350000000000001</v>
      </c>
      <c r="E3306">
        <v>971</v>
      </c>
      <c r="F3306" t="str">
        <f>HYPERLINK("https://www.google.com/maps/search/?api=1&amp;query=24.74996795,46.83261496", "View Map")</f>
        <v>View Map</v>
      </c>
    </row>
    <row r="3307" spans="1:7" x14ac:dyDescent="0.3">
      <c r="A3307" t="s">
        <v>1743</v>
      </c>
      <c r="B3307" t="s">
        <v>1744</v>
      </c>
      <c r="C3307" t="s">
        <v>8</v>
      </c>
      <c r="D3307">
        <v>3.0350000000000001</v>
      </c>
      <c r="E3307">
        <v>971</v>
      </c>
      <c r="F3307" t="str">
        <f>HYPERLINK("https://www.google.com/maps/search/?api=1&amp;query=24.54308192,46.68968095", "View Map")</f>
        <v>View Map</v>
      </c>
      <c r="G3307" s="2">
        <v>0.30766618240516552</v>
      </c>
    </row>
    <row r="3308" spans="1:7" x14ac:dyDescent="0.3">
      <c r="A3308" t="s">
        <v>7113</v>
      </c>
      <c r="B3308" t="s">
        <v>7114</v>
      </c>
      <c r="C3308" t="s">
        <v>21</v>
      </c>
      <c r="D3308">
        <v>3.0339999999999998</v>
      </c>
      <c r="E3308">
        <v>971</v>
      </c>
      <c r="F3308" t="str">
        <f>HYPERLINK("https://www.google.com/maps/search/?api=1&amp;query=26.31026501,44.80328055", "View Map")</f>
        <v>View Map</v>
      </c>
    </row>
    <row r="3309" spans="1:7" x14ac:dyDescent="0.3">
      <c r="A3309" t="s">
        <v>9726</v>
      </c>
      <c r="B3309" t="s">
        <v>9727</v>
      </c>
      <c r="C3309" t="s">
        <v>214</v>
      </c>
      <c r="D3309">
        <v>3.0339999999999998</v>
      </c>
      <c r="E3309">
        <v>971</v>
      </c>
      <c r="F3309" t="str">
        <f>HYPERLINK("https://www.google.com/maps/search/?api=1&amp;query=25.65044437,45.55389145", "View Map")</f>
        <v>View Map</v>
      </c>
      <c r="G3309" s="2">
        <v>0.79212195920919504</v>
      </c>
    </row>
    <row r="3310" spans="1:7" x14ac:dyDescent="0.3">
      <c r="A3310" t="s">
        <v>6903</v>
      </c>
      <c r="B3310" t="s">
        <v>6904</v>
      </c>
      <c r="C3310" t="s">
        <v>21</v>
      </c>
      <c r="D3310">
        <v>3.0329999999999999</v>
      </c>
      <c r="E3310">
        <v>971</v>
      </c>
      <c r="F3310" t="str">
        <f>HYPERLINK("https://www.google.com/maps/search/?api=1&amp;query=26.33848986,44.78050467", "View Map")</f>
        <v>View Map</v>
      </c>
      <c r="G3310" s="2">
        <v>0.49181416681130652</v>
      </c>
    </row>
    <row r="3311" spans="1:7" x14ac:dyDescent="0.3">
      <c r="A3311" t="s">
        <v>6264</v>
      </c>
      <c r="B3311" t="s">
        <v>6265</v>
      </c>
      <c r="C3311" t="s">
        <v>30</v>
      </c>
      <c r="D3311">
        <v>3.0329999999999999</v>
      </c>
      <c r="E3311">
        <v>971</v>
      </c>
      <c r="F3311" t="str">
        <f>HYPERLINK("https://www.google.com/maps/search/?api=1&amp;query=24.17340486,47.29755905", "View Map")</f>
        <v>View Map</v>
      </c>
    </row>
    <row r="3312" spans="1:7" x14ac:dyDescent="0.3">
      <c r="A3312" t="s">
        <v>8649</v>
      </c>
      <c r="B3312" t="s">
        <v>8650</v>
      </c>
      <c r="C3312" t="s">
        <v>393</v>
      </c>
      <c r="D3312">
        <v>3.032</v>
      </c>
      <c r="E3312">
        <v>970</v>
      </c>
      <c r="F3312" t="str">
        <f>HYPERLINK("https://www.google.com/maps/search/?api=1&amp;query=23.56960813,45.56637803", "View Map")</f>
        <v>View Map</v>
      </c>
      <c r="G3312" s="2">
        <v>0.59966788486905331</v>
      </c>
    </row>
    <row r="3313" spans="1:7" x14ac:dyDescent="0.3">
      <c r="A3313" t="s">
        <v>4547</v>
      </c>
      <c r="B3313" t="s">
        <v>4548</v>
      </c>
      <c r="C3313" t="s">
        <v>8</v>
      </c>
      <c r="D3313">
        <v>3.032</v>
      </c>
      <c r="E3313">
        <v>970</v>
      </c>
      <c r="F3313" t="str">
        <f>HYPERLINK("https://www.google.com/maps/search/?api=1&amp;query=24.814851,46.89511", "View Map")</f>
        <v>View Map</v>
      </c>
    </row>
    <row r="3314" spans="1:7" x14ac:dyDescent="0.3">
      <c r="A3314" t="s">
        <v>5653</v>
      </c>
      <c r="B3314" t="s">
        <v>5654</v>
      </c>
      <c r="C3314" t="s">
        <v>241</v>
      </c>
      <c r="D3314">
        <v>3.032</v>
      </c>
      <c r="E3314">
        <v>970</v>
      </c>
      <c r="F3314" t="str">
        <f>HYPERLINK("https://www.google.com/maps/search/?api=1&amp;query=20.42867407,45.04177089", "View Map")</f>
        <v>View Map</v>
      </c>
      <c r="G3314" s="2">
        <v>0.65732072854673584</v>
      </c>
    </row>
    <row r="3315" spans="1:7" x14ac:dyDescent="0.3">
      <c r="A3315" t="s">
        <v>7228</v>
      </c>
      <c r="B3315" t="s">
        <v>7229</v>
      </c>
      <c r="C3315" t="s">
        <v>214</v>
      </c>
      <c r="D3315">
        <v>3.0310000000000001</v>
      </c>
      <c r="E3315">
        <v>970</v>
      </c>
      <c r="F3315" t="str">
        <f>HYPERLINK("https://www.google.com/maps/search/?api=1&amp;query=25.81818704,45.40432196", "View Map")</f>
        <v>View Map</v>
      </c>
      <c r="G3315" s="2">
        <v>0.66748292782364327</v>
      </c>
    </row>
    <row r="3316" spans="1:7" x14ac:dyDescent="0.3">
      <c r="A3316" t="s">
        <v>7741</v>
      </c>
      <c r="B3316" t="s">
        <v>7742</v>
      </c>
      <c r="C3316" t="s">
        <v>8</v>
      </c>
      <c r="D3316">
        <v>3.0310000000000001</v>
      </c>
      <c r="E3316">
        <v>970</v>
      </c>
      <c r="F3316" t="str">
        <f>HYPERLINK("https://www.google.com/maps/search/?api=1&amp;query=24.57774768,46.69440595", "View Map")</f>
        <v>View Map</v>
      </c>
    </row>
    <row r="3317" spans="1:7" x14ac:dyDescent="0.3">
      <c r="A3317" t="s">
        <v>146</v>
      </c>
      <c r="B3317" t="s">
        <v>2368</v>
      </c>
      <c r="C3317" t="s">
        <v>8</v>
      </c>
      <c r="D3317">
        <v>3.03</v>
      </c>
      <c r="E3317">
        <v>970</v>
      </c>
      <c r="F3317" t="str">
        <f>HYPERLINK("https://www.google.com/maps/search/?api=1&amp;query=24.56043057,46.72315106", "View Map")</f>
        <v>View Map</v>
      </c>
    </row>
    <row r="3318" spans="1:7" x14ac:dyDescent="0.3">
      <c r="A3318" t="s">
        <v>5750</v>
      </c>
      <c r="B3318" t="s">
        <v>5751</v>
      </c>
      <c r="C3318" t="s">
        <v>296</v>
      </c>
      <c r="D3318">
        <v>3.0289999999999999</v>
      </c>
      <c r="E3318">
        <v>969</v>
      </c>
      <c r="F3318" t="str">
        <f>HYPERLINK("https://www.google.com/maps/search/?api=1&amp;query=24.02331819,46.29400738", "View Map")</f>
        <v>View Map</v>
      </c>
      <c r="G3318" s="2">
        <v>0.73905768361959157</v>
      </c>
    </row>
    <row r="3319" spans="1:7" x14ac:dyDescent="0.3">
      <c r="A3319" t="s">
        <v>9792</v>
      </c>
      <c r="B3319" t="s">
        <v>9793</v>
      </c>
      <c r="C3319" t="s">
        <v>8</v>
      </c>
      <c r="D3319">
        <v>3.0289999999999999</v>
      </c>
      <c r="E3319">
        <v>969</v>
      </c>
      <c r="F3319" t="str">
        <f>HYPERLINK("https://www.google.com/maps/search/?api=1&amp;query=24.6279413,46.65734119", "View Map")</f>
        <v>View Map</v>
      </c>
    </row>
    <row r="3320" spans="1:7" x14ac:dyDescent="0.3">
      <c r="A3320" t="s">
        <v>5987</v>
      </c>
      <c r="B3320" t="s">
        <v>5988</v>
      </c>
      <c r="C3320" t="s">
        <v>214</v>
      </c>
      <c r="D3320">
        <v>3.028</v>
      </c>
      <c r="E3320">
        <v>969</v>
      </c>
      <c r="F3320" t="str">
        <f>HYPERLINK("https://www.google.com/maps/search/?api=1&amp;query=25.59545893,45.61000721", "View Map")</f>
        <v>View Map</v>
      </c>
      <c r="G3320" s="2">
        <v>0.84620532974099338</v>
      </c>
    </row>
    <row r="3321" spans="1:7" x14ac:dyDescent="0.3">
      <c r="A3321" t="s">
        <v>6669</v>
      </c>
      <c r="B3321" t="s">
        <v>6670</v>
      </c>
      <c r="C3321" t="s">
        <v>8</v>
      </c>
      <c r="D3321">
        <v>3.0259999999999998</v>
      </c>
      <c r="E3321">
        <v>968</v>
      </c>
      <c r="F3321" t="str">
        <f>HYPERLINK("https://www.google.com/maps/search/?api=1&amp;query=24.64700197,46.72518615", "View Map")</f>
        <v>View Map</v>
      </c>
    </row>
    <row r="3322" spans="1:7" x14ac:dyDescent="0.3">
      <c r="A3322" t="s">
        <v>9435</v>
      </c>
      <c r="B3322" t="s">
        <v>9436</v>
      </c>
      <c r="C3322" t="s">
        <v>255</v>
      </c>
      <c r="D3322">
        <v>3.0230000000000001</v>
      </c>
      <c r="E3322">
        <v>967</v>
      </c>
      <c r="F3322" t="str">
        <f>HYPERLINK("https://www.google.com/maps/search/?api=1&amp;query=24.6322996,43.67855968", "View Map")</f>
        <v>View Map</v>
      </c>
      <c r="G3322" s="2">
        <v>0.768289142131519</v>
      </c>
    </row>
    <row r="3323" spans="1:7" x14ac:dyDescent="0.3">
      <c r="A3323" t="s">
        <v>1002</v>
      </c>
      <c r="B3323" t="s">
        <v>6057</v>
      </c>
      <c r="C3323" t="s">
        <v>214</v>
      </c>
      <c r="D3323">
        <v>3.0230000000000001</v>
      </c>
      <c r="E3323">
        <v>967</v>
      </c>
      <c r="F3323" t="str">
        <f>HYPERLINK("https://www.google.com/maps/search/?api=1&amp;query=25.9303779,45.37408238", "View Map")</f>
        <v>View Map</v>
      </c>
      <c r="G3323" s="2">
        <v>0.59542455918773851</v>
      </c>
    </row>
    <row r="3324" spans="1:7" x14ac:dyDescent="0.3">
      <c r="A3324" t="s">
        <v>7243</v>
      </c>
      <c r="B3324" t="s">
        <v>7244</v>
      </c>
      <c r="C3324" t="s">
        <v>255</v>
      </c>
      <c r="D3324">
        <v>3.0209999999999999</v>
      </c>
      <c r="E3324">
        <v>967</v>
      </c>
      <c r="F3324" t="str">
        <f>HYPERLINK("https://www.google.com/maps/search/?api=1&amp;query=25.16181981,44.58827158", "View Map")</f>
        <v>View Map</v>
      </c>
      <c r="G3324" s="2">
        <v>0.548183973446003</v>
      </c>
    </row>
    <row r="3325" spans="1:7" x14ac:dyDescent="0.3">
      <c r="A3325" t="s">
        <v>46</v>
      </c>
      <c r="B3325" t="s">
        <v>6169</v>
      </c>
      <c r="C3325" t="s">
        <v>8</v>
      </c>
      <c r="D3325">
        <v>3.0209999999999999</v>
      </c>
      <c r="E3325">
        <v>967</v>
      </c>
      <c r="F3325" t="str">
        <f>HYPERLINK("https://www.google.com/maps/search/?api=1&amp;query=24.8333,46.625", "View Map")</f>
        <v>View Map</v>
      </c>
    </row>
    <row r="3326" spans="1:7" x14ac:dyDescent="0.3">
      <c r="A3326" t="s">
        <v>46</v>
      </c>
      <c r="B3326" t="s">
        <v>548</v>
      </c>
      <c r="C3326" t="s">
        <v>8</v>
      </c>
      <c r="D3326">
        <v>3.0179999999999998</v>
      </c>
      <c r="E3326">
        <v>966</v>
      </c>
      <c r="F3326" t="str">
        <f>HYPERLINK("https://www.google.com/maps/search/?api=1&amp;query=24.85297,46.65071", "View Map")</f>
        <v>View Map</v>
      </c>
      <c r="G3326" s="2">
        <v>0.13114526681486771</v>
      </c>
    </row>
    <row r="3327" spans="1:7" x14ac:dyDescent="0.3">
      <c r="A3327" t="s">
        <v>5253</v>
      </c>
      <c r="B3327" t="s">
        <v>5254</v>
      </c>
      <c r="C3327" t="s">
        <v>8</v>
      </c>
      <c r="D3327">
        <v>3.0150000000000001</v>
      </c>
      <c r="E3327">
        <v>965</v>
      </c>
      <c r="F3327" t="str">
        <f>HYPERLINK("https://www.google.com/maps/search/?api=1&amp;query=24.55374905,46.88931426", "View Map")</f>
        <v>View Map</v>
      </c>
    </row>
    <row r="3328" spans="1:7" x14ac:dyDescent="0.3">
      <c r="A3328" t="s">
        <v>5695</v>
      </c>
      <c r="B3328" t="s">
        <v>5696</v>
      </c>
      <c r="C3328" t="s">
        <v>1112</v>
      </c>
      <c r="D3328">
        <v>3.0150000000000001</v>
      </c>
      <c r="E3328">
        <v>965</v>
      </c>
      <c r="F3328" t="str">
        <f>HYPERLINK("https://www.google.com/maps/search/?api=1&amp;query=26.02134552,44.94439691", "View Map")</f>
        <v>View Map</v>
      </c>
      <c r="G3328" s="2">
        <v>0.74627946812024104</v>
      </c>
    </row>
    <row r="3329" spans="1:7" x14ac:dyDescent="0.3">
      <c r="A3329" t="s">
        <v>5079</v>
      </c>
      <c r="B3329" t="s">
        <v>5080</v>
      </c>
      <c r="C3329" t="s">
        <v>8</v>
      </c>
      <c r="D3329">
        <v>3.0150000000000001</v>
      </c>
      <c r="E3329">
        <v>965</v>
      </c>
      <c r="F3329" t="str">
        <f>HYPERLINK("https://www.google.com/maps/search/?api=1&amp;query=24.57460467,46.66938705", "View Map")</f>
        <v>View Map</v>
      </c>
    </row>
    <row r="3330" spans="1:7" x14ac:dyDescent="0.3">
      <c r="A3330" t="s">
        <v>4022</v>
      </c>
      <c r="B3330" t="s">
        <v>4023</v>
      </c>
      <c r="C3330" t="s">
        <v>255</v>
      </c>
      <c r="D3330">
        <v>3.0150000000000001</v>
      </c>
      <c r="E3330">
        <v>965</v>
      </c>
      <c r="F3330" t="str">
        <f>HYPERLINK("https://www.google.com/maps/search/?api=1&amp;query=24.50900937,44.39214396", "View Map")</f>
        <v>View Map</v>
      </c>
      <c r="G3330" s="2">
        <v>0.39029076068146301</v>
      </c>
    </row>
    <row r="3331" spans="1:7" x14ac:dyDescent="0.3">
      <c r="A3331" t="s">
        <v>5618</v>
      </c>
      <c r="B3331" t="s">
        <v>5619</v>
      </c>
      <c r="C3331" t="s">
        <v>8</v>
      </c>
      <c r="D3331">
        <v>3.0129999999999999</v>
      </c>
      <c r="E3331">
        <v>964</v>
      </c>
      <c r="F3331" t="str">
        <f>HYPERLINK("https://www.google.com/maps/search/?api=1&amp;query=24.56659899,46.78240361", "View Map")</f>
        <v>View Map</v>
      </c>
    </row>
    <row r="3332" spans="1:7" x14ac:dyDescent="0.3">
      <c r="A3332" t="s">
        <v>6006</v>
      </c>
      <c r="B3332" t="s">
        <v>6007</v>
      </c>
      <c r="C3332" t="s">
        <v>8</v>
      </c>
      <c r="D3332">
        <v>3.0129999999999999</v>
      </c>
      <c r="E3332">
        <v>964</v>
      </c>
      <c r="F3332" t="str">
        <f>HYPERLINK("https://www.google.com/maps/search/?api=1&amp;query=24.77238612,46.83123379", "View Map")</f>
        <v>View Map</v>
      </c>
    </row>
    <row r="3333" spans="1:7" x14ac:dyDescent="0.3">
      <c r="A3333" t="s">
        <v>1594</v>
      </c>
      <c r="B3333" t="s">
        <v>7075</v>
      </c>
      <c r="C3333" t="s">
        <v>296</v>
      </c>
      <c r="D3333">
        <v>3.0129999999999999</v>
      </c>
      <c r="E3333">
        <v>964</v>
      </c>
      <c r="F3333" t="str">
        <f>HYPERLINK("https://www.google.com/maps/search/?api=1&amp;query=24.45073409,46.30022976", "View Map")</f>
        <v>View Map</v>
      </c>
      <c r="G3333" s="2">
        <v>0.4150228235288338</v>
      </c>
    </row>
    <row r="3334" spans="1:7" x14ac:dyDescent="0.3">
      <c r="A3334" t="s">
        <v>3675</v>
      </c>
      <c r="B3334" t="s">
        <v>6042</v>
      </c>
      <c r="C3334" t="s">
        <v>8</v>
      </c>
      <c r="D3334">
        <v>3.012</v>
      </c>
      <c r="E3334">
        <v>964</v>
      </c>
      <c r="F3334" t="str">
        <f>HYPERLINK("https://www.google.com/maps/search/?api=1&amp;query=24.72273716,46.83319149", "View Map")</f>
        <v>View Map</v>
      </c>
    </row>
    <row r="3335" spans="1:7" x14ac:dyDescent="0.3">
      <c r="A3335" t="s">
        <v>6080</v>
      </c>
      <c r="B3335" t="s">
        <v>6081</v>
      </c>
      <c r="C3335" t="s">
        <v>214</v>
      </c>
      <c r="D3335">
        <v>3.012</v>
      </c>
      <c r="E3335">
        <v>964</v>
      </c>
      <c r="F3335" t="str">
        <f>HYPERLINK("https://www.google.com/maps/search/?api=1&amp;query=25.94938071,45.35758504", "View Map")</f>
        <v>View Map</v>
      </c>
      <c r="G3335" s="2">
        <v>0.52146954097702813</v>
      </c>
    </row>
    <row r="3336" spans="1:7" x14ac:dyDescent="0.3">
      <c r="A3336" t="s">
        <v>8441</v>
      </c>
      <c r="B3336" t="s">
        <v>8442</v>
      </c>
      <c r="C3336" t="s">
        <v>8</v>
      </c>
      <c r="D3336">
        <v>3.012</v>
      </c>
      <c r="E3336">
        <v>964</v>
      </c>
      <c r="F3336" t="str">
        <f>HYPERLINK("https://www.google.com/maps/search/?api=1&amp;query=24.78744643,46.89643378", "View Map")</f>
        <v>View Map</v>
      </c>
    </row>
    <row r="3337" spans="1:7" x14ac:dyDescent="0.3">
      <c r="A3337" t="s">
        <v>6470</v>
      </c>
      <c r="B3337" t="s">
        <v>6471</v>
      </c>
      <c r="C3337" t="s">
        <v>255</v>
      </c>
      <c r="D3337">
        <v>3.0089999999999999</v>
      </c>
      <c r="E3337">
        <v>963</v>
      </c>
      <c r="F3337" t="str">
        <f>HYPERLINK("https://www.google.com/maps/search/?api=1&amp;query=24.71060743,43.67882326", "View Map")</f>
        <v>View Map</v>
      </c>
      <c r="G3337" s="2">
        <v>0.68124289884110534</v>
      </c>
    </row>
    <row r="3338" spans="1:7" x14ac:dyDescent="0.3">
      <c r="A3338" t="s">
        <v>1639</v>
      </c>
      <c r="B3338" t="s">
        <v>11440</v>
      </c>
      <c r="C3338" t="s">
        <v>8</v>
      </c>
      <c r="D3338">
        <v>3.0089999999999999</v>
      </c>
      <c r="E3338">
        <v>963</v>
      </c>
      <c r="F3338" t="str">
        <f>HYPERLINK("https://www.google.com/maps/search/?api=1&amp;query=24.7150606,46.8485158", "View Map")</f>
        <v>View Map</v>
      </c>
    </row>
    <row r="3339" spans="1:7" x14ac:dyDescent="0.3">
      <c r="A3339" t="s">
        <v>5131</v>
      </c>
      <c r="B3339" t="s">
        <v>5132</v>
      </c>
      <c r="C3339" t="s">
        <v>364</v>
      </c>
      <c r="D3339">
        <v>3.008</v>
      </c>
      <c r="E3339">
        <v>963</v>
      </c>
      <c r="F3339" t="str">
        <f>HYPERLINK("https://www.google.com/maps/search/?api=1&amp;query=25.29884089,45.95920193", "View Map")</f>
        <v>View Map</v>
      </c>
    </row>
    <row r="3340" spans="1:7" x14ac:dyDescent="0.3">
      <c r="A3340" t="s">
        <v>8006</v>
      </c>
      <c r="B3340" t="s">
        <v>8007</v>
      </c>
      <c r="C3340" t="s">
        <v>8</v>
      </c>
      <c r="D3340">
        <v>3.0070000000000001</v>
      </c>
      <c r="E3340">
        <v>962</v>
      </c>
      <c r="F3340" t="str">
        <f>HYPERLINK("https://www.google.com/maps/search/?api=1&amp;query=24.63232283,46.72628008", "View Map")</f>
        <v>View Map</v>
      </c>
    </row>
    <row r="3341" spans="1:7" x14ac:dyDescent="0.3">
      <c r="A3341" t="s">
        <v>7079</v>
      </c>
      <c r="B3341" t="s">
        <v>7080</v>
      </c>
      <c r="C3341" t="s">
        <v>30</v>
      </c>
      <c r="D3341">
        <v>3.0070000000000001</v>
      </c>
      <c r="E3341">
        <v>962</v>
      </c>
      <c r="F3341" t="str">
        <f>HYPERLINK("https://www.google.com/maps/search/?api=1&amp;query=24.15267235,47.35944117", "View Map")</f>
        <v>View Map</v>
      </c>
    </row>
    <row r="3342" spans="1:7" x14ac:dyDescent="0.3">
      <c r="A3342" t="s">
        <v>46</v>
      </c>
      <c r="B3342" t="s">
        <v>7630</v>
      </c>
      <c r="C3342" t="s">
        <v>8</v>
      </c>
      <c r="D3342">
        <v>3.0059999999999998</v>
      </c>
      <c r="E3342">
        <v>962</v>
      </c>
      <c r="F3342" t="str">
        <f>HYPERLINK("https://www.google.com/maps/search/?api=1&amp;query=24.6628,46.5247", "View Map")</f>
        <v>View Map</v>
      </c>
    </row>
    <row r="3343" spans="1:7" x14ac:dyDescent="0.3">
      <c r="A3343" t="s">
        <v>5303</v>
      </c>
      <c r="B3343" t="s">
        <v>5304</v>
      </c>
      <c r="C3343" t="s">
        <v>8</v>
      </c>
      <c r="D3343">
        <v>3.0059999999999998</v>
      </c>
      <c r="E3343">
        <v>962</v>
      </c>
      <c r="F3343" t="str">
        <f>HYPERLINK("https://www.google.com/maps/search/?api=1&amp;query=24.58059401,46.62829623", "View Map")</f>
        <v>View Map</v>
      </c>
    </row>
    <row r="3344" spans="1:7" x14ac:dyDescent="0.3">
      <c r="A3344" t="s">
        <v>7069</v>
      </c>
      <c r="B3344" t="s">
        <v>7070</v>
      </c>
      <c r="C3344" t="s">
        <v>241</v>
      </c>
      <c r="D3344">
        <v>3.0059999999999998</v>
      </c>
      <c r="E3344">
        <v>962</v>
      </c>
      <c r="F3344" t="str">
        <f>HYPERLINK("https://www.google.com/maps/search/?api=1&amp;query=20.45715855,44.7467372", "View Map")</f>
        <v>View Map</v>
      </c>
    </row>
    <row r="3345" spans="1:7" x14ac:dyDescent="0.3">
      <c r="A3345" t="s">
        <v>2229</v>
      </c>
      <c r="B3345" t="s">
        <v>8512</v>
      </c>
      <c r="C3345" t="s">
        <v>8</v>
      </c>
      <c r="D3345">
        <v>3.0059999999999998</v>
      </c>
      <c r="E3345">
        <v>962</v>
      </c>
      <c r="F3345" t="str">
        <f>HYPERLINK("https://www.google.com/maps/search/?api=1&amp;query=24.7221885,46.82983881", "View Map")</f>
        <v>View Map</v>
      </c>
    </row>
    <row r="3346" spans="1:7" x14ac:dyDescent="0.3">
      <c r="A3346" t="s">
        <v>1321</v>
      </c>
      <c r="B3346" t="s">
        <v>1322</v>
      </c>
      <c r="C3346" t="s">
        <v>8</v>
      </c>
      <c r="D3346">
        <v>3.0049999999999999</v>
      </c>
      <c r="E3346">
        <v>962</v>
      </c>
      <c r="F3346" t="str">
        <f>HYPERLINK("https://www.google.com/maps/search/?api=1&amp;query=24.77727932,46.8304126", "View Map")</f>
        <v>View Map</v>
      </c>
      <c r="G3346" s="2">
        <v>0.228396313487506</v>
      </c>
    </row>
    <row r="3347" spans="1:7" x14ac:dyDescent="0.3">
      <c r="A3347" t="s">
        <v>3735</v>
      </c>
      <c r="B3347" t="s">
        <v>8660</v>
      </c>
      <c r="C3347" t="s">
        <v>255</v>
      </c>
      <c r="D3347">
        <v>3.004</v>
      </c>
      <c r="E3347">
        <v>961</v>
      </c>
      <c r="F3347" t="str">
        <f>HYPERLINK("https://www.google.com/maps/search/?api=1&amp;query=25.1569913,44.60630394", "View Map")</f>
        <v>View Map</v>
      </c>
    </row>
    <row r="3348" spans="1:7" x14ac:dyDescent="0.3">
      <c r="A3348" t="s">
        <v>5561</v>
      </c>
      <c r="B3348" t="s">
        <v>5562</v>
      </c>
      <c r="C3348" t="s">
        <v>8</v>
      </c>
      <c r="D3348">
        <v>3.0030000000000001</v>
      </c>
      <c r="E3348">
        <v>961</v>
      </c>
      <c r="F3348" t="str">
        <f>HYPERLINK("https://www.google.com/maps/search/?api=1&amp;query=24.73463634,46.77801906", "View Map")</f>
        <v>View Map</v>
      </c>
      <c r="G3348" s="2">
        <v>0.63479070153842354</v>
      </c>
    </row>
    <row r="3349" spans="1:7" x14ac:dyDescent="0.3">
      <c r="A3349" t="s">
        <v>5732</v>
      </c>
      <c r="B3349" t="s">
        <v>5733</v>
      </c>
      <c r="C3349" t="s">
        <v>8</v>
      </c>
      <c r="D3349">
        <v>3.0019999999999998</v>
      </c>
      <c r="E3349">
        <v>961</v>
      </c>
      <c r="F3349" t="str">
        <f>HYPERLINK("https://www.google.com/maps/search/?api=1&amp;query=24.57216007,46.68666906", "View Map")</f>
        <v>View Map</v>
      </c>
      <c r="G3349" s="2">
        <v>0.42840788274827157</v>
      </c>
    </row>
    <row r="3350" spans="1:7" x14ac:dyDescent="0.3">
      <c r="A3350" t="s">
        <v>46</v>
      </c>
      <c r="B3350" t="s">
        <v>10885</v>
      </c>
      <c r="C3350" t="s">
        <v>8</v>
      </c>
      <c r="D3350">
        <v>3.0019999999999998</v>
      </c>
      <c r="E3350">
        <v>961</v>
      </c>
      <c r="F3350" t="str">
        <f>HYPERLINK("https://www.google.com/maps/search/?api=1&amp;query=24.66901416,46.54254677", "View Map")</f>
        <v>View Map</v>
      </c>
    </row>
    <row r="3351" spans="1:7" x14ac:dyDescent="0.3">
      <c r="A3351" t="s">
        <v>5365</v>
      </c>
      <c r="B3351" t="s">
        <v>5366</v>
      </c>
      <c r="C3351" t="s">
        <v>8</v>
      </c>
      <c r="D3351">
        <v>3</v>
      </c>
      <c r="E3351">
        <v>960</v>
      </c>
      <c r="F3351" t="str">
        <f>HYPERLINK("https://www.google.com/maps/search/?api=1&amp;query=24.66986897,46.74473075", "View Map")</f>
        <v>View Map</v>
      </c>
    </row>
    <row r="3352" spans="1:7" x14ac:dyDescent="0.3">
      <c r="A3352" t="s">
        <v>10784</v>
      </c>
      <c r="B3352" t="s">
        <v>10785</v>
      </c>
      <c r="C3352" t="s">
        <v>8</v>
      </c>
      <c r="D3352">
        <v>3</v>
      </c>
      <c r="E3352">
        <v>960</v>
      </c>
      <c r="F3352" t="str">
        <f>HYPERLINK("https://www.google.com/maps/search/?api=1&amp;query=24.61124568,46.64608173", "View Map")</f>
        <v>View Map</v>
      </c>
    </row>
    <row r="3353" spans="1:7" x14ac:dyDescent="0.3">
      <c r="A3353" t="s">
        <v>46</v>
      </c>
      <c r="B3353" t="s">
        <v>9470</v>
      </c>
      <c r="C3353" t="s">
        <v>8</v>
      </c>
      <c r="D3353">
        <v>3</v>
      </c>
      <c r="E3353">
        <v>960</v>
      </c>
      <c r="F3353" t="str">
        <f>HYPERLINK("https://www.google.com/maps/search/?api=1&amp;query=24.63065981,46.52829146", "View Map")</f>
        <v>View Map</v>
      </c>
    </row>
    <row r="3354" spans="1:7" x14ac:dyDescent="0.3">
      <c r="A3354" t="s">
        <v>1967</v>
      </c>
      <c r="B3354" t="s">
        <v>1968</v>
      </c>
      <c r="C3354" t="s">
        <v>214</v>
      </c>
      <c r="D3354">
        <v>2.9990000000000001</v>
      </c>
      <c r="E3354">
        <v>960</v>
      </c>
      <c r="F3354" t="str">
        <f>HYPERLINK("https://www.google.com/maps/search/?api=1&amp;query=25.94374896,45.36098204", "View Map")</f>
        <v>View Map</v>
      </c>
      <c r="G3354" s="2">
        <v>0.38408520421329212</v>
      </c>
    </row>
    <row r="3355" spans="1:7" x14ac:dyDescent="0.3">
      <c r="A3355" t="s">
        <v>6102</v>
      </c>
      <c r="B3355" t="s">
        <v>6103</v>
      </c>
      <c r="C3355" t="s">
        <v>30</v>
      </c>
      <c r="D3355">
        <v>2.9990000000000001</v>
      </c>
      <c r="E3355">
        <v>960</v>
      </c>
      <c r="F3355" t="str">
        <f>HYPERLINK("https://www.google.com/maps/search/?api=1&amp;query=24.11484298,47.27191886", "View Map")</f>
        <v>View Map</v>
      </c>
    </row>
    <row r="3356" spans="1:7" x14ac:dyDescent="0.3">
      <c r="A3356" t="s">
        <v>5888</v>
      </c>
      <c r="B3356" t="s">
        <v>5889</v>
      </c>
      <c r="C3356" t="s">
        <v>8</v>
      </c>
      <c r="D3356">
        <v>2.9980000000000002</v>
      </c>
      <c r="E3356">
        <v>960</v>
      </c>
      <c r="F3356" t="str">
        <f>HYPERLINK("https://www.google.com/maps/search/?api=1&amp;query=24.7575076,46.72357512", "View Map")</f>
        <v>View Map</v>
      </c>
    </row>
    <row r="3357" spans="1:7" x14ac:dyDescent="0.3">
      <c r="A3357" t="s">
        <v>8889</v>
      </c>
      <c r="B3357" t="s">
        <v>8890</v>
      </c>
      <c r="C3357" t="s">
        <v>21</v>
      </c>
      <c r="D3357">
        <v>2.9969999999999999</v>
      </c>
      <c r="E3357">
        <v>959</v>
      </c>
      <c r="F3357" t="str">
        <f>HYPERLINK("https://www.google.com/maps/search/?api=1&amp;query=26.32214501,44.82168365", "View Map")</f>
        <v>View Map</v>
      </c>
    </row>
    <row r="3358" spans="1:7" x14ac:dyDescent="0.3">
      <c r="A3358" t="s">
        <v>5296</v>
      </c>
      <c r="B3358" t="s">
        <v>5297</v>
      </c>
      <c r="C3358" t="s">
        <v>8</v>
      </c>
      <c r="D3358">
        <v>2.9969999999999999</v>
      </c>
      <c r="E3358">
        <v>959</v>
      </c>
      <c r="F3358" t="str">
        <f>HYPERLINK("https://www.google.com/maps/search/?api=1&amp;query=24.6044,46.6058", "View Map")</f>
        <v>View Map</v>
      </c>
    </row>
    <row r="3359" spans="1:7" x14ac:dyDescent="0.3">
      <c r="A3359" t="s">
        <v>5626</v>
      </c>
      <c r="B3359" t="s">
        <v>5627</v>
      </c>
      <c r="C3359" t="s">
        <v>393</v>
      </c>
      <c r="D3359">
        <v>2.9929999999999999</v>
      </c>
      <c r="E3359">
        <v>958</v>
      </c>
      <c r="F3359" t="str">
        <f>HYPERLINK("https://www.google.com/maps/search/?api=1&amp;query=23.63565897,45.36229877", "View Map")</f>
        <v>View Map</v>
      </c>
      <c r="G3359" s="2">
        <v>0.52726542862172165</v>
      </c>
    </row>
    <row r="3360" spans="1:7" x14ac:dyDescent="0.3">
      <c r="A3360" t="s">
        <v>9390</v>
      </c>
      <c r="B3360" t="s">
        <v>9391</v>
      </c>
      <c r="C3360" t="s">
        <v>8</v>
      </c>
      <c r="D3360">
        <v>2.9929999999999999</v>
      </c>
      <c r="E3360">
        <v>958</v>
      </c>
      <c r="F3360" t="str">
        <f>HYPERLINK("https://www.google.com/maps/search/?api=1&amp;query=24.57996283,46.61966684", "View Map")</f>
        <v>View Map</v>
      </c>
    </row>
    <row r="3361" spans="1:7" x14ac:dyDescent="0.3">
      <c r="A3361" t="s">
        <v>46</v>
      </c>
      <c r="B3361" t="s">
        <v>8436</v>
      </c>
      <c r="C3361" t="s">
        <v>8</v>
      </c>
      <c r="D3361">
        <v>2.9929999999999999</v>
      </c>
      <c r="E3361">
        <v>958</v>
      </c>
      <c r="F3361" t="str">
        <f>HYPERLINK("https://www.google.com/maps/search/?api=1&amp;query=24.80490542,46.61386904", "View Map")</f>
        <v>View Map</v>
      </c>
    </row>
    <row r="3362" spans="1:7" x14ac:dyDescent="0.3">
      <c r="A3362" t="s">
        <v>5706</v>
      </c>
      <c r="B3362" t="s">
        <v>5707</v>
      </c>
      <c r="C3362" t="s">
        <v>8</v>
      </c>
      <c r="D3362">
        <v>2.992</v>
      </c>
      <c r="E3362">
        <v>957</v>
      </c>
      <c r="F3362" t="str">
        <f>HYPERLINK("https://www.google.com/maps/search/?api=1&amp;query=24.75260202,46.63650499", "View Map")</f>
        <v>View Map</v>
      </c>
    </row>
    <row r="3363" spans="1:7" x14ac:dyDescent="0.3">
      <c r="A3363" t="s">
        <v>4826</v>
      </c>
      <c r="B3363" t="s">
        <v>4827</v>
      </c>
      <c r="C3363" t="s">
        <v>8</v>
      </c>
      <c r="D3363">
        <v>2.992</v>
      </c>
      <c r="E3363">
        <v>958</v>
      </c>
      <c r="F3363" t="str">
        <f>HYPERLINK("https://www.google.com/maps/search/?api=1&amp;query=24.55732054,46.70137618", "View Map")</f>
        <v>View Map</v>
      </c>
    </row>
    <row r="3364" spans="1:7" x14ac:dyDescent="0.3">
      <c r="A3364" t="s">
        <v>4340</v>
      </c>
      <c r="B3364" t="s">
        <v>4341</v>
      </c>
      <c r="C3364" t="s">
        <v>8</v>
      </c>
      <c r="D3364">
        <v>2.9910000000000001</v>
      </c>
      <c r="E3364">
        <v>957</v>
      </c>
      <c r="F3364" t="str">
        <f>HYPERLINK("https://www.google.com/maps/search/?api=1&amp;query=24.59302892,46.70819325", "View Map")</f>
        <v>View Map</v>
      </c>
    </row>
    <row r="3365" spans="1:7" x14ac:dyDescent="0.3">
      <c r="A3365" t="s">
        <v>8844</v>
      </c>
      <c r="B3365" t="s">
        <v>8845</v>
      </c>
      <c r="C3365" t="s">
        <v>8</v>
      </c>
      <c r="D3365">
        <v>2.99</v>
      </c>
      <c r="E3365">
        <v>957</v>
      </c>
      <c r="F3365" t="str">
        <f>HYPERLINK("https://www.google.com/maps/search/?api=1&amp;query=24.57013074,46.64543154", "View Map")</f>
        <v>View Map</v>
      </c>
    </row>
    <row r="3366" spans="1:7" x14ac:dyDescent="0.3">
      <c r="A3366" t="s">
        <v>46</v>
      </c>
      <c r="B3366" t="s">
        <v>8743</v>
      </c>
      <c r="C3366" t="s">
        <v>8</v>
      </c>
      <c r="D3366">
        <v>2.99</v>
      </c>
      <c r="E3366">
        <v>957</v>
      </c>
      <c r="F3366" t="str">
        <f>HYPERLINK("https://www.google.com/maps/search/?api=1&amp;query=24.85912035,46.65934211", "View Map")</f>
        <v>View Map</v>
      </c>
    </row>
    <row r="3367" spans="1:7" x14ac:dyDescent="0.3">
      <c r="A3367" t="s">
        <v>7863</v>
      </c>
      <c r="B3367" t="s">
        <v>7864</v>
      </c>
      <c r="C3367" t="s">
        <v>8</v>
      </c>
      <c r="D3367">
        <v>2.99</v>
      </c>
      <c r="E3367">
        <v>957</v>
      </c>
      <c r="F3367" t="str">
        <f>HYPERLINK("https://www.google.com/maps/search/?api=1&amp;query=24.53897522,46.70465756", "View Map")</f>
        <v>View Map</v>
      </c>
    </row>
    <row r="3368" spans="1:7" x14ac:dyDescent="0.3">
      <c r="A3368" t="s">
        <v>5166</v>
      </c>
      <c r="B3368" t="s">
        <v>5167</v>
      </c>
      <c r="C3368" t="s">
        <v>738</v>
      </c>
      <c r="D3368">
        <v>2.99</v>
      </c>
      <c r="E3368">
        <v>957</v>
      </c>
      <c r="F3368" t="str">
        <f>HYPERLINK("https://www.google.com/maps/search/?api=1&amp;query=25.11607965,46.1047303", "View Map")</f>
        <v>View Map</v>
      </c>
      <c r="G3368" s="2">
        <v>0.46837412917550292</v>
      </c>
    </row>
    <row r="3369" spans="1:7" x14ac:dyDescent="0.3">
      <c r="A3369" t="s">
        <v>8252</v>
      </c>
      <c r="B3369" t="s">
        <v>8253</v>
      </c>
      <c r="C3369" t="s">
        <v>21</v>
      </c>
      <c r="D3369">
        <v>2.9889999999999999</v>
      </c>
      <c r="E3369">
        <v>957</v>
      </c>
      <c r="F3369" t="str">
        <f>HYPERLINK("https://www.google.com/maps/search/?api=1&amp;query=26.33851303,44.78629002", "View Map")</f>
        <v>View Map</v>
      </c>
      <c r="G3369" s="2">
        <v>0.6110646788732651</v>
      </c>
    </row>
    <row r="3370" spans="1:7" x14ac:dyDescent="0.3">
      <c r="A3370" t="s">
        <v>6477</v>
      </c>
      <c r="B3370" t="s">
        <v>6478</v>
      </c>
      <c r="C3370" t="s">
        <v>466</v>
      </c>
      <c r="D3370">
        <v>2.988</v>
      </c>
      <c r="E3370">
        <v>956</v>
      </c>
      <c r="F3370" t="str">
        <f>HYPERLINK("https://www.google.com/maps/search/?api=1&amp;query=24.59843146,46.13351142", "View Map")</f>
        <v>View Map</v>
      </c>
      <c r="G3370" s="2">
        <v>0.73390307813340117</v>
      </c>
    </row>
    <row r="3371" spans="1:7" x14ac:dyDescent="0.3">
      <c r="A3371" t="s">
        <v>6765</v>
      </c>
      <c r="B3371" t="s">
        <v>6766</v>
      </c>
      <c r="C3371" t="s">
        <v>8</v>
      </c>
      <c r="D3371">
        <v>2.9870000000000001</v>
      </c>
      <c r="E3371">
        <v>956</v>
      </c>
      <c r="F3371" t="str">
        <f>HYPERLINK("https://www.google.com/maps/search/?api=1&amp;query=24.57958915,46.61910479", "View Map")</f>
        <v>View Map</v>
      </c>
    </row>
    <row r="3372" spans="1:7" x14ac:dyDescent="0.3">
      <c r="A3372" t="s">
        <v>7512</v>
      </c>
      <c r="B3372" t="s">
        <v>7513</v>
      </c>
      <c r="C3372" t="s">
        <v>8</v>
      </c>
      <c r="D3372">
        <v>2.9870000000000001</v>
      </c>
      <c r="E3372">
        <v>956</v>
      </c>
      <c r="F3372" t="str">
        <f>HYPERLINK("https://www.google.com/maps/search/?api=1&amp;query=24.73343771,46.81230815", "View Map")</f>
        <v>View Map</v>
      </c>
    </row>
    <row r="3373" spans="1:7" x14ac:dyDescent="0.3">
      <c r="A3373" t="s">
        <v>2164</v>
      </c>
      <c r="B3373" t="s">
        <v>2165</v>
      </c>
      <c r="C3373" t="s">
        <v>466</v>
      </c>
      <c r="D3373">
        <v>2.9849999999999999</v>
      </c>
      <c r="E3373">
        <v>955</v>
      </c>
      <c r="F3373" t="str">
        <f>HYPERLINK("https://www.google.com/maps/search/?api=1&amp;query=24.61262648,46.09805492", "View Map")</f>
        <v>View Map</v>
      </c>
      <c r="G3373" s="2">
        <v>0.38658867188537221</v>
      </c>
    </row>
    <row r="3374" spans="1:7" x14ac:dyDescent="0.3">
      <c r="A3374" t="s">
        <v>10065</v>
      </c>
      <c r="B3374" t="s">
        <v>10066</v>
      </c>
      <c r="C3374" t="s">
        <v>8</v>
      </c>
      <c r="D3374">
        <v>2.984</v>
      </c>
      <c r="E3374">
        <v>955</v>
      </c>
      <c r="F3374" t="str">
        <f>HYPERLINK("https://www.google.com/maps/search/?api=1&amp;query=24.64161127,46.71922078", "View Map")</f>
        <v>View Map</v>
      </c>
    </row>
    <row r="3375" spans="1:7" x14ac:dyDescent="0.3">
      <c r="A3375" t="s">
        <v>4453</v>
      </c>
      <c r="B3375" t="s">
        <v>4454</v>
      </c>
      <c r="C3375" t="s">
        <v>8</v>
      </c>
      <c r="D3375">
        <v>2.984</v>
      </c>
      <c r="E3375">
        <v>955</v>
      </c>
      <c r="F3375" t="str">
        <f>HYPERLINK("https://www.google.com/maps/search/?api=1&amp;query=24.54583695,46.73072358", "View Map")</f>
        <v>View Map</v>
      </c>
    </row>
    <row r="3376" spans="1:7" x14ac:dyDescent="0.3">
      <c r="A3376" t="s">
        <v>5603</v>
      </c>
      <c r="B3376" t="s">
        <v>5604</v>
      </c>
      <c r="C3376" t="s">
        <v>8</v>
      </c>
      <c r="D3376">
        <v>2.984</v>
      </c>
      <c r="E3376">
        <v>955</v>
      </c>
      <c r="F3376" t="str">
        <f>HYPERLINK("https://www.google.com/maps/search/?api=1&amp;query=24.58740203,46.56905075", "View Map")</f>
        <v>View Map</v>
      </c>
    </row>
    <row r="3377" spans="1:7" x14ac:dyDescent="0.3">
      <c r="A3377" t="s">
        <v>5999</v>
      </c>
      <c r="B3377" t="s">
        <v>6000</v>
      </c>
      <c r="C3377" t="s">
        <v>8</v>
      </c>
      <c r="D3377">
        <v>2.9830000000000001</v>
      </c>
      <c r="E3377">
        <v>955</v>
      </c>
      <c r="F3377" t="str">
        <f>HYPERLINK("https://www.google.com/maps/search/?api=1&amp;query=24.56640818,46.78645152", "View Map")</f>
        <v>View Map</v>
      </c>
    </row>
    <row r="3378" spans="1:7" x14ac:dyDescent="0.3">
      <c r="A3378" t="s">
        <v>5874</v>
      </c>
      <c r="B3378" t="s">
        <v>5875</v>
      </c>
      <c r="C3378" t="s">
        <v>393</v>
      </c>
      <c r="D3378">
        <v>2.9830000000000001</v>
      </c>
      <c r="E3378">
        <v>955</v>
      </c>
      <c r="F3378" t="str">
        <f>HYPERLINK("https://www.google.com/maps/search/?api=1&amp;query=22.98002353,45.44134153", "View Map")</f>
        <v>View Map</v>
      </c>
      <c r="G3378" s="2">
        <v>0.6645950774884275</v>
      </c>
    </row>
    <row r="3379" spans="1:7" x14ac:dyDescent="0.3">
      <c r="A3379" t="s">
        <v>3562</v>
      </c>
      <c r="B3379" t="s">
        <v>3563</v>
      </c>
      <c r="C3379" t="s">
        <v>8</v>
      </c>
      <c r="D3379">
        <v>2.9820000000000002</v>
      </c>
      <c r="E3379">
        <v>954</v>
      </c>
      <c r="F3379" t="str">
        <f>HYPERLINK("https://www.google.com/maps/search/?api=1&amp;query=24.74005821,46.84410149", "View Map")</f>
        <v>View Map</v>
      </c>
    </row>
    <row r="3380" spans="1:7" x14ac:dyDescent="0.3">
      <c r="A3380" t="s">
        <v>469</v>
      </c>
      <c r="B3380" t="s">
        <v>8458</v>
      </c>
      <c r="C3380" t="s">
        <v>8</v>
      </c>
      <c r="D3380">
        <v>2.9820000000000002</v>
      </c>
      <c r="E3380">
        <v>954</v>
      </c>
      <c r="F3380" t="str">
        <f>HYPERLINK("https://www.google.com/maps/search/?api=1&amp;query=24.78392797,46.87686468", "View Map")</f>
        <v>View Map</v>
      </c>
    </row>
    <row r="3381" spans="1:7" x14ac:dyDescent="0.3">
      <c r="A3381" t="s">
        <v>3457</v>
      </c>
      <c r="B3381" t="s">
        <v>3458</v>
      </c>
      <c r="C3381" t="s">
        <v>8</v>
      </c>
      <c r="D3381">
        <v>2.9809999999999999</v>
      </c>
      <c r="E3381">
        <v>954</v>
      </c>
      <c r="F3381" t="str">
        <f>HYPERLINK("https://www.google.com/maps/search/?api=1&amp;query=24.77867468,46.75787019", "View Map")</f>
        <v>View Map</v>
      </c>
    </row>
    <row r="3382" spans="1:7" x14ac:dyDescent="0.3">
      <c r="A3382" t="s">
        <v>6132</v>
      </c>
      <c r="B3382" t="s">
        <v>6133</v>
      </c>
      <c r="C3382" t="s">
        <v>393</v>
      </c>
      <c r="D3382">
        <v>2.9809999999999999</v>
      </c>
      <c r="E3382">
        <v>954</v>
      </c>
      <c r="F3382" t="str">
        <f>HYPERLINK("https://www.google.com/maps/search/?api=1&amp;query=23.5482424,45.47887658", "View Map")</f>
        <v>View Map</v>
      </c>
      <c r="G3382" s="2">
        <v>0.88896262269483073</v>
      </c>
    </row>
    <row r="3383" spans="1:7" x14ac:dyDescent="0.3">
      <c r="A3383" t="s">
        <v>11441</v>
      </c>
      <c r="B3383" t="s">
        <v>11442</v>
      </c>
      <c r="C3383" t="s">
        <v>4447</v>
      </c>
      <c r="D3383">
        <v>2.9790000000000001</v>
      </c>
      <c r="E3383">
        <v>953</v>
      </c>
      <c r="F3383" t="str">
        <f>HYPERLINK("https://www.google.com/maps/search/?api=1&amp;query=23.89447586,42.06457268", "View Map")</f>
        <v>View Map</v>
      </c>
      <c r="G3383" s="2">
        <v>1.115039267350437</v>
      </c>
    </row>
    <row r="3384" spans="1:7" x14ac:dyDescent="0.3">
      <c r="A3384" t="s">
        <v>8739</v>
      </c>
      <c r="B3384" t="s">
        <v>8740</v>
      </c>
      <c r="C3384" t="s">
        <v>8</v>
      </c>
      <c r="D3384">
        <v>2.9790000000000001</v>
      </c>
      <c r="E3384">
        <v>953</v>
      </c>
      <c r="F3384" t="str">
        <f>HYPERLINK("https://www.google.com/maps/search/?api=1&amp;query=24.62671957,46.67846818", "View Map")</f>
        <v>View Map</v>
      </c>
      <c r="G3384" s="2">
        <v>0.64779207796043725</v>
      </c>
    </row>
    <row r="3385" spans="1:7" x14ac:dyDescent="0.3">
      <c r="A3385" t="s">
        <v>1391</v>
      </c>
      <c r="B3385" t="s">
        <v>3051</v>
      </c>
      <c r="C3385" t="s">
        <v>8</v>
      </c>
      <c r="D3385">
        <v>2.9790000000000001</v>
      </c>
      <c r="E3385">
        <v>953</v>
      </c>
      <c r="F3385" t="str">
        <f>HYPERLINK("https://www.google.com/maps/search/?api=1&amp;query=24.73914909,46.82461504", "View Map")</f>
        <v>View Map</v>
      </c>
    </row>
    <row r="3386" spans="1:7" x14ac:dyDescent="0.3">
      <c r="A3386" t="s">
        <v>11443</v>
      </c>
      <c r="B3386" t="s">
        <v>11444</v>
      </c>
      <c r="C3386" t="s">
        <v>214</v>
      </c>
      <c r="D3386">
        <v>2.9780000000000002</v>
      </c>
      <c r="E3386">
        <v>953</v>
      </c>
      <c r="F3386" t="str">
        <f>HYPERLINK("https://www.google.com/maps/search/?api=1&amp;query=25.92185651,45.33250368", "View Map")</f>
        <v>View Map</v>
      </c>
    </row>
    <row r="3387" spans="1:7" x14ac:dyDescent="0.3">
      <c r="A3387" t="s">
        <v>46</v>
      </c>
      <c r="B3387" t="s">
        <v>6295</v>
      </c>
      <c r="C3387" t="s">
        <v>8</v>
      </c>
      <c r="D3387">
        <v>2.9769999999999999</v>
      </c>
      <c r="E3387">
        <v>953</v>
      </c>
      <c r="F3387" t="str">
        <f>HYPERLINK("https://www.google.com/maps/search/?api=1&amp;query=24.79167228,46.6115861", "View Map")</f>
        <v>View Map</v>
      </c>
    </row>
    <row r="3388" spans="1:7" x14ac:dyDescent="0.3">
      <c r="A3388" t="s">
        <v>146</v>
      </c>
      <c r="B3388" t="s">
        <v>10800</v>
      </c>
      <c r="C3388" t="s">
        <v>8</v>
      </c>
      <c r="D3388">
        <v>2.976</v>
      </c>
      <c r="E3388">
        <v>952</v>
      </c>
      <c r="F3388" t="str">
        <f>HYPERLINK("https://www.google.com/maps/search/?api=1&amp;query=24.5681751,46.62883906", "View Map")</f>
        <v>View Map</v>
      </c>
    </row>
    <row r="3389" spans="1:7" x14ac:dyDescent="0.3">
      <c r="A3389" t="s">
        <v>661</v>
      </c>
      <c r="B3389" t="s">
        <v>7178</v>
      </c>
      <c r="C3389" t="s">
        <v>214</v>
      </c>
      <c r="D3389">
        <v>2.976</v>
      </c>
      <c r="E3389">
        <v>952</v>
      </c>
      <c r="F3389" t="str">
        <f>HYPERLINK("https://www.google.com/maps/search/?api=1&amp;query=25.58527916,45.69534916", "View Map")</f>
        <v>View Map</v>
      </c>
      <c r="G3389" s="2">
        <v>0.72711395521064048</v>
      </c>
    </row>
    <row r="3390" spans="1:7" x14ac:dyDescent="0.3">
      <c r="A3390" t="s">
        <v>9512</v>
      </c>
      <c r="B3390" t="s">
        <v>9513</v>
      </c>
      <c r="C3390" t="s">
        <v>8</v>
      </c>
      <c r="D3390">
        <v>2.976</v>
      </c>
      <c r="E3390">
        <v>952</v>
      </c>
      <c r="F3390" t="str">
        <f>HYPERLINK("https://www.google.com/maps/search/?api=1&amp;query=24.62298743,46.69722577", "View Map")</f>
        <v>View Map</v>
      </c>
    </row>
    <row r="3391" spans="1:7" x14ac:dyDescent="0.3">
      <c r="A3391" t="s">
        <v>5052</v>
      </c>
      <c r="B3391" t="s">
        <v>5053</v>
      </c>
      <c r="C3391" t="s">
        <v>8</v>
      </c>
      <c r="D3391">
        <v>2.976</v>
      </c>
      <c r="E3391">
        <v>952</v>
      </c>
      <c r="F3391" t="str">
        <f>HYPERLINK("https://www.google.com/maps/search/?api=1&amp;query=24.55163773,46.65317337", "View Map")</f>
        <v>View Map</v>
      </c>
    </row>
    <row r="3392" spans="1:7" x14ac:dyDescent="0.3">
      <c r="A3392" t="s">
        <v>717</v>
      </c>
      <c r="B3392" t="s">
        <v>7682</v>
      </c>
      <c r="C3392" t="s">
        <v>255</v>
      </c>
      <c r="D3392">
        <v>2.9750000000000001</v>
      </c>
      <c r="E3392">
        <v>952</v>
      </c>
      <c r="F3392" t="str">
        <f>HYPERLINK("https://www.google.com/maps/search/?api=1&amp;query=24.57046526,44.45297732", "View Map")</f>
        <v>View Map</v>
      </c>
      <c r="G3392" s="2">
        <v>0.71227318252368388</v>
      </c>
    </row>
    <row r="3393" spans="1:7" x14ac:dyDescent="0.3">
      <c r="A3393" t="s">
        <v>8088</v>
      </c>
      <c r="B3393" t="s">
        <v>8089</v>
      </c>
      <c r="C3393" t="s">
        <v>8</v>
      </c>
      <c r="D3393">
        <v>2.9750000000000001</v>
      </c>
      <c r="E3393">
        <v>952</v>
      </c>
      <c r="F3393" t="str">
        <f>HYPERLINK("https://www.google.com/maps/search/?api=1&amp;query=24.57269015,46.54711981", "View Map")</f>
        <v>View Map</v>
      </c>
    </row>
    <row r="3394" spans="1:7" x14ac:dyDescent="0.3">
      <c r="A3394" t="s">
        <v>4220</v>
      </c>
      <c r="B3394" t="s">
        <v>6493</v>
      </c>
      <c r="C3394" t="s">
        <v>214</v>
      </c>
      <c r="D3394">
        <v>2.9740000000000002</v>
      </c>
      <c r="E3394">
        <v>952</v>
      </c>
      <c r="F3394" t="str">
        <f>HYPERLINK("https://www.google.com/maps/search/?api=1&amp;query=25.69579197,45.90224914", "View Map")</f>
        <v>View Map</v>
      </c>
      <c r="G3394" s="2">
        <v>0.73578486582568137</v>
      </c>
    </row>
    <row r="3395" spans="1:7" x14ac:dyDescent="0.3">
      <c r="A3395" t="s">
        <v>4580</v>
      </c>
      <c r="B3395" t="s">
        <v>4581</v>
      </c>
      <c r="C3395" t="s">
        <v>8</v>
      </c>
      <c r="D3395">
        <v>2.9740000000000002</v>
      </c>
      <c r="E3395">
        <v>952</v>
      </c>
      <c r="F3395" t="str">
        <f>HYPERLINK("https://www.google.com/maps/search/?api=1&amp;query=24.68006763,46.66975152", "View Map")</f>
        <v>View Map</v>
      </c>
      <c r="G3395" s="2">
        <v>0.76562763418887447</v>
      </c>
    </row>
    <row r="3396" spans="1:7" x14ac:dyDescent="0.3">
      <c r="A3396" t="s">
        <v>1005</v>
      </c>
      <c r="B3396" t="s">
        <v>1006</v>
      </c>
      <c r="C3396" t="s">
        <v>8</v>
      </c>
      <c r="D3396">
        <v>2.972</v>
      </c>
      <c r="E3396">
        <v>951</v>
      </c>
      <c r="F3396" t="str">
        <f>HYPERLINK("https://www.google.com/maps/search/?api=1&amp;query=24.70246352,46.83920778", "View Map")</f>
        <v>View Map</v>
      </c>
      <c r="G3396" s="2">
        <v>0.13924470000281081</v>
      </c>
    </row>
    <row r="3397" spans="1:7" x14ac:dyDescent="0.3">
      <c r="A3397" t="s">
        <v>533</v>
      </c>
      <c r="B3397" t="s">
        <v>10009</v>
      </c>
      <c r="C3397" t="s">
        <v>8</v>
      </c>
      <c r="D3397">
        <v>2.972</v>
      </c>
      <c r="E3397">
        <v>951</v>
      </c>
      <c r="F3397" t="str">
        <f>HYPERLINK("https://www.google.com/maps/search/?api=1&amp;query=24.81903982,46.72484829", "View Map")</f>
        <v>View Map</v>
      </c>
      <c r="G3397" s="2">
        <v>0.62344007105990473</v>
      </c>
    </row>
    <row r="3398" spans="1:7" x14ac:dyDescent="0.3">
      <c r="A3398" t="s">
        <v>146</v>
      </c>
      <c r="B3398" t="s">
        <v>11445</v>
      </c>
      <c r="C3398" t="s">
        <v>8</v>
      </c>
      <c r="D3398">
        <v>2.972</v>
      </c>
      <c r="E3398">
        <v>951</v>
      </c>
      <c r="F3398" t="str">
        <f>HYPERLINK("https://www.google.com/maps/search/?api=1&amp;query=24.5603,46.5975", "View Map")</f>
        <v>View Map</v>
      </c>
    </row>
    <row r="3399" spans="1:7" x14ac:dyDescent="0.3">
      <c r="A3399" t="s">
        <v>146</v>
      </c>
      <c r="B3399" t="s">
        <v>4517</v>
      </c>
      <c r="C3399" t="s">
        <v>8</v>
      </c>
      <c r="D3399">
        <v>2.9710000000000001</v>
      </c>
      <c r="E3399">
        <v>951</v>
      </c>
      <c r="F3399" t="str">
        <f>HYPERLINK("https://www.google.com/maps/search/?api=1&amp;query=24.625613,46.697227", "View Map")</f>
        <v>View Map</v>
      </c>
    </row>
    <row r="3400" spans="1:7" x14ac:dyDescent="0.3">
      <c r="A3400" t="s">
        <v>4593</v>
      </c>
      <c r="B3400" t="s">
        <v>4594</v>
      </c>
      <c r="C3400" t="s">
        <v>286</v>
      </c>
      <c r="D3400">
        <v>2.97</v>
      </c>
      <c r="E3400">
        <v>950</v>
      </c>
      <c r="F3400" t="str">
        <f>HYPERLINK("https://www.google.com/maps/search/?api=1&amp;query=25.21873258,45.27205401", "View Map")</f>
        <v>View Map</v>
      </c>
      <c r="G3400" s="2">
        <v>0.5852820285026904</v>
      </c>
    </row>
    <row r="3401" spans="1:7" x14ac:dyDescent="0.3">
      <c r="A3401" t="s">
        <v>7780</v>
      </c>
      <c r="B3401" t="s">
        <v>7781</v>
      </c>
      <c r="C3401" t="s">
        <v>8</v>
      </c>
      <c r="D3401">
        <v>2.9689999999999999</v>
      </c>
      <c r="E3401">
        <v>950</v>
      </c>
      <c r="F3401" t="str">
        <f>HYPERLINK("https://www.google.com/maps/search/?api=1&amp;query=24.58747526,46.76039766", "View Map")</f>
        <v>View Map</v>
      </c>
    </row>
    <row r="3402" spans="1:7" x14ac:dyDescent="0.3">
      <c r="A3402" t="s">
        <v>3802</v>
      </c>
      <c r="B3402" t="s">
        <v>3803</v>
      </c>
      <c r="C3402" t="s">
        <v>8</v>
      </c>
      <c r="D3402">
        <v>2.9670000000000001</v>
      </c>
      <c r="E3402">
        <v>949</v>
      </c>
      <c r="F3402" t="str">
        <f>HYPERLINK("https://www.google.com/maps/search/?api=1&amp;query=24.72719777,46.80751668", "View Map")</f>
        <v>View Map</v>
      </c>
      <c r="G3402" s="2">
        <v>0.26015415301205369</v>
      </c>
    </row>
    <row r="3403" spans="1:7" x14ac:dyDescent="0.3">
      <c r="A3403" t="s">
        <v>6965</v>
      </c>
      <c r="B3403" t="s">
        <v>6966</v>
      </c>
      <c r="C3403" t="s">
        <v>8</v>
      </c>
      <c r="D3403">
        <v>2.9670000000000001</v>
      </c>
      <c r="E3403">
        <v>949</v>
      </c>
      <c r="F3403" t="str">
        <f>HYPERLINK("https://www.google.com/maps/search/?api=1&amp;query=24.80278674,46.73232398", "View Map")</f>
        <v>View Map</v>
      </c>
    </row>
    <row r="3404" spans="1:7" x14ac:dyDescent="0.3">
      <c r="A3404" t="s">
        <v>2146</v>
      </c>
      <c r="B3404" t="s">
        <v>6395</v>
      </c>
      <c r="C3404" t="s">
        <v>8</v>
      </c>
      <c r="D3404">
        <v>2.9670000000000001</v>
      </c>
      <c r="E3404">
        <v>949</v>
      </c>
      <c r="F3404" t="str">
        <f>HYPERLINK("https://www.google.com/maps/search/?api=1&amp;query=24.56043827,46.71587598", "View Map")</f>
        <v>View Map</v>
      </c>
    </row>
    <row r="3405" spans="1:7" x14ac:dyDescent="0.3">
      <c r="A3405" t="s">
        <v>2700</v>
      </c>
      <c r="B3405" t="s">
        <v>2701</v>
      </c>
      <c r="C3405" t="s">
        <v>255</v>
      </c>
      <c r="D3405">
        <v>2.9660000000000002</v>
      </c>
      <c r="E3405">
        <v>949</v>
      </c>
      <c r="F3405" t="str">
        <f>HYPERLINK("https://www.google.com/maps/search/?api=1&amp;query=24.59762074,44.47119891", "View Map")</f>
        <v>View Map</v>
      </c>
      <c r="G3405" s="2">
        <v>0.39731052601935168</v>
      </c>
    </row>
    <row r="3406" spans="1:7" x14ac:dyDescent="0.3">
      <c r="A3406" t="s">
        <v>5041</v>
      </c>
      <c r="B3406" t="s">
        <v>5042</v>
      </c>
      <c r="C3406" t="s">
        <v>21</v>
      </c>
      <c r="D3406">
        <v>2.9649999999999999</v>
      </c>
      <c r="E3406">
        <v>949</v>
      </c>
      <c r="F3406" t="str">
        <f>HYPERLINK("https://www.google.com/maps/search/?api=1&amp;query=26.31075929,44.80451684", "View Map")</f>
        <v>View Map</v>
      </c>
      <c r="G3406" s="2">
        <v>0.36551010849822879</v>
      </c>
    </row>
    <row r="3407" spans="1:7" x14ac:dyDescent="0.3">
      <c r="A3407" t="s">
        <v>9489</v>
      </c>
      <c r="B3407" t="s">
        <v>9490</v>
      </c>
      <c r="C3407" t="s">
        <v>241</v>
      </c>
      <c r="D3407">
        <v>2.9649999999999999</v>
      </c>
      <c r="E3407">
        <v>949</v>
      </c>
      <c r="F3407" t="str">
        <f>HYPERLINK("https://www.google.com/maps/search/?api=1&amp;query=20.44952346,44.85353691", "View Map")</f>
        <v>View Map</v>
      </c>
    </row>
    <row r="3408" spans="1:7" x14ac:dyDescent="0.3">
      <c r="A3408" t="s">
        <v>6570</v>
      </c>
      <c r="B3408" t="s">
        <v>6571</v>
      </c>
      <c r="C3408" t="s">
        <v>214</v>
      </c>
      <c r="D3408">
        <v>2.964</v>
      </c>
      <c r="E3408">
        <v>948</v>
      </c>
      <c r="F3408" t="str">
        <f>HYPERLINK("https://www.google.com/maps/search/?api=1&amp;query=25.55685114,45.67757409", "View Map")</f>
        <v>View Map</v>
      </c>
      <c r="G3408" s="2">
        <v>0.53860415984365706</v>
      </c>
    </row>
    <row r="3409" spans="1:7" x14ac:dyDescent="0.3">
      <c r="A3409" t="s">
        <v>6249</v>
      </c>
      <c r="B3409" t="s">
        <v>6250</v>
      </c>
      <c r="C3409" t="s">
        <v>255</v>
      </c>
      <c r="D3409">
        <v>2.9630000000000001</v>
      </c>
      <c r="E3409">
        <v>948</v>
      </c>
      <c r="F3409" t="str">
        <f>HYPERLINK("https://www.google.com/maps/search/?api=1&amp;query=24.52258545,43.60045123", "View Map")</f>
        <v>View Map</v>
      </c>
      <c r="G3409" s="2">
        <v>0.73436129170390951</v>
      </c>
    </row>
    <row r="3410" spans="1:7" x14ac:dyDescent="0.3">
      <c r="A3410" t="s">
        <v>7788</v>
      </c>
      <c r="B3410" t="s">
        <v>7789</v>
      </c>
      <c r="C3410" t="s">
        <v>291</v>
      </c>
      <c r="D3410">
        <v>2.9620000000000002</v>
      </c>
      <c r="E3410">
        <v>948</v>
      </c>
      <c r="F3410" t="str">
        <f>HYPERLINK("https://www.google.com/maps/search/?api=1&amp;query=23.41699307,44.93941507", "View Map")</f>
        <v>View Map</v>
      </c>
      <c r="G3410" s="2">
        <v>0.80752388151654386</v>
      </c>
    </row>
    <row r="3411" spans="1:7" x14ac:dyDescent="0.3">
      <c r="A3411" t="s">
        <v>963</v>
      </c>
      <c r="B3411" t="s">
        <v>3388</v>
      </c>
      <c r="C3411" t="s">
        <v>241</v>
      </c>
      <c r="D3411">
        <v>2.9590000000000001</v>
      </c>
      <c r="E3411">
        <v>947</v>
      </c>
      <c r="F3411" t="str">
        <f>HYPERLINK("https://www.google.com/maps/search/?api=1&amp;query=20.43984713,44.78824657", "View Map")</f>
        <v>View Map</v>
      </c>
    </row>
    <row r="3412" spans="1:7" x14ac:dyDescent="0.3">
      <c r="A3412" t="s">
        <v>4766</v>
      </c>
      <c r="B3412" t="s">
        <v>4767</v>
      </c>
      <c r="C3412" t="s">
        <v>55</v>
      </c>
      <c r="D3412">
        <v>2.9580000000000002</v>
      </c>
      <c r="E3412">
        <v>947</v>
      </c>
      <c r="F3412" t="str">
        <f>HYPERLINK("https://www.google.com/maps/search/?api=1&amp;query=24.74833913,46.5328365", "View Map")</f>
        <v>View Map</v>
      </c>
    </row>
    <row r="3413" spans="1:7" x14ac:dyDescent="0.3">
      <c r="A3413" t="s">
        <v>5946</v>
      </c>
      <c r="B3413" t="s">
        <v>5947</v>
      </c>
      <c r="C3413" t="s">
        <v>8</v>
      </c>
      <c r="D3413">
        <v>2.956</v>
      </c>
      <c r="E3413">
        <v>946</v>
      </c>
      <c r="F3413" t="str">
        <f>HYPERLINK("https://www.google.com/maps/search/?api=1&amp;query=24.75665385,46.75256631", "View Map")</f>
        <v>View Map</v>
      </c>
    </row>
    <row r="3414" spans="1:7" x14ac:dyDescent="0.3">
      <c r="A3414" t="s">
        <v>6251</v>
      </c>
      <c r="B3414" t="s">
        <v>6252</v>
      </c>
      <c r="C3414" t="s">
        <v>255</v>
      </c>
      <c r="D3414">
        <v>2.9550000000000001</v>
      </c>
      <c r="E3414">
        <v>946</v>
      </c>
      <c r="F3414" t="str">
        <f>HYPERLINK("https://www.google.com/maps/search/?api=1&amp;query=24.01634688,43.50382368", "View Map")</f>
        <v>View Map</v>
      </c>
      <c r="G3414" s="2">
        <v>0.88944847395354543</v>
      </c>
    </row>
    <row r="3415" spans="1:7" x14ac:dyDescent="0.3">
      <c r="A3415" t="s">
        <v>4981</v>
      </c>
      <c r="B3415" t="s">
        <v>4982</v>
      </c>
      <c r="C3415" t="s">
        <v>8</v>
      </c>
      <c r="D3415">
        <v>2.9540000000000002</v>
      </c>
      <c r="E3415">
        <v>945</v>
      </c>
      <c r="F3415" t="str">
        <f>HYPERLINK("https://www.google.com/maps/search/?api=1&amp;query=24.78807358,46.69483607", "View Map")</f>
        <v>View Map</v>
      </c>
    </row>
    <row r="3416" spans="1:7" x14ac:dyDescent="0.3">
      <c r="A3416" t="s">
        <v>5581</v>
      </c>
      <c r="B3416" t="s">
        <v>5582</v>
      </c>
      <c r="C3416" t="s">
        <v>30</v>
      </c>
      <c r="D3416">
        <v>2.9540000000000002</v>
      </c>
      <c r="E3416">
        <v>945</v>
      </c>
      <c r="F3416" t="str">
        <f>HYPERLINK("https://www.google.com/maps/search/?api=1&amp;query=24.15619718,47.33334623", "View Map")</f>
        <v>View Map</v>
      </c>
      <c r="G3416" s="2">
        <v>0.4528718097745742</v>
      </c>
    </row>
    <row r="3417" spans="1:7" x14ac:dyDescent="0.3">
      <c r="A3417" t="s">
        <v>7182</v>
      </c>
      <c r="B3417" t="s">
        <v>7183</v>
      </c>
      <c r="C3417" t="s">
        <v>738</v>
      </c>
      <c r="D3417">
        <v>2.9529999999999998</v>
      </c>
      <c r="E3417">
        <v>945</v>
      </c>
      <c r="F3417" t="str">
        <f>HYPERLINK("https://www.google.com/maps/search/?api=1&amp;query=25.12847699,46.12479004", "View Map")</f>
        <v>View Map</v>
      </c>
      <c r="G3417" s="2">
        <v>0.62119353864243276</v>
      </c>
    </row>
    <row r="3418" spans="1:7" x14ac:dyDescent="0.3">
      <c r="A3418" t="s">
        <v>5944</v>
      </c>
      <c r="B3418" t="s">
        <v>5945</v>
      </c>
      <c r="C3418" t="s">
        <v>4447</v>
      </c>
      <c r="D3418">
        <v>2.9529999999999998</v>
      </c>
      <c r="E3418">
        <v>945</v>
      </c>
      <c r="F3418" t="str">
        <f>HYPERLINK("https://www.google.com/maps/search/?api=1&amp;query=24.38615749,41.99920011", "View Map")</f>
        <v>View Map</v>
      </c>
      <c r="G3418" s="2">
        <v>0.93770840819572721</v>
      </c>
    </row>
    <row r="3419" spans="1:7" x14ac:dyDescent="0.3">
      <c r="A3419" t="s">
        <v>5958</v>
      </c>
      <c r="B3419" t="s">
        <v>5959</v>
      </c>
      <c r="C3419" t="s">
        <v>214</v>
      </c>
      <c r="D3419">
        <v>2.9529999999999998</v>
      </c>
      <c r="E3419">
        <v>945</v>
      </c>
      <c r="F3419" t="str">
        <f>HYPERLINK("https://www.google.com/maps/search/?api=1&amp;query=25.68372201,45.44842025", "View Map")</f>
        <v>View Map</v>
      </c>
      <c r="G3419" s="2">
        <v>0.7109858282498881</v>
      </c>
    </row>
    <row r="3420" spans="1:7" x14ac:dyDescent="0.3">
      <c r="A3420" t="s">
        <v>10665</v>
      </c>
      <c r="B3420" t="s">
        <v>10666</v>
      </c>
      <c r="C3420" t="s">
        <v>255</v>
      </c>
      <c r="D3420">
        <v>2.9529999999999998</v>
      </c>
      <c r="E3420">
        <v>945</v>
      </c>
      <c r="F3420" t="str">
        <f>HYPERLINK("https://www.google.com/maps/search/?api=1&amp;query=24.46956001,43.86736823", "View Map")</f>
        <v>View Map</v>
      </c>
      <c r="G3420" s="2">
        <v>0.71376398740344915</v>
      </c>
    </row>
    <row r="3421" spans="1:7" x14ac:dyDescent="0.3">
      <c r="A3421" t="s">
        <v>8416</v>
      </c>
      <c r="B3421" t="s">
        <v>8417</v>
      </c>
      <c r="C3421" t="s">
        <v>291</v>
      </c>
      <c r="D3421">
        <v>2.9529999999999998</v>
      </c>
      <c r="E3421">
        <v>945</v>
      </c>
      <c r="F3421" t="str">
        <f>HYPERLINK("https://www.google.com/maps/search/?api=1&amp;query=24.46845405,45.74127366", "View Map")</f>
        <v>View Map</v>
      </c>
      <c r="G3421" s="2">
        <v>0.94326612853202962</v>
      </c>
    </row>
    <row r="3422" spans="1:7" x14ac:dyDescent="0.3">
      <c r="A3422" t="s">
        <v>8729</v>
      </c>
      <c r="B3422" t="s">
        <v>8730</v>
      </c>
      <c r="C3422" t="s">
        <v>8</v>
      </c>
      <c r="D3422">
        <v>2.952</v>
      </c>
      <c r="E3422">
        <v>945</v>
      </c>
      <c r="F3422" t="str">
        <f>HYPERLINK("https://www.google.com/maps/search/?api=1&amp;query=24.58796828,46.6979127", "View Map")</f>
        <v>View Map</v>
      </c>
    </row>
    <row r="3423" spans="1:7" x14ac:dyDescent="0.3">
      <c r="A3423" t="s">
        <v>6868</v>
      </c>
      <c r="B3423" t="s">
        <v>6869</v>
      </c>
      <c r="C3423" t="s">
        <v>8</v>
      </c>
      <c r="D3423">
        <v>2.952</v>
      </c>
      <c r="E3423">
        <v>945</v>
      </c>
      <c r="F3423" t="str">
        <f>HYPERLINK("https://www.google.com/maps/search/?api=1&amp;query=24.70905937,46.69910084", "View Map")</f>
        <v>View Map</v>
      </c>
    </row>
    <row r="3424" spans="1:7" x14ac:dyDescent="0.3">
      <c r="A3424" t="s">
        <v>1237</v>
      </c>
      <c r="B3424" t="s">
        <v>1238</v>
      </c>
      <c r="C3424" t="s">
        <v>8</v>
      </c>
      <c r="D3424">
        <v>2.9510000000000001</v>
      </c>
      <c r="E3424">
        <v>944</v>
      </c>
      <c r="F3424" t="str">
        <f>HYPERLINK("https://www.google.com/maps/search/?api=1&amp;query=24.62866987,46.72821145", "View Map")</f>
        <v>View Map</v>
      </c>
    </row>
    <row r="3425" spans="1:7" x14ac:dyDescent="0.3">
      <c r="A3425" t="s">
        <v>3854</v>
      </c>
      <c r="B3425" t="s">
        <v>3855</v>
      </c>
      <c r="C3425" t="s">
        <v>8</v>
      </c>
      <c r="D3425">
        <v>2.9510000000000001</v>
      </c>
      <c r="E3425">
        <v>944</v>
      </c>
      <c r="F3425" t="str">
        <f>HYPERLINK("https://www.google.com/maps/search/?api=1&amp;query=24.61602621,46.73136835", "View Map")</f>
        <v>View Map</v>
      </c>
    </row>
    <row r="3426" spans="1:7" x14ac:dyDescent="0.3">
      <c r="A3426" t="s">
        <v>9392</v>
      </c>
      <c r="B3426" t="s">
        <v>9393</v>
      </c>
      <c r="C3426" t="s">
        <v>8</v>
      </c>
      <c r="D3426">
        <v>2.95</v>
      </c>
      <c r="E3426">
        <v>944</v>
      </c>
      <c r="F3426" t="str">
        <f>HYPERLINK("https://www.google.com/maps/search/?api=1&amp;query=24.67272393,46.79185437", "View Map")</f>
        <v>View Map</v>
      </c>
    </row>
    <row r="3427" spans="1:7" x14ac:dyDescent="0.3">
      <c r="A3427" t="s">
        <v>46</v>
      </c>
      <c r="B3427" t="s">
        <v>5502</v>
      </c>
      <c r="C3427" t="s">
        <v>8</v>
      </c>
      <c r="D3427">
        <v>2.95</v>
      </c>
      <c r="E3427">
        <v>944</v>
      </c>
      <c r="F3427" t="str">
        <f>HYPERLINK("https://www.google.com/maps/search/?api=1&amp;query=24.80508487,46.67411866", "View Map")</f>
        <v>View Map</v>
      </c>
    </row>
    <row r="3428" spans="1:7" x14ac:dyDescent="0.3">
      <c r="A3428" t="s">
        <v>46</v>
      </c>
      <c r="B3428" t="s">
        <v>5605</v>
      </c>
      <c r="C3428" t="s">
        <v>8</v>
      </c>
      <c r="D3428">
        <v>2.9489999999999998</v>
      </c>
      <c r="E3428">
        <v>944</v>
      </c>
      <c r="F3428" t="str">
        <f>HYPERLINK("https://www.google.com/maps/search/?api=1&amp;query=24.8822,46.6197", "View Map")</f>
        <v>View Map</v>
      </c>
    </row>
    <row r="3429" spans="1:7" x14ac:dyDescent="0.3">
      <c r="A3429" t="s">
        <v>6234</v>
      </c>
      <c r="B3429" t="s">
        <v>6743</v>
      </c>
      <c r="C3429" t="s">
        <v>8</v>
      </c>
      <c r="D3429">
        <v>2.948</v>
      </c>
      <c r="E3429">
        <v>944</v>
      </c>
      <c r="F3429" t="str">
        <f>HYPERLINK("https://www.google.com/maps/search/?api=1&amp;query=24.70920666,46.66952135", "View Map")</f>
        <v>View Map</v>
      </c>
    </row>
    <row r="3430" spans="1:7" x14ac:dyDescent="0.3">
      <c r="A3430" t="s">
        <v>9335</v>
      </c>
      <c r="B3430" t="s">
        <v>9336</v>
      </c>
      <c r="C3430" t="s">
        <v>291</v>
      </c>
      <c r="D3430">
        <v>2.9470000000000001</v>
      </c>
      <c r="E3430">
        <v>943</v>
      </c>
      <c r="F3430" t="str">
        <f>HYPERLINK("https://www.google.com/maps/search/?api=1&amp;query=23.84588714,45.64911287", "View Map")</f>
        <v>View Map</v>
      </c>
      <c r="G3430" s="2">
        <v>0.56476289714415262</v>
      </c>
    </row>
    <row r="3431" spans="1:7" x14ac:dyDescent="0.3">
      <c r="A3431" t="s">
        <v>6197</v>
      </c>
      <c r="B3431" t="s">
        <v>6198</v>
      </c>
      <c r="C3431" t="s">
        <v>286</v>
      </c>
      <c r="D3431">
        <v>2.9470000000000001</v>
      </c>
      <c r="E3431">
        <v>943</v>
      </c>
      <c r="F3431" t="str">
        <f>HYPERLINK("https://www.google.com/maps/search/?api=1&amp;query=25.24803271,45.2163927", "View Map")</f>
        <v>View Map</v>
      </c>
      <c r="G3431" s="2">
        <v>0.6195553288505482</v>
      </c>
    </row>
    <row r="3432" spans="1:7" x14ac:dyDescent="0.3">
      <c r="A3432" t="s">
        <v>5323</v>
      </c>
      <c r="B3432" t="s">
        <v>5324</v>
      </c>
      <c r="C3432" t="s">
        <v>8</v>
      </c>
      <c r="D3432">
        <v>2.9470000000000001</v>
      </c>
      <c r="E3432">
        <v>943</v>
      </c>
      <c r="F3432" t="str">
        <f>HYPERLINK("https://www.google.com/maps/search/?api=1&amp;query=24.82071432,46.65063474", "View Map")</f>
        <v>View Map</v>
      </c>
    </row>
    <row r="3433" spans="1:7" x14ac:dyDescent="0.3">
      <c r="A3433" t="s">
        <v>46</v>
      </c>
      <c r="B3433" t="s">
        <v>2025</v>
      </c>
      <c r="C3433" t="s">
        <v>8</v>
      </c>
      <c r="D3433">
        <v>2.9460000000000002</v>
      </c>
      <c r="E3433">
        <v>943</v>
      </c>
      <c r="F3433" t="str">
        <f>HYPERLINK("https://www.google.com/maps/search/?api=1&amp;query=24.83623824,46.76173705", "View Map")</f>
        <v>View Map</v>
      </c>
    </row>
    <row r="3434" spans="1:7" x14ac:dyDescent="0.3">
      <c r="A3434" t="s">
        <v>8539</v>
      </c>
      <c r="B3434" t="s">
        <v>8540</v>
      </c>
      <c r="C3434" t="s">
        <v>21</v>
      </c>
      <c r="D3434">
        <v>2.9449999999999998</v>
      </c>
      <c r="E3434">
        <v>942</v>
      </c>
      <c r="F3434" t="str">
        <f>HYPERLINK("https://www.google.com/maps/search/?api=1&amp;query=26.31819154,44.81803649", "View Map")</f>
        <v>View Map</v>
      </c>
      <c r="G3434" s="2">
        <v>0.71792002248248865</v>
      </c>
    </row>
    <row r="3435" spans="1:7" x14ac:dyDescent="0.3">
      <c r="A3435" t="s">
        <v>11446</v>
      </c>
      <c r="B3435" t="s">
        <v>11447</v>
      </c>
      <c r="C3435" t="s">
        <v>30</v>
      </c>
      <c r="D3435">
        <v>2.944</v>
      </c>
      <c r="E3435">
        <v>942</v>
      </c>
      <c r="F3435" t="str">
        <f>HYPERLINK("https://www.google.com/maps/search/?api=1&amp;query=24.21638332,47.32697028", "View Map")</f>
        <v>View Map</v>
      </c>
      <c r="G3435" s="2">
        <v>0.70384077742976392</v>
      </c>
    </row>
    <row r="3436" spans="1:7" x14ac:dyDescent="0.3">
      <c r="A3436" t="s">
        <v>4802</v>
      </c>
      <c r="B3436" t="s">
        <v>4803</v>
      </c>
      <c r="C3436" t="s">
        <v>286</v>
      </c>
      <c r="D3436">
        <v>2.9430000000000001</v>
      </c>
      <c r="E3436">
        <v>942</v>
      </c>
      <c r="F3436" t="str">
        <f>HYPERLINK("https://www.google.com/maps/search/?api=1&amp;query=25.21726632,45.24461813", "View Map")</f>
        <v>View Map</v>
      </c>
      <c r="G3436" s="2">
        <v>0.32616265170957182</v>
      </c>
    </row>
    <row r="3437" spans="1:7" x14ac:dyDescent="0.3">
      <c r="A3437" t="s">
        <v>576</v>
      </c>
      <c r="B3437" t="s">
        <v>8954</v>
      </c>
      <c r="C3437" t="s">
        <v>8</v>
      </c>
      <c r="D3437">
        <v>2.9430000000000001</v>
      </c>
      <c r="E3437">
        <v>942</v>
      </c>
      <c r="F3437" t="str">
        <f>HYPERLINK("https://www.google.com/maps/search/?api=1&amp;query=24.52801392,46.69378168", "View Map")</f>
        <v>View Map</v>
      </c>
    </row>
    <row r="3438" spans="1:7" x14ac:dyDescent="0.3">
      <c r="A3438" t="s">
        <v>1232</v>
      </c>
      <c r="B3438" t="s">
        <v>5968</v>
      </c>
      <c r="C3438" t="s">
        <v>8</v>
      </c>
      <c r="D3438">
        <v>2.9430000000000001</v>
      </c>
      <c r="E3438">
        <v>942</v>
      </c>
      <c r="F3438" t="str">
        <f>HYPERLINK("https://www.google.com/maps/search/?api=1&amp;query=24.72150666,46.67409428", "View Map")</f>
        <v>View Map</v>
      </c>
    </row>
    <row r="3439" spans="1:7" x14ac:dyDescent="0.3">
      <c r="A3439" t="s">
        <v>576</v>
      </c>
      <c r="B3439" t="s">
        <v>11448</v>
      </c>
      <c r="C3439" t="s">
        <v>8</v>
      </c>
      <c r="D3439">
        <v>2.9430000000000001</v>
      </c>
      <c r="E3439">
        <v>942</v>
      </c>
      <c r="F3439" t="str">
        <f>HYPERLINK("https://www.google.com/maps/search/?api=1&amp;query=24.54196952,46.72732505", "View Map")</f>
        <v>View Map</v>
      </c>
    </row>
    <row r="3440" spans="1:7" x14ac:dyDescent="0.3">
      <c r="A3440" t="s">
        <v>8124</v>
      </c>
      <c r="B3440" t="s">
        <v>8125</v>
      </c>
      <c r="C3440" t="s">
        <v>214</v>
      </c>
      <c r="D3440">
        <v>2.9409999999999998</v>
      </c>
      <c r="E3440">
        <v>941</v>
      </c>
      <c r="F3440" t="str">
        <f>HYPERLINK("https://www.google.com/maps/search/?api=1&amp;query=25.90257956,45.34703512", "View Map")</f>
        <v>View Map</v>
      </c>
    </row>
    <row r="3441" spans="1:7" x14ac:dyDescent="0.3">
      <c r="A3441" t="s">
        <v>990</v>
      </c>
      <c r="B3441" t="s">
        <v>7687</v>
      </c>
      <c r="C3441" t="s">
        <v>8</v>
      </c>
      <c r="D3441">
        <v>2.94</v>
      </c>
      <c r="E3441">
        <v>941</v>
      </c>
      <c r="F3441" t="str">
        <f>HYPERLINK("https://www.google.com/maps/search/?api=1&amp;query=24.69278165,46.78913772", "View Map")</f>
        <v>View Map</v>
      </c>
    </row>
    <row r="3442" spans="1:7" x14ac:dyDescent="0.3">
      <c r="A3442" t="s">
        <v>3350</v>
      </c>
      <c r="B3442" t="s">
        <v>4516</v>
      </c>
      <c r="C3442" t="s">
        <v>8</v>
      </c>
      <c r="D3442">
        <v>2.9390000000000001</v>
      </c>
      <c r="E3442">
        <v>941</v>
      </c>
      <c r="F3442" t="str">
        <f>HYPERLINK("https://www.google.com/maps/search/?api=1&amp;query=24.58030558,46.52540169", "View Map")</f>
        <v>View Map</v>
      </c>
    </row>
    <row r="3443" spans="1:7" x14ac:dyDescent="0.3">
      <c r="A3443" t="s">
        <v>1486</v>
      </c>
      <c r="B3443" t="s">
        <v>1487</v>
      </c>
      <c r="C3443" t="s">
        <v>8</v>
      </c>
      <c r="D3443">
        <v>2.9380000000000002</v>
      </c>
      <c r="E3443">
        <v>940</v>
      </c>
      <c r="F3443" t="str">
        <f>HYPERLINK("https://www.google.com/maps/search/?api=1&amp;query=24.6973241,46.79997058", "View Map")</f>
        <v>View Map</v>
      </c>
      <c r="G3443" s="2">
        <v>0.13778283255142801</v>
      </c>
    </row>
    <row r="3444" spans="1:7" x14ac:dyDescent="0.3">
      <c r="A3444" t="s">
        <v>6438</v>
      </c>
      <c r="B3444" t="s">
        <v>8698</v>
      </c>
      <c r="C3444" t="s">
        <v>8</v>
      </c>
      <c r="D3444">
        <v>2.9369999999999998</v>
      </c>
      <c r="E3444">
        <v>940</v>
      </c>
      <c r="F3444" t="str">
        <f>HYPERLINK("https://www.google.com/maps/search/?api=1&amp;query=24.505,46.6364", "View Map")</f>
        <v>View Map</v>
      </c>
    </row>
    <row r="3445" spans="1:7" x14ac:dyDescent="0.3">
      <c r="A3445" t="s">
        <v>8692</v>
      </c>
      <c r="B3445" t="s">
        <v>8693</v>
      </c>
      <c r="C3445" t="s">
        <v>8</v>
      </c>
      <c r="D3445">
        <v>2.9369999999999998</v>
      </c>
      <c r="E3445">
        <v>940</v>
      </c>
      <c r="F3445" t="str">
        <f>HYPERLINK("https://www.google.com/maps/search/?api=1&amp;query=24.77679296,46.76421406", "View Map")</f>
        <v>View Map</v>
      </c>
    </row>
    <row r="3446" spans="1:7" x14ac:dyDescent="0.3">
      <c r="A3446" t="s">
        <v>28</v>
      </c>
      <c r="B3446" t="s">
        <v>8254</v>
      </c>
      <c r="C3446" t="s">
        <v>30</v>
      </c>
      <c r="D3446">
        <v>2.9369999999999998</v>
      </c>
      <c r="E3446">
        <v>940</v>
      </c>
      <c r="F3446" t="str">
        <f>HYPERLINK("https://www.google.com/maps/search/?api=1&amp;query=24.16656676,47.25437701", "View Map")</f>
        <v>View Map</v>
      </c>
    </row>
    <row r="3447" spans="1:7" x14ac:dyDescent="0.3">
      <c r="A3447" t="s">
        <v>28</v>
      </c>
      <c r="B3447" t="s">
        <v>5206</v>
      </c>
      <c r="C3447" t="s">
        <v>270</v>
      </c>
      <c r="D3447">
        <v>2.9359999999999999</v>
      </c>
      <c r="E3447">
        <v>939</v>
      </c>
      <c r="F3447" t="str">
        <f>HYPERLINK("https://www.google.com/maps/search/?api=1&amp;query=23.62063024,47.08950687", "View Map")</f>
        <v>View Map</v>
      </c>
      <c r="G3447" s="2">
        <v>0.43999689313456058</v>
      </c>
    </row>
    <row r="3448" spans="1:7" x14ac:dyDescent="0.3">
      <c r="A3448" t="s">
        <v>11449</v>
      </c>
      <c r="B3448" t="s">
        <v>11450</v>
      </c>
      <c r="C3448" t="s">
        <v>296</v>
      </c>
      <c r="D3448">
        <v>2.9359999999999999</v>
      </c>
      <c r="E3448">
        <v>940</v>
      </c>
      <c r="F3448" t="str">
        <f>HYPERLINK("https://www.google.com/maps/search/?api=1&amp;query=24.43083316,45.98640449", "View Map")</f>
        <v>View Map</v>
      </c>
    </row>
    <row r="3449" spans="1:7" x14ac:dyDescent="0.3">
      <c r="A3449" t="s">
        <v>11451</v>
      </c>
      <c r="B3449" t="s">
        <v>11452</v>
      </c>
      <c r="C3449" t="s">
        <v>291</v>
      </c>
      <c r="D3449">
        <v>2.9359999999999999</v>
      </c>
      <c r="E3449">
        <v>940</v>
      </c>
      <c r="F3449" t="str">
        <f>HYPERLINK("https://www.google.com/maps/search/?api=1&amp;query=23.7045444,44.68671604", "View Map")</f>
        <v>View Map</v>
      </c>
    </row>
    <row r="3450" spans="1:7" x14ac:dyDescent="0.3">
      <c r="A3450" t="s">
        <v>7943</v>
      </c>
      <c r="B3450" t="s">
        <v>7944</v>
      </c>
      <c r="C3450" t="s">
        <v>8</v>
      </c>
      <c r="D3450">
        <v>2.9329999999999998</v>
      </c>
      <c r="E3450">
        <v>939</v>
      </c>
      <c r="F3450" t="str">
        <f>HYPERLINK("https://www.google.com/maps/search/?api=1&amp;query=24.76834081,46.69345578", "View Map")</f>
        <v>View Map</v>
      </c>
    </row>
    <row r="3451" spans="1:7" x14ac:dyDescent="0.3">
      <c r="A3451" t="s">
        <v>6272</v>
      </c>
      <c r="B3451" t="s">
        <v>6273</v>
      </c>
      <c r="C3451" t="s">
        <v>393</v>
      </c>
      <c r="D3451">
        <v>2.9329999999999998</v>
      </c>
      <c r="E3451">
        <v>939</v>
      </c>
      <c r="F3451" t="str">
        <f>HYPERLINK("https://www.google.com/maps/search/?api=1&amp;query=23.63128899,45.29929992", "View Map")</f>
        <v>View Map</v>
      </c>
      <c r="G3451" s="2">
        <v>0.91713735411570374</v>
      </c>
    </row>
    <row r="3452" spans="1:7" x14ac:dyDescent="0.3">
      <c r="A3452" t="s">
        <v>7394</v>
      </c>
      <c r="B3452" t="s">
        <v>7395</v>
      </c>
      <c r="C3452" t="s">
        <v>393</v>
      </c>
      <c r="D3452">
        <v>2.9319999999999999</v>
      </c>
      <c r="E3452">
        <v>938</v>
      </c>
      <c r="F3452" t="str">
        <f>HYPERLINK("https://www.google.com/maps/search/?api=1&amp;query=22.67442649,44.73603511", "View Map")</f>
        <v>View Map</v>
      </c>
      <c r="G3452" s="2">
        <v>0.85551072701601527</v>
      </c>
    </row>
    <row r="3453" spans="1:7" x14ac:dyDescent="0.3">
      <c r="A3453" t="s">
        <v>2549</v>
      </c>
      <c r="B3453" t="s">
        <v>2550</v>
      </c>
      <c r="C3453" t="s">
        <v>8</v>
      </c>
      <c r="D3453">
        <v>2.931</v>
      </c>
      <c r="E3453">
        <v>938</v>
      </c>
      <c r="F3453" t="str">
        <f>HYPERLINK("https://www.google.com/maps/search/?api=1&amp;query=24.57398727,46.70811659", "View Map")</f>
        <v>View Map</v>
      </c>
      <c r="G3453" s="2">
        <v>0.22540538160636051</v>
      </c>
    </row>
    <row r="3454" spans="1:7" x14ac:dyDescent="0.3">
      <c r="A3454" t="s">
        <v>5954</v>
      </c>
      <c r="B3454" t="s">
        <v>6065</v>
      </c>
      <c r="C3454" t="s">
        <v>137</v>
      </c>
      <c r="D3454">
        <v>2.93</v>
      </c>
      <c r="E3454">
        <v>938</v>
      </c>
      <c r="F3454" t="str">
        <f>HYPERLINK("https://www.google.com/maps/search/?api=1&amp;query=23.48331354,46.8494754", "View Map")</f>
        <v>View Map</v>
      </c>
      <c r="G3454" s="2">
        <v>0.80119806702318419</v>
      </c>
    </row>
    <row r="3455" spans="1:7" x14ac:dyDescent="0.3">
      <c r="A3455" t="s">
        <v>7251</v>
      </c>
      <c r="B3455" t="s">
        <v>7252</v>
      </c>
      <c r="C3455" t="s">
        <v>8</v>
      </c>
      <c r="D3455">
        <v>2.93</v>
      </c>
      <c r="E3455">
        <v>938</v>
      </c>
      <c r="F3455" t="str">
        <f>HYPERLINK("https://www.google.com/maps/search/?api=1&amp;query=24.65032942,46.7048459", "View Map")</f>
        <v>View Map</v>
      </c>
    </row>
    <row r="3456" spans="1:7" x14ac:dyDescent="0.3">
      <c r="A3456" t="s">
        <v>8574</v>
      </c>
      <c r="B3456" t="s">
        <v>8575</v>
      </c>
      <c r="C3456" t="s">
        <v>8</v>
      </c>
      <c r="D3456">
        <v>2.9289999999999998</v>
      </c>
      <c r="E3456">
        <v>937</v>
      </c>
      <c r="F3456" t="str">
        <f>HYPERLINK("https://www.google.com/maps/search/?api=1&amp;query=24.80576924,46.65580062", "View Map")</f>
        <v>View Map</v>
      </c>
    </row>
    <row r="3457" spans="1:7" x14ac:dyDescent="0.3">
      <c r="A3457" t="s">
        <v>11453</v>
      </c>
      <c r="B3457" t="s">
        <v>11454</v>
      </c>
      <c r="C3457" t="s">
        <v>255</v>
      </c>
      <c r="D3457">
        <v>2.9289999999999998</v>
      </c>
      <c r="E3457">
        <v>937</v>
      </c>
      <c r="F3457" t="str">
        <f>HYPERLINK("https://www.google.com/maps/search/?api=1&amp;query=24.68103038,44.37509624", "View Map")</f>
        <v>View Map</v>
      </c>
      <c r="G3457" s="2">
        <v>0.54898709615274077</v>
      </c>
    </row>
    <row r="3458" spans="1:7" x14ac:dyDescent="0.3">
      <c r="A3458" t="s">
        <v>1788</v>
      </c>
      <c r="B3458" t="s">
        <v>10356</v>
      </c>
      <c r="C3458" t="s">
        <v>393</v>
      </c>
      <c r="D3458">
        <v>2.9279999999999999</v>
      </c>
      <c r="E3458">
        <v>937</v>
      </c>
      <c r="F3458" t="str">
        <f>HYPERLINK("https://www.google.com/maps/search/?api=1&amp;query=23.58089921,45.596801", "View Map")</f>
        <v>View Map</v>
      </c>
      <c r="G3458" s="2">
        <v>0.67581580176053402</v>
      </c>
    </row>
    <row r="3459" spans="1:7" x14ac:dyDescent="0.3">
      <c r="A3459" t="s">
        <v>5451</v>
      </c>
      <c r="B3459" t="s">
        <v>5452</v>
      </c>
      <c r="C3459" t="s">
        <v>8</v>
      </c>
      <c r="D3459">
        <v>2.9279999999999999</v>
      </c>
      <c r="E3459">
        <v>937</v>
      </c>
      <c r="F3459" t="str">
        <f>HYPERLINK("https://www.google.com/maps/search/?api=1&amp;query=24.59383383,46.60623607", "View Map")</f>
        <v>View Map</v>
      </c>
    </row>
    <row r="3460" spans="1:7" x14ac:dyDescent="0.3">
      <c r="A3460" t="s">
        <v>5754</v>
      </c>
      <c r="B3460" t="s">
        <v>5755</v>
      </c>
      <c r="C3460" t="s">
        <v>21</v>
      </c>
      <c r="D3460">
        <v>2.9260000000000002</v>
      </c>
      <c r="E3460">
        <v>936</v>
      </c>
      <c r="F3460" t="str">
        <f>HYPERLINK("https://www.google.com/maps/search/?api=1&amp;query=26.28987005,44.82689857", "View Map")</f>
        <v>View Map</v>
      </c>
      <c r="G3460" s="2">
        <v>0.73316785089467829</v>
      </c>
    </row>
    <row r="3461" spans="1:7" x14ac:dyDescent="0.3">
      <c r="A3461" t="s">
        <v>2606</v>
      </c>
      <c r="B3461" t="s">
        <v>2607</v>
      </c>
      <c r="C3461" t="s">
        <v>8</v>
      </c>
      <c r="D3461">
        <v>2.9260000000000002</v>
      </c>
      <c r="E3461">
        <v>936</v>
      </c>
      <c r="F3461" t="str">
        <f>HYPERLINK("https://www.google.com/maps/search/?api=1&amp;query=24.59896221,46.63927198", "View Map")</f>
        <v>View Map</v>
      </c>
    </row>
    <row r="3462" spans="1:7" x14ac:dyDescent="0.3">
      <c r="A3462" t="s">
        <v>4220</v>
      </c>
      <c r="B3462" t="s">
        <v>5942</v>
      </c>
      <c r="C3462" t="s">
        <v>214</v>
      </c>
      <c r="D3462">
        <v>2.9260000000000002</v>
      </c>
      <c r="E3462">
        <v>936</v>
      </c>
      <c r="F3462" t="str">
        <f>HYPERLINK("https://www.google.com/maps/search/?api=1&amp;query=25.69932125,45.89378701", "View Map")</f>
        <v>View Map</v>
      </c>
      <c r="G3462" s="2">
        <v>0.5383346652551898</v>
      </c>
    </row>
    <row r="3463" spans="1:7" x14ac:dyDescent="0.3">
      <c r="A3463" t="s">
        <v>73</v>
      </c>
      <c r="B3463" t="s">
        <v>4602</v>
      </c>
      <c r="C3463" t="s">
        <v>8</v>
      </c>
      <c r="D3463">
        <v>2.9260000000000002</v>
      </c>
      <c r="E3463">
        <v>936</v>
      </c>
      <c r="F3463" t="str">
        <f>HYPERLINK("https://www.google.com/maps/search/?api=1&amp;query=24.64037295,46.55897973", "View Map")</f>
        <v>View Map</v>
      </c>
    </row>
    <row r="3464" spans="1:7" x14ac:dyDescent="0.3">
      <c r="A3464" t="s">
        <v>6458</v>
      </c>
      <c r="B3464" t="s">
        <v>6459</v>
      </c>
      <c r="C3464" t="s">
        <v>214</v>
      </c>
      <c r="D3464">
        <v>2.9249999999999998</v>
      </c>
      <c r="E3464">
        <v>936</v>
      </c>
      <c r="F3464" t="str">
        <f>HYPERLINK("https://www.google.com/maps/search/?api=1&amp;query=26.51720257,45.35210289", "View Map")</f>
        <v>View Map</v>
      </c>
      <c r="G3464" s="2">
        <v>0.67153434172492898</v>
      </c>
    </row>
    <row r="3465" spans="1:7" x14ac:dyDescent="0.3">
      <c r="A3465" t="s">
        <v>4229</v>
      </c>
      <c r="B3465" t="s">
        <v>4230</v>
      </c>
      <c r="C3465" t="s">
        <v>255</v>
      </c>
      <c r="D3465">
        <v>2.9249999999999998</v>
      </c>
      <c r="E3465">
        <v>936</v>
      </c>
      <c r="F3465" t="str">
        <f>HYPERLINK("https://www.google.com/maps/search/?api=1&amp;query=25.20237146,44.61029181", "View Map")</f>
        <v>View Map</v>
      </c>
      <c r="G3465" s="2">
        <v>0.47305528096427829</v>
      </c>
    </row>
    <row r="3466" spans="1:7" x14ac:dyDescent="0.3">
      <c r="A3466" t="s">
        <v>5603</v>
      </c>
      <c r="B3466" t="s">
        <v>5777</v>
      </c>
      <c r="C3466" t="s">
        <v>8</v>
      </c>
      <c r="D3466">
        <v>2.9249999999999998</v>
      </c>
      <c r="E3466">
        <v>936</v>
      </c>
      <c r="F3466" t="str">
        <f>HYPERLINK("https://www.google.com/maps/search/?api=1&amp;query=24.60484884,46.61958417", "View Map")</f>
        <v>View Map</v>
      </c>
    </row>
    <row r="3467" spans="1:7" x14ac:dyDescent="0.3">
      <c r="A3467" t="s">
        <v>479</v>
      </c>
      <c r="B3467" t="s">
        <v>6509</v>
      </c>
      <c r="C3467" t="s">
        <v>738</v>
      </c>
      <c r="D3467">
        <v>2.9249999999999998</v>
      </c>
      <c r="E3467">
        <v>936</v>
      </c>
      <c r="F3467" t="str">
        <f>HYPERLINK("https://www.google.com/maps/search/?api=1&amp;query=25.12081227,46.06032568", "View Map")</f>
        <v>View Map</v>
      </c>
      <c r="G3467" s="2">
        <v>0.48073605532807689</v>
      </c>
    </row>
    <row r="3468" spans="1:7" x14ac:dyDescent="0.3">
      <c r="A3468" t="s">
        <v>1788</v>
      </c>
      <c r="B3468" t="s">
        <v>8483</v>
      </c>
      <c r="C3468" t="s">
        <v>393</v>
      </c>
      <c r="D3468">
        <v>2.9249999999999998</v>
      </c>
      <c r="E3468">
        <v>936</v>
      </c>
      <c r="F3468" t="str">
        <f>HYPERLINK("https://www.google.com/maps/search/?api=1&amp;query=23.28722765,45.58563223", "View Map")</f>
        <v>View Map</v>
      </c>
      <c r="G3468" s="2">
        <v>0.80750160057782305</v>
      </c>
    </row>
    <row r="3469" spans="1:7" x14ac:dyDescent="0.3">
      <c r="A3469" t="s">
        <v>6552</v>
      </c>
      <c r="B3469" t="s">
        <v>6553</v>
      </c>
      <c r="C3469" t="s">
        <v>255</v>
      </c>
      <c r="D3469">
        <v>2.9239999999999999</v>
      </c>
      <c r="E3469">
        <v>936</v>
      </c>
      <c r="F3469" t="str">
        <f>HYPERLINK("https://www.google.com/maps/search/?api=1&amp;query=25.21894221,44.60022488", "View Map")</f>
        <v>View Map</v>
      </c>
      <c r="G3469" s="2">
        <v>0.55241921703197039</v>
      </c>
    </row>
    <row r="3470" spans="1:7" x14ac:dyDescent="0.3">
      <c r="A3470" t="s">
        <v>8094</v>
      </c>
      <c r="B3470" t="s">
        <v>8095</v>
      </c>
      <c r="C3470" t="s">
        <v>8</v>
      </c>
      <c r="D3470">
        <v>2.923</v>
      </c>
      <c r="E3470">
        <v>935</v>
      </c>
      <c r="F3470" t="str">
        <f>HYPERLINK("https://www.google.com/maps/search/?api=1&amp;query=24.60283617,46.6027304", "View Map")</f>
        <v>View Map</v>
      </c>
    </row>
    <row r="3471" spans="1:7" x14ac:dyDescent="0.3">
      <c r="A3471" t="s">
        <v>146</v>
      </c>
      <c r="B3471" t="s">
        <v>5113</v>
      </c>
      <c r="C3471" t="s">
        <v>8</v>
      </c>
      <c r="D3471">
        <v>2.923</v>
      </c>
      <c r="E3471">
        <v>935</v>
      </c>
      <c r="F3471" t="str">
        <f>HYPERLINK("https://www.google.com/maps/search/?api=1&amp;query=24.56162455,46.70484907", "View Map")</f>
        <v>View Map</v>
      </c>
    </row>
    <row r="3472" spans="1:7" x14ac:dyDescent="0.3">
      <c r="A3472" t="s">
        <v>11455</v>
      </c>
      <c r="B3472" t="s">
        <v>11456</v>
      </c>
      <c r="C3472" t="s">
        <v>30</v>
      </c>
      <c r="D3472">
        <v>2.9220000000000002</v>
      </c>
      <c r="E3472">
        <v>935</v>
      </c>
      <c r="F3472" t="str">
        <f>HYPERLINK("https://www.google.com/maps/search/?api=1&amp;query=24.17014976,47.29544756", "View Map")</f>
        <v>View Map</v>
      </c>
    </row>
    <row r="3473" spans="1:7" x14ac:dyDescent="0.3">
      <c r="A3473" t="s">
        <v>4860</v>
      </c>
      <c r="B3473" t="s">
        <v>4861</v>
      </c>
      <c r="C3473" t="s">
        <v>8</v>
      </c>
      <c r="D3473">
        <v>2.9209999999999998</v>
      </c>
      <c r="E3473">
        <v>935</v>
      </c>
      <c r="F3473" t="str">
        <f>HYPERLINK("https://www.google.com/maps/search/?api=1&amp;query=24.6796903,46.66705264", "View Map")</f>
        <v>View Map</v>
      </c>
    </row>
    <row r="3474" spans="1:7" x14ac:dyDescent="0.3">
      <c r="A3474" t="s">
        <v>5483</v>
      </c>
      <c r="B3474" t="s">
        <v>5484</v>
      </c>
      <c r="C3474" t="s">
        <v>8</v>
      </c>
      <c r="D3474">
        <v>2.92</v>
      </c>
      <c r="E3474">
        <v>934</v>
      </c>
      <c r="F3474" t="str">
        <f>HYPERLINK("https://www.google.com/maps/search/?api=1&amp;query=24.75299068,46.80209584", "View Map")</f>
        <v>View Map</v>
      </c>
    </row>
    <row r="3475" spans="1:7" x14ac:dyDescent="0.3">
      <c r="A3475" t="s">
        <v>10955</v>
      </c>
      <c r="B3475" t="s">
        <v>10956</v>
      </c>
      <c r="C3475" t="s">
        <v>255</v>
      </c>
      <c r="D3475">
        <v>2.92</v>
      </c>
      <c r="E3475">
        <v>934</v>
      </c>
      <c r="F3475" t="str">
        <f>HYPERLINK("https://www.google.com/maps/search/?api=1&amp;query=25.49011297,44.46880598", "View Map")</f>
        <v>View Map</v>
      </c>
      <c r="G3475" s="2">
        <v>0.61820614118625627</v>
      </c>
    </row>
    <row r="3476" spans="1:7" x14ac:dyDescent="0.3">
      <c r="A3476" t="s">
        <v>5708</v>
      </c>
      <c r="B3476" t="s">
        <v>5709</v>
      </c>
      <c r="C3476" t="s">
        <v>8</v>
      </c>
      <c r="D3476">
        <v>2.9180000000000001</v>
      </c>
      <c r="E3476">
        <v>934</v>
      </c>
      <c r="F3476" t="str">
        <f>HYPERLINK("https://www.google.com/maps/search/?api=1&amp;query=24.62557207,46.73534343", "View Map")</f>
        <v>View Map</v>
      </c>
    </row>
    <row r="3477" spans="1:7" x14ac:dyDescent="0.3">
      <c r="A3477" t="s">
        <v>170</v>
      </c>
      <c r="B3477" t="s">
        <v>5749</v>
      </c>
      <c r="C3477" t="s">
        <v>8</v>
      </c>
      <c r="D3477">
        <v>2.9159999999999999</v>
      </c>
      <c r="E3477">
        <v>933</v>
      </c>
      <c r="F3477" t="str">
        <f>HYPERLINK("https://www.google.com/maps/search/?api=1&amp;query=24.76231613,46.6706648", "View Map")</f>
        <v>View Map</v>
      </c>
    </row>
    <row r="3478" spans="1:7" x14ac:dyDescent="0.3">
      <c r="A3478" t="s">
        <v>6156</v>
      </c>
      <c r="B3478" t="s">
        <v>6157</v>
      </c>
      <c r="C3478" t="s">
        <v>16</v>
      </c>
      <c r="D3478">
        <v>2.915</v>
      </c>
      <c r="E3478">
        <v>933</v>
      </c>
      <c r="F3478" t="str">
        <f>HYPERLINK("https://www.google.com/maps/search/?api=1&amp;query=24.31319167,42.77989", "View Map")</f>
        <v>View Map</v>
      </c>
      <c r="G3478" s="2">
        <v>0.75836475620443566</v>
      </c>
    </row>
    <row r="3479" spans="1:7" x14ac:dyDescent="0.3">
      <c r="A3479" t="s">
        <v>1337</v>
      </c>
      <c r="B3479" t="s">
        <v>1338</v>
      </c>
      <c r="C3479" t="s">
        <v>8</v>
      </c>
      <c r="D3479">
        <v>2.915</v>
      </c>
      <c r="E3479">
        <v>933</v>
      </c>
      <c r="F3479" t="str">
        <f>HYPERLINK("https://www.google.com/maps/search/?api=1&amp;query=24.79350743,46.68285217", "View Map")</f>
        <v>View Map</v>
      </c>
      <c r="G3479" s="2">
        <v>0.1352349554339044</v>
      </c>
    </row>
    <row r="3480" spans="1:7" x14ac:dyDescent="0.3">
      <c r="A3480" t="s">
        <v>150</v>
      </c>
      <c r="B3480" t="s">
        <v>7341</v>
      </c>
      <c r="C3480" t="s">
        <v>8</v>
      </c>
      <c r="D3480">
        <v>2.9140000000000001</v>
      </c>
      <c r="E3480">
        <v>932</v>
      </c>
      <c r="F3480" t="str">
        <f>HYPERLINK("https://www.google.com/maps/search/?api=1&amp;query=24.83885086,46.79183085", "View Map")</f>
        <v>View Map</v>
      </c>
    </row>
    <row r="3481" spans="1:7" x14ac:dyDescent="0.3">
      <c r="A3481" t="s">
        <v>5995</v>
      </c>
      <c r="B3481" t="s">
        <v>5996</v>
      </c>
      <c r="C3481" t="s">
        <v>21</v>
      </c>
      <c r="D3481">
        <v>2.9140000000000001</v>
      </c>
      <c r="E3481">
        <v>932</v>
      </c>
      <c r="F3481" t="str">
        <f>HYPERLINK("https://www.google.com/maps/search/?api=1&amp;query=26.31362596,44.83180766", "View Map")</f>
        <v>View Map</v>
      </c>
      <c r="G3481" s="2">
        <v>0.45477716934600942</v>
      </c>
    </row>
    <row r="3482" spans="1:7" x14ac:dyDescent="0.3">
      <c r="A3482" t="s">
        <v>46</v>
      </c>
      <c r="B3482" t="s">
        <v>5327</v>
      </c>
      <c r="C3482" t="s">
        <v>8</v>
      </c>
      <c r="D3482">
        <v>2.9119999999999999</v>
      </c>
      <c r="E3482">
        <v>932</v>
      </c>
      <c r="F3482" t="str">
        <f>HYPERLINK("https://www.google.com/maps/search/?api=1&amp;query=24.64917485,46.83991769", "View Map")</f>
        <v>View Map</v>
      </c>
    </row>
    <row r="3483" spans="1:7" x14ac:dyDescent="0.3">
      <c r="A3483" t="s">
        <v>4520</v>
      </c>
      <c r="B3483" t="s">
        <v>4521</v>
      </c>
      <c r="C3483" t="s">
        <v>8</v>
      </c>
      <c r="D3483">
        <v>2.9119999999999999</v>
      </c>
      <c r="E3483">
        <v>932</v>
      </c>
      <c r="F3483" t="str">
        <f>HYPERLINK("https://www.google.com/maps/search/?api=1&amp;query=24.56918754,46.69135625", "View Map")</f>
        <v>View Map</v>
      </c>
    </row>
    <row r="3484" spans="1:7" x14ac:dyDescent="0.3">
      <c r="A3484" t="s">
        <v>6378</v>
      </c>
      <c r="B3484" t="s">
        <v>6379</v>
      </c>
      <c r="C3484" t="s">
        <v>8</v>
      </c>
      <c r="D3484">
        <v>2.911</v>
      </c>
      <c r="E3484">
        <v>931</v>
      </c>
      <c r="F3484" t="str">
        <f>HYPERLINK("https://www.google.com/maps/search/?api=1&amp;query=24.59633026,46.72794563", "View Map")</f>
        <v>View Map</v>
      </c>
    </row>
    <row r="3485" spans="1:7" x14ac:dyDescent="0.3">
      <c r="A3485" t="s">
        <v>5410</v>
      </c>
      <c r="B3485" t="s">
        <v>5411</v>
      </c>
      <c r="C3485" t="s">
        <v>8</v>
      </c>
      <c r="D3485">
        <v>2.91</v>
      </c>
      <c r="E3485">
        <v>931</v>
      </c>
      <c r="F3485" t="str">
        <f>HYPERLINK("https://www.google.com/maps/search/?api=1&amp;query=24.6671534,46.74067112", "View Map")</f>
        <v>View Map</v>
      </c>
    </row>
    <row r="3486" spans="1:7" x14ac:dyDescent="0.3">
      <c r="A3486" t="s">
        <v>6161</v>
      </c>
      <c r="B3486" t="s">
        <v>6162</v>
      </c>
      <c r="C3486" t="s">
        <v>214</v>
      </c>
      <c r="D3486">
        <v>2.91</v>
      </c>
      <c r="E3486">
        <v>931</v>
      </c>
      <c r="F3486" t="str">
        <f>HYPERLINK("https://www.google.com/maps/search/?api=1&amp;query=27.34349,45.02107", "View Map")</f>
        <v>View Map</v>
      </c>
    </row>
    <row r="3487" spans="1:7" x14ac:dyDescent="0.3">
      <c r="A3487" t="s">
        <v>1833</v>
      </c>
      <c r="B3487" t="s">
        <v>1834</v>
      </c>
      <c r="C3487" t="s">
        <v>8</v>
      </c>
      <c r="D3487">
        <v>2.9089999999999998</v>
      </c>
      <c r="E3487">
        <v>931</v>
      </c>
      <c r="F3487" t="str">
        <f>HYPERLINK("https://www.google.com/maps/search/?api=1&amp;query=24.76282314,46.77643728", "View Map")</f>
        <v>View Map</v>
      </c>
    </row>
    <row r="3488" spans="1:7" x14ac:dyDescent="0.3">
      <c r="A3488" t="s">
        <v>3480</v>
      </c>
      <c r="B3488" t="s">
        <v>3481</v>
      </c>
      <c r="C3488" t="s">
        <v>8</v>
      </c>
      <c r="D3488">
        <v>2.9079999999999999</v>
      </c>
      <c r="E3488">
        <v>930</v>
      </c>
      <c r="F3488" t="str">
        <f>HYPERLINK("https://www.google.com/maps/search/?api=1&amp;query=24.59058566,46.68904697", "View Map")</f>
        <v>View Map</v>
      </c>
    </row>
    <row r="3489" spans="1:7" x14ac:dyDescent="0.3">
      <c r="A3489" t="s">
        <v>464</v>
      </c>
      <c r="B3489" t="s">
        <v>6686</v>
      </c>
      <c r="C3489" t="s">
        <v>466</v>
      </c>
      <c r="D3489">
        <v>2.9079999999999999</v>
      </c>
      <c r="E3489">
        <v>931</v>
      </c>
      <c r="F3489" t="str">
        <f>HYPERLINK("https://www.google.com/maps/search/?api=1&amp;query=24.66996188,45.91387333", "View Map")</f>
        <v>View Map</v>
      </c>
      <c r="G3489" s="2">
        <v>0.55170415226888858</v>
      </c>
    </row>
    <row r="3490" spans="1:7" x14ac:dyDescent="0.3">
      <c r="A3490" t="s">
        <v>3065</v>
      </c>
      <c r="B3490" t="s">
        <v>3066</v>
      </c>
      <c r="C3490" t="s">
        <v>55</v>
      </c>
      <c r="D3490">
        <v>2.907</v>
      </c>
      <c r="E3490">
        <v>930</v>
      </c>
      <c r="F3490" t="str">
        <f>HYPERLINK("https://www.google.com/maps/search/?api=1&amp;query=24.73165303,46.60699195", "View Map")</f>
        <v>View Map</v>
      </c>
    </row>
    <row r="3491" spans="1:7" x14ac:dyDescent="0.3">
      <c r="A3491" t="s">
        <v>1059</v>
      </c>
      <c r="B3491" t="s">
        <v>1060</v>
      </c>
      <c r="C3491" t="s">
        <v>16</v>
      </c>
      <c r="D3491">
        <v>2.907</v>
      </c>
      <c r="E3491">
        <v>930</v>
      </c>
      <c r="F3491" t="str">
        <f>HYPERLINK("https://www.google.com/maps/search/?api=1&amp;query=23.91686527,42.92406133", "View Map")</f>
        <v>View Map</v>
      </c>
    </row>
    <row r="3492" spans="1:7" x14ac:dyDescent="0.3">
      <c r="A3492" t="s">
        <v>4518</v>
      </c>
      <c r="B3492" t="s">
        <v>4519</v>
      </c>
      <c r="C3492" t="s">
        <v>30</v>
      </c>
      <c r="D3492">
        <v>2.907</v>
      </c>
      <c r="E3492">
        <v>930</v>
      </c>
      <c r="F3492" t="str">
        <f>HYPERLINK("https://www.google.com/maps/search/?api=1&amp;query=24.14940783,47.31633843", "View Map")</f>
        <v>View Map</v>
      </c>
      <c r="G3492" s="2">
        <v>0.4167287668348123</v>
      </c>
    </row>
    <row r="3493" spans="1:7" x14ac:dyDescent="0.3">
      <c r="A3493" t="s">
        <v>8721</v>
      </c>
      <c r="B3493" t="s">
        <v>8722</v>
      </c>
      <c r="C3493" t="s">
        <v>255</v>
      </c>
      <c r="D3493">
        <v>2.9049999999999998</v>
      </c>
      <c r="E3493">
        <v>930</v>
      </c>
      <c r="F3493" t="str">
        <f>HYPERLINK("https://www.google.com/maps/search/?api=1&amp;query=25.10328843,44.68050291", "View Map")</f>
        <v>View Map</v>
      </c>
      <c r="G3493" s="2">
        <v>0.6024046212513311</v>
      </c>
    </row>
    <row r="3494" spans="1:7" x14ac:dyDescent="0.3">
      <c r="A3494" t="s">
        <v>11457</v>
      </c>
      <c r="B3494" t="s">
        <v>11458</v>
      </c>
      <c r="C3494" t="s">
        <v>255</v>
      </c>
      <c r="D3494">
        <v>2.9049999999999998</v>
      </c>
      <c r="E3494">
        <v>930</v>
      </c>
      <c r="F3494" t="str">
        <f>HYPERLINK("https://www.google.com/maps/search/?api=1&amp;query=25.07609799,44.61277976", "View Map")</f>
        <v>View Map</v>
      </c>
      <c r="G3494" s="2">
        <v>0.4791649879672944</v>
      </c>
    </row>
    <row r="3495" spans="1:7" x14ac:dyDescent="0.3">
      <c r="A3495" t="s">
        <v>10268</v>
      </c>
      <c r="B3495" t="s">
        <v>10269</v>
      </c>
      <c r="C3495" t="s">
        <v>291</v>
      </c>
      <c r="D3495">
        <v>2.9039999999999999</v>
      </c>
      <c r="E3495">
        <v>929</v>
      </c>
      <c r="F3495" t="str">
        <f>HYPERLINK("https://www.google.com/maps/search/?api=1&amp;query=24.08655519,45.29570223", "View Map")</f>
        <v>View Map</v>
      </c>
    </row>
    <row r="3496" spans="1:7" x14ac:dyDescent="0.3">
      <c r="A3496" t="s">
        <v>4994</v>
      </c>
      <c r="B3496" t="s">
        <v>4995</v>
      </c>
      <c r="C3496" t="s">
        <v>8</v>
      </c>
      <c r="D3496">
        <v>2.903</v>
      </c>
      <c r="E3496">
        <v>929</v>
      </c>
      <c r="F3496" t="str">
        <f>HYPERLINK("https://www.google.com/maps/search/?api=1&amp;query=24.61719769,46.52628644", "View Map")</f>
        <v>View Map</v>
      </c>
      <c r="G3496" s="2">
        <v>0.33361139152899699</v>
      </c>
    </row>
    <row r="3497" spans="1:7" x14ac:dyDescent="0.3">
      <c r="A3497" t="s">
        <v>7259</v>
      </c>
      <c r="B3497" t="s">
        <v>7260</v>
      </c>
      <c r="C3497" t="s">
        <v>255</v>
      </c>
      <c r="D3497">
        <v>2.903</v>
      </c>
      <c r="E3497">
        <v>929</v>
      </c>
      <c r="F3497" t="str">
        <f>HYPERLINK("https://www.google.com/maps/search/?api=1&amp;query=24.86204555,43.80042127", "View Map")</f>
        <v>View Map</v>
      </c>
      <c r="G3497" s="2">
        <v>0.78378663223148592</v>
      </c>
    </row>
    <row r="3498" spans="1:7" x14ac:dyDescent="0.3">
      <c r="A3498" t="s">
        <v>9348</v>
      </c>
      <c r="B3498" t="s">
        <v>9349</v>
      </c>
      <c r="C3498" t="s">
        <v>255</v>
      </c>
      <c r="D3498">
        <v>2.9020000000000001</v>
      </c>
      <c r="E3498">
        <v>929</v>
      </c>
      <c r="F3498" t="str">
        <f>HYPERLINK("https://www.google.com/maps/search/?api=1&amp;query=25.28944767,44.1527524", "View Map")</f>
        <v>View Map</v>
      </c>
      <c r="G3498" s="2">
        <v>0.61862495525562744</v>
      </c>
    </row>
    <row r="3499" spans="1:7" x14ac:dyDescent="0.3">
      <c r="A3499" t="s">
        <v>469</v>
      </c>
      <c r="B3499" t="s">
        <v>9699</v>
      </c>
      <c r="C3499" t="s">
        <v>8</v>
      </c>
      <c r="D3499">
        <v>2.9020000000000001</v>
      </c>
      <c r="E3499">
        <v>929</v>
      </c>
      <c r="F3499" t="str">
        <f>HYPERLINK("https://www.google.com/maps/search/?api=1&amp;query=24.634413,46.80356943", "View Map")</f>
        <v>View Map</v>
      </c>
    </row>
    <row r="3500" spans="1:7" x14ac:dyDescent="0.3">
      <c r="A3500" t="s">
        <v>10724</v>
      </c>
      <c r="B3500" t="s">
        <v>10725</v>
      </c>
      <c r="C3500" t="s">
        <v>8</v>
      </c>
      <c r="D3500">
        <v>2.9009999999999998</v>
      </c>
      <c r="E3500">
        <v>928</v>
      </c>
      <c r="F3500" t="str">
        <f>HYPERLINK("https://www.google.com/maps/search/?api=1&amp;query=24.57560634,46.68328169", "View Map")</f>
        <v>View Map</v>
      </c>
    </row>
    <row r="3501" spans="1:7" x14ac:dyDescent="0.3">
      <c r="A3501" t="s">
        <v>46</v>
      </c>
      <c r="B3501" t="s">
        <v>11459</v>
      </c>
      <c r="C3501" t="s">
        <v>8</v>
      </c>
      <c r="D3501">
        <v>2.9009999999999998</v>
      </c>
      <c r="E3501">
        <v>928</v>
      </c>
      <c r="F3501" t="str">
        <f>HYPERLINK("https://www.google.com/maps/search/?api=1&amp;query=24.63385237,46.5697945", "View Map")</f>
        <v>View Map</v>
      </c>
    </row>
    <row r="3502" spans="1:7" x14ac:dyDescent="0.3">
      <c r="A3502" t="s">
        <v>1391</v>
      </c>
      <c r="B3502" t="s">
        <v>7883</v>
      </c>
      <c r="C3502" t="s">
        <v>8</v>
      </c>
      <c r="D3502">
        <v>2.9009999999999998</v>
      </c>
      <c r="E3502">
        <v>928</v>
      </c>
      <c r="F3502" t="str">
        <f>HYPERLINK("https://www.google.com/maps/search/?api=1&amp;query=24.7325,46.8442", "View Map")</f>
        <v>View Map</v>
      </c>
    </row>
    <row r="3503" spans="1:7" x14ac:dyDescent="0.3">
      <c r="A3503" t="s">
        <v>28</v>
      </c>
      <c r="B3503" t="s">
        <v>7967</v>
      </c>
      <c r="C3503" t="s">
        <v>30</v>
      </c>
      <c r="D3503">
        <v>2.9</v>
      </c>
      <c r="E3503">
        <v>928</v>
      </c>
      <c r="F3503" t="str">
        <f>HYPERLINK("https://www.google.com/maps/search/?api=1&amp;query=24.10503441,47.28804432", "View Map")</f>
        <v>View Map</v>
      </c>
    </row>
    <row r="3504" spans="1:7" x14ac:dyDescent="0.3">
      <c r="A3504" t="s">
        <v>6625</v>
      </c>
      <c r="B3504" t="s">
        <v>6626</v>
      </c>
      <c r="C3504" t="s">
        <v>255</v>
      </c>
      <c r="D3504">
        <v>2.9</v>
      </c>
      <c r="E3504">
        <v>928</v>
      </c>
      <c r="F3504" t="str">
        <f>HYPERLINK("https://www.google.com/maps/search/?api=1&amp;query=24.45988799,44.35890947", "View Map")</f>
        <v>View Map</v>
      </c>
      <c r="G3504" s="2">
        <v>0.5763667338452152</v>
      </c>
    </row>
    <row r="3505" spans="1:7" x14ac:dyDescent="0.3">
      <c r="A3505" t="s">
        <v>46</v>
      </c>
      <c r="B3505" t="s">
        <v>7488</v>
      </c>
      <c r="C3505" t="s">
        <v>8</v>
      </c>
      <c r="D3505">
        <v>2.9</v>
      </c>
      <c r="E3505">
        <v>928</v>
      </c>
      <c r="F3505" t="str">
        <f>HYPERLINK("https://www.google.com/maps/search/?api=1&amp;query=24.92334319,46.82037301", "View Map")</f>
        <v>View Map</v>
      </c>
    </row>
    <row r="3506" spans="1:7" x14ac:dyDescent="0.3">
      <c r="A3506" t="s">
        <v>5375</v>
      </c>
      <c r="B3506" t="s">
        <v>5376</v>
      </c>
      <c r="C3506" t="s">
        <v>646</v>
      </c>
      <c r="D3506">
        <v>2.899</v>
      </c>
      <c r="E3506">
        <v>928</v>
      </c>
      <c r="F3506" t="str">
        <f>HYPERLINK("https://www.google.com/maps/search/?api=1&amp;query=20.44646981,45.58570272", "View Map")</f>
        <v>View Map</v>
      </c>
    </row>
    <row r="3507" spans="1:7" x14ac:dyDescent="0.3">
      <c r="A3507" t="s">
        <v>411</v>
      </c>
      <c r="B3507" t="s">
        <v>3952</v>
      </c>
      <c r="C3507" t="s">
        <v>77</v>
      </c>
      <c r="D3507">
        <v>2.899</v>
      </c>
      <c r="E3507">
        <v>928</v>
      </c>
      <c r="F3507" t="str">
        <f>HYPERLINK("https://www.google.com/maps/search/?api=1&amp;query=22.22975525,46.77830154", "View Map")</f>
        <v>View Map</v>
      </c>
      <c r="G3507" s="2">
        <v>0.31266815687897859</v>
      </c>
    </row>
    <row r="3508" spans="1:7" x14ac:dyDescent="0.3">
      <c r="A3508" t="s">
        <v>5571</v>
      </c>
      <c r="B3508" t="s">
        <v>5572</v>
      </c>
      <c r="C3508" t="s">
        <v>8</v>
      </c>
      <c r="D3508">
        <v>2.8959999999999999</v>
      </c>
      <c r="E3508">
        <v>927</v>
      </c>
      <c r="F3508" t="str">
        <f>HYPERLINK("https://www.google.com/maps/search/?api=1&amp;query=24.54116997,46.69164533", "View Map")</f>
        <v>View Map</v>
      </c>
    </row>
    <row r="3509" spans="1:7" x14ac:dyDescent="0.3">
      <c r="A3509" t="s">
        <v>464</v>
      </c>
      <c r="B3509" t="s">
        <v>10802</v>
      </c>
      <c r="C3509" t="s">
        <v>8</v>
      </c>
      <c r="D3509">
        <v>2.895</v>
      </c>
      <c r="E3509">
        <v>926</v>
      </c>
      <c r="F3509" t="str">
        <f>HYPERLINK("https://www.google.com/maps/search/?api=1&amp;query=24.3947425,46.66050342", "View Map")</f>
        <v>View Map</v>
      </c>
    </row>
    <row r="3510" spans="1:7" x14ac:dyDescent="0.3">
      <c r="A3510" t="s">
        <v>7170</v>
      </c>
      <c r="B3510" t="s">
        <v>7171</v>
      </c>
      <c r="C3510" t="s">
        <v>8</v>
      </c>
      <c r="D3510">
        <v>2.8929999999999998</v>
      </c>
      <c r="E3510">
        <v>926</v>
      </c>
      <c r="F3510" t="str">
        <f>HYPERLINK("https://www.google.com/maps/search/?api=1&amp;query=24.82874793,46.77754085", "View Map")</f>
        <v>View Map</v>
      </c>
    </row>
    <row r="3511" spans="1:7" x14ac:dyDescent="0.3">
      <c r="A3511" t="s">
        <v>8081</v>
      </c>
      <c r="B3511" t="s">
        <v>8082</v>
      </c>
      <c r="C3511" t="s">
        <v>30</v>
      </c>
      <c r="D3511">
        <v>2.8929999999999998</v>
      </c>
      <c r="E3511">
        <v>926</v>
      </c>
      <c r="F3511" t="str">
        <f>HYPERLINK("https://www.google.com/maps/search/?api=1&amp;query=24.19910699,47.30005467", "View Map")</f>
        <v>View Map</v>
      </c>
      <c r="G3511" s="2">
        <v>0.75351727271756219</v>
      </c>
    </row>
    <row r="3512" spans="1:7" x14ac:dyDescent="0.3">
      <c r="A3512" t="s">
        <v>2575</v>
      </c>
      <c r="B3512" t="s">
        <v>8255</v>
      </c>
      <c r="C3512" t="s">
        <v>8</v>
      </c>
      <c r="D3512">
        <v>2.8919999999999999</v>
      </c>
      <c r="E3512">
        <v>925</v>
      </c>
      <c r="F3512" t="str">
        <f>HYPERLINK("https://www.google.com/maps/search/?api=1&amp;query=24.80943836,46.64490465", "View Map")</f>
        <v>View Map</v>
      </c>
    </row>
    <row r="3513" spans="1:7" x14ac:dyDescent="0.3">
      <c r="A3513" t="s">
        <v>2485</v>
      </c>
      <c r="B3513" t="s">
        <v>11460</v>
      </c>
      <c r="C3513" t="s">
        <v>255</v>
      </c>
      <c r="D3513">
        <v>2.8919999999999999</v>
      </c>
      <c r="E3513">
        <v>926</v>
      </c>
      <c r="F3513" t="str">
        <f>HYPERLINK("https://www.google.com/maps/search/?api=1&amp;query=24.5379034,43.57332105", "View Map")</f>
        <v>View Map</v>
      </c>
    </row>
    <row r="3514" spans="1:7" x14ac:dyDescent="0.3">
      <c r="A3514" t="s">
        <v>7039</v>
      </c>
      <c r="B3514" t="s">
        <v>7040</v>
      </c>
      <c r="C3514" t="s">
        <v>255</v>
      </c>
      <c r="D3514">
        <v>2.891</v>
      </c>
      <c r="E3514">
        <v>925</v>
      </c>
      <c r="F3514" t="str">
        <f>HYPERLINK("https://www.google.com/maps/search/?api=1&amp;query=24.53662283,44.27582667", "View Map")</f>
        <v>View Map</v>
      </c>
      <c r="G3514" s="2">
        <v>0.50200026416319465</v>
      </c>
    </row>
    <row r="3515" spans="1:7" x14ac:dyDescent="0.3">
      <c r="A3515" t="s">
        <v>1219</v>
      </c>
      <c r="B3515" t="s">
        <v>7502</v>
      </c>
      <c r="C3515" t="s">
        <v>255</v>
      </c>
      <c r="D3515">
        <v>2.891</v>
      </c>
      <c r="E3515">
        <v>925</v>
      </c>
      <c r="F3515" t="str">
        <f>HYPERLINK("https://www.google.com/maps/search/?api=1&amp;query=25.07539509,44.70075041", "View Map")</f>
        <v>View Map</v>
      </c>
      <c r="G3515" s="2">
        <v>0.85482467935723638</v>
      </c>
    </row>
    <row r="3516" spans="1:7" x14ac:dyDescent="0.3">
      <c r="A3516" t="s">
        <v>6845</v>
      </c>
      <c r="B3516" t="s">
        <v>6846</v>
      </c>
      <c r="C3516" t="s">
        <v>8</v>
      </c>
      <c r="D3516">
        <v>2.89</v>
      </c>
      <c r="E3516">
        <v>925</v>
      </c>
      <c r="F3516" t="str">
        <f>HYPERLINK("https://www.google.com/maps/search/?api=1&amp;query=24.63711717,46.71990755", "View Map")</f>
        <v>View Map</v>
      </c>
    </row>
    <row r="3517" spans="1:7" x14ac:dyDescent="0.3">
      <c r="A3517" t="s">
        <v>4851</v>
      </c>
      <c r="B3517" t="s">
        <v>4852</v>
      </c>
      <c r="C3517" t="s">
        <v>8</v>
      </c>
      <c r="D3517">
        <v>2.8889999999999998</v>
      </c>
      <c r="E3517">
        <v>925</v>
      </c>
      <c r="F3517" t="str">
        <f>HYPERLINK("https://www.google.com/maps/search/?api=1&amp;query=24.75820738,46.6703758", "View Map")</f>
        <v>View Map</v>
      </c>
    </row>
    <row r="3518" spans="1:7" x14ac:dyDescent="0.3">
      <c r="A3518" t="s">
        <v>5465</v>
      </c>
      <c r="B3518" t="s">
        <v>5466</v>
      </c>
      <c r="C3518" t="s">
        <v>214</v>
      </c>
      <c r="D3518">
        <v>2.8889999999999998</v>
      </c>
      <c r="E3518">
        <v>925</v>
      </c>
      <c r="F3518" t="str">
        <f>HYPERLINK("https://www.google.com/maps/search/?api=1&amp;query=25.69513,45.89959", "View Map")</f>
        <v>View Map</v>
      </c>
      <c r="G3518" s="2">
        <v>0.46670576084403509</v>
      </c>
    </row>
    <row r="3519" spans="1:7" x14ac:dyDescent="0.3">
      <c r="A3519" t="s">
        <v>7749</v>
      </c>
      <c r="B3519" t="s">
        <v>7750</v>
      </c>
      <c r="C3519" t="s">
        <v>8</v>
      </c>
      <c r="D3519">
        <v>2.8889999999999998</v>
      </c>
      <c r="E3519">
        <v>924</v>
      </c>
      <c r="F3519" t="str">
        <f>HYPERLINK("https://www.google.com/maps/search/?api=1&amp;query=24.63183474,46.60425225", "View Map")</f>
        <v>View Map</v>
      </c>
    </row>
    <row r="3520" spans="1:7" x14ac:dyDescent="0.3">
      <c r="A3520" t="s">
        <v>4887</v>
      </c>
      <c r="B3520" t="s">
        <v>4888</v>
      </c>
      <c r="C3520" t="s">
        <v>699</v>
      </c>
      <c r="D3520">
        <v>2.8889999999999998</v>
      </c>
      <c r="E3520">
        <v>924</v>
      </c>
      <c r="F3520" t="str">
        <f>HYPERLINK("https://www.google.com/maps/search/?api=1&amp;query=24.54292639,45.32704888", "View Map")</f>
        <v>View Map</v>
      </c>
    </row>
    <row r="3521" spans="1:7" x14ac:dyDescent="0.3">
      <c r="A3521" t="s">
        <v>5408</v>
      </c>
      <c r="B3521" t="s">
        <v>5409</v>
      </c>
      <c r="C3521" t="s">
        <v>296</v>
      </c>
      <c r="D3521">
        <v>2.887</v>
      </c>
      <c r="E3521">
        <v>924</v>
      </c>
      <c r="F3521" t="str">
        <f>HYPERLINK("https://www.google.com/maps/search/?api=1&amp;query=24.48846769,46.27214842", "View Map")</f>
        <v>View Map</v>
      </c>
      <c r="G3521" s="2">
        <v>0.42479902015451709</v>
      </c>
    </row>
    <row r="3522" spans="1:7" x14ac:dyDescent="0.3">
      <c r="A3522" t="s">
        <v>6002</v>
      </c>
      <c r="B3522" t="s">
        <v>6003</v>
      </c>
      <c r="C3522" t="s">
        <v>8</v>
      </c>
      <c r="D3522">
        <v>2.8839999999999999</v>
      </c>
      <c r="E3522">
        <v>923</v>
      </c>
      <c r="F3522" t="str">
        <f>HYPERLINK("https://www.google.com/maps/search/?api=1&amp;query=24.73598191,46.70973848", "View Map")</f>
        <v>View Map</v>
      </c>
    </row>
    <row r="3523" spans="1:7" x14ac:dyDescent="0.3">
      <c r="A3523" t="s">
        <v>551</v>
      </c>
      <c r="B3523" t="s">
        <v>552</v>
      </c>
      <c r="C3523" t="s">
        <v>8</v>
      </c>
      <c r="D3523">
        <v>2.8839999999999999</v>
      </c>
      <c r="E3523">
        <v>923</v>
      </c>
      <c r="F3523" t="str">
        <f>HYPERLINK("https://www.google.com/maps/search/?api=1&amp;query=24.6729878,46.75500375", "View Map")</f>
        <v>View Map</v>
      </c>
      <c r="G3523" s="2">
        <v>0.15718470193223419</v>
      </c>
    </row>
    <row r="3524" spans="1:7" x14ac:dyDescent="0.3">
      <c r="A3524" t="s">
        <v>6620</v>
      </c>
      <c r="B3524" t="s">
        <v>6621</v>
      </c>
      <c r="C3524" t="s">
        <v>8</v>
      </c>
      <c r="D3524">
        <v>2.883</v>
      </c>
      <c r="E3524">
        <v>923</v>
      </c>
      <c r="F3524" t="str">
        <f>HYPERLINK("https://www.google.com/maps/search/?api=1&amp;query=24.55440887,46.70699337", "View Map")</f>
        <v>View Map</v>
      </c>
    </row>
    <row r="3525" spans="1:7" x14ac:dyDescent="0.3">
      <c r="A3525" t="s">
        <v>5812</v>
      </c>
      <c r="B3525" t="s">
        <v>5813</v>
      </c>
      <c r="C3525" t="s">
        <v>8</v>
      </c>
      <c r="D3525">
        <v>2.8820000000000001</v>
      </c>
      <c r="E3525">
        <v>922</v>
      </c>
      <c r="F3525" t="str">
        <f>HYPERLINK("https://www.google.com/maps/search/?api=1&amp;query=24.74558011,46.76686643", "View Map")</f>
        <v>View Map</v>
      </c>
    </row>
    <row r="3526" spans="1:7" x14ac:dyDescent="0.3">
      <c r="A3526" t="s">
        <v>5857</v>
      </c>
      <c r="B3526" t="s">
        <v>5858</v>
      </c>
      <c r="C3526" t="s">
        <v>8</v>
      </c>
      <c r="D3526">
        <v>2.8820000000000001</v>
      </c>
      <c r="E3526">
        <v>922</v>
      </c>
      <c r="F3526" t="str">
        <f>HYPERLINK("https://www.google.com/maps/search/?api=1&amp;query=24.69921059,46.85217229", "View Map")</f>
        <v>View Map</v>
      </c>
    </row>
    <row r="3527" spans="1:7" x14ac:dyDescent="0.3">
      <c r="A3527" t="s">
        <v>1594</v>
      </c>
      <c r="B3527" t="s">
        <v>5517</v>
      </c>
      <c r="C3527" t="s">
        <v>296</v>
      </c>
      <c r="D3527">
        <v>2.8809999999999998</v>
      </c>
      <c r="E3527">
        <v>922</v>
      </c>
      <c r="F3527" t="str">
        <f>HYPERLINK("https://www.google.com/maps/search/?api=1&amp;query=24.16165495,46.1939479", "View Map")</f>
        <v>View Map</v>
      </c>
      <c r="G3527" s="2">
        <v>0.56068328755296415</v>
      </c>
    </row>
    <row r="3528" spans="1:7" x14ac:dyDescent="0.3">
      <c r="A3528" t="s">
        <v>7283</v>
      </c>
      <c r="B3528" t="s">
        <v>7284</v>
      </c>
      <c r="C3528" t="s">
        <v>296</v>
      </c>
      <c r="D3528">
        <v>2.8809999999999998</v>
      </c>
      <c r="E3528">
        <v>922</v>
      </c>
      <c r="F3528" t="str">
        <f>HYPERLINK("https://www.google.com/maps/search/?api=1&amp;query=24.46509299,46.28382652", "View Map")</f>
        <v>View Map</v>
      </c>
      <c r="G3528" s="2">
        <v>0.42044854818768518</v>
      </c>
    </row>
    <row r="3529" spans="1:7" x14ac:dyDescent="0.3">
      <c r="A3529" t="s">
        <v>380</v>
      </c>
      <c r="B3529" t="s">
        <v>8963</v>
      </c>
      <c r="C3529" t="s">
        <v>214</v>
      </c>
      <c r="D3529">
        <v>2.8809999999999998</v>
      </c>
      <c r="E3529">
        <v>922</v>
      </c>
      <c r="F3529" t="str">
        <f>HYPERLINK("https://www.google.com/maps/search/?api=1&amp;query=25.69692523,45.88059974", "View Map")</f>
        <v>View Map</v>
      </c>
    </row>
    <row r="3530" spans="1:7" x14ac:dyDescent="0.3">
      <c r="A3530" t="s">
        <v>10054</v>
      </c>
      <c r="B3530" t="s">
        <v>10055</v>
      </c>
      <c r="C3530" t="s">
        <v>8</v>
      </c>
      <c r="D3530">
        <v>2.8809999999999998</v>
      </c>
      <c r="E3530">
        <v>922</v>
      </c>
      <c r="F3530" t="str">
        <f>HYPERLINK("https://www.google.com/maps/search/?api=1&amp;query=24.57911872,46.60023553", "View Map")</f>
        <v>View Map</v>
      </c>
    </row>
    <row r="3531" spans="1:7" x14ac:dyDescent="0.3">
      <c r="A3531" t="s">
        <v>6727</v>
      </c>
      <c r="B3531" t="s">
        <v>6728</v>
      </c>
      <c r="C3531" t="s">
        <v>296</v>
      </c>
      <c r="D3531">
        <v>2.88</v>
      </c>
      <c r="E3531">
        <v>922</v>
      </c>
      <c r="F3531" t="str">
        <f>HYPERLINK("https://www.google.com/maps/search/?api=1&amp;query=24.4639533,46.29718319", "View Map")</f>
        <v>View Map</v>
      </c>
    </row>
    <row r="3532" spans="1:7" x14ac:dyDescent="0.3">
      <c r="A3532" t="s">
        <v>9616</v>
      </c>
      <c r="B3532" t="s">
        <v>9617</v>
      </c>
      <c r="C3532" t="s">
        <v>8</v>
      </c>
      <c r="D3532">
        <v>2.88</v>
      </c>
      <c r="E3532">
        <v>922</v>
      </c>
      <c r="F3532" t="str">
        <f>HYPERLINK("https://www.google.com/maps/search/?api=1&amp;query=24.62184641,46.67882586", "View Map")</f>
        <v>View Map</v>
      </c>
    </row>
    <row r="3533" spans="1:7" x14ac:dyDescent="0.3">
      <c r="A3533" t="s">
        <v>2987</v>
      </c>
      <c r="B3533" t="s">
        <v>2988</v>
      </c>
      <c r="C3533" t="s">
        <v>8</v>
      </c>
      <c r="D3533">
        <v>2.8780000000000001</v>
      </c>
      <c r="E3533">
        <v>921</v>
      </c>
      <c r="F3533" t="str">
        <f>HYPERLINK("https://www.google.com/maps/search/?api=1&amp;query=24.71843199,46.85317115", "View Map")</f>
        <v>View Map</v>
      </c>
    </row>
    <row r="3534" spans="1:7" x14ac:dyDescent="0.3">
      <c r="A3534" t="s">
        <v>46</v>
      </c>
      <c r="B3534" t="s">
        <v>5497</v>
      </c>
      <c r="C3534" t="s">
        <v>8</v>
      </c>
      <c r="D3534">
        <v>2.8780000000000001</v>
      </c>
      <c r="E3534">
        <v>921</v>
      </c>
      <c r="F3534" t="str">
        <f>HYPERLINK("https://www.google.com/maps/search/?api=1&amp;query=24.60545481,46.74189987", "View Map")</f>
        <v>View Map</v>
      </c>
    </row>
    <row r="3535" spans="1:7" x14ac:dyDescent="0.3">
      <c r="A3535" t="s">
        <v>4752</v>
      </c>
      <c r="B3535" t="s">
        <v>4753</v>
      </c>
      <c r="C3535" t="s">
        <v>8</v>
      </c>
      <c r="D3535">
        <v>2.8769999999999998</v>
      </c>
      <c r="E3535">
        <v>921</v>
      </c>
      <c r="F3535" t="str">
        <f>HYPERLINK("https://www.google.com/maps/search/?api=1&amp;query=24.63458264,46.8494493", "View Map")</f>
        <v>View Map</v>
      </c>
      <c r="G3535" s="2">
        <v>0.46645123300876901</v>
      </c>
    </row>
    <row r="3536" spans="1:7" x14ac:dyDescent="0.3">
      <c r="A3536" t="s">
        <v>3731</v>
      </c>
      <c r="B3536" t="s">
        <v>3732</v>
      </c>
      <c r="C3536" t="s">
        <v>77</v>
      </c>
      <c r="D3536">
        <v>2.875</v>
      </c>
      <c r="E3536">
        <v>920</v>
      </c>
      <c r="F3536" t="str">
        <f>HYPERLINK("https://www.google.com/maps/search/?api=1&amp;query=22.02357558,46.5583337", "View Map")</f>
        <v>View Map</v>
      </c>
      <c r="G3536" s="2">
        <v>0.40805390683811421</v>
      </c>
    </row>
    <row r="3537" spans="1:7" x14ac:dyDescent="0.3">
      <c r="A3537" t="s">
        <v>6388</v>
      </c>
      <c r="B3537" t="s">
        <v>6389</v>
      </c>
      <c r="C3537" t="s">
        <v>21</v>
      </c>
      <c r="D3537">
        <v>2.875</v>
      </c>
      <c r="E3537">
        <v>920</v>
      </c>
      <c r="F3537" t="str">
        <f>HYPERLINK("https://www.google.com/maps/search/?api=1&amp;query=26.30471169,44.8083257", "View Map")</f>
        <v>View Map</v>
      </c>
      <c r="G3537" s="2">
        <v>0.44670164538638041</v>
      </c>
    </row>
    <row r="3538" spans="1:7" x14ac:dyDescent="0.3">
      <c r="A3538" t="s">
        <v>11461</v>
      </c>
      <c r="B3538" t="s">
        <v>11462</v>
      </c>
      <c r="C3538" t="s">
        <v>8</v>
      </c>
      <c r="D3538">
        <v>2.875</v>
      </c>
      <c r="E3538">
        <v>920</v>
      </c>
      <c r="F3538" t="str">
        <f>HYPERLINK("https://www.google.com/maps/search/?api=1&amp;query=24.71814,46.82389", "View Map")</f>
        <v>View Map</v>
      </c>
    </row>
    <row r="3539" spans="1:7" x14ac:dyDescent="0.3">
      <c r="A3539" t="s">
        <v>4636</v>
      </c>
      <c r="B3539" t="s">
        <v>4637</v>
      </c>
      <c r="C3539" t="s">
        <v>8</v>
      </c>
      <c r="D3539">
        <v>2.8740000000000001</v>
      </c>
      <c r="E3539">
        <v>920</v>
      </c>
      <c r="F3539" t="str">
        <f>HYPERLINK("https://www.google.com/maps/search/?api=1&amp;query=24.74345578,46.75898319", "View Map")</f>
        <v>View Map</v>
      </c>
    </row>
    <row r="3540" spans="1:7" x14ac:dyDescent="0.3">
      <c r="A3540" t="s">
        <v>7246</v>
      </c>
      <c r="B3540" t="s">
        <v>7247</v>
      </c>
      <c r="C3540" t="s">
        <v>16</v>
      </c>
      <c r="D3540">
        <v>2.8740000000000001</v>
      </c>
      <c r="E3540">
        <v>920</v>
      </c>
      <c r="F3540" t="str">
        <f>HYPERLINK("https://www.google.com/maps/search/?api=1&amp;query=23.91767046,42.91636982", "View Map")</f>
        <v>View Map</v>
      </c>
      <c r="G3540" s="2">
        <v>0.41374580172300729</v>
      </c>
    </row>
    <row r="3541" spans="1:7" x14ac:dyDescent="0.3">
      <c r="A3541" t="s">
        <v>823</v>
      </c>
      <c r="B3541" t="s">
        <v>824</v>
      </c>
      <c r="C3541" t="s">
        <v>8</v>
      </c>
      <c r="D3541">
        <v>2.8730000000000002</v>
      </c>
      <c r="E3541">
        <v>919</v>
      </c>
      <c r="F3541" t="str">
        <f>HYPERLINK("https://www.google.com/maps/search/?api=1&amp;query=24.73949871,46.65047424", "View Map")</f>
        <v>View Map</v>
      </c>
      <c r="G3541" s="2">
        <v>0.14467337944602829</v>
      </c>
    </row>
    <row r="3542" spans="1:7" x14ac:dyDescent="0.3">
      <c r="A3542" t="s">
        <v>146</v>
      </c>
      <c r="B3542" t="s">
        <v>11463</v>
      </c>
      <c r="C3542" t="s">
        <v>8</v>
      </c>
      <c r="D3542">
        <v>2.8719999999999999</v>
      </c>
      <c r="E3542">
        <v>919</v>
      </c>
      <c r="F3542" t="str">
        <f>HYPERLINK("https://www.google.com/maps/search/?api=1&amp;query=24.55821721,46.61979325", "View Map")</f>
        <v>View Map</v>
      </c>
    </row>
    <row r="3543" spans="1:7" x14ac:dyDescent="0.3">
      <c r="A3543" t="s">
        <v>22</v>
      </c>
      <c r="B3543" t="s">
        <v>6308</v>
      </c>
      <c r="C3543" t="s">
        <v>21</v>
      </c>
      <c r="D3543">
        <v>2.8719999999999999</v>
      </c>
      <c r="E3543">
        <v>919</v>
      </c>
      <c r="F3543" t="str">
        <f>HYPERLINK("https://www.google.com/maps/search/?api=1&amp;query=26.29402493,44.7992078", "View Map")</f>
        <v>View Map</v>
      </c>
      <c r="G3543" s="2">
        <v>0.62476120039642535</v>
      </c>
    </row>
    <row r="3544" spans="1:7" x14ac:dyDescent="0.3">
      <c r="A3544" t="s">
        <v>6824</v>
      </c>
      <c r="B3544" t="s">
        <v>6825</v>
      </c>
      <c r="C3544" t="s">
        <v>77</v>
      </c>
      <c r="D3544">
        <v>2.8719999999999999</v>
      </c>
      <c r="E3544">
        <v>919</v>
      </c>
      <c r="F3544" t="str">
        <f>HYPERLINK("https://www.google.com/maps/search/?api=1&amp;query=22.02204328,46.57654255", "View Map")</f>
        <v>View Map</v>
      </c>
      <c r="G3544" s="2">
        <v>0.40713695195313981</v>
      </c>
    </row>
    <row r="3545" spans="1:7" x14ac:dyDescent="0.3">
      <c r="A3545" t="s">
        <v>6109</v>
      </c>
      <c r="B3545" t="s">
        <v>6110</v>
      </c>
      <c r="C3545" t="s">
        <v>8</v>
      </c>
      <c r="D3545">
        <v>2.871</v>
      </c>
      <c r="E3545">
        <v>919</v>
      </c>
      <c r="F3545" t="str">
        <f>HYPERLINK("https://www.google.com/maps/search/?api=1&amp;query=24.57572215,46.61173217", "View Map")</f>
        <v>View Map</v>
      </c>
      <c r="G3545" s="2">
        <v>0.46499292648176671</v>
      </c>
    </row>
    <row r="3546" spans="1:7" x14ac:dyDescent="0.3">
      <c r="A3546" t="s">
        <v>3554</v>
      </c>
      <c r="B3546" t="s">
        <v>8296</v>
      </c>
      <c r="C3546" t="s">
        <v>8</v>
      </c>
      <c r="D3546">
        <v>2.87</v>
      </c>
      <c r="E3546">
        <v>919</v>
      </c>
      <c r="F3546" t="str">
        <f>HYPERLINK("https://www.google.com/maps/search/?api=1&amp;query=24.60159283,46.76137899", "View Map")</f>
        <v>View Map</v>
      </c>
    </row>
    <row r="3547" spans="1:7" x14ac:dyDescent="0.3">
      <c r="A3547" t="s">
        <v>146</v>
      </c>
      <c r="B3547" t="s">
        <v>5168</v>
      </c>
      <c r="C3547" t="s">
        <v>8</v>
      </c>
      <c r="D3547">
        <v>2.87</v>
      </c>
      <c r="E3547">
        <v>918</v>
      </c>
      <c r="F3547" t="str">
        <f>HYPERLINK("https://www.google.com/maps/search/?api=1&amp;query=24.57384886,46.71337917", "View Map")</f>
        <v>View Map</v>
      </c>
    </row>
    <row r="3548" spans="1:7" x14ac:dyDescent="0.3">
      <c r="A3548" t="s">
        <v>2437</v>
      </c>
      <c r="B3548" t="s">
        <v>9261</v>
      </c>
      <c r="C3548" t="s">
        <v>8</v>
      </c>
      <c r="D3548">
        <v>2.8690000000000002</v>
      </c>
      <c r="E3548">
        <v>918</v>
      </c>
      <c r="F3548" t="str">
        <f>HYPERLINK("https://www.google.com/maps/search/?api=1&amp;query=24.79519104,46.85067337", "View Map")</f>
        <v>View Map</v>
      </c>
    </row>
    <row r="3549" spans="1:7" x14ac:dyDescent="0.3">
      <c r="A3549" t="s">
        <v>8021</v>
      </c>
      <c r="B3549" t="s">
        <v>8022</v>
      </c>
      <c r="C3549" t="s">
        <v>286</v>
      </c>
      <c r="D3549">
        <v>2.8690000000000002</v>
      </c>
      <c r="E3549">
        <v>918</v>
      </c>
      <c r="F3549" t="str">
        <f>HYPERLINK("https://www.google.com/maps/search/?api=1&amp;query=25.34035645,45.18349809", "View Map")</f>
        <v>View Map</v>
      </c>
      <c r="G3549" s="2">
        <v>0.6067688561181741</v>
      </c>
    </row>
    <row r="3550" spans="1:7" x14ac:dyDescent="0.3">
      <c r="A3550" t="s">
        <v>717</v>
      </c>
      <c r="B3550" t="s">
        <v>6492</v>
      </c>
      <c r="C3550" t="s">
        <v>255</v>
      </c>
      <c r="D3550">
        <v>2.8690000000000002</v>
      </c>
      <c r="E3550">
        <v>918</v>
      </c>
      <c r="F3550" t="str">
        <f>HYPERLINK("https://www.google.com/maps/search/?api=1&amp;query=24.56182285,44.45489738", "View Map")</f>
        <v>View Map</v>
      </c>
    </row>
    <row r="3551" spans="1:7" x14ac:dyDescent="0.3">
      <c r="A3551" t="s">
        <v>8723</v>
      </c>
      <c r="B3551" t="s">
        <v>8724</v>
      </c>
      <c r="C3551" t="s">
        <v>8</v>
      </c>
      <c r="D3551">
        <v>2.867</v>
      </c>
      <c r="E3551">
        <v>918</v>
      </c>
      <c r="F3551" t="str">
        <f>HYPERLINK("https://www.google.com/maps/search/?api=1&amp;query=24.7587323,46.65901776", "View Map")</f>
        <v>View Map</v>
      </c>
    </row>
    <row r="3552" spans="1:7" x14ac:dyDescent="0.3">
      <c r="A3552" t="s">
        <v>6174</v>
      </c>
      <c r="B3552" t="s">
        <v>6175</v>
      </c>
      <c r="C3552" t="s">
        <v>21</v>
      </c>
      <c r="D3552">
        <v>2.867</v>
      </c>
      <c r="E3552">
        <v>918</v>
      </c>
      <c r="F3552" t="str">
        <f>HYPERLINK("https://www.google.com/maps/search/?api=1&amp;query=26.34209956,44.78884904", "View Map")</f>
        <v>View Map</v>
      </c>
      <c r="G3552" s="2">
        <v>0.40503086000436761</v>
      </c>
    </row>
    <row r="3553" spans="1:7" x14ac:dyDescent="0.3">
      <c r="A3553" t="s">
        <v>8142</v>
      </c>
      <c r="B3553" t="s">
        <v>8143</v>
      </c>
      <c r="C3553" t="s">
        <v>8</v>
      </c>
      <c r="D3553">
        <v>2.8660000000000001</v>
      </c>
      <c r="E3553">
        <v>917</v>
      </c>
      <c r="F3553" t="str">
        <f>HYPERLINK("https://www.google.com/maps/search/?api=1&amp;query=24.78995232,46.66200466", "View Map")</f>
        <v>View Map</v>
      </c>
    </row>
    <row r="3554" spans="1:7" x14ac:dyDescent="0.3">
      <c r="A3554" t="s">
        <v>8978</v>
      </c>
      <c r="B3554" t="s">
        <v>8979</v>
      </c>
      <c r="C3554" t="s">
        <v>8</v>
      </c>
      <c r="D3554">
        <v>2.8660000000000001</v>
      </c>
      <c r="E3554">
        <v>917</v>
      </c>
      <c r="F3554" t="str">
        <f>HYPERLINK("https://www.google.com/maps/search/?api=1&amp;query=24.60379489,46.59818476", "View Map")</f>
        <v>View Map</v>
      </c>
    </row>
    <row r="3555" spans="1:7" x14ac:dyDescent="0.3">
      <c r="A3555" t="s">
        <v>2715</v>
      </c>
      <c r="B3555" t="s">
        <v>2716</v>
      </c>
      <c r="C3555" t="s">
        <v>8</v>
      </c>
      <c r="D3555">
        <v>2.8660000000000001</v>
      </c>
      <c r="E3555">
        <v>917</v>
      </c>
      <c r="F3555" t="str">
        <f>HYPERLINK("https://www.google.com/maps/search/?api=1&amp;query=24.56536863,46.7736222", "View Map")</f>
        <v>View Map</v>
      </c>
    </row>
    <row r="3556" spans="1:7" x14ac:dyDescent="0.3">
      <c r="A3556" t="s">
        <v>4595</v>
      </c>
      <c r="B3556" t="s">
        <v>6729</v>
      </c>
      <c r="C3556" t="s">
        <v>8</v>
      </c>
      <c r="D3556">
        <v>2.8650000000000002</v>
      </c>
      <c r="E3556">
        <v>917</v>
      </c>
      <c r="F3556" t="str">
        <f>HYPERLINK("https://www.google.com/maps/search/?api=1&amp;query=24.7093965,46.83008694", "View Map")</f>
        <v>View Map</v>
      </c>
    </row>
    <row r="3557" spans="1:7" x14ac:dyDescent="0.3">
      <c r="A3557" t="s">
        <v>46</v>
      </c>
      <c r="B3557" t="s">
        <v>6040</v>
      </c>
      <c r="C3557" t="s">
        <v>55</v>
      </c>
      <c r="D3557">
        <v>2.8650000000000002</v>
      </c>
      <c r="E3557">
        <v>917</v>
      </c>
      <c r="F3557" t="str">
        <f>HYPERLINK("https://www.google.com/maps/search/?api=1&amp;query=24.73665,46.5098", "View Map")</f>
        <v>View Map</v>
      </c>
      <c r="G3557" s="2">
        <v>0.53907997040429545</v>
      </c>
    </row>
    <row r="3558" spans="1:7" x14ac:dyDescent="0.3">
      <c r="A3558" t="s">
        <v>294</v>
      </c>
      <c r="B3558" t="s">
        <v>295</v>
      </c>
      <c r="C3558" t="s">
        <v>296</v>
      </c>
      <c r="D3558">
        <v>2.8639999999999999</v>
      </c>
      <c r="E3558">
        <v>916</v>
      </c>
      <c r="F3558" t="str">
        <f>HYPERLINK("https://www.google.com/maps/search/?api=1&amp;query=24.45073409,46.30022976", "View Map")</f>
        <v>View Map</v>
      </c>
      <c r="G3558" s="2">
        <v>7.4933757616491167E-2</v>
      </c>
    </row>
    <row r="3559" spans="1:7" x14ac:dyDescent="0.3">
      <c r="A3559" t="s">
        <v>5530</v>
      </c>
      <c r="B3559" t="s">
        <v>5531</v>
      </c>
      <c r="C3559" t="s">
        <v>8</v>
      </c>
      <c r="D3559">
        <v>2.863</v>
      </c>
      <c r="E3559">
        <v>916</v>
      </c>
      <c r="F3559" t="str">
        <f>HYPERLINK("https://www.google.com/maps/search/?api=1&amp;query=24.6818563,46.76009502", "View Map")</f>
        <v>View Map</v>
      </c>
    </row>
    <row r="3560" spans="1:7" x14ac:dyDescent="0.3">
      <c r="A3560" t="s">
        <v>6238</v>
      </c>
      <c r="B3560" t="s">
        <v>6239</v>
      </c>
      <c r="C3560" t="s">
        <v>8</v>
      </c>
      <c r="D3560">
        <v>2.8620000000000001</v>
      </c>
      <c r="E3560">
        <v>916</v>
      </c>
      <c r="F3560" t="str">
        <f>HYPERLINK("https://www.google.com/maps/search/?api=1&amp;query=24.63163884,46.68222544", "View Map")</f>
        <v>View Map</v>
      </c>
    </row>
    <row r="3561" spans="1:7" x14ac:dyDescent="0.3">
      <c r="A3561" t="s">
        <v>380</v>
      </c>
      <c r="B3561" t="s">
        <v>6932</v>
      </c>
      <c r="C3561" t="s">
        <v>214</v>
      </c>
      <c r="D3561">
        <v>2.8620000000000001</v>
      </c>
      <c r="E3561">
        <v>916</v>
      </c>
      <c r="F3561" t="str">
        <f>HYPERLINK("https://www.google.com/maps/search/?api=1&amp;query=25.69715998,45.89624839", "View Map")</f>
        <v>View Map</v>
      </c>
      <c r="G3561" s="2">
        <v>0.76399359065774097</v>
      </c>
    </row>
    <row r="3562" spans="1:7" x14ac:dyDescent="0.3">
      <c r="A3562" t="s">
        <v>46</v>
      </c>
      <c r="B3562" t="s">
        <v>8484</v>
      </c>
      <c r="C3562" t="s">
        <v>8</v>
      </c>
      <c r="D3562">
        <v>2.8610000000000002</v>
      </c>
      <c r="E3562">
        <v>915</v>
      </c>
      <c r="F3562" t="str">
        <f>HYPERLINK("https://www.google.com/maps/search/?api=1&amp;query=24.84240754,46.79025005", "View Map")</f>
        <v>View Map</v>
      </c>
    </row>
    <row r="3563" spans="1:7" x14ac:dyDescent="0.3">
      <c r="A3563" t="s">
        <v>11464</v>
      </c>
      <c r="B3563" t="s">
        <v>11465</v>
      </c>
      <c r="C3563" t="s">
        <v>137</v>
      </c>
      <c r="D3563">
        <v>2.8610000000000002</v>
      </c>
      <c r="E3563">
        <v>915</v>
      </c>
      <c r="F3563" t="str">
        <f>HYPERLINK("https://www.google.com/maps/search/?api=1&amp;query=23.49597424,46.8650224", "View Map")</f>
        <v>View Map</v>
      </c>
    </row>
    <row r="3564" spans="1:7" x14ac:dyDescent="0.3">
      <c r="A3564" t="s">
        <v>146</v>
      </c>
      <c r="B3564" t="s">
        <v>5929</v>
      </c>
      <c r="C3564" t="s">
        <v>8</v>
      </c>
      <c r="D3564">
        <v>2.86</v>
      </c>
      <c r="E3564">
        <v>915</v>
      </c>
      <c r="F3564" t="str">
        <f>HYPERLINK("https://www.google.com/maps/search/?api=1&amp;query=24.55509541,46.50754359", "View Map")</f>
        <v>View Map</v>
      </c>
      <c r="G3564" s="2">
        <v>0.35259375204341858</v>
      </c>
    </row>
    <row r="3565" spans="1:7" x14ac:dyDescent="0.3">
      <c r="A3565" t="s">
        <v>146</v>
      </c>
      <c r="B3565" t="s">
        <v>8620</v>
      </c>
      <c r="C3565" t="s">
        <v>8</v>
      </c>
      <c r="D3565">
        <v>2.86</v>
      </c>
      <c r="E3565">
        <v>915</v>
      </c>
      <c r="F3565" t="str">
        <f>HYPERLINK("https://www.google.com/maps/search/?api=1&amp;query=24.71878225,46.7552068", "View Map")</f>
        <v>View Map</v>
      </c>
      <c r="G3565" s="2">
        <v>1.090656600303326</v>
      </c>
    </row>
    <row r="3566" spans="1:7" x14ac:dyDescent="0.3">
      <c r="A3566" t="s">
        <v>7335</v>
      </c>
      <c r="B3566" t="s">
        <v>7336</v>
      </c>
      <c r="C3566" t="s">
        <v>77</v>
      </c>
      <c r="D3566">
        <v>2.86</v>
      </c>
      <c r="E3566">
        <v>915</v>
      </c>
      <c r="F3566" t="str">
        <f>HYPERLINK("https://www.google.com/maps/search/?api=1&amp;query=21.98898155,45.9684757", "View Map")</f>
        <v>View Map</v>
      </c>
      <c r="G3566" s="2">
        <v>0.8720624742753742</v>
      </c>
    </row>
    <row r="3567" spans="1:7" x14ac:dyDescent="0.3">
      <c r="A3567" t="s">
        <v>5864</v>
      </c>
      <c r="B3567" t="s">
        <v>5865</v>
      </c>
      <c r="C3567" t="s">
        <v>8</v>
      </c>
      <c r="D3567">
        <v>2.8580000000000001</v>
      </c>
      <c r="E3567">
        <v>915</v>
      </c>
      <c r="F3567" t="str">
        <f>HYPERLINK("https://www.google.com/maps/search/?api=1&amp;query=24.68548369,46.79857043", "View Map")</f>
        <v>View Map</v>
      </c>
    </row>
    <row r="3568" spans="1:7" x14ac:dyDescent="0.3">
      <c r="A3568" t="s">
        <v>7983</v>
      </c>
      <c r="B3568" t="s">
        <v>7984</v>
      </c>
      <c r="C3568" t="s">
        <v>21</v>
      </c>
      <c r="D3568">
        <v>2.8570000000000002</v>
      </c>
      <c r="E3568">
        <v>914</v>
      </c>
      <c r="F3568" t="str">
        <f>HYPERLINK("https://www.google.com/maps/search/?api=1&amp;query=26.31754738,44.79509351", "View Map")</f>
        <v>View Map</v>
      </c>
      <c r="G3568" s="2">
        <v>0.64571226899313183</v>
      </c>
    </row>
    <row r="3569" spans="1:7" x14ac:dyDescent="0.3">
      <c r="A3569" t="s">
        <v>8144</v>
      </c>
      <c r="B3569" t="s">
        <v>8145</v>
      </c>
      <c r="C3569" t="s">
        <v>8</v>
      </c>
      <c r="D3569">
        <v>2.8559999999999999</v>
      </c>
      <c r="E3569">
        <v>914</v>
      </c>
      <c r="F3569" t="str">
        <f>HYPERLINK("https://www.google.com/maps/search/?api=1&amp;query=24.75182989,46.70293572", "View Map")</f>
        <v>View Map</v>
      </c>
    </row>
    <row r="3570" spans="1:7" x14ac:dyDescent="0.3">
      <c r="A3570" t="s">
        <v>6562</v>
      </c>
      <c r="B3570" t="s">
        <v>6563</v>
      </c>
      <c r="C3570" t="s">
        <v>8</v>
      </c>
      <c r="D3570">
        <v>2.8559999999999999</v>
      </c>
      <c r="E3570">
        <v>914</v>
      </c>
      <c r="F3570" t="str">
        <f>HYPERLINK("https://www.google.com/maps/search/?api=1&amp;query=24.6169311,46.67291103", "View Map")</f>
        <v>View Map</v>
      </c>
      <c r="G3570" s="2">
        <v>0.45477349300044451</v>
      </c>
    </row>
    <row r="3571" spans="1:7" x14ac:dyDescent="0.3">
      <c r="A3571" t="s">
        <v>289</v>
      </c>
      <c r="B3571" t="s">
        <v>11466</v>
      </c>
      <c r="C3571" t="s">
        <v>393</v>
      </c>
      <c r="D3571">
        <v>2.8559999999999999</v>
      </c>
      <c r="E3571">
        <v>914</v>
      </c>
      <c r="F3571" t="str">
        <f>HYPERLINK("https://www.google.com/maps/search/?api=1&amp;query=22.83947199,44.95270293", "View Map")</f>
        <v>View Map</v>
      </c>
      <c r="G3571" s="2">
        <v>0.91622496282278565</v>
      </c>
    </row>
    <row r="3572" spans="1:7" x14ac:dyDescent="0.3">
      <c r="A3572" t="s">
        <v>46</v>
      </c>
      <c r="B3572" t="s">
        <v>9202</v>
      </c>
      <c r="C3572" t="s">
        <v>8</v>
      </c>
      <c r="D3572">
        <v>2.8559999999999999</v>
      </c>
      <c r="E3572">
        <v>914</v>
      </c>
      <c r="F3572" t="str">
        <f>HYPERLINK("https://www.google.com/maps/search/?api=1&amp;query=24.85202816,46.831367", "View Map")</f>
        <v>View Map</v>
      </c>
    </row>
    <row r="3573" spans="1:7" x14ac:dyDescent="0.3">
      <c r="A3573" t="s">
        <v>46</v>
      </c>
      <c r="B3573" t="s">
        <v>6085</v>
      </c>
      <c r="C3573" t="s">
        <v>8</v>
      </c>
      <c r="D3573">
        <v>2.8559999999999999</v>
      </c>
      <c r="E3573">
        <v>914</v>
      </c>
      <c r="F3573" t="str">
        <f>HYPERLINK("https://www.google.com/maps/search/?api=1&amp;query=24.83501,46.59884", "View Map")</f>
        <v>View Map</v>
      </c>
    </row>
    <row r="3574" spans="1:7" x14ac:dyDescent="0.3">
      <c r="A3574" t="s">
        <v>11467</v>
      </c>
      <c r="B3574" t="s">
        <v>11468</v>
      </c>
      <c r="C3574" t="s">
        <v>286</v>
      </c>
      <c r="D3574">
        <v>2.855</v>
      </c>
      <c r="E3574">
        <v>913</v>
      </c>
      <c r="F3574" t="str">
        <f>HYPERLINK("https://www.google.com/maps/search/?api=1&amp;query=25.2986592,45.52317805", "View Map")</f>
        <v>View Map</v>
      </c>
      <c r="G3574" s="2">
        <v>0.44391624338012192</v>
      </c>
    </row>
    <row r="3575" spans="1:7" x14ac:dyDescent="0.3">
      <c r="A3575" t="s">
        <v>2487</v>
      </c>
      <c r="B3575" t="s">
        <v>2488</v>
      </c>
      <c r="C3575" t="s">
        <v>8</v>
      </c>
      <c r="D3575">
        <v>2.8540000000000001</v>
      </c>
      <c r="E3575">
        <v>913</v>
      </c>
      <c r="F3575" t="str">
        <f>HYPERLINK("https://www.google.com/maps/search/?api=1&amp;query=24.61495971,46.69850173", "View Map")</f>
        <v>View Map</v>
      </c>
    </row>
    <row r="3576" spans="1:7" x14ac:dyDescent="0.3">
      <c r="A3576" t="s">
        <v>46</v>
      </c>
      <c r="B3576" t="s">
        <v>5369</v>
      </c>
      <c r="C3576" t="s">
        <v>55</v>
      </c>
      <c r="D3576">
        <v>2.8540000000000001</v>
      </c>
      <c r="E3576">
        <v>913</v>
      </c>
      <c r="F3576" t="str">
        <f>HYPERLINK("https://www.google.com/maps/search/?api=1&amp;query=24.77776089,46.56402386", "View Map")</f>
        <v>View Map</v>
      </c>
      <c r="G3576" s="2">
        <v>0.62416673894500252</v>
      </c>
    </row>
    <row r="3577" spans="1:7" x14ac:dyDescent="0.3">
      <c r="A3577" t="s">
        <v>362</v>
      </c>
      <c r="B3577" t="s">
        <v>9615</v>
      </c>
      <c r="C3577" t="s">
        <v>364</v>
      </c>
      <c r="D3577">
        <v>2.8530000000000002</v>
      </c>
      <c r="E3577">
        <v>913</v>
      </c>
      <c r="F3577" t="str">
        <f>HYPERLINK("https://www.google.com/maps/search/?api=1&amp;query=25.25918495,45.87082906", "View Map")</f>
        <v>View Map</v>
      </c>
      <c r="G3577" s="2">
        <v>0.51676154306406574</v>
      </c>
    </row>
    <row r="3578" spans="1:7" x14ac:dyDescent="0.3">
      <c r="A3578" t="s">
        <v>3447</v>
      </c>
      <c r="B3578" t="s">
        <v>6311</v>
      </c>
      <c r="C3578" t="s">
        <v>8</v>
      </c>
      <c r="D3578">
        <v>2.8530000000000002</v>
      </c>
      <c r="E3578">
        <v>913</v>
      </c>
      <c r="F3578" t="str">
        <f>HYPERLINK("https://www.google.com/maps/search/?api=1&amp;query=24.70482385,46.74874615", "View Map")</f>
        <v>View Map</v>
      </c>
    </row>
    <row r="3579" spans="1:7" x14ac:dyDescent="0.3">
      <c r="A3579" t="s">
        <v>46</v>
      </c>
      <c r="B3579" t="s">
        <v>7724</v>
      </c>
      <c r="C3579" t="s">
        <v>8</v>
      </c>
      <c r="D3579">
        <v>2.8519999999999999</v>
      </c>
      <c r="E3579">
        <v>913</v>
      </c>
      <c r="F3579" t="str">
        <f>HYPERLINK("https://www.google.com/maps/search/?api=1&amp;query=24.80385421,46.68183238", "View Map")</f>
        <v>View Map</v>
      </c>
    </row>
    <row r="3580" spans="1:7" x14ac:dyDescent="0.3">
      <c r="A3580" t="s">
        <v>46</v>
      </c>
      <c r="B3580" t="s">
        <v>11469</v>
      </c>
      <c r="C3580" t="s">
        <v>8</v>
      </c>
      <c r="D3580">
        <v>2.8519999999999999</v>
      </c>
      <c r="E3580">
        <v>913</v>
      </c>
      <c r="F3580" t="str">
        <f>HYPERLINK("https://www.google.com/maps/search/?api=1&amp;query=24.806819,46.82055937", "View Map")</f>
        <v>View Map</v>
      </c>
    </row>
    <row r="3581" spans="1:7" x14ac:dyDescent="0.3">
      <c r="A3581" t="s">
        <v>7695</v>
      </c>
      <c r="B3581" t="s">
        <v>7696</v>
      </c>
      <c r="C3581" t="s">
        <v>214</v>
      </c>
      <c r="D3581">
        <v>2.8519999999999999</v>
      </c>
      <c r="E3581">
        <v>913</v>
      </c>
      <c r="F3581" t="str">
        <f>HYPERLINK("https://www.google.com/maps/search/?api=1&amp;query=25.90814858,45.40198878", "View Map")</f>
        <v>View Map</v>
      </c>
      <c r="G3581" s="2">
        <v>0.49984429109046258</v>
      </c>
    </row>
    <row r="3582" spans="1:7" x14ac:dyDescent="0.3">
      <c r="A3582" t="s">
        <v>576</v>
      </c>
      <c r="B3582" t="s">
        <v>5374</v>
      </c>
      <c r="C3582" t="s">
        <v>8</v>
      </c>
      <c r="D3582">
        <v>2.851</v>
      </c>
      <c r="E3582">
        <v>912</v>
      </c>
      <c r="F3582" t="str">
        <f>HYPERLINK("https://www.google.com/maps/search/?api=1&amp;query=24.57384886,46.71337917", "View Map")</f>
        <v>View Map</v>
      </c>
    </row>
    <row r="3583" spans="1:7" x14ac:dyDescent="0.3">
      <c r="A3583" t="s">
        <v>9025</v>
      </c>
      <c r="B3583" t="s">
        <v>9026</v>
      </c>
      <c r="C3583" t="s">
        <v>55</v>
      </c>
      <c r="D3583">
        <v>2.851</v>
      </c>
      <c r="E3583">
        <v>912</v>
      </c>
      <c r="F3583" t="str">
        <f>HYPERLINK("https://www.google.com/maps/search/?api=1&amp;query=24.7698187,46.57941972", "View Map")</f>
        <v>View Map</v>
      </c>
    </row>
    <row r="3584" spans="1:7" x14ac:dyDescent="0.3">
      <c r="A3584" t="s">
        <v>6229</v>
      </c>
      <c r="B3584" t="s">
        <v>6230</v>
      </c>
      <c r="C3584" t="s">
        <v>214</v>
      </c>
      <c r="D3584">
        <v>2.85</v>
      </c>
      <c r="E3584">
        <v>912</v>
      </c>
      <c r="F3584" t="str">
        <f>HYPERLINK("https://www.google.com/maps/search/?api=1&amp;query=25.60300567,45.60829343", "View Map")</f>
        <v>View Map</v>
      </c>
      <c r="G3584" s="2">
        <v>0.73238133792011861</v>
      </c>
    </row>
    <row r="3585" spans="1:7" x14ac:dyDescent="0.3">
      <c r="A3585" t="s">
        <v>881</v>
      </c>
      <c r="B3585" t="s">
        <v>11470</v>
      </c>
      <c r="C3585" t="s">
        <v>883</v>
      </c>
      <c r="D3585">
        <v>2.85</v>
      </c>
      <c r="E3585">
        <v>912</v>
      </c>
      <c r="F3585" t="str">
        <f>HYPERLINK("https://www.google.com/maps/search/?api=1&amp;query=25.54570286,47.18226972", "View Map")</f>
        <v>View Map</v>
      </c>
    </row>
    <row r="3586" spans="1:7" x14ac:dyDescent="0.3">
      <c r="A3586" t="s">
        <v>2281</v>
      </c>
      <c r="B3586" t="s">
        <v>4699</v>
      </c>
      <c r="C3586" t="s">
        <v>8</v>
      </c>
      <c r="D3586">
        <v>2.85</v>
      </c>
      <c r="E3586">
        <v>912</v>
      </c>
      <c r="F3586" t="str">
        <f>HYPERLINK("https://www.google.com/maps/search/?api=1&amp;query=24.70473601,46.81267078", "View Map")</f>
        <v>View Map</v>
      </c>
    </row>
    <row r="3587" spans="1:7" x14ac:dyDescent="0.3">
      <c r="A3587" t="s">
        <v>10469</v>
      </c>
      <c r="B3587" t="s">
        <v>10470</v>
      </c>
      <c r="C3587" t="s">
        <v>8</v>
      </c>
      <c r="D3587">
        <v>2.85</v>
      </c>
      <c r="E3587">
        <v>912</v>
      </c>
      <c r="F3587" t="str">
        <f>HYPERLINK("https://www.google.com/maps/search/?api=1&amp;query=24.52555067,46.68268864", "View Map")</f>
        <v>View Map</v>
      </c>
    </row>
    <row r="3588" spans="1:7" x14ac:dyDescent="0.3">
      <c r="A3588" t="s">
        <v>11053</v>
      </c>
      <c r="B3588" t="s">
        <v>11054</v>
      </c>
      <c r="C3588" t="s">
        <v>255</v>
      </c>
      <c r="D3588">
        <v>2.8490000000000002</v>
      </c>
      <c r="E3588">
        <v>912</v>
      </c>
      <c r="F3588" t="str">
        <f>HYPERLINK("https://www.google.com/maps/search/?api=1&amp;query=25.22479899,44.27508962", "View Map")</f>
        <v>View Map</v>
      </c>
      <c r="G3588" s="2">
        <v>0.70535275224918392</v>
      </c>
    </row>
    <row r="3589" spans="1:7" x14ac:dyDescent="0.3">
      <c r="A3589" t="s">
        <v>2713</v>
      </c>
      <c r="B3589" t="s">
        <v>3926</v>
      </c>
      <c r="C3589" t="s">
        <v>8</v>
      </c>
      <c r="D3589">
        <v>2.8490000000000002</v>
      </c>
      <c r="E3589">
        <v>912</v>
      </c>
      <c r="F3589" t="str">
        <f>HYPERLINK("https://www.google.com/maps/search/?api=1&amp;query=24.614585,46.74055496", "View Map")</f>
        <v>View Map</v>
      </c>
    </row>
    <row r="3590" spans="1:7" x14ac:dyDescent="0.3">
      <c r="A3590" t="s">
        <v>8394</v>
      </c>
      <c r="B3590" t="s">
        <v>8395</v>
      </c>
      <c r="C3590" t="s">
        <v>8</v>
      </c>
      <c r="D3590">
        <v>2.8490000000000002</v>
      </c>
      <c r="E3590">
        <v>912</v>
      </c>
      <c r="F3590" t="str">
        <f>HYPERLINK("https://www.google.com/maps/search/?api=1&amp;query=24.65770817,46.67264942", "View Map")</f>
        <v>View Map</v>
      </c>
    </row>
    <row r="3591" spans="1:7" x14ac:dyDescent="0.3">
      <c r="A3591" t="s">
        <v>10630</v>
      </c>
      <c r="B3591" t="s">
        <v>10631</v>
      </c>
      <c r="C3591" t="s">
        <v>77</v>
      </c>
      <c r="D3591">
        <v>2.8479999999999999</v>
      </c>
      <c r="E3591">
        <v>911</v>
      </c>
      <c r="F3591" t="str">
        <f>HYPERLINK("https://www.google.com/maps/search/?api=1&amp;query=22.26030828,46.78470532", "View Map")</f>
        <v>View Map</v>
      </c>
      <c r="G3591" s="2">
        <v>0.77112858755231417</v>
      </c>
    </row>
    <row r="3592" spans="1:7" x14ac:dyDescent="0.3">
      <c r="A3592" t="s">
        <v>339</v>
      </c>
      <c r="B3592" t="s">
        <v>3126</v>
      </c>
      <c r="C3592" t="s">
        <v>8</v>
      </c>
      <c r="D3592">
        <v>2.847</v>
      </c>
      <c r="E3592">
        <v>911</v>
      </c>
      <c r="F3592" t="str">
        <f>HYPERLINK("https://www.google.com/maps/search/?api=1&amp;query=24.78094902,46.74120913", "View Map")</f>
        <v>View Map</v>
      </c>
      <c r="G3592" s="2">
        <v>0.22888222371153541</v>
      </c>
    </row>
    <row r="3593" spans="1:7" x14ac:dyDescent="0.3">
      <c r="A3593" t="s">
        <v>6629</v>
      </c>
      <c r="B3593" t="s">
        <v>6630</v>
      </c>
      <c r="C3593" t="s">
        <v>255</v>
      </c>
      <c r="D3593">
        <v>2.847</v>
      </c>
      <c r="E3593">
        <v>911</v>
      </c>
      <c r="F3593" t="str">
        <f>HYPERLINK("https://www.google.com/maps/search/?api=1&amp;query=24.70100767,44.2950344", "View Map")</f>
        <v>View Map</v>
      </c>
      <c r="G3593" s="2">
        <v>0.52166897470264695</v>
      </c>
    </row>
    <row r="3594" spans="1:7" x14ac:dyDescent="0.3">
      <c r="A3594" t="s">
        <v>11471</v>
      </c>
      <c r="B3594" t="s">
        <v>11472</v>
      </c>
      <c r="C3594" t="s">
        <v>8</v>
      </c>
      <c r="D3594">
        <v>2.847</v>
      </c>
      <c r="E3594">
        <v>911</v>
      </c>
      <c r="F3594" t="str">
        <f>HYPERLINK("https://www.google.com/maps/search/?api=1&amp;query=24.74049902,46.68972122", "View Map")</f>
        <v>View Map</v>
      </c>
    </row>
    <row r="3595" spans="1:7" x14ac:dyDescent="0.3">
      <c r="A3595" t="s">
        <v>73</v>
      </c>
      <c r="B3595" t="s">
        <v>10968</v>
      </c>
      <c r="C3595" t="s">
        <v>8</v>
      </c>
      <c r="D3595">
        <v>2.8450000000000002</v>
      </c>
      <c r="E3595">
        <v>910</v>
      </c>
      <c r="F3595" t="str">
        <f>HYPERLINK("https://www.google.com/maps/search/?api=1&amp;query=24.76508484,46.6821018", "View Map")</f>
        <v>View Map</v>
      </c>
    </row>
    <row r="3596" spans="1:7" x14ac:dyDescent="0.3">
      <c r="A3596" t="s">
        <v>8759</v>
      </c>
      <c r="B3596" t="s">
        <v>8760</v>
      </c>
      <c r="C3596" t="s">
        <v>8</v>
      </c>
      <c r="D3596">
        <v>2.8439999999999999</v>
      </c>
      <c r="E3596">
        <v>910</v>
      </c>
      <c r="F3596" t="str">
        <f>HYPERLINK("https://www.google.com/maps/search/?api=1&amp;query=24.81214275,46.60843152", "View Map")</f>
        <v>View Map</v>
      </c>
    </row>
    <row r="3597" spans="1:7" x14ac:dyDescent="0.3">
      <c r="A3597" t="s">
        <v>11473</v>
      </c>
      <c r="B3597" t="s">
        <v>11474</v>
      </c>
      <c r="C3597" t="s">
        <v>8</v>
      </c>
      <c r="D3597">
        <v>2.8439999999999999</v>
      </c>
      <c r="E3597">
        <v>910</v>
      </c>
      <c r="F3597" t="str">
        <f>HYPERLINK("https://www.google.com/maps/search/?api=1&amp;query=24.81082131,46.75341627", "View Map")</f>
        <v>View Map</v>
      </c>
    </row>
    <row r="3598" spans="1:7" x14ac:dyDescent="0.3">
      <c r="A3598" t="s">
        <v>4560</v>
      </c>
      <c r="B3598" t="s">
        <v>4561</v>
      </c>
      <c r="C3598" t="s">
        <v>214</v>
      </c>
      <c r="D3598">
        <v>2.8439999999999999</v>
      </c>
      <c r="E3598">
        <v>910</v>
      </c>
      <c r="F3598" t="str">
        <f>HYPERLINK("https://www.google.com/maps/search/?api=1&amp;query=26.49421926,45.34198786", "View Map")</f>
        <v>View Map</v>
      </c>
      <c r="G3598" s="2">
        <v>0.54998279223449031</v>
      </c>
    </row>
    <row r="3599" spans="1:7" x14ac:dyDescent="0.3">
      <c r="A3599" t="s">
        <v>1788</v>
      </c>
      <c r="B3599" t="s">
        <v>3274</v>
      </c>
      <c r="C3599" t="s">
        <v>393</v>
      </c>
      <c r="D3599">
        <v>2.843</v>
      </c>
      <c r="E3599">
        <v>910</v>
      </c>
      <c r="F3599" t="str">
        <f>HYPERLINK("https://www.google.com/maps/search/?api=1&amp;query=23.55932563,45.45249919", "View Map")</f>
        <v>View Map</v>
      </c>
      <c r="G3599" s="2">
        <v>0.38513889082427188</v>
      </c>
    </row>
    <row r="3600" spans="1:7" x14ac:dyDescent="0.3">
      <c r="A3600" t="s">
        <v>2437</v>
      </c>
      <c r="B3600" t="s">
        <v>2438</v>
      </c>
      <c r="C3600" t="s">
        <v>8</v>
      </c>
      <c r="D3600">
        <v>2.843</v>
      </c>
      <c r="E3600">
        <v>910</v>
      </c>
      <c r="F3600" t="str">
        <f>HYPERLINK("https://www.google.com/maps/search/?api=1&amp;query=24.80475812,46.86250165", "View Map")</f>
        <v>View Map</v>
      </c>
      <c r="G3600" s="2">
        <v>0.20294859451692129</v>
      </c>
    </row>
    <row r="3601" spans="1:7" x14ac:dyDescent="0.3">
      <c r="A3601" t="s">
        <v>5993</v>
      </c>
      <c r="B3601" t="s">
        <v>5994</v>
      </c>
      <c r="C3601" t="s">
        <v>291</v>
      </c>
      <c r="D3601">
        <v>2.8420000000000001</v>
      </c>
      <c r="E3601">
        <v>909</v>
      </c>
      <c r="F3601" t="str">
        <f>HYPERLINK("https://www.google.com/maps/search/?api=1&amp;query=24.05429017,44.94011753", "View Map")</f>
        <v>View Map</v>
      </c>
      <c r="G3601" s="2">
        <v>0.76270200898241569</v>
      </c>
    </row>
    <row r="3602" spans="1:7" x14ac:dyDescent="0.3">
      <c r="A3602" t="s">
        <v>46</v>
      </c>
      <c r="B3602" t="s">
        <v>5557</v>
      </c>
      <c r="C3602" t="s">
        <v>8</v>
      </c>
      <c r="D3602">
        <v>2.8420000000000001</v>
      </c>
      <c r="E3602">
        <v>909</v>
      </c>
      <c r="F3602" t="str">
        <f>HYPERLINK("https://www.google.com/maps/search/?api=1&amp;query=24.85394456,46.83470267", "View Map")</f>
        <v>View Map</v>
      </c>
    </row>
    <row r="3603" spans="1:7" x14ac:dyDescent="0.3">
      <c r="A3603" t="s">
        <v>46</v>
      </c>
      <c r="B3603" t="s">
        <v>5538</v>
      </c>
      <c r="C3603" t="s">
        <v>8</v>
      </c>
      <c r="D3603">
        <v>2.8420000000000001</v>
      </c>
      <c r="E3603">
        <v>910</v>
      </c>
      <c r="F3603" t="str">
        <f>HYPERLINK("https://www.google.com/maps/search/?api=1&amp;query=24.60732311,46.50291254", "View Map")</f>
        <v>View Map</v>
      </c>
    </row>
    <row r="3604" spans="1:7" x14ac:dyDescent="0.3">
      <c r="A3604" t="s">
        <v>678</v>
      </c>
      <c r="B3604" t="s">
        <v>11475</v>
      </c>
      <c r="C3604" t="s">
        <v>21</v>
      </c>
      <c r="D3604">
        <v>2.8420000000000001</v>
      </c>
      <c r="E3604">
        <v>910</v>
      </c>
      <c r="F3604" t="str">
        <f>HYPERLINK("https://www.google.com/maps/search/?api=1&amp;query=26.32194371,44.83821265", "View Map")</f>
        <v>View Map</v>
      </c>
      <c r="G3604" s="2">
        <v>0.57543207594940327</v>
      </c>
    </row>
    <row r="3605" spans="1:7" x14ac:dyDescent="0.3">
      <c r="A3605" t="s">
        <v>8075</v>
      </c>
      <c r="B3605" t="s">
        <v>8076</v>
      </c>
      <c r="C3605" t="s">
        <v>214</v>
      </c>
      <c r="D3605">
        <v>2.8410000000000002</v>
      </c>
      <c r="E3605">
        <v>909</v>
      </c>
      <c r="F3605" t="str">
        <f>HYPERLINK("https://www.google.com/maps/search/?api=1&amp;query=25.91291686,45.35083554", "View Map")</f>
        <v>View Map</v>
      </c>
      <c r="G3605" s="2">
        <v>0.50676537799232779</v>
      </c>
    </row>
    <row r="3606" spans="1:7" x14ac:dyDescent="0.3">
      <c r="A3606" t="s">
        <v>46</v>
      </c>
      <c r="B3606" t="s">
        <v>8672</v>
      </c>
      <c r="C3606" t="s">
        <v>8</v>
      </c>
      <c r="D3606">
        <v>2.8410000000000002</v>
      </c>
      <c r="E3606">
        <v>909</v>
      </c>
      <c r="F3606" t="str">
        <f>HYPERLINK("https://www.google.com/maps/search/?api=1&amp;query=24.7919,46.6094", "View Map")</f>
        <v>View Map</v>
      </c>
    </row>
    <row r="3607" spans="1:7" x14ac:dyDescent="0.3">
      <c r="A3607" t="s">
        <v>6798</v>
      </c>
      <c r="B3607" t="s">
        <v>6799</v>
      </c>
      <c r="C3607" t="s">
        <v>77</v>
      </c>
      <c r="D3607">
        <v>2.84</v>
      </c>
      <c r="E3607">
        <v>909</v>
      </c>
      <c r="F3607" t="str">
        <f>HYPERLINK("https://www.google.com/maps/search/?api=1&amp;query=22.09006456,46.69985429", "View Map")</f>
        <v>View Map</v>
      </c>
      <c r="G3607" s="2">
        <v>0.71259747483441938</v>
      </c>
    </row>
    <row r="3608" spans="1:7" x14ac:dyDescent="0.3">
      <c r="A3608" t="s">
        <v>5926</v>
      </c>
      <c r="B3608" t="s">
        <v>5927</v>
      </c>
      <c r="C3608" t="s">
        <v>8</v>
      </c>
      <c r="D3608">
        <v>2.84</v>
      </c>
      <c r="E3608">
        <v>909</v>
      </c>
      <c r="F3608" t="str">
        <f>HYPERLINK("https://www.google.com/maps/search/?api=1&amp;query=24.72924778,46.74156178", "View Map")</f>
        <v>View Map</v>
      </c>
    </row>
    <row r="3609" spans="1:7" x14ac:dyDescent="0.3">
      <c r="A3609" t="s">
        <v>5217</v>
      </c>
      <c r="B3609" t="s">
        <v>5218</v>
      </c>
      <c r="C3609" t="s">
        <v>8</v>
      </c>
      <c r="D3609">
        <v>2.839</v>
      </c>
      <c r="E3609">
        <v>908</v>
      </c>
      <c r="F3609" t="str">
        <f>HYPERLINK("https://www.google.com/maps/search/?api=1&amp;query=24.61851502,46.72959314", "View Map")</f>
        <v>View Map</v>
      </c>
    </row>
    <row r="3610" spans="1:7" x14ac:dyDescent="0.3">
      <c r="A3610" t="s">
        <v>6863</v>
      </c>
      <c r="B3610" t="s">
        <v>7504</v>
      </c>
      <c r="C3610" t="s">
        <v>255</v>
      </c>
      <c r="D3610">
        <v>2.839</v>
      </c>
      <c r="E3610">
        <v>908</v>
      </c>
      <c r="F3610" t="str">
        <f>HYPERLINK("https://www.google.com/maps/search/?api=1&amp;query=24.50972325,44.3747644", "View Map")</f>
        <v>View Map</v>
      </c>
    </row>
    <row r="3611" spans="1:7" x14ac:dyDescent="0.3">
      <c r="A3611" t="s">
        <v>8517</v>
      </c>
      <c r="B3611" t="s">
        <v>8518</v>
      </c>
      <c r="C3611" t="s">
        <v>8</v>
      </c>
      <c r="D3611">
        <v>2.839</v>
      </c>
      <c r="E3611">
        <v>908</v>
      </c>
      <c r="F3611" t="str">
        <f>HYPERLINK("https://www.google.com/maps/search/?api=1&amp;query=24.69019795,46.7209971", "View Map")</f>
        <v>View Map</v>
      </c>
    </row>
    <row r="3612" spans="1:7" x14ac:dyDescent="0.3">
      <c r="A3612" t="s">
        <v>46</v>
      </c>
      <c r="B3612" t="s">
        <v>2984</v>
      </c>
      <c r="C3612" t="s">
        <v>8</v>
      </c>
      <c r="D3612">
        <v>2.839</v>
      </c>
      <c r="E3612">
        <v>908</v>
      </c>
      <c r="F3612" t="str">
        <f>HYPERLINK("https://www.google.com/maps/search/?api=1&amp;query=24.82282759,46.880381", "View Map")</f>
        <v>View Map</v>
      </c>
    </row>
    <row r="3613" spans="1:7" x14ac:dyDescent="0.3">
      <c r="A3613" t="s">
        <v>46</v>
      </c>
      <c r="B3613" t="s">
        <v>8141</v>
      </c>
      <c r="C3613" t="s">
        <v>8</v>
      </c>
      <c r="D3613">
        <v>2.839</v>
      </c>
      <c r="E3613">
        <v>908</v>
      </c>
      <c r="F3613" t="str">
        <f>HYPERLINK("https://www.google.com/maps/search/?api=1&amp;query=24.66966,46.55142", "View Map")</f>
        <v>View Map</v>
      </c>
    </row>
    <row r="3614" spans="1:7" x14ac:dyDescent="0.3">
      <c r="A3614" t="s">
        <v>46</v>
      </c>
      <c r="B3614" t="s">
        <v>7867</v>
      </c>
      <c r="C3614" t="s">
        <v>8</v>
      </c>
      <c r="D3614">
        <v>2.8380000000000001</v>
      </c>
      <c r="E3614">
        <v>908</v>
      </c>
      <c r="F3614" t="str">
        <f>HYPERLINK("https://www.google.com/maps/search/?api=1&amp;query=24.64713614,46.52066565", "View Map")</f>
        <v>View Map</v>
      </c>
    </row>
    <row r="3615" spans="1:7" x14ac:dyDescent="0.3">
      <c r="A3615" t="s">
        <v>6050</v>
      </c>
      <c r="B3615" t="s">
        <v>6051</v>
      </c>
      <c r="C3615" t="s">
        <v>8</v>
      </c>
      <c r="D3615">
        <v>2.8380000000000001</v>
      </c>
      <c r="E3615">
        <v>908</v>
      </c>
      <c r="F3615" t="str">
        <f>HYPERLINK("https://www.google.com/maps/search/?api=1&amp;query=24.72330664,46.76500445", "View Map")</f>
        <v>View Map</v>
      </c>
    </row>
    <row r="3616" spans="1:7" x14ac:dyDescent="0.3">
      <c r="A3616" t="s">
        <v>7073</v>
      </c>
      <c r="B3616" t="s">
        <v>7074</v>
      </c>
      <c r="C3616" t="s">
        <v>8</v>
      </c>
      <c r="D3616">
        <v>2.8359999999999999</v>
      </c>
      <c r="E3616">
        <v>907</v>
      </c>
      <c r="F3616" t="str">
        <f>HYPERLINK("https://www.google.com/maps/search/?api=1&amp;query=24.7878944,46.80593822", "View Map")</f>
        <v>View Map</v>
      </c>
    </row>
    <row r="3617" spans="1:7" x14ac:dyDescent="0.3">
      <c r="A3617" t="s">
        <v>8559</v>
      </c>
      <c r="B3617" t="s">
        <v>8560</v>
      </c>
      <c r="C3617" t="s">
        <v>8</v>
      </c>
      <c r="D3617">
        <v>2.8359999999999999</v>
      </c>
      <c r="E3617">
        <v>907</v>
      </c>
      <c r="F3617" t="str">
        <f>HYPERLINK("https://www.google.com/maps/search/?api=1&amp;query=24.58555044,46.54949613", "View Map")</f>
        <v>View Map</v>
      </c>
    </row>
    <row r="3618" spans="1:7" x14ac:dyDescent="0.3">
      <c r="A3618" t="s">
        <v>4214</v>
      </c>
      <c r="B3618" t="s">
        <v>4215</v>
      </c>
      <c r="C3618" t="s">
        <v>1112</v>
      </c>
      <c r="D3618">
        <v>2.8359999999999999</v>
      </c>
      <c r="E3618">
        <v>908</v>
      </c>
      <c r="F3618" t="str">
        <f>HYPERLINK("https://www.google.com/maps/search/?api=1&amp;query=26.02570527,44.95580212", "View Map")</f>
        <v>View Map</v>
      </c>
      <c r="G3618" s="2">
        <v>0.46294071214314458</v>
      </c>
    </row>
    <row r="3619" spans="1:7" x14ac:dyDescent="0.3">
      <c r="A3619" t="s">
        <v>6714</v>
      </c>
      <c r="B3619" t="s">
        <v>6715</v>
      </c>
      <c r="C3619" t="s">
        <v>214</v>
      </c>
      <c r="D3619">
        <v>2.835</v>
      </c>
      <c r="E3619">
        <v>907</v>
      </c>
      <c r="F3619" t="str">
        <f>HYPERLINK("https://www.google.com/maps/search/?api=1&amp;query=25.59876062,45.8003712", "View Map")</f>
        <v>View Map</v>
      </c>
    </row>
    <row r="3620" spans="1:7" x14ac:dyDescent="0.3">
      <c r="A3620" t="s">
        <v>6072</v>
      </c>
      <c r="B3620" t="s">
        <v>6073</v>
      </c>
      <c r="C3620" t="s">
        <v>8</v>
      </c>
      <c r="D3620">
        <v>2.835</v>
      </c>
      <c r="E3620">
        <v>907</v>
      </c>
      <c r="F3620" t="str">
        <f>HYPERLINK("https://www.google.com/maps/search/?api=1&amp;query=24.60240103,46.64519028", "View Map")</f>
        <v>View Map</v>
      </c>
    </row>
    <row r="3621" spans="1:7" x14ac:dyDescent="0.3">
      <c r="A3621" t="s">
        <v>464</v>
      </c>
      <c r="B3621" t="s">
        <v>5317</v>
      </c>
      <c r="C3621" t="s">
        <v>466</v>
      </c>
      <c r="D3621">
        <v>2.8340000000000001</v>
      </c>
      <c r="E3621">
        <v>907</v>
      </c>
      <c r="F3621" t="str">
        <f>HYPERLINK("https://www.google.com/maps/search/?api=1&amp;query=24.59026995,46.156218", "View Map")</f>
        <v>View Map</v>
      </c>
      <c r="G3621" s="2">
        <v>0.3695417027392745</v>
      </c>
    </row>
    <row r="3622" spans="1:7" x14ac:dyDescent="0.3">
      <c r="A3622" t="s">
        <v>10230</v>
      </c>
      <c r="B3622" t="s">
        <v>10231</v>
      </c>
      <c r="C3622" t="s">
        <v>214</v>
      </c>
      <c r="D3622">
        <v>2.8330000000000002</v>
      </c>
      <c r="E3622">
        <v>906</v>
      </c>
      <c r="F3622" t="str">
        <f>HYPERLINK("https://www.google.com/maps/search/?api=1&amp;query=26.42516133,45.35949602", "View Map")</f>
        <v>View Map</v>
      </c>
      <c r="G3622" s="2">
        <v>1.052186053181277</v>
      </c>
    </row>
    <row r="3623" spans="1:7" x14ac:dyDescent="0.3">
      <c r="A3623" t="s">
        <v>9441</v>
      </c>
      <c r="B3623" t="s">
        <v>9442</v>
      </c>
      <c r="C3623" t="s">
        <v>241</v>
      </c>
      <c r="D3623">
        <v>2.8319999999999999</v>
      </c>
      <c r="E3623">
        <v>906</v>
      </c>
      <c r="F3623" t="str">
        <f>HYPERLINK("https://www.google.com/maps/search/?api=1&amp;query=20.4475283,44.85060654", "View Map")</f>
        <v>View Map</v>
      </c>
    </row>
    <row r="3624" spans="1:7" x14ac:dyDescent="0.3">
      <c r="A3624" t="s">
        <v>6794</v>
      </c>
      <c r="B3624" t="s">
        <v>6795</v>
      </c>
      <c r="C3624" t="s">
        <v>466</v>
      </c>
      <c r="D3624">
        <v>2.8319999999999999</v>
      </c>
      <c r="E3624">
        <v>906</v>
      </c>
      <c r="F3624" t="str">
        <f>HYPERLINK("https://www.google.com/maps/search/?api=1&amp;query=24.5924279,46.13257717", "View Map")</f>
        <v>View Map</v>
      </c>
    </row>
    <row r="3625" spans="1:7" x14ac:dyDescent="0.3">
      <c r="A3625" t="s">
        <v>7056</v>
      </c>
      <c r="B3625" t="s">
        <v>7057</v>
      </c>
      <c r="C3625" t="s">
        <v>1112</v>
      </c>
      <c r="D3625">
        <v>2.8290000000000002</v>
      </c>
      <c r="E3625">
        <v>905</v>
      </c>
      <c r="F3625" t="str">
        <f>HYPERLINK("https://www.google.com/maps/search/?api=1&amp;query=26.03777222,44.93781717", "View Map")</f>
        <v>View Map</v>
      </c>
      <c r="G3625" s="2">
        <v>0.63794664728213324</v>
      </c>
    </row>
    <row r="3626" spans="1:7" x14ac:dyDescent="0.3">
      <c r="A3626" t="s">
        <v>411</v>
      </c>
      <c r="B3626" t="s">
        <v>5371</v>
      </c>
      <c r="C3626" t="s">
        <v>77</v>
      </c>
      <c r="D3626">
        <v>2.8290000000000002</v>
      </c>
      <c r="E3626">
        <v>905</v>
      </c>
      <c r="F3626" t="str">
        <f>HYPERLINK("https://www.google.com/maps/search/?api=1&amp;query=22.32286141,46.71604193", "View Map")</f>
        <v>View Map</v>
      </c>
      <c r="G3626" s="2">
        <v>0.48623761716270752</v>
      </c>
    </row>
    <row r="3627" spans="1:7" x14ac:dyDescent="0.3">
      <c r="A3627" t="s">
        <v>28</v>
      </c>
      <c r="B3627" t="s">
        <v>7675</v>
      </c>
      <c r="C3627" t="s">
        <v>30</v>
      </c>
      <c r="D3627">
        <v>2.8279999999999998</v>
      </c>
      <c r="E3627">
        <v>905</v>
      </c>
      <c r="F3627" t="str">
        <f>HYPERLINK("https://www.google.com/maps/search/?api=1&amp;query=24.14509747,47.27958431", "View Map")</f>
        <v>View Map</v>
      </c>
      <c r="G3627" s="2">
        <v>0.55931338823447652</v>
      </c>
    </row>
    <row r="3628" spans="1:7" x14ac:dyDescent="0.3">
      <c r="A3628" t="s">
        <v>7427</v>
      </c>
      <c r="B3628" t="s">
        <v>7428</v>
      </c>
      <c r="C3628" t="s">
        <v>255</v>
      </c>
      <c r="D3628">
        <v>2.8279999999999998</v>
      </c>
      <c r="E3628">
        <v>905</v>
      </c>
      <c r="F3628" t="str">
        <f>HYPERLINK("https://www.google.com/maps/search/?api=1&amp;query=24.73173517,43.77935401", "View Map")</f>
        <v>View Map</v>
      </c>
      <c r="G3628" s="2">
        <v>0.82544676637017544</v>
      </c>
    </row>
    <row r="3629" spans="1:7" x14ac:dyDescent="0.3">
      <c r="A3629" t="s">
        <v>28</v>
      </c>
      <c r="B3629" t="s">
        <v>11476</v>
      </c>
      <c r="C3629" t="s">
        <v>820</v>
      </c>
      <c r="D3629">
        <v>2.827</v>
      </c>
      <c r="E3629">
        <v>905</v>
      </c>
      <c r="F3629" t="str">
        <f>HYPERLINK("https://www.google.com/maps/search/?api=1&amp;query=0.0,0.0", "View Map")</f>
        <v>View Map</v>
      </c>
    </row>
    <row r="3630" spans="1:7" x14ac:dyDescent="0.3">
      <c r="A3630" t="s">
        <v>2200</v>
      </c>
      <c r="B3630" t="s">
        <v>2201</v>
      </c>
      <c r="C3630" t="s">
        <v>8</v>
      </c>
      <c r="D3630">
        <v>2.827</v>
      </c>
      <c r="E3630">
        <v>904</v>
      </c>
      <c r="F3630" t="str">
        <f>HYPERLINK("https://www.google.com/maps/search/?api=1&amp;query=24.80596193,46.88665221", "View Map")</f>
        <v>View Map</v>
      </c>
    </row>
    <row r="3631" spans="1:7" x14ac:dyDescent="0.3">
      <c r="A3631" t="s">
        <v>46</v>
      </c>
      <c r="B3631" t="s">
        <v>4116</v>
      </c>
      <c r="C3631" t="s">
        <v>8</v>
      </c>
      <c r="D3631">
        <v>2.827</v>
      </c>
      <c r="E3631">
        <v>905</v>
      </c>
      <c r="F3631" t="str">
        <f>HYPERLINK("https://www.google.com/maps/search/?api=1&amp;query=24.69309525,46.67827768", "View Map")</f>
        <v>View Map</v>
      </c>
      <c r="G3631" s="2">
        <v>0.26704421394560102</v>
      </c>
    </row>
    <row r="3632" spans="1:7" x14ac:dyDescent="0.3">
      <c r="A3632" t="s">
        <v>46</v>
      </c>
      <c r="B3632" t="s">
        <v>7627</v>
      </c>
      <c r="C3632" t="s">
        <v>8</v>
      </c>
      <c r="D3632">
        <v>2.827</v>
      </c>
      <c r="E3632">
        <v>905</v>
      </c>
      <c r="F3632" t="str">
        <f>HYPERLINK("https://www.google.com/maps/search/?api=1&amp;query=24.83805597,46.73961521", "View Map")</f>
        <v>View Map</v>
      </c>
    </row>
    <row r="3633" spans="1:7" x14ac:dyDescent="0.3">
      <c r="A3633" t="s">
        <v>2874</v>
      </c>
      <c r="B3633" t="s">
        <v>2875</v>
      </c>
      <c r="C3633" t="s">
        <v>8</v>
      </c>
      <c r="D3633">
        <v>2.8260000000000001</v>
      </c>
      <c r="E3633">
        <v>904</v>
      </c>
      <c r="F3633" t="str">
        <f>HYPERLINK("https://www.google.com/maps/search/?api=1&amp;query=24.57046906,46.6182374", "View Map")</f>
        <v>View Map</v>
      </c>
      <c r="G3633" s="2">
        <v>0.21442866918339321</v>
      </c>
    </row>
    <row r="3634" spans="1:7" x14ac:dyDescent="0.3">
      <c r="A3634" t="s">
        <v>1754</v>
      </c>
      <c r="B3634" t="s">
        <v>4909</v>
      </c>
      <c r="C3634" t="s">
        <v>646</v>
      </c>
      <c r="D3634">
        <v>2.8260000000000001</v>
      </c>
      <c r="E3634">
        <v>904</v>
      </c>
      <c r="F3634" t="str">
        <f>HYPERLINK("https://www.google.com/maps/search/?api=1&amp;query=20.4596098,45.5763322", "View Map")</f>
        <v>View Map</v>
      </c>
    </row>
    <row r="3635" spans="1:7" x14ac:dyDescent="0.3">
      <c r="A3635" t="s">
        <v>11477</v>
      </c>
      <c r="B3635" t="s">
        <v>11478</v>
      </c>
      <c r="C3635" t="s">
        <v>8</v>
      </c>
      <c r="D3635">
        <v>2.8260000000000001</v>
      </c>
      <c r="E3635">
        <v>904</v>
      </c>
      <c r="F3635" t="str">
        <f>HYPERLINK("https://www.google.com/maps/search/?api=1&amp;query=24.56521298,46.64655708", "View Map")</f>
        <v>View Map</v>
      </c>
    </row>
    <row r="3636" spans="1:7" x14ac:dyDescent="0.3">
      <c r="A3636" t="s">
        <v>11479</v>
      </c>
      <c r="B3636" t="s">
        <v>11480</v>
      </c>
      <c r="C3636" t="s">
        <v>8</v>
      </c>
      <c r="D3636">
        <v>2.8250000000000002</v>
      </c>
      <c r="E3636">
        <v>904</v>
      </c>
      <c r="F3636" t="str">
        <f>HYPERLINK("https://www.google.com/maps/search/?api=1&amp;query=24.77993641,46.74201362", "View Map")</f>
        <v>View Map</v>
      </c>
    </row>
    <row r="3637" spans="1:7" x14ac:dyDescent="0.3">
      <c r="A3637" t="s">
        <v>11481</v>
      </c>
      <c r="B3637" t="s">
        <v>11482</v>
      </c>
      <c r="C3637" t="s">
        <v>291</v>
      </c>
      <c r="D3637">
        <v>2.8250000000000002</v>
      </c>
      <c r="E3637">
        <v>904</v>
      </c>
      <c r="F3637" t="str">
        <f>HYPERLINK("https://www.google.com/maps/search/?api=1&amp;query=24.18114498,45.88567522", "View Map")</f>
        <v>View Map</v>
      </c>
    </row>
    <row r="3638" spans="1:7" x14ac:dyDescent="0.3">
      <c r="A3638" t="s">
        <v>11483</v>
      </c>
      <c r="B3638" t="s">
        <v>11484</v>
      </c>
      <c r="C3638" t="s">
        <v>699</v>
      </c>
      <c r="D3638">
        <v>2.8239999999999998</v>
      </c>
      <c r="E3638">
        <v>904</v>
      </c>
      <c r="F3638" t="str">
        <f>HYPERLINK("https://www.google.com/maps/search/?api=1&amp;query=25.05918565,45.48488287", "View Map")</f>
        <v>View Map</v>
      </c>
      <c r="G3638" s="2">
        <v>0.79997000158521847</v>
      </c>
    </row>
    <row r="3639" spans="1:7" x14ac:dyDescent="0.3">
      <c r="A3639" t="s">
        <v>7784</v>
      </c>
      <c r="B3639" t="s">
        <v>7785</v>
      </c>
      <c r="C3639" t="s">
        <v>8</v>
      </c>
      <c r="D3639">
        <v>2.8239999999999998</v>
      </c>
      <c r="E3639">
        <v>904</v>
      </c>
      <c r="F3639" t="str">
        <f>HYPERLINK("https://www.google.com/maps/search/?api=1&amp;query=24.69532778,46.64342193", "View Map")</f>
        <v>View Map</v>
      </c>
    </row>
    <row r="3640" spans="1:7" x14ac:dyDescent="0.3">
      <c r="A3640" t="s">
        <v>46</v>
      </c>
      <c r="B3640" t="s">
        <v>5177</v>
      </c>
      <c r="C3640" t="s">
        <v>8</v>
      </c>
      <c r="D3640">
        <v>2.823</v>
      </c>
      <c r="E3640">
        <v>903</v>
      </c>
      <c r="F3640" t="str">
        <f>HYPERLINK("https://www.google.com/maps/search/?api=1&amp;query=24.80303666,46.83873329", "View Map")</f>
        <v>View Map</v>
      </c>
      <c r="G3640" s="2">
        <v>0.73385170925769605</v>
      </c>
    </row>
    <row r="3641" spans="1:7" x14ac:dyDescent="0.3">
      <c r="A3641" t="s">
        <v>4103</v>
      </c>
      <c r="B3641" t="s">
        <v>4104</v>
      </c>
      <c r="C3641" t="s">
        <v>8</v>
      </c>
      <c r="D3641">
        <v>2.823</v>
      </c>
      <c r="E3641">
        <v>903</v>
      </c>
      <c r="F3641" t="str">
        <f>HYPERLINK("https://www.google.com/maps/search/?api=1&amp;query=24.70915855,46.8009796", "View Map")</f>
        <v>View Map</v>
      </c>
    </row>
    <row r="3642" spans="1:7" x14ac:dyDescent="0.3">
      <c r="A3642" t="s">
        <v>7237</v>
      </c>
      <c r="B3642" t="s">
        <v>7238</v>
      </c>
      <c r="C3642" t="s">
        <v>296</v>
      </c>
      <c r="D3642">
        <v>2.823</v>
      </c>
      <c r="E3642">
        <v>903</v>
      </c>
      <c r="F3642" t="str">
        <f>HYPERLINK("https://www.google.com/maps/search/?api=1&amp;query=24.49387947,45.82209246", "View Map")</f>
        <v>View Map</v>
      </c>
      <c r="G3642" s="2">
        <v>0.63680068644878296</v>
      </c>
    </row>
    <row r="3643" spans="1:7" x14ac:dyDescent="0.3">
      <c r="A3643" t="s">
        <v>46</v>
      </c>
      <c r="B3643" t="s">
        <v>8330</v>
      </c>
      <c r="C3643" t="s">
        <v>8</v>
      </c>
      <c r="D3643">
        <v>2.823</v>
      </c>
      <c r="E3643">
        <v>903</v>
      </c>
      <c r="F3643" t="str">
        <f>HYPERLINK("https://www.google.com/maps/search/?api=1&amp;query=24.63545034,46.52911139", "View Map")</f>
        <v>View Map</v>
      </c>
    </row>
    <row r="3644" spans="1:7" x14ac:dyDescent="0.3">
      <c r="A3644" t="s">
        <v>46</v>
      </c>
      <c r="B3644" t="s">
        <v>4141</v>
      </c>
      <c r="C3644" t="s">
        <v>8</v>
      </c>
      <c r="D3644">
        <v>2.8220000000000001</v>
      </c>
      <c r="E3644">
        <v>903</v>
      </c>
      <c r="F3644" t="str">
        <f>HYPERLINK("https://www.google.com/maps/search/?api=1&amp;query=24.86500371,46.62250016", "View Map")</f>
        <v>View Map</v>
      </c>
    </row>
    <row r="3645" spans="1:7" x14ac:dyDescent="0.3">
      <c r="A3645" t="s">
        <v>717</v>
      </c>
      <c r="B3645" t="s">
        <v>8687</v>
      </c>
      <c r="C3645" t="s">
        <v>255</v>
      </c>
      <c r="D3645">
        <v>2.8220000000000001</v>
      </c>
      <c r="E3645">
        <v>903</v>
      </c>
      <c r="F3645" t="str">
        <f>HYPERLINK("https://www.google.com/maps/search/?api=1&amp;query=24.54875576,44.42736767", "View Map")</f>
        <v>View Map</v>
      </c>
      <c r="G3645" s="2">
        <v>0.5025037256828796</v>
      </c>
    </row>
    <row r="3646" spans="1:7" x14ac:dyDescent="0.3">
      <c r="A3646" t="s">
        <v>9689</v>
      </c>
      <c r="B3646" t="s">
        <v>9690</v>
      </c>
      <c r="C3646" t="s">
        <v>214</v>
      </c>
      <c r="D3646">
        <v>2.8220000000000001</v>
      </c>
      <c r="E3646">
        <v>903</v>
      </c>
      <c r="F3646" t="str">
        <f>HYPERLINK("https://www.google.com/maps/search/?api=1&amp;query=25.71617292,45.85913", "View Map")</f>
        <v>View Map</v>
      </c>
      <c r="G3646" s="2">
        <v>0.55094538865533604</v>
      </c>
    </row>
    <row r="3647" spans="1:7" x14ac:dyDescent="0.3">
      <c r="A3647" t="s">
        <v>1735</v>
      </c>
      <c r="B3647" t="s">
        <v>5078</v>
      </c>
      <c r="C3647" t="s">
        <v>8</v>
      </c>
      <c r="D3647">
        <v>2.8180000000000001</v>
      </c>
      <c r="E3647">
        <v>902</v>
      </c>
      <c r="F3647" t="str">
        <f>HYPERLINK("https://www.google.com/maps/search/?api=1&amp;query=24.6306191,46.75079643", "View Map")</f>
        <v>View Map</v>
      </c>
    </row>
    <row r="3648" spans="1:7" x14ac:dyDescent="0.3">
      <c r="A3648" t="s">
        <v>146</v>
      </c>
      <c r="B3648" t="s">
        <v>3292</v>
      </c>
      <c r="C3648" t="s">
        <v>8</v>
      </c>
      <c r="D3648">
        <v>2.8170000000000002</v>
      </c>
      <c r="E3648">
        <v>901</v>
      </c>
      <c r="F3648" t="str">
        <f>HYPERLINK("https://www.google.com/maps/search/?api=1&amp;query=24.56845157,46.54672512", "View Map")</f>
        <v>View Map</v>
      </c>
    </row>
    <row r="3649" spans="1:7" x14ac:dyDescent="0.3">
      <c r="A3649" t="s">
        <v>5912</v>
      </c>
      <c r="B3649" t="s">
        <v>5913</v>
      </c>
      <c r="C3649" t="s">
        <v>8</v>
      </c>
      <c r="D3649">
        <v>2.8170000000000002</v>
      </c>
      <c r="E3649">
        <v>902</v>
      </c>
      <c r="F3649" t="str">
        <f>HYPERLINK("https://www.google.com/maps/search/?api=1&amp;query=24.65496873,46.57665986", "View Map")</f>
        <v>View Map</v>
      </c>
    </row>
    <row r="3650" spans="1:7" x14ac:dyDescent="0.3">
      <c r="A3650" t="s">
        <v>10198</v>
      </c>
      <c r="B3650" t="s">
        <v>10199</v>
      </c>
      <c r="C3650" t="s">
        <v>8</v>
      </c>
      <c r="D3650">
        <v>2.8149999999999999</v>
      </c>
      <c r="E3650">
        <v>901</v>
      </c>
      <c r="F3650" t="str">
        <f>HYPERLINK("https://www.google.com/maps/search/?api=1&amp;query=24.76015784,46.61615019", "View Map")</f>
        <v>View Map</v>
      </c>
    </row>
    <row r="3651" spans="1:7" x14ac:dyDescent="0.3">
      <c r="A3651" t="s">
        <v>7649</v>
      </c>
      <c r="B3651" t="s">
        <v>7650</v>
      </c>
      <c r="C3651" t="s">
        <v>241</v>
      </c>
      <c r="D3651">
        <v>2.8149999999999999</v>
      </c>
      <c r="E3651">
        <v>901</v>
      </c>
      <c r="F3651" t="str">
        <f>HYPERLINK("https://www.google.com/maps/search/?api=1&amp;query=20.38793457,44.73442008", "View Map")</f>
        <v>View Map</v>
      </c>
      <c r="G3651" s="2">
        <v>0.67554069739325684</v>
      </c>
    </row>
    <row r="3652" spans="1:7" x14ac:dyDescent="0.3">
      <c r="A3652" t="s">
        <v>9763</v>
      </c>
      <c r="B3652" t="s">
        <v>9764</v>
      </c>
      <c r="C3652" t="s">
        <v>291</v>
      </c>
      <c r="D3652">
        <v>2.8149999999999999</v>
      </c>
      <c r="E3652">
        <v>901</v>
      </c>
      <c r="F3652" t="str">
        <f>HYPERLINK("https://www.google.com/maps/search/?api=1&amp;query=23.26244133,44.64854909", "View Map")</f>
        <v>View Map</v>
      </c>
      <c r="G3652" s="2">
        <v>0.60523264680348909</v>
      </c>
    </row>
    <row r="3653" spans="1:7" x14ac:dyDescent="0.3">
      <c r="A3653" t="s">
        <v>4246</v>
      </c>
      <c r="B3653" t="s">
        <v>4247</v>
      </c>
      <c r="C3653" t="s">
        <v>255</v>
      </c>
      <c r="D3653">
        <v>2.8130000000000002</v>
      </c>
      <c r="E3653">
        <v>900</v>
      </c>
      <c r="F3653" t="str">
        <f>HYPERLINK("https://www.google.com/maps/search/?api=1&amp;query=24.29126221,43.68498399", "View Map")</f>
        <v>View Map</v>
      </c>
      <c r="G3653" s="2">
        <v>0.35046346441044629</v>
      </c>
    </row>
    <row r="3654" spans="1:7" x14ac:dyDescent="0.3">
      <c r="A3654" t="s">
        <v>717</v>
      </c>
      <c r="B3654" t="s">
        <v>4845</v>
      </c>
      <c r="C3654" t="s">
        <v>255</v>
      </c>
      <c r="D3654">
        <v>2.8130000000000002</v>
      </c>
      <c r="E3654">
        <v>900</v>
      </c>
      <c r="F3654" t="str">
        <f>HYPERLINK("https://www.google.com/maps/search/?api=1&amp;query=24.54890768,44.41565382", "View Map")</f>
        <v>View Map</v>
      </c>
    </row>
    <row r="3655" spans="1:7" x14ac:dyDescent="0.3">
      <c r="A3655" t="s">
        <v>6296</v>
      </c>
      <c r="B3655" t="s">
        <v>6297</v>
      </c>
      <c r="C3655" t="s">
        <v>137</v>
      </c>
      <c r="D3655">
        <v>2.8109999999999999</v>
      </c>
      <c r="E3655">
        <v>899</v>
      </c>
      <c r="F3655" t="str">
        <f>HYPERLINK("https://www.google.com/maps/search/?api=1&amp;query=23.4945539,46.88803601", "View Map")</f>
        <v>View Map</v>
      </c>
      <c r="G3655" s="2">
        <v>0.62894896956268831</v>
      </c>
    </row>
    <row r="3656" spans="1:7" x14ac:dyDescent="0.3">
      <c r="A3656" t="s">
        <v>6812</v>
      </c>
      <c r="B3656" t="s">
        <v>6813</v>
      </c>
      <c r="C3656" t="s">
        <v>8</v>
      </c>
      <c r="D3656">
        <v>2.8109999999999999</v>
      </c>
      <c r="E3656">
        <v>899</v>
      </c>
      <c r="F3656" t="str">
        <f>HYPERLINK("https://www.google.com/maps/search/?api=1&amp;query=24.74872349,46.61258018", "View Map")</f>
        <v>View Map</v>
      </c>
    </row>
    <row r="3657" spans="1:7" x14ac:dyDescent="0.3">
      <c r="A3657" t="s">
        <v>5169</v>
      </c>
      <c r="B3657" t="s">
        <v>5170</v>
      </c>
      <c r="C3657" t="s">
        <v>8</v>
      </c>
      <c r="D3657">
        <v>2.81</v>
      </c>
      <c r="E3657">
        <v>899</v>
      </c>
      <c r="F3657" t="str">
        <f>HYPERLINK("https://www.google.com/maps/search/?api=1&amp;query=24.5842,46.65", "View Map")</f>
        <v>View Map</v>
      </c>
    </row>
    <row r="3658" spans="1:7" x14ac:dyDescent="0.3">
      <c r="A3658" t="s">
        <v>9740</v>
      </c>
      <c r="B3658" t="s">
        <v>9741</v>
      </c>
      <c r="C3658" t="s">
        <v>241</v>
      </c>
      <c r="D3658">
        <v>2.81</v>
      </c>
      <c r="E3658">
        <v>899</v>
      </c>
      <c r="F3658" t="str">
        <f>HYPERLINK("https://www.google.com/maps/search/?api=1&amp;query=20.44461336,44.84676627", "View Map")</f>
        <v>View Map</v>
      </c>
    </row>
    <row r="3659" spans="1:7" x14ac:dyDescent="0.3">
      <c r="A3659" t="s">
        <v>46</v>
      </c>
      <c r="B3659" t="s">
        <v>8931</v>
      </c>
      <c r="C3659" t="s">
        <v>8</v>
      </c>
      <c r="D3659">
        <v>2.8079999999999998</v>
      </c>
      <c r="E3659">
        <v>899</v>
      </c>
      <c r="F3659" t="str">
        <f>HYPERLINK("https://www.google.com/maps/search/?api=1&amp;query=24.68382281,46.58055853", "View Map")</f>
        <v>View Map</v>
      </c>
    </row>
    <row r="3660" spans="1:7" x14ac:dyDescent="0.3">
      <c r="A3660" t="s">
        <v>4739</v>
      </c>
      <c r="B3660" t="s">
        <v>4740</v>
      </c>
      <c r="C3660" t="s">
        <v>8</v>
      </c>
      <c r="D3660">
        <v>2.8079999999999998</v>
      </c>
      <c r="E3660">
        <v>898</v>
      </c>
      <c r="F3660" t="str">
        <f>HYPERLINK("https://www.google.com/maps/search/?api=1&amp;query=24.61795401,46.6575625", "View Map")</f>
        <v>View Map</v>
      </c>
      <c r="G3660" s="2">
        <v>0.34194135064120162</v>
      </c>
    </row>
    <row r="3661" spans="1:7" x14ac:dyDescent="0.3">
      <c r="A3661" t="s">
        <v>1273</v>
      </c>
      <c r="B3661" t="s">
        <v>5354</v>
      </c>
      <c r="C3661" t="s">
        <v>241</v>
      </c>
      <c r="D3661">
        <v>2.8079999999999998</v>
      </c>
      <c r="E3661">
        <v>899</v>
      </c>
      <c r="F3661" t="str">
        <f>HYPERLINK("https://www.google.com/maps/search/?api=1&amp;query=20.4496296,44.88394527", "View Map")</f>
        <v>View Map</v>
      </c>
      <c r="G3661" s="2">
        <v>0.64078267594853544</v>
      </c>
    </row>
    <row r="3662" spans="1:7" x14ac:dyDescent="0.3">
      <c r="A3662" t="s">
        <v>8310</v>
      </c>
      <c r="B3662" t="s">
        <v>8311</v>
      </c>
      <c r="C3662" t="s">
        <v>8</v>
      </c>
      <c r="D3662">
        <v>2.8069999999999999</v>
      </c>
      <c r="E3662">
        <v>898</v>
      </c>
      <c r="F3662" t="str">
        <f>HYPERLINK("https://www.google.com/maps/search/?api=1&amp;query=24.58726632,46.5549912", "View Map")</f>
        <v>View Map</v>
      </c>
    </row>
    <row r="3663" spans="1:7" x14ac:dyDescent="0.3">
      <c r="A3663" t="s">
        <v>5281</v>
      </c>
      <c r="B3663" t="s">
        <v>5282</v>
      </c>
      <c r="C3663" t="s">
        <v>214</v>
      </c>
      <c r="D3663">
        <v>2.8050000000000002</v>
      </c>
      <c r="E3663">
        <v>898</v>
      </c>
      <c r="F3663" t="str">
        <f>HYPERLINK("https://www.google.com/maps/search/?api=1&amp;query=25.60174848,45.62442469", "View Map")</f>
        <v>View Map</v>
      </c>
      <c r="G3663" s="2">
        <v>0.45420546129497702</v>
      </c>
    </row>
    <row r="3664" spans="1:7" x14ac:dyDescent="0.3">
      <c r="A3664" t="s">
        <v>2737</v>
      </c>
      <c r="B3664" t="s">
        <v>3856</v>
      </c>
      <c r="C3664" t="s">
        <v>8</v>
      </c>
      <c r="D3664">
        <v>2.8050000000000002</v>
      </c>
      <c r="E3664">
        <v>898</v>
      </c>
      <c r="F3664" t="str">
        <f>HYPERLINK("https://www.google.com/maps/search/?api=1&amp;query=24.68521732,46.82861433", "View Map")</f>
        <v>View Map</v>
      </c>
    </row>
    <row r="3665" spans="1:7" x14ac:dyDescent="0.3">
      <c r="A3665" t="s">
        <v>4744</v>
      </c>
      <c r="B3665" t="s">
        <v>4745</v>
      </c>
      <c r="C3665" t="s">
        <v>8</v>
      </c>
      <c r="D3665">
        <v>2.802</v>
      </c>
      <c r="E3665">
        <v>897</v>
      </c>
      <c r="F3665" t="str">
        <f>HYPERLINK("https://www.google.com/maps/search/?api=1&amp;query=24.63898121,46.67516509", "View Map")</f>
        <v>View Map</v>
      </c>
    </row>
    <row r="3666" spans="1:7" x14ac:dyDescent="0.3">
      <c r="A3666" t="s">
        <v>10837</v>
      </c>
      <c r="B3666" t="s">
        <v>10838</v>
      </c>
      <c r="C3666" t="s">
        <v>8</v>
      </c>
      <c r="D3666">
        <v>2.802</v>
      </c>
      <c r="E3666">
        <v>897</v>
      </c>
      <c r="F3666" t="str">
        <f>HYPERLINK("https://www.google.com/maps/search/?api=1&amp;query=24.72358235,46.85947517", "View Map")</f>
        <v>View Map</v>
      </c>
    </row>
    <row r="3667" spans="1:7" x14ac:dyDescent="0.3">
      <c r="A3667" t="s">
        <v>9264</v>
      </c>
      <c r="B3667" t="s">
        <v>9265</v>
      </c>
      <c r="C3667" t="s">
        <v>8</v>
      </c>
      <c r="D3667">
        <v>2.802</v>
      </c>
      <c r="E3667">
        <v>897</v>
      </c>
      <c r="F3667" t="str">
        <f>HYPERLINK("https://www.google.com/maps/search/?api=1&amp;query=24.62710467,46.71398529", "View Map")</f>
        <v>View Map</v>
      </c>
    </row>
    <row r="3668" spans="1:7" x14ac:dyDescent="0.3">
      <c r="A3668" t="s">
        <v>6013</v>
      </c>
      <c r="B3668" t="s">
        <v>6014</v>
      </c>
      <c r="C3668" t="s">
        <v>8</v>
      </c>
      <c r="D3668">
        <v>2.802</v>
      </c>
      <c r="E3668">
        <v>897</v>
      </c>
      <c r="F3668" t="str">
        <f>HYPERLINK("https://www.google.com/maps/search/?api=1&amp;query=24.77458959,46.68340349", "View Map")</f>
        <v>View Map</v>
      </c>
    </row>
    <row r="3669" spans="1:7" x14ac:dyDescent="0.3">
      <c r="A3669" t="s">
        <v>3709</v>
      </c>
      <c r="B3669" t="s">
        <v>9550</v>
      </c>
      <c r="C3669" t="s">
        <v>8</v>
      </c>
      <c r="D3669">
        <v>2.8</v>
      </c>
      <c r="E3669">
        <v>896</v>
      </c>
      <c r="F3669" t="str">
        <f>HYPERLINK("https://www.google.com/maps/search/?api=1&amp;query=24.64807603,46.55830112", "View Map")</f>
        <v>View Map</v>
      </c>
    </row>
    <row r="3670" spans="1:7" x14ac:dyDescent="0.3">
      <c r="A3670" t="s">
        <v>10928</v>
      </c>
      <c r="B3670" t="s">
        <v>10929</v>
      </c>
      <c r="C3670" t="s">
        <v>270</v>
      </c>
      <c r="D3670">
        <v>2.8</v>
      </c>
      <c r="E3670">
        <v>896</v>
      </c>
      <c r="F3670" t="str">
        <f>HYPERLINK("https://www.google.com/maps/search/?api=1&amp;query=23.99555109,47.15098823", "View Map")</f>
        <v>View Map</v>
      </c>
    </row>
    <row r="3671" spans="1:7" x14ac:dyDescent="0.3">
      <c r="A3671" t="s">
        <v>1305</v>
      </c>
      <c r="B3671" t="s">
        <v>1306</v>
      </c>
      <c r="C3671" t="s">
        <v>8</v>
      </c>
      <c r="D3671">
        <v>2.8</v>
      </c>
      <c r="E3671">
        <v>896</v>
      </c>
      <c r="F3671" t="str">
        <f>HYPERLINK("https://www.google.com/maps/search/?api=1&amp;query=24.58262578,46.6446629", "View Map")</f>
        <v>View Map</v>
      </c>
      <c r="G3671" s="2">
        <v>0.2179106425943029</v>
      </c>
    </row>
    <row r="3672" spans="1:7" x14ac:dyDescent="0.3">
      <c r="A3672" t="s">
        <v>6937</v>
      </c>
      <c r="B3672" t="s">
        <v>6938</v>
      </c>
      <c r="C3672" t="s">
        <v>8</v>
      </c>
      <c r="D3672">
        <v>2.8</v>
      </c>
      <c r="E3672">
        <v>896</v>
      </c>
      <c r="F3672" t="str">
        <f>HYPERLINK("https://www.google.com/maps/search/?api=1&amp;query=24.77462656,46.62402705", "View Map")</f>
        <v>View Map</v>
      </c>
    </row>
    <row r="3673" spans="1:7" x14ac:dyDescent="0.3">
      <c r="A3673" t="s">
        <v>4946</v>
      </c>
      <c r="B3673" t="s">
        <v>4947</v>
      </c>
      <c r="C3673" t="s">
        <v>442</v>
      </c>
      <c r="D3673">
        <v>2.7989999999999999</v>
      </c>
      <c r="E3673">
        <v>896</v>
      </c>
      <c r="F3673" t="str">
        <f>HYPERLINK("https://www.google.com/maps/search/?api=1&amp;query=23.61986544,46.51812511", "View Map")</f>
        <v>View Map</v>
      </c>
      <c r="G3673" s="2">
        <v>0.31079386113798768</v>
      </c>
    </row>
    <row r="3674" spans="1:7" x14ac:dyDescent="0.3">
      <c r="A3674" t="s">
        <v>479</v>
      </c>
      <c r="B3674" t="s">
        <v>5977</v>
      </c>
      <c r="C3674" t="s">
        <v>738</v>
      </c>
      <c r="D3674">
        <v>2.7989999999999999</v>
      </c>
      <c r="E3674">
        <v>896</v>
      </c>
      <c r="F3674" t="str">
        <f>HYPERLINK("https://www.google.com/maps/search/?api=1&amp;query=25.10476386,46.20401121", "View Map")</f>
        <v>View Map</v>
      </c>
      <c r="G3674" s="2">
        <v>0.53574253421182783</v>
      </c>
    </row>
    <row r="3675" spans="1:7" x14ac:dyDescent="0.3">
      <c r="A3675" t="s">
        <v>8101</v>
      </c>
      <c r="B3675" t="s">
        <v>8102</v>
      </c>
      <c r="C3675" t="s">
        <v>16</v>
      </c>
      <c r="D3675">
        <v>2.7959999999999998</v>
      </c>
      <c r="E3675">
        <v>895</v>
      </c>
      <c r="F3675" t="str">
        <f>HYPERLINK("https://www.google.com/maps/search/?api=1&amp;query=24.1255451,43.29048674", "View Map")</f>
        <v>View Map</v>
      </c>
      <c r="G3675" s="2">
        <v>0.49868859310733321</v>
      </c>
    </row>
    <row r="3676" spans="1:7" x14ac:dyDescent="0.3">
      <c r="A3676" t="s">
        <v>333</v>
      </c>
      <c r="B3676" t="s">
        <v>334</v>
      </c>
      <c r="C3676" t="s">
        <v>8</v>
      </c>
      <c r="D3676">
        <v>2.7959999999999998</v>
      </c>
      <c r="E3676">
        <v>895</v>
      </c>
      <c r="F3676" t="str">
        <f>HYPERLINK("https://www.google.com/maps/search/?api=1&amp;query=24.6119,46.6864", "View Map")</f>
        <v>View Map</v>
      </c>
      <c r="G3676" s="2">
        <v>0.10468027313012961</v>
      </c>
    </row>
    <row r="3677" spans="1:7" x14ac:dyDescent="0.3">
      <c r="A3677" t="s">
        <v>11485</v>
      </c>
      <c r="B3677" t="s">
        <v>11486</v>
      </c>
      <c r="C3677" t="s">
        <v>255</v>
      </c>
      <c r="D3677">
        <v>2.7949999999999999</v>
      </c>
      <c r="E3677">
        <v>894</v>
      </c>
      <c r="F3677" t="str">
        <f>HYPERLINK("https://www.google.com/maps/search/?api=1&amp;query=24.60801368,43.59883087", "View Map")</f>
        <v>View Map</v>
      </c>
      <c r="G3677" s="2">
        <v>0.96976257362569962</v>
      </c>
    </row>
    <row r="3678" spans="1:7" x14ac:dyDescent="0.3">
      <c r="A3678" t="s">
        <v>8164</v>
      </c>
      <c r="B3678" t="s">
        <v>8165</v>
      </c>
      <c r="C3678" t="s">
        <v>241</v>
      </c>
      <c r="D3678">
        <v>2.7949999999999999</v>
      </c>
      <c r="E3678">
        <v>894</v>
      </c>
      <c r="F3678" t="str">
        <f>HYPERLINK("https://www.google.com/maps/search/?api=1&amp;query=20.4396909,44.8558737", "View Map")</f>
        <v>View Map</v>
      </c>
      <c r="G3678" s="2">
        <v>0.73372975510237237</v>
      </c>
    </row>
    <row r="3679" spans="1:7" x14ac:dyDescent="0.3">
      <c r="A3679" t="s">
        <v>7693</v>
      </c>
      <c r="B3679" t="s">
        <v>7694</v>
      </c>
      <c r="C3679" t="s">
        <v>214</v>
      </c>
      <c r="D3679">
        <v>2.7949999999999999</v>
      </c>
      <c r="E3679">
        <v>894</v>
      </c>
      <c r="F3679" t="str">
        <f>HYPERLINK("https://www.google.com/maps/search/?api=1&amp;query=25.69599434,45.88491165", "View Map")</f>
        <v>View Map</v>
      </c>
      <c r="G3679" s="2">
        <v>0.68884638845207535</v>
      </c>
    </row>
    <row r="3680" spans="1:7" x14ac:dyDescent="0.3">
      <c r="A3680" t="s">
        <v>7803</v>
      </c>
      <c r="B3680" t="s">
        <v>7804</v>
      </c>
      <c r="C3680" t="s">
        <v>214</v>
      </c>
      <c r="D3680">
        <v>2.7919999999999998</v>
      </c>
      <c r="E3680">
        <v>893</v>
      </c>
      <c r="F3680" t="str">
        <f>HYPERLINK("https://www.google.com/maps/search/?api=1&amp;query=25.91080764,45.37800742", "View Map")</f>
        <v>View Map</v>
      </c>
    </row>
    <row r="3681" spans="1:7" x14ac:dyDescent="0.3">
      <c r="A3681" t="s">
        <v>8667</v>
      </c>
      <c r="B3681" t="s">
        <v>8668</v>
      </c>
      <c r="C3681" t="s">
        <v>16</v>
      </c>
      <c r="D3681">
        <v>2.7919999999999998</v>
      </c>
      <c r="E3681">
        <v>894</v>
      </c>
      <c r="F3681" t="str">
        <f>HYPERLINK("https://www.google.com/maps/search/?api=1&amp;query=24.14780953,43.22879394", "View Map")</f>
        <v>View Map</v>
      </c>
      <c r="G3681" s="2">
        <v>0.90789814972295757</v>
      </c>
    </row>
    <row r="3682" spans="1:7" x14ac:dyDescent="0.3">
      <c r="A3682" t="s">
        <v>11487</v>
      </c>
      <c r="B3682" t="s">
        <v>11488</v>
      </c>
      <c r="C3682" t="s">
        <v>16</v>
      </c>
      <c r="D3682">
        <v>2.7909999999999999</v>
      </c>
      <c r="E3682">
        <v>893</v>
      </c>
      <c r="F3682" t="str">
        <f>HYPERLINK("https://www.google.com/maps/search/?api=1&amp;query=24.22769,42.70057167", "View Map")</f>
        <v>View Map</v>
      </c>
      <c r="G3682" s="2">
        <v>0.440914105005763</v>
      </c>
    </row>
    <row r="3683" spans="1:7" x14ac:dyDescent="0.3">
      <c r="A3683" t="s">
        <v>9042</v>
      </c>
      <c r="B3683" t="s">
        <v>9043</v>
      </c>
      <c r="C3683" t="s">
        <v>8</v>
      </c>
      <c r="D3683">
        <v>2.7909999999999999</v>
      </c>
      <c r="E3683">
        <v>893</v>
      </c>
      <c r="F3683" t="str">
        <f>HYPERLINK("https://www.google.com/maps/search/?api=1&amp;query=24.58842846,46.62775371", "View Map")</f>
        <v>View Map</v>
      </c>
    </row>
    <row r="3684" spans="1:7" x14ac:dyDescent="0.3">
      <c r="A3684" t="s">
        <v>5359</v>
      </c>
      <c r="B3684" t="s">
        <v>5360</v>
      </c>
      <c r="C3684" t="s">
        <v>8</v>
      </c>
      <c r="D3684">
        <v>2.7909999999999999</v>
      </c>
      <c r="E3684">
        <v>893</v>
      </c>
      <c r="F3684" t="str">
        <f>HYPERLINK("https://www.google.com/maps/search/?api=1&amp;query=24.78343952,46.73346747", "View Map")</f>
        <v>View Map</v>
      </c>
    </row>
    <row r="3685" spans="1:7" x14ac:dyDescent="0.3">
      <c r="A3685" t="s">
        <v>218</v>
      </c>
      <c r="B3685" t="s">
        <v>219</v>
      </c>
      <c r="C3685" t="s">
        <v>8</v>
      </c>
      <c r="D3685">
        <v>2.79</v>
      </c>
      <c r="E3685">
        <v>893</v>
      </c>
      <c r="F3685" t="str">
        <f>HYPERLINK("https://www.google.com/maps/search/?api=1&amp;query=24.6142033,46.70814639", "View Map")</f>
        <v>View Map</v>
      </c>
      <c r="G3685" s="2">
        <v>7.8627002095518775E-2</v>
      </c>
    </row>
    <row r="3686" spans="1:7" x14ac:dyDescent="0.3">
      <c r="A3686" t="s">
        <v>678</v>
      </c>
      <c r="B3686" t="s">
        <v>6387</v>
      </c>
      <c r="C3686" t="s">
        <v>21</v>
      </c>
      <c r="D3686">
        <v>2.79</v>
      </c>
      <c r="E3686">
        <v>893</v>
      </c>
      <c r="F3686" t="str">
        <f>HYPERLINK("https://www.google.com/maps/search/?api=1&amp;query=26.29853491,44.88387401", "View Map")</f>
        <v>View Map</v>
      </c>
      <c r="G3686" s="2">
        <v>0.58232721883929728</v>
      </c>
    </row>
    <row r="3687" spans="1:7" x14ac:dyDescent="0.3">
      <c r="A3687" t="s">
        <v>146</v>
      </c>
      <c r="B3687" t="s">
        <v>11489</v>
      </c>
      <c r="C3687" t="s">
        <v>55</v>
      </c>
      <c r="D3687">
        <v>2.79</v>
      </c>
      <c r="E3687">
        <v>893</v>
      </c>
      <c r="F3687" t="str">
        <f>HYPERLINK("https://www.google.com/maps/search/?api=1&amp;query=24.907252,46.429526", "View Map")</f>
        <v>View Map</v>
      </c>
    </row>
    <row r="3688" spans="1:7" x14ac:dyDescent="0.3">
      <c r="A3688" t="s">
        <v>2957</v>
      </c>
      <c r="B3688" t="s">
        <v>2958</v>
      </c>
      <c r="C3688" t="s">
        <v>214</v>
      </c>
      <c r="D3688">
        <v>2.7890000000000001</v>
      </c>
      <c r="E3688">
        <v>893</v>
      </c>
      <c r="F3688" t="str">
        <f>HYPERLINK("https://www.google.com/maps/search/?api=1&amp;query=25.89825886,45.3602935", "View Map")</f>
        <v>View Map</v>
      </c>
      <c r="G3688" s="2">
        <v>0.26368521800779871</v>
      </c>
    </row>
    <row r="3689" spans="1:7" x14ac:dyDescent="0.3">
      <c r="A3689" t="s">
        <v>8204</v>
      </c>
      <c r="B3689" t="s">
        <v>8205</v>
      </c>
      <c r="C3689" t="s">
        <v>8</v>
      </c>
      <c r="D3689">
        <v>2.7890000000000001</v>
      </c>
      <c r="E3689">
        <v>892</v>
      </c>
      <c r="F3689" t="str">
        <f>HYPERLINK("https://www.google.com/maps/search/?api=1&amp;query=24.63024458,46.84919024", "View Map")</f>
        <v>View Map</v>
      </c>
    </row>
    <row r="3690" spans="1:7" x14ac:dyDescent="0.3">
      <c r="A3690" t="s">
        <v>10656</v>
      </c>
      <c r="B3690" t="s">
        <v>10657</v>
      </c>
      <c r="C3690" t="s">
        <v>8</v>
      </c>
      <c r="D3690">
        <v>2.7879999999999998</v>
      </c>
      <c r="E3690">
        <v>892</v>
      </c>
      <c r="F3690" t="str">
        <f>HYPERLINK("https://www.google.com/maps/search/?api=1&amp;query=24.58021112,46.5639842", "View Map")</f>
        <v>View Map</v>
      </c>
    </row>
    <row r="3691" spans="1:7" x14ac:dyDescent="0.3">
      <c r="A3691" t="s">
        <v>8951</v>
      </c>
      <c r="B3691" t="s">
        <v>8952</v>
      </c>
      <c r="C3691" t="s">
        <v>30</v>
      </c>
      <c r="D3691">
        <v>2.7879999999999998</v>
      </c>
      <c r="E3691">
        <v>892</v>
      </c>
      <c r="F3691" t="str">
        <f>HYPERLINK("https://www.google.com/maps/search/?api=1&amp;query=24.11237408,47.28871727", "View Map")</f>
        <v>View Map</v>
      </c>
    </row>
    <row r="3692" spans="1:7" x14ac:dyDescent="0.3">
      <c r="A3692" t="s">
        <v>2063</v>
      </c>
      <c r="B3692" t="s">
        <v>11490</v>
      </c>
      <c r="C3692" t="s">
        <v>255</v>
      </c>
      <c r="D3692">
        <v>2.786</v>
      </c>
      <c r="E3692">
        <v>892</v>
      </c>
      <c r="F3692" t="str">
        <f>HYPERLINK("https://www.google.com/maps/search/?api=1&amp;query=24.52674395,44.40113878", "View Map")</f>
        <v>View Map</v>
      </c>
    </row>
    <row r="3693" spans="1:7" x14ac:dyDescent="0.3">
      <c r="A3693" t="s">
        <v>2076</v>
      </c>
      <c r="B3693" t="s">
        <v>7631</v>
      </c>
      <c r="C3693" t="s">
        <v>8</v>
      </c>
      <c r="D3693">
        <v>2.786</v>
      </c>
      <c r="E3693">
        <v>891</v>
      </c>
      <c r="F3693" t="str">
        <f>HYPERLINK("https://www.google.com/maps/search/?api=1&amp;query=24.57157111,46.69530164", "View Map")</f>
        <v>View Map</v>
      </c>
    </row>
    <row r="3694" spans="1:7" x14ac:dyDescent="0.3">
      <c r="A3694" t="s">
        <v>5910</v>
      </c>
      <c r="B3694" t="s">
        <v>5911</v>
      </c>
      <c r="C3694" t="s">
        <v>21</v>
      </c>
      <c r="D3694">
        <v>2.786</v>
      </c>
      <c r="E3694">
        <v>892</v>
      </c>
      <c r="F3694" t="str">
        <f>HYPERLINK("https://www.google.com/maps/search/?api=1&amp;query=26.30855288,44.82436063", "View Map")</f>
        <v>View Map</v>
      </c>
      <c r="G3694" s="2">
        <v>0.3653410917157604</v>
      </c>
    </row>
    <row r="3695" spans="1:7" x14ac:dyDescent="0.3">
      <c r="A3695" t="s">
        <v>6077</v>
      </c>
      <c r="B3695" t="s">
        <v>6078</v>
      </c>
      <c r="C3695" t="s">
        <v>8</v>
      </c>
      <c r="D3695">
        <v>2.7850000000000001</v>
      </c>
      <c r="E3695">
        <v>891</v>
      </c>
      <c r="F3695" t="str">
        <f>HYPERLINK("https://www.google.com/maps/search/?api=1&amp;query=24.5760346,46.67445151", "View Map")</f>
        <v>View Map</v>
      </c>
    </row>
    <row r="3696" spans="1:7" x14ac:dyDescent="0.3">
      <c r="A3696" t="s">
        <v>7566</v>
      </c>
      <c r="B3696" t="s">
        <v>7567</v>
      </c>
      <c r="C3696" t="s">
        <v>214</v>
      </c>
      <c r="D3696">
        <v>2.7850000000000001</v>
      </c>
      <c r="E3696">
        <v>891</v>
      </c>
      <c r="F3696" t="str">
        <f>HYPERLINK("https://www.google.com/maps/search/?api=1&amp;query=25.90771261,45.36668735", "View Map")</f>
        <v>View Map</v>
      </c>
      <c r="G3696" s="2">
        <v>0.47861934573597431</v>
      </c>
    </row>
    <row r="3697" spans="1:7" x14ac:dyDescent="0.3">
      <c r="A3697" t="s">
        <v>146</v>
      </c>
      <c r="B3697" t="s">
        <v>283</v>
      </c>
      <c r="C3697" t="s">
        <v>8</v>
      </c>
      <c r="D3697">
        <v>2.7839999999999998</v>
      </c>
      <c r="E3697">
        <v>891</v>
      </c>
      <c r="F3697" t="str">
        <f>HYPERLINK("https://www.google.com/maps/search/?api=1&amp;query=24.51386838,46.68149558", "View Map")</f>
        <v>View Map</v>
      </c>
      <c r="G3697" s="2">
        <v>9.0944091350692216E-2</v>
      </c>
    </row>
    <row r="3698" spans="1:7" x14ac:dyDescent="0.3">
      <c r="A3698" t="s">
        <v>10846</v>
      </c>
      <c r="B3698" t="s">
        <v>10847</v>
      </c>
      <c r="C3698" t="s">
        <v>8</v>
      </c>
      <c r="D3698">
        <v>2.7839999999999998</v>
      </c>
      <c r="E3698">
        <v>891</v>
      </c>
      <c r="F3698" t="str">
        <f>HYPERLINK("https://www.google.com/maps/search/?api=1&amp;query=24.6397,46.7139", "View Map")</f>
        <v>View Map</v>
      </c>
    </row>
    <row r="3699" spans="1:7" x14ac:dyDescent="0.3">
      <c r="A3699" t="s">
        <v>6524</v>
      </c>
      <c r="B3699" t="s">
        <v>6525</v>
      </c>
      <c r="C3699" t="s">
        <v>8</v>
      </c>
      <c r="D3699">
        <v>2.7839999999999998</v>
      </c>
      <c r="E3699">
        <v>891</v>
      </c>
      <c r="F3699" t="str">
        <f>HYPERLINK("https://www.google.com/maps/search/?api=1&amp;query=24.62456792,46.71668478", "View Map")</f>
        <v>View Map</v>
      </c>
    </row>
    <row r="3700" spans="1:7" x14ac:dyDescent="0.3">
      <c r="A3700" t="s">
        <v>380</v>
      </c>
      <c r="B3700" t="s">
        <v>6015</v>
      </c>
      <c r="C3700" t="s">
        <v>214</v>
      </c>
      <c r="D3700">
        <v>2.7839999999999998</v>
      </c>
      <c r="E3700">
        <v>891</v>
      </c>
      <c r="F3700" t="str">
        <f>HYPERLINK("https://www.google.com/maps/search/?api=1&amp;query=25.71852347,45.85190797", "View Map")</f>
        <v>View Map</v>
      </c>
      <c r="G3700" s="2">
        <v>0.62930938834810868</v>
      </c>
    </row>
    <row r="3701" spans="1:7" x14ac:dyDescent="0.3">
      <c r="A3701" t="s">
        <v>8554</v>
      </c>
      <c r="B3701" t="s">
        <v>8555</v>
      </c>
      <c r="C3701" t="s">
        <v>291</v>
      </c>
      <c r="D3701">
        <v>2.7829999999999999</v>
      </c>
      <c r="E3701">
        <v>891</v>
      </c>
      <c r="F3701" t="str">
        <f>HYPERLINK("https://www.google.com/maps/search/?api=1&amp;query=24.34722966,45.83066239", "View Map")</f>
        <v>View Map</v>
      </c>
    </row>
    <row r="3702" spans="1:7" x14ac:dyDescent="0.3">
      <c r="A3702" t="s">
        <v>9337</v>
      </c>
      <c r="B3702" t="s">
        <v>9338</v>
      </c>
      <c r="C3702" t="s">
        <v>699</v>
      </c>
      <c r="D3702">
        <v>2.782</v>
      </c>
      <c r="E3702">
        <v>890</v>
      </c>
      <c r="F3702" t="str">
        <f>HYPERLINK("https://www.google.com/maps/search/?api=1&amp;query=25.16426456,45.39267307", "View Map")</f>
        <v>View Map</v>
      </c>
      <c r="G3702" s="2">
        <v>0.84926739926739936</v>
      </c>
    </row>
    <row r="3703" spans="1:7" x14ac:dyDescent="0.3">
      <c r="A3703" t="s">
        <v>146</v>
      </c>
      <c r="B3703" t="s">
        <v>10034</v>
      </c>
      <c r="C3703" t="s">
        <v>820</v>
      </c>
      <c r="D3703">
        <v>2.782</v>
      </c>
      <c r="E3703">
        <v>890</v>
      </c>
      <c r="F3703" t="str">
        <f>HYPERLINK("https://www.google.com/maps/search/?api=1&amp;query=0.0,0.0", "View Map")</f>
        <v>View Map</v>
      </c>
    </row>
    <row r="3704" spans="1:7" x14ac:dyDescent="0.3">
      <c r="A3704" t="s">
        <v>7124</v>
      </c>
      <c r="B3704" t="s">
        <v>7125</v>
      </c>
      <c r="C3704" t="s">
        <v>291</v>
      </c>
      <c r="D3704">
        <v>2.782</v>
      </c>
      <c r="E3704">
        <v>890</v>
      </c>
      <c r="F3704" t="str">
        <f>HYPERLINK("https://www.google.com/maps/search/?api=1&amp;query=24.34781892,45.83587262", "View Map")</f>
        <v>View Map</v>
      </c>
      <c r="G3704" s="2">
        <v>0.42659154986229841</v>
      </c>
    </row>
    <row r="3705" spans="1:7" x14ac:dyDescent="0.3">
      <c r="A3705" t="s">
        <v>7346</v>
      </c>
      <c r="B3705" t="s">
        <v>7347</v>
      </c>
      <c r="C3705" t="s">
        <v>8</v>
      </c>
      <c r="D3705">
        <v>2.782</v>
      </c>
      <c r="E3705">
        <v>890</v>
      </c>
      <c r="F3705" t="str">
        <f>HYPERLINK("https://www.google.com/maps/search/?api=1&amp;query=24.78753967,46.67607239", "View Map")</f>
        <v>View Map</v>
      </c>
    </row>
    <row r="3706" spans="1:7" x14ac:dyDescent="0.3">
      <c r="A3706" t="s">
        <v>717</v>
      </c>
      <c r="B3706" t="s">
        <v>6887</v>
      </c>
      <c r="C3706" t="s">
        <v>255</v>
      </c>
      <c r="D3706">
        <v>2.782</v>
      </c>
      <c r="E3706">
        <v>890</v>
      </c>
      <c r="F3706" t="str">
        <f>HYPERLINK("https://www.google.com/maps/search/?api=1&amp;query=24.53839163,44.41077419", "View Map")</f>
        <v>View Map</v>
      </c>
      <c r="G3706" s="2">
        <v>0.53757181618506134</v>
      </c>
    </row>
    <row r="3707" spans="1:7" x14ac:dyDescent="0.3">
      <c r="A3707" t="s">
        <v>46</v>
      </c>
      <c r="B3707" t="s">
        <v>3235</v>
      </c>
      <c r="C3707" t="s">
        <v>8</v>
      </c>
      <c r="D3707">
        <v>2.782</v>
      </c>
      <c r="E3707">
        <v>890</v>
      </c>
      <c r="F3707" t="str">
        <f>HYPERLINK("https://www.google.com/maps/search/?api=1&amp;query=24.87410778,46.61739178", "View Map")</f>
        <v>View Map</v>
      </c>
    </row>
    <row r="3708" spans="1:7" x14ac:dyDescent="0.3">
      <c r="A3708" t="s">
        <v>11153</v>
      </c>
      <c r="B3708" t="s">
        <v>11154</v>
      </c>
      <c r="C3708" t="s">
        <v>30</v>
      </c>
      <c r="D3708">
        <v>2.7789999999999999</v>
      </c>
      <c r="E3708">
        <v>889</v>
      </c>
      <c r="F3708" t="str">
        <f>HYPERLINK("https://www.google.com/maps/search/?api=1&amp;query=24.21638332,47.32697028", "View Map")</f>
        <v>View Map</v>
      </c>
      <c r="G3708" s="2">
        <v>0.74248257393955541</v>
      </c>
    </row>
    <row r="3709" spans="1:7" x14ac:dyDescent="0.3">
      <c r="A3709" t="s">
        <v>6225</v>
      </c>
      <c r="B3709" t="s">
        <v>6226</v>
      </c>
      <c r="C3709" t="s">
        <v>8</v>
      </c>
      <c r="D3709">
        <v>2.7789999999999999</v>
      </c>
      <c r="E3709">
        <v>889</v>
      </c>
      <c r="F3709" t="str">
        <f>HYPERLINK("https://www.google.com/maps/search/?api=1&amp;query=24.57918164,46.70997718", "View Map")</f>
        <v>View Map</v>
      </c>
    </row>
    <row r="3710" spans="1:7" x14ac:dyDescent="0.3">
      <c r="A3710" t="s">
        <v>289</v>
      </c>
      <c r="B3710" t="s">
        <v>6754</v>
      </c>
      <c r="C3710" t="s">
        <v>393</v>
      </c>
      <c r="D3710">
        <v>2.7789999999999999</v>
      </c>
      <c r="E3710">
        <v>889</v>
      </c>
      <c r="F3710" t="str">
        <f>HYPERLINK("https://www.google.com/maps/search/?api=1&amp;query=22.51474677,44.79891135", "View Map")</f>
        <v>View Map</v>
      </c>
      <c r="G3710" s="2">
        <v>0.808332830601033</v>
      </c>
    </row>
    <row r="3711" spans="1:7" x14ac:dyDescent="0.3">
      <c r="A3711" t="s">
        <v>10771</v>
      </c>
      <c r="B3711" t="s">
        <v>10772</v>
      </c>
      <c r="C3711" t="s">
        <v>393</v>
      </c>
      <c r="D3711">
        <v>2.7789999999999999</v>
      </c>
      <c r="E3711">
        <v>889</v>
      </c>
      <c r="F3711" t="str">
        <f>HYPERLINK("https://www.google.com/maps/search/?api=1&amp;query=23.49517153,45.522449", "View Map")</f>
        <v>View Map</v>
      </c>
      <c r="G3711" s="2">
        <v>0.62655438886306036</v>
      </c>
    </row>
    <row r="3712" spans="1:7" x14ac:dyDescent="0.3">
      <c r="A3712" t="s">
        <v>4522</v>
      </c>
      <c r="B3712" t="s">
        <v>8940</v>
      </c>
      <c r="C3712" t="s">
        <v>8</v>
      </c>
      <c r="D3712">
        <v>2.778</v>
      </c>
      <c r="E3712">
        <v>889</v>
      </c>
      <c r="F3712" t="str">
        <f>HYPERLINK("https://www.google.com/maps/search/?api=1&amp;query=24.68012154,46.74429679", "View Map")</f>
        <v>View Map</v>
      </c>
    </row>
    <row r="3713" spans="1:7" x14ac:dyDescent="0.3">
      <c r="A3713" t="s">
        <v>7533</v>
      </c>
      <c r="B3713" t="s">
        <v>7534</v>
      </c>
      <c r="C3713" t="s">
        <v>214</v>
      </c>
      <c r="D3713">
        <v>2.7759999999999998</v>
      </c>
      <c r="E3713">
        <v>888</v>
      </c>
      <c r="F3713" t="str">
        <f>HYPERLINK("https://www.google.com/maps/search/?api=1&amp;query=25.67305151,45.45895749", "View Map")</f>
        <v>View Map</v>
      </c>
      <c r="G3713" s="2">
        <v>0.58840018557034213</v>
      </c>
    </row>
    <row r="3714" spans="1:7" x14ac:dyDescent="0.3">
      <c r="A3714" t="s">
        <v>4564</v>
      </c>
      <c r="B3714" t="s">
        <v>9761</v>
      </c>
      <c r="C3714" t="s">
        <v>8</v>
      </c>
      <c r="D3714">
        <v>2.7759999999999998</v>
      </c>
      <c r="E3714">
        <v>888</v>
      </c>
      <c r="F3714" t="str">
        <f>HYPERLINK("https://www.google.com/maps/search/?api=1&amp;query=24.54147704,46.71398818", "View Map")</f>
        <v>View Map</v>
      </c>
    </row>
    <row r="3715" spans="1:7" x14ac:dyDescent="0.3">
      <c r="A3715" t="s">
        <v>4163</v>
      </c>
      <c r="B3715" t="s">
        <v>4164</v>
      </c>
      <c r="C3715" t="s">
        <v>8</v>
      </c>
      <c r="D3715">
        <v>2.7730000000000001</v>
      </c>
      <c r="E3715">
        <v>887</v>
      </c>
      <c r="F3715" t="str">
        <f>HYPERLINK("https://www.google.com/maps/search/?api=1&amp;query=24.74237798,46.77347398", "View Map")</f>
        <v>View Map</v>
      </c>
    </row>
    <row r="3716" spans="1:7" x14ac:dyDescent="0.3">
      <c r="A3716" t="s">
        <v>9483</v>
      </c>
      <c r="B3716" t="s">
        <v>9484</v>
      </c>
      <c r="C3716" t="s">
        <v>77</v>
      </c>
      <c r="D3716">
        <v>2.7730000000000001</v>
      </c>
      <c r="E3716">
        <v>887</v>
      </c>
      <c r="F3716" t="str">
        <f>HYPERLINK("https://www.google.com/maps/search/?api=1&amp;query=22.29316684,46.70657369", "View Map")</f>
        <v>View Map</v>
      </c>
    </row>
    <row r="3717" spans="1:7" x14ac:dyDescent="0.3">
      <c r="A3717" t="s">
        <v>1275</v>
      </c>
      <c r="B3717" t="s">
        <v>5798</v>
      </c>
      <c r="C3717" t="s">
        <v>8</v>
      </c>
      <c r="D3717">
        <v>2.7719999999999998</v>
      </c>
      <c r="E3717">
        <v>887</v>
      </c>
      <c r="F3717" t="str">
        <f>HYPERLINK("https://www.google.com/maps/search/?api=1&amp;query=24.73308272,46.79633338", "View Map")</f>
        <v>View Map</v>
      </c>
    </row>
    <row r="3718" spans="1:7" x14ac:dyDescent="0.3">
      <c r="A3718" t="s">
        <v>146</v>
      </c>
      <c r="B3718" t="s">
        <v>9691</v>
      </c>
      <c r="C3718" t="s">
        <v>8</v>
      </c>
      <c r="D3718">
        <v>2.7719999999999998</v>
      </c>
      <c r="E3718">
        <v>887</v>
      </c>
      <c r="F3718" t="str">
        <f>HYPERLINK("https://www.google.com/maps/search/?api=1&amp;query=24.4853788,46.62547786", "View Map")</f>
        <v>View Map</v>
      </c>
    </row>
    <row r="3719" spans="1:7" x14ac:dyDescent="0.3">
      <c r="A3719" t="s">
        <v>678</v>
      </c>
      <c r="B3719" t="s">
        <v>8713</v>
      </c>
      <c r="C3719" t="s">
        <v>21</v>
      </c>
      <c r="D3719">
        <v>2.7719999999999998</v>
      </c>
      <c r="E3719">
        <v>887</v>
      </c>
      <c r="F3719" t="str">
        <f>HYPERLINK("https://www.google.com/maps/search/?api=1&amp;query=26.33586435,44.81399407", "View Map")</f>
        <v>View Map</v>
      </c>
      <c r="G3719" s="2">
        <v>0.48681667101595433</v>
      </c>
    </row>
    <row r="3720" spans="1:7" x14ac:dyDescent="0.3">
      <c r="A3720" t="s">
        <v>9602</v>
      </c>
      <c r="B3720" t="s">
        <v>9603</v>
      </c>
      <c r="C3720" t="s">
        <v>8</v>
      </c>
      <c r="D3720">
        <v>2.7709999999999999</v>
      </c>
      <c r="E3720">
        <v>887</v>
      </c>
      <c r="F3720" t="str">
        <f>HYPERLINK("https://www.google.com/maps/search/?api=1&amp;query=24.57156322,46.72718948", "View Map")</f>
        <v>View Map</v>
      </c>
      <c r="G3720" s="2">
        <v>0.64374969612457933</v>
      </c>
    </row>
    <row r="3721" spans="1:7" x14ac:dyDescent="0.3">
      <c r="A3721" t="s">
        <v>6828</v>
      </c>
      <c r="B3721" t="s">
        <v>6829</v>
      </c>
      <c r="C3721" t="s">
        <v>214</v>
      </c>
      <c r="D3721">
        <v>2.77</v>
      </c>
      <c r="E3721">
        <v>886</v>
      </c>
      <c r="F3721" t="str">
        <f>HYPERLINK("https://www.google.com/maps/search/?api=1&amp;query=25.60195915,45.61541969", "View Map")</f>
        <v>View Map</v>
      </c>
      <c r="G3721" s="2">
        <v>0.73272063989451963</v>
      </c>
    </row>
    <row r="3722" spans="1:7" x14ac:dyDescent="0.3">
      <c r="A3722" t="s">
        <v>10517</v>
      </c>
      <c r="B3722" t="s">
        <v>11491</v>
      </c>
      <c r="C3722" t="s">
        <v>8</v>
      </c>
      <c r="D3722">
        <v>2.77</v>
      </c>
      <c r="E3722">
        <v>887</v>
      </c>
      <c r="F3722" t="str">
        <f>HYPERLINK("https://www.google.com/maps/search/?api=1&amp;query=24.62312216,46.54084192", "View Map")</f>
        <v>View Map</v>
      </c>
    </row>
    <row r="3723" spans="1:7" x14ac:dyDescent="0.3">
      <c r="A3723" t="s">
        <v>46</v>
      </c>
      <c r="B3723" t="s">
        <v>7736</v>
      </c>
      <c r="C3723" t="s">
        <v>8</v>
      </c>
      <c r="D3723">
        <v>2.77</v>
      </c>
      <c r="E3723">
        <v>886</v>
      </c>
      <c r="F3723" t="str">
        <f>HYPERLINK("https://www.google.com/maps/search/?api=1&amp;query=24.86294256,46.62975305", "View Map")</f>
        <v>View Map</v>
      </c>
    </row>
    <row r="3724" spans="1:7" x14ac:dyDescent="0.3">
      <c r="A3724" t="s">
        <v>10940</v>
      </c>
      <c r="B3724" t="s">
        <v>10941</v>
      </c>
      <c r="C3724" t="s">
        <v>466</v>
      </c>
      <c r="D3724">
        <v>2.77</v>
      </c>
      <c r="E3724">
        <v>886</v>
      </c>
      <c r="F3724" t="str">
        <f>HYPERLINK("https://www.google.com/maps/search/?api=1&amp;query=24.59091676,46.13688909", "View Map")</f>
        <v>View Map</v>
      </c>
    </row>
    <row r="3725" spans="1:7" x14ac:dyDescent="0.3">
      <c r="A3725" t="s">
        <v>678</v>
      </c>
      <c r="B3725" t="s">
        <v>6487</v>
      </c>
      <c r="C3725" t="s">
        <v>21</v>
      </c>
      <c r="D3725">
        <v>2.7679999999999998</v>
      </c>
      <c r="E3725">
        <v>886</v>
      </c>
      <c r="F3725" t="str">
        <f>HYPERLINK("https://www.google.com/maps/search/?api=1&amp;query=26.32116351,44.89629414", "View Map")</f>
        <v>View Map</v>
      </c>
      <c r="G3725" s="2">
        <v>0.49839249101724992</v>
      </c>
    </row>
    <row r="3726" spans="1:7" x14ac:dyDescent="0.3">
      <c r="A3726" t="s">
        <v>433</v>
      </c>
      <c r="B3726" t="s">
        <v>7422</v>
      </c>
      <c r="C3726" t="s">
        <v>137</v>
      </c>
      <c r="D3726">
        <v>2.7669999999999999</v>
      </c>
      <c r="E3726">
        <v>885</v>
      </c>
      <c r="F3726" t="str">
        <f>HYPERLINK("https://www.google.com/maps/search/?api=1&amp;query=23.19956041,46.44972739", "View Map")</f>
        <v>View Map</v>
      </c>
      <c r="G3726" s="2">
        <v>0.63276896029914653</v>
      </c>
    </row>
    <row r="3727" spans="1:7" x14ac:dyDescent="0.3">
      <c r="A3727" t="s">
        <v>46</v>
      </c>
      <c r="B3727" t="s">
        <v>11492</v>
      </c>
      <c r="C3727" t="s">
        <v>8</v>
      </c>
      <c r="D3727">
        <v>2.766</v>
      </c>
      <c r="E3727">
        <v>885</v>
      </c>
      <c r="F3727" t="str">
        <f>HYPERLINK("https://www.google.com/maps/search/?api=1&amp;query=24.69704578,46.6245803", "View Map")</f>
        <v>View Map</v>
      </c>
    </row>
    <row r="3728" spans="1:7" x14ac:dyDescent="0.3">
      <c r="A3728" t="s">
        <v>5093</v>
      </c>
      <c r="B3728" t="s">
        <v>5094</v>
      </c>
      <c r="C3728" t="s">
        <v>255</v>
      </c>
      <c r="D3728">
        <v>2.7650000000000001</v>
      </c>
      <c r="E3728">
        <v>885</v>
      </c>
      <c r="F3728" t="str">
        <f>HYPERLINK("https://www.google.com/maps/search/?api=1&amp;query=24.27177365,43.70090151", "View Map")</f>
        <v>View Map</v>
      </c>
      <c r="G3728" s="2">
        <v>0.41669311034422041</v>
      </c>
    </row>
    <row r="3729" spans="1:7" x14ac:dyDescent="0.3">
      <c r="A3729" t="s">
        <v>7410</v>
      </c>
      <c r="B3729" t="s">
        <v>7411</v>
      </c>
      <c r="C3729" t="s">
        <v>286</v>
      </c>
      <c r="D3729">
        <v>2.7650000000000001</v>
      </c>
      <c r="E3729">
        <v>885</v>
      </c>
      <c r="F3729" t="str">
        <f>HYPERLINK("https://www.google.com/maps/search/?api=1&amp;query=25.33741741,45.17638344", "View Map")</f>
        <v>View Map</v>
      </c>
      <c r="G3729" s="2">
        <v>0.65342119080075334</v>
      </c>
    </row>
    <row r="3730" spans="1:7" x14ac:dyDescent="0.3">
      <c r="A3730" t="s">
        <v>275</v>
      </c>
      <c r="B3730" t="s">
        <v>9464</v>
      </c>
      <c r="C3730" t="s">
        <v>8</v>
      </c>
      <c r="D3730">
        <v>2.7629999999999999</v>
      </c>
      <c r="E3730">
        <v>884</v>
      </c>
      <c r="F3730" t="str">
        <f>HYPERLINK("https://www.google.com/maps/search/?api=1&amp;query=24.76762151,46.73791755", "View Map")</f>
        <v>View Map</v>
      </c>
      <c r="G3730" s="2">
        <v>0.65120848562035971</v>
      </c>
    </row>
    <row r="3731" spans="1:7" x14ac:dyDescent="0.3">
      <c r="A3731" t="s">
        <v>11493</v>
      </c>
      <c r="B3731" t="s">
        <v>11494</v>
      </c>
      <c r="C3731" t="s">
        <v>8</v>
      </c>
      <c r="D3731">
        <v>2.7629999999999999</v>
      </c>
      <c r="E3731">
        <v>884</v>
      </c>
      <c r="F3731" t="str">
        <f>HYPERLINK("https://www.google.com/maps/search/?api=1&amp;query=24.6145666,46.70212435", "View Map")</f>
        <v>View Map</v>
      </c>
    </row>
    <row r="3732" spans="1:7" x14ac:dyDescent="0.3">
      <c r="A3732" t="s">
        <v>6145</v>
      </c>
      <c r="B3732" t="s">
        <v>6146</v>
      </c>
      <c r="C3732" t="s">
        <v>30</v>
      </c>
      <c r="D3732">
        <v>2.7629999999999999</v>
      </c>
      <c r="E3732">
        <v>884</v>
      </c>
      <c r="F3732" t="str">
        <f>HYPERLINK("https://www.google.com/maps/search/?api=1&amp;query=24.13978532,47.3646524", "View Map")</f>
        <v>View Map</v>
      </c>
      <c r="G3732" s="2">
        <v>0.4183779244878536</v>
      </c>
    </row>
    <row r="3733" spans="1:7" x14ac:dyDescent="0.3">
      <c r="A3733" t="s">
        <v>7050</v>
      </c>
      <c r="B3733" t="s">
        <v>7051</v>
      </c>
      <c r="C3733" t="s">
        <v>214</v>
      </c>
      <c r="D3733">
        <v>2.7629999999999999</v>
      </c>
      <c r="E3733">
        <v>884</v>
      </c>
      <c r="F3733" t="str">
        <f>HYPERLINK("https://www.google.com/maps/search/?api=1&amp;query=25.71867485,45.85883406", "View Map")</f>
        <v>View Map</v>
      </c>
      <c r="G3733" s="2">
        <v>0.75608617515843068</v>
      </c>
    </row>
    <row r="3734" spans="1:7" x14ac:dyDescent="0.3">
      <c r="A3734" t="s">
        <v>719</v>
      </c>
      <c r="B3734" t="s">
        <v>10064</v>
      </c>
      <c r="C3734" t="s">
        <v>8</v>
      </c>
      <c r="D3734">
        <v>2.7629999999999999</v>
      </c>
      <c r="E3734">
        <v>884</v>
      </c>
      <c r="F3734" t="str">
        <f>HYPERLINK("https://www.google.com/maps/search/?api=1&amp;query=24.65333946,46.8200158", "View Map")</f>
        <v>View Map</v>
      </c>
    </row>
    <row r="3735" spans="1:7" x14ac:dyDescent="0.3">
      <c r="A3735" t="s">
        <v>6595</v>
      </c>
      <c r="B3735" t="s">
        <v>6596</v>
      </c>
      <c r="C3735" t="s">
        <v>77</v>
      </c>
      <c r="D3735">
        <v>2.7629999999999999</v>
      </c>
      <c r="E3735">
        <v>884</v>
      </c>
      <c r="F3735" t="str">
        <f>HYPERLINK("https://www.google.com/maps/search/?api=1&amp;query=22.43631998,46.18400359", "View Map")</f>
        <v>View Map</v>
      </c>
      <c r="G3735" s="2">
        <v>0.69962561916226607</v>
      </c>
    </row>
    <row r="3736" spans="1:7" x14ac:dyDescent="0.3">
      <c r="A3736" t="s">
        <v>5201</v>
      </c>
      <c r="B3736" t="s">
        <v>5202</v>
      </c>
      <c r="C3736" t="s">
        <v>8</v>
      </c>
      <c r="D3736">
        <v>2.762</v>
      </c>
      <c r="E3736">
        <v>884</v>
      </c>
      <c r="F3736" t="str">
        <f>HYPERLINK("https://www.google.com/maps/search/?api=1&amp;query=24.62950581,46.67881737", "View Map")</f>
        <v>View Map</v>
      </c>
    </row>
    <row r="3737" spans="1:7" x14ac:dyDescent="0.3">
      <c r="A3737" t="s">
        <v>5109</v>
      </c>
      <c r="B3737" t="s">
        <v>5110</v>
      </c>
      <c r="C3737" t="s">
        <v>8</v>
      </c>
      <c r="D3737">
        <v>2.762</v>
      </c>
      <c r="E3737">
        <v>884</v>
      </c>
      <c r="F3737" t="str">
        <f>HYPERLINK("https://www.google.com/maps/search/?api=1&amp;query=24.58376196,46.76947643", "View Map")</f>
        <v>View Map</v>
      </c>
    </row>
    <row r="3738" spans="1:7" x14ac:dyDescent="0.3">
      <c r="A3738" t="s">
        <v>46</v>
      </c>
      <c r="B3738" t="s">
        <v>4663</v>
      </c>
      <c r="C3738" t="s">
        <v>8</v>
      </c>
      <c r="D3738">
        <v>2.76</v>
      </c>
      <c r="E3738">
        <v>883</v>
      </c>
      <c r="F3738" t="str">
        <f>HYPERLINK("https://www.google.com/maps/search/?api=1&amp;query=24.85478018,46.62643913", "View Map")</f>
        <v>View Map</v>
      </c>
    </row>
    <row r="3739" spans="1:7" x14ac:dyDescent="0.3">
      <c r="A3739" t="s">
        <v>7013</v>
      </c>
      <c r="B3739" t="s">
        <v>7014</v>
      </c>
      <c r="C3739" t="s">
        <v>738</v>
      </c>
      <c r="D3739">
        <v>2.76</v>
      </c>
      <c r="E3739">
        <v>883</v>
      </c>
      <c r="F3739" t="str">
        <f>HYPERLINK("https://www.google.com/maps/search/?api=1&amp;query=25.16980664,46.32993704", "View Map")</f>
        <v>View Map</v>
      </c>
      <c r="G3739" s="2">
        <v>0.39677481893429661</v>
      </c>
    </row>
    <row r="3740" spans="1:7" x14ac:dyDescent="0.3">
      <c r="A3740" t="s">
        <v>411</v>
      </c>
      <c r="B3740" t="s">
        <v>5644</v>
      </c>
      <c r="C3740" t="s">
        <v>77</v>
      </c>
      <c r="D3740">
        <v>2.76</v>
      </c>
      <c r="E3740">
        <v>883</v>
      </c>
      <c r="F3740" t="str">
        <f>HYPERLINK("https://www.google.com/maps/search/?api=1&amp;query=22.32944272,46.71955435", "View Map")</f>
        <v>View Map</v>
      </c>
      <c r="G3740" s="2">
        <v>0.49642334619659417</v>
      </c>
    </row>
    <row r="3741" spans="1:7" x14ac:dyDescent="0.3">
      <c r="A3741" t="s">
        <v>8506</v>
      </c>
      <c r="B3741" t="s">
        <v>8507</v>
      </c>
      <c r="C3741" t="s">
        <v>8</v>
      </c>
      <c r="D3741">
        <v>2.7589999999999999</v>
      </c>
      <c r="E3741">
        <v>883</v>
      </c>
      <c r="F3741" t="str">
        <f>HYPERLINK("https://www.google.com/maps/search/?api=1&amp;query=24.56715007,46.68533647", "View Map")</f>
        <v>View Map</v>
      </c>
    </row>
    <row r="3742" spans="1:7" x14ac:dyDescent="0.3">
      <c r="A3742" t="s">
        <v>146</v>
      </c>
      <c r="B3742" t="s">
        <v>10210</v>
      </c>
      <c r="C3742" t="s">
        <v>8</v>
      </c>
      <c r="D3742">
        <v>2.7589999999999999</v>
      </c>
      <c r="E3742">
        <v>883</v>
      </c>
      <c r="F3742" t="str">
        <f>HYPERLINK("https://www.google.com/maps/search/?api=1&amp;query=24.55938506,46.59043477", "View Map")</f>
        <v>View Map</v>
      </c>
    </row>
    <row r="3743" spans="1:7" x14ac:dyDescent="0.3">
      <c r="A3743" t="s">
        <v>146</v>
      </c>
      <c r="B3743" t="s">
        <v>7838</v>
      </c>
      <c r="C3743" t="s">
        <v>8</v>
      </c>
      <c r="D3743">
        <v>2.758</v>
      </c>
      <c r="E3743">
        <v>882</v>
      </c>
      <c r="F3743" t="str">
        <f>HYPERLINK("https://www.google.com/maps/search/?api=1&amp;query=24.59889249,46.61894146", "View Map")</f>
        <v>View Map</v>
      </c>
    </row>
    <row r="3744" spans="1:7" x14ac:dyDescent="0.3">
      <c r="A3744" t="s">
        <v>46</v>
      </c>
      <c r="B3744" t="s">
        <v>2876</v>
      </c>
      <c r="C3744" t="s">
        <v>8</v>
      </c>
      <c r="D3744">
        <v>2.7570000000000001</v>
      </c>
      <c r="E3744">
        <v>882</v>
      </c>
      <c r="F3744" t="str">
        <f>HYPERLINK("https://www.google.com/maps/search/?api=1&amp;query=24.75990983,46.80886356", "View Map")</f>
        <v>View Map</v>
      </c>
    </row>
    <row r="3745" spans="1:7" x14ac:dyDescent="0.3">
      <c r="A3745" t="s">
        <v>73</v>
      </c>
      <c r="B3745" t="s">
        <v>6822</v>
      </c>
      <c r="C3745" t="s">
        <v>8</v>
      </c>
      <c r="D3745">
        <v>2.7559999999999998</v>
      </c>
      <c r="E3745">
        <v>882</v>
      </c>
      <c r="F3745" t="str">
        <f>HYPERLINK("https://www.google.com/maps/search/?api=1&amp;query=24.79599343,46.60470606", "View Map")</f>
        <v>View Map</v>
      </c>
    </row>
    <row r="3746" spans="1:7" x14ac:dyDescent="0.3">
      <c r="A3746" t="s">
        <v>73</v>
      </c>
      <c r="B3746" t="s">
        <v>10949</v>
      </c>
      <c r="C3746" t="s">
        <v>8</v>
      </c>
      <c r="D3746">
        <v>2.7559999999999998</v>
      </c>
      <c r="E3746">
        <v>882</v>
      </c>
      <c r="F3746" t="str">
        <f>HYPERLINK("https://www.google.com/maps/search/?api=1&amp;query=24.69038778,46.83608904", "View Map")</f>
        <v>View Map</v>
      </c>
      <c r="G3746" s="2">
        <v>0.48950743291771742</v>
      </c>
    </row>
    <row r="3747" spans="1:7" x14ac:dyDescent="0.3">
      <c r="A3747" t="s">
        <v>3910</v>
      </c>
      <c r="B3747" t="s">
        <v>3911</v>
      </c>
      <c r="C3747" t="s">
        <v>8</v>
      </c>
      <c r="D3747">
        <v>2.7549999999999999</v>
      </c>
      <c r="E3747">
        <v>882</v>
      </c>
      <c r="F3747" t="str">
        <f>HYPERLINK("https://www.google.com/maps/search/?api=1&amp;query=24.4879257,46.6221174", "View Map")</f>
        <v>View Map</v>
      </c>
    </row>
    <row r="3748" spans="1:7" x14ac:dyDescent="0.3">
      <c r="A3748" t="s">
        <v>1262</v>
      </c>
      <c r="B3748" t="s">
        <v>7139</v>
      </c>
      <c r="C3748" t="s">
        <v>8</v>
      </c>
      <c r="D3748">
        <v>2.754</v>
      </c>
      <c r="E3748">
        <v>881</v>
      </c>
      <c r="F3748" t="str">
        <f>HYPERLINK("https://www.google.com/maps/search/?api=1&amp;query=24.7624132,46.83222347", "View Map")</f>
        <v>View Map</v>
      </c>
    </row>
    <row r="3749" spans="1:7" x14ac:dyDescent="0.3">
      <c r="A3749" t="s">
        <v>5309</v>
      </c>
      <c r="B3749" t="s">
        <v>5310</v>
      </c>
      <c r="C3749" t="s">
        <v>8</v>
      </c>
      <c r="D3749">
        <v>2.7519999999999998</v>
      </c>
      <c r="E3749">
        <v>881</v>
      </c>
      <c r="F3749" t="str">
        <f>HYPERLINK("https://www.google.com/maps/search/?api=1&amp;query=24.63341338,46.68545423", "View Map")</f>
        <v>View Map</v>
      </c>
      <c r="G3749" s="2">
        <v>0.35421415761669162</v>
      </c>
    </row>
    <row r="3750" spans="1:7" x14ac:dyDescent="0.3">
      <c r="A3750" t="s">
        <v>6613</v>
      </c>
      <c r="B3750" t="s">
        <v>6614</v>
      </c>
      <c r="C3750" t="s">
        <v>8</v>
      </c>
      <c r="D3750">
        <v>2.7519999999999998</v>
      </c>
      <c r="E3750">
        <v>881</v>
      </c>
      <c r="F3750" t="str">
        <f>HYPERLINK("https://www.google.com/maps/search/?api=1&amp;query=24.82287554,46.8130742", "View Map")</f>
        <v>View Map</v>
      </c>
    </row>
    <row r="3751" spans="1:7" x14ac:dyDescent="0.3">
      <c r="A3751" t="s">
        <v>9950</v>
      </c>
      <c r="B3751" t="s">
        <v>9951</v>
      </c>
      <c r="C3751" t="s">
        <v>8</v>
      </c>
      <c r="D3751">
        <v>2.7509999999999999</v>
      </c>
      <c r="E3751">
        <v>880</v>
      </c>
      <c r="F3751" t="str">
        <f>HYPERLINK("https://www.google.com/maps/search/?api=1&amp;query=24.53020796,46.7136984", "View Map")</f>
        <v>View Map</v>
      </c>
    </row>
    <row r="3752" spans="1:7" x14ac:dyDescent="0.3">
      <c r="A3752" t="s">
        <v>6025</v>
      </c>
      <c r="B3752" t="s">
        <v>6026</v>
      </c>
      <c r="C3752" t="s">
        <v>8</v>
      </c>
      <c r="D3752">
        <v>2.75</v>
      </c>
      <c r="E3752">
        <v>880</v>
      </c>
      <c r="F3752" t="str">
        <f>HYPERLINK("https://www.google.com/maps/search/?api=1&amp;query=24.68752239,46.81156908", "View Map")</f>
        <v>View Map</v>
      </c>
    </row>
    <row r="3753" spans="1:7" x14ac:dyDescent="0.3">
      <c r="A3753" t="s">
        <v>2076</v>
      </c>
      <c r="B3753" t="s">
        <v>5896</v>
      </c>
      <c r="C3753" t="s">
        <v>8</v>
      </c>
      <c r="D3753">
        <v>2.75</v>
      </c>
      <c r="E3753">
        <v>880</v>
      </c>
      <c r="F3753" t="str">
        <f>HYPERLINK("https://www.google.com/maps/search/?api=1&amp;query=24.5652924,46.70181754", "View Map")</f>
        <v>View Map</v>
      </c>
    </row>
    <row r="3754" spans="1:7" x14ac:dyDescent="0.3">
      <c r="A3754" t="s">
        <v>5734</v>
      </c>
      <c r="B3754" t="s">
        <v>5735</v>
      </c>
      <c r="C3754" t="s">
        <v>214</v>
      </c>
      <c r="D3754">
        <v>2.75</v>
      </c>
      <c r="E3754">
        <v>880</v>
      </c>
      <c r="F3754" t="str">
        <f>HYPERLINK("https://www.google.com/maps/search/?api=1&amp;query=25.90223651,45.36848509", "View Map")</f>
        <v>View Map</v>
      </c>
      <c r="G3754" s="2">
        <v>0.40870434166427061</v>
      </c>
    </row>
    <row r="3755" spans="1:7" x14ac:dyDescent="0.3">
      <c r="A3755" t="s">
        <v>10474</v>
      </c>
      <c r="B3755" t="s">
        <v>10475</v>
      </c>
      <c r="C3755" t="s">
        <v>30</v>
      </c>
      <c r="D3755">
        <v>2.75</v>
      </c>
      <c r="E3755">
        <v>880</v>
      </c>
      <c r="F3755" t="str">
        <f>HYPERLINK("https://www.google.com/maps/search/?api=1&amp;query=24.16798549,47.22101496", "View Map")</f>
        <v>View Map</v>
      </c>
    </row>
    <row r="3756" spans="1:7" x14ac:dyDescent="0.3">
      <c r="A3756" t="s">
        <v>5616</v>
      </c>
      <c r="B3756" t="s">
        <v>5617</v>
      </c>
      <c r="C3756" t="s">
        <v>8</v>
      </c>
      <c r="D3756">
        <v>2.75</v>
      </c>
      <c r="E3756">
        <v>880</v>
      </c>
      <c r="F3756" t="str">
        <f>HYPERLINK("https://www.google.com/maps/search/?api=1&amp;query=24.7216869,46.67750572", "View Map")</f>
        <v>View Map</v>
      </c>
    </row>
    <row r="3757" spans="1:7" x14ac:dyDescent="0.3">
      <c r="A3757" t="s">
        <v>8996</v>
      </c>
      <c r="B3757" t="s">
        <v>8997</v>
      </c>
      <c r="C3757" t="s">
        <v>291</v>
      </c>
      <c r="D3757">
        <v>2.7490000000000001</v>
      </c>
      <c r="E3757">
        <v>880</v>
      </c>
      <c r="F3757" t="str">
        <f>HYPERLINK("https://www.google.com/maps/search/?api=1&amp;query=24.10567892,45.3408084", "View Map")</f>
        <v>View Map</v>
      </c>
      <c r="G3757" s="2">
        <v>0.77607232499092593</v>
      </c>
    </row>
    <row r="3758" spans="1:7" x14ac:dyDescent="0.3">
      <c r="A3758" t="s">
        <v>4232</v>
      </c>
      <c r="B3758" t="s">
        <v>4233</v>
      </c>
      <c r="C3758" t="s">
        <v>241</v>
      </c>
      <c r="D3758">
        <v>2.7490000000000001</v>
      </c>
      <c r="E3758">
        <v>880</v>
      </c>
      <c r="F3758" t="str">
        <f>HYPERLINK("https://www.google.com/maps/search/?api=1&amp;query=20.45618222,44.82905881", "View Map")</f>
        <v>View Map</v>
      </c>
      <c r="G3758" s="2">
        <v>0.34238699100625281</v>
      </c>
    </row>
    <row r="3759" spans="1:7" x14ac:dyDescent="0.3">
      <c r="A3759" t="s">
        <v>8677</v>
      </c>
      <c r="B3759" t="s">
        <v>8678</v>
      </c>
      <c r="C3759" t="s">
        <v>8</v>
      </c>
      <c r="D3759">
        <v>2.7480000000000002</v>
      </c>
      <c r="E3759">
        <v>879</v>
      </c>
      <c r="F3759" t="str">
        <f>HYPERLINK("https://www.google.com/maps/search/?api=1&amp;query=24.6802488,46.58285119", "View Map")</f>
        <v>View Map</v>
      </c>
    </row>
    <row r="3760" spans="1:7" x14ac:dyDescent="0.3">
      <c r="A3760" t="s">
        <v>7817</v>
      </c>
      <c r="B3760" t="s">
        <v>7818</v>
      </c>
      <c r="C3760" t="s">
        <v>8</v>
      </c>
      <c r="D3760">
        <v>2.7480000000000002</v>
      </c>
      <c r="E3760">
        <v>879</v>
      </c>
      <c r="F3760" t="str">
        <f>HYPERLINK("https://www.google.com/maps/search/?api=1&amp;query=24.59834724,46.67287388", "View Map")</f>
        <v>View Map</v>
      </c>
    </row>
    <row r="3761" spans="1:7" x14ac:dyDescent="0.3">
      <c r="A3761" t="s">
        <v>6618</v>
      </c>
      <c r="B3761" t="s">
        <v>6619</v>
      </c>
      <c r="C3761" t="s">
        <v>21</v>
      </c>
      <c r="D3761">
        <v>2.746</v>
      </c>
      <c r="E3761">
        <v>879</v>
      </c>
      <c r="F3761" t="str">
        <f>HYPERLINK("https://www.google.com/maps/search/?api=1&amp;query=26.33304927,44.81823926", "View Map")</f>
        <v>View Map</v>
      </c>
      <c r="G3761" s="2">
        <v>0.64275654309066121</v>
      </c>
    </row>
    <row r="3762" spans="1:7" x14ac:dyDescent="0.3">
      <c r="A3762" t="s">
        <v>6790</v>
      </c>
      <c r="B3762" t="s">
        <v>6791</v>
      </c>
      <c r="C3762" t="s">
        <v>738</v>
      </c>
      <c r="D3762">
        <v>2.746</v>
      </c>
      <c r="E3762">
        <v>879</v>
      </c>
      <c r="F3762" t="str">
        <f>HYPERLINK("https://www.google.com/maps/search/?api=1&amp;query=25.10901008,46.09743514", "View Map")</f>
        <v>View Map</v>
      </c>
      <c r="G3762" s="2">
        <v>0.67805994618699261</v>
      </c>
    </row>
    <row r="3763" spans="1:7" x14ac:dyDescent="0.3">
      <c r="A3763" t="s">
        <v>7965</v>
      </c>
      <c r="B3763" t="s">
        <v>7966</v>
      </c>
      <c r="C3763" t="s">
        <v>21</v>
      </c>
      <c r="D3763">
        <v>2.746</v>
      </c>
      <c r="E3763">
        <v>879</v>
      </c>
      <c r="F3763" t="str">
        <f>HYPERLINK("https://www.google.com/maps/search/?api=1&amp;query=26.29632021,44.82781016", "View Map")</f>
        <v>View Map</v>
      </c>
    </row>
    <row r="3764" spans="1:7" x14ac:dyDescent="0.3">
      <c r="A3764" t="s">
        <v>150</v>
      </c>
      <c r="B3764" t="s">
        <v>5799</v>
      </c>
      <c r="C3764" t="s">
        <v>8</v>
      </c>
      <c r="D3764">
        <v>2.7450000000000001</v>
      </c>
      <c r="E3764">
        <v>878</v>
      </c>
      <c r="F3764" t="str">
        <f>HYPERLINK("https://www.google.com/maps/search/?api=1&amp;query=24.81624839,46.8341442", "View Map")</f>
        <v>View Map</v>
      </c>
    </row>
    <row r="3765" spans="1:7" x14ac:dyDescent="0.3">
      <c r="A3765" t="s">
        <v>1275</v>
      </c>
      <c r="B3765" t="s">
        <v>5851</v>
      </c>
      <c r="C3765" t="s">
        <v>8</v>
      </c>
      <c r="D3765">
        <v>2.7429999999999999</v>
      </c>
      <c r="E3765">
        <v>878</v>
      </c>
      <c r="F3765" t="str">
        <f>HYPERLINK("https://www.google.com/maps/search/?api=1&amp;query=24.72214895,46.79708419", "View Map")</f>
        <v>View Map</v>
      </c>
    </row>
    <row r="3766" spans="1:7" x14ac:dyDescent="0.3">
      <c r="A3766" t="s">
        <v>3735</v>
      </c>
      <c r="B3766" t="s">
        <v>6736</v>
      </c>
      <c r="C3766" t="s">
        <v>255</v>
      </c>
      <c r="D3766">
        <v>2.7429999999999999</v>
      </c>
      <c r="E3766">
        <v>878</v>
      </c>
      <c r="F3766" t="str">
        <f>HYPERLINK("https://www.google.com/maps/search/?api=1&amp;query=25.18613687,44.59332824", "View Map")</f>
        <v>View Map</v>
      </c>
      <c r="G3766" s="2">
        <v>0.39488384118529102</v>
      </c>
    </row>
    <row r="3767" spans="1:7" x14ac:dyDescent="0.3">
      <c r="A3767" t="s">
        <v>5775</v>
      </c>
      <c r="B3767" t="s">
        <v>5776</v>
      </c>
      <c r="C3767" t="s">
        <v>30</v>
      </c>
      <c r="D3767">
        <v>2.742</v>
      </c>
      <c r="E3767">
        <v>877</v>
      </c>
      <c r="F3767" t="str">
        <f>HYPERLINK("https://www.google.com/maps/search/?api=1&amp;query=24.14508221,47.35307324", "View Map")</f>
        <v>View Map</v>
      </c>
      <c r="G3767" s="2">
        <v>0.6004008300559609</v>
      </c>
    </row>
    <row r="3768" spans="1:7" x14ac:dyDescent="0.3">
      <c r="A3768" t="s">
        <v>4543</v>
      </c>
      <c r="B3768" t="s">
        <v>10402</v>
      </c>
      <c r="C3768" t="s">
        <v>8</v>
      </c>
      <c r="D3768">
        <v>2.7410000000000001</v>
      </c>
      <c r="E3768">
        <v>877</v>
      </c>
      <c r="F3768" t="str">
        <f>HYPERLINK("https://www.google.com/maps/search/?api=1&amp;query=24.69603898,46.77451051", "View Map")</f>
        <v>View Map</v>
      </c>
    </row>
    <row r="3769" spans="1:7" x14ac:dyDescent="0.3">
      <c r="A3769" t="s">
        <v>10663</v>
      </c>
      <c r="B3769" t="s">
        <v>10664</v>
      </c>
      <c r="C3769" t="s">
        <v>8</v>
      </c>
      <c r="D3769">
        <v>2.7410000000000001</v>
      </c>
      <c r="E3769">
        <v>877</v>
      </c>
      <c r="F3769" t="str">
        <f>HYPERLINK("https://www.google.com/maps/search/?api=1&amp;query=24.5958806,46.71917739", "View Map")</f>
        <v>View Map</v>
      </c>
    </row>
    <row r="3770" spans="1:7" x14ac:dyDescent="0.3">
      <c r="A3770" t="s">
        <v>11495</v>
      </c>
      <c r="B3770" t="s">
        <v>11496</v>
      </c>
      <c r="C3770" t="s">
        <v>646</v>
      </c>
      <c r="D3770">
        <v>2.7389999999999999</v>
      </c>
      <c r="E3770">
        <v>876</v>
      </c>
      <c r="F3770" t="str">
        <f>HYPERLINK("https://www.google.com/maps/search/?api=1&amp;query=20.45055978,45.58909643", "View Map")</f>
        <v>View Map</v>
      </c>
      <c r="G3770" s="2">
        <v>0.50697328051055546</v>
      </c>
    </row>
    <row r="3771" spans="1:7" x14ac:dyDescent="0.3">
      <c r="A3771" t="s">
        <v>9555</v>
      </c>
      <c r="B3771" t="s">
        <v>9556</v>
      </c>
      <c r="C3771" t="s">
        <v>466</v>
      </c>
      <c r="D3771">
        <v>2.7389999999999999</v>
      </c>
      <c r="E3771">
        <v>877</v>
      </c>
      <c r="F3771" t="str">
        <f>HYPERLINK("https://www.google.com/maps/search/?api=1&amp;query=24.49870293,46.13917281", "View Map")</f>
        <v>View Map</v>
      </c>
    </row>
    <row r="3772" spans="1:7" x14ac:dyDescent="0.3">
      <c r="A3772" t="s">
        <v>881</v>
      </c>
      <c r="B3772" t="s">
        <v>5645</v>
      </c>
      <c r="C3772" t="s">
        <v>883</v>
      </c>
      <c r="D3772">
        <v>2.7389999999999999</v>
      </c>
      <c r="E3772">
        <v>876</v>
      </c>
      <c r="F3772" t="str">
        <f>HYPERLINK("https://www.google.com/maps/search/?api=1&amp;query=25.54421506,47.160024", "View Map")</f>
        <v>View Map</v>
      </c>
      <c r="G3772" s="2">
        <v>0.68983726051727667</v>
      </c>
    </row>
    <row r="3773" spans="1:7" x14ac:dyDescent="0.3">
      <c r="A3773" t="s">
        <v>6253</v>
      </c>
      <c r="B3773" t="s">
        <v>6254</v>
      </c>
      <c r="C3773" t="s">
        <v>255</v>
      </c>
      <c r="D3773">
        <v>2.738</v>
      </c>
      <c r="E3773">
        <v>876</v>
      </c>
      <c r="F3773" t="str">
        <f>HYPERLINK("https://www.google.com/maps/search/?api=1&amp;query=24.33986748,44.80249837", "View Map")</f>
        <v>View Map</v>
      </c>
      <c r="G3773" s="2">
        <v>0.8852289251842117</v>
      </c>
    </row>
    <row r="3774" spans="1:7" x14ac:dyDescent="0.3">
      <c r="A3774" t="s">
        <v>6421</v>
      </c>
      <c r="B3774" t="s">
        <v>6422</v>
      </c>
      <c r="C3774" t="s">
        <v>214</v>
      </c>
      <c r="D3774">
        <v>2.738</v>
      </c>
      <c r="E3774">
        <v>876</v>
      </c>
      <c r="F3774" t="str">
        <f>HYPERLINK("https://www.google.com/maps/search/?api=1&amp;query=25.60344313,45.79246602", "View Map")</f>
        <v>View Map</v>
      </c>
    </row>
    <row r="3775" spans="1:7" x14ac:dyDescent="0.3">
      <c r="A3775" t="s">
        <v>6622</v>
      </c>
      <c r="B3775" t="s">
        <v>6623</v>
      </c>
      <c r="C3775" t="s">
        <v>214</v>
      </c>
      <c r="D3775">
        <v>2.738</v>
      </c>
      <c r="E3775">
        <v>876</v>
      </c>
      <c r="F3775" t="str">
        <f>HYPERLINK("https://www.google.com/maps/search/?api=1&amp;query=25.71144779,45.86356953", "View Map")</f>
        <v>View Map</v>
      </c>
      <c r="G3775" s="2">
        <v>0.67215668577349819</v>
      </c>
    </row>
    <row r="3776" spans="1:7" x14ac:dyDescent="0.3">
      <c r="A3776" t="s">
        <v>28</v>
      </c>
      <c r="B3776" t="s">
        <v>9885</v>
      </c>
      <c r="C3776" t="s">
        <v>30</v>
      </c>
      <c r="D3776">
        <v>2.738</v>
      </c>
      <c r="E3776">
        <v>876</v>
      </c>
      <c r="F3776" t="str">
        <f>HYPERLINK("https://www.google.com/maps/search/?api=1&amp;query=24.16543716,47.37238894", "View Map")</f>
        <v>View Map</v>
      </c>
    </row>
    <row r="3777" spans="1:7" x14ac:dyDescent="0.3">
      <c r="A3777" t="s">
        <v>10540</v>
      </c>
      <c r="B3777" t="s">
        <v>10541</v>
      </c>
      <c r="C3777" t="s">
        <v>8</v>
      </c>
      <c r="D3777">
        <v>2.7370000000000001</v>
      </c>
      <c r="E3777">
        <v>876</v>
      </c>
      <c r="F3777" t="str">
        <f>HYPERLINK("https://www.google.com/maps/search/?api=1&amp;query=24.78974,46.61907", "View Map")</f>
        <v>View Map</v>
      </c>
    </row>
    <row r="3778" spans="1:7" x14ac:dyDescent="0.3">
      <c r="A3778" t="s">
        <v>3912</v>
      </c>
      <c r="B3778" t="s">
        <v>3913</v>
      </c>
      <c r="C3778" t="s">
        <v>30</v>
      </c>
      <c r="D3778">
        <v>2.7370000000000001</v>
      </c>
      <c r="E3778">
        <v>876</v>
      </c>
      <c r="F3778" t="str">
        <f>HYPERLINK("https://www.google.com/maps/search/?api=1&amp;query=24.15395984,47.30523611", "View Map")</f>
        <v>View Map</v>
      </c>
    </row>
    <row r="3779" spans="1:7" x14ac:dyDescent="0.3">
      <c r="A3779" t="s">
        <v>146</v>
      </c>
      <c r="B3779" t="s">
        <v>7350</v>
      </c>
      <c r="C3779" t="s">
        <v>8</v>
      </c>
      <c r="D3779">
        <v>2.7360000000000002</v>
      </c>
      <c r="E3779">
        <v>875</v>
      </c>
      <c r="F3779" t="str">
        <f>HYPERLINK("https://www.google.com/maps/search/?api=1&amp;query=24.5584096,46.56725514", "View Map")</f>
        <v>View Map</v>
      </c>
    </row>
    <row r="3780" spans="1:7" x14ac:dyDescent="0.3">
      <c r="A3780" t="s">
        <v>2597</v>
      </c>
      <c r="B3780" t="s">
        <v>7603</v>
      </c>
      <c r="C3780" t="s">
        <v>291</v>
      </c>
      <c r="D3780">
        <v>2.7360000000000002</v>
      </c>
      <c r="E3780">
        <v>876</v>
      </c>
      <c r="F3780" t="str">
        <f>HYPERLINK("https://www.google.com/maps/search/?api=1&amp;query=23.78397548,44.78167713", "View Map")</f>
        <v>View Map</v>
      </c>
      <c r="G3780" s="2">
        <v>0.71463980262776938</v>
      </c>
    </row>
    <row r="3781" spans="1:7" x14ac:dyDescent="0.3">
      <c r="A3781" t="s">
        <v>11497</v>
      </c>
      <c r="B3781" t="s">
        <v>11498</v>
      </c>
      <c r="C3781" t="s">
        <v>393</v>
      </c>
      <c r="D3781">
        <v>2.7360000000000002</v>
      </c>
      <c r="E3781">
        <v>876</v>
      </c>
      <c r="F3781" t="str">
        <f>HYPERLINK("https://www.google.com/maps/search/?api=1&amp;query=22.5701631,44.81443639", "View Map")</f>
        <v>View Map</v>
      </c>
      <c r="G3781" s="2">
        <v>0.68993790355781881</v>
      </c>
    </row>
    <row r="3782" spans="1:7" x14ac:dyDescent="0.3">
      <c r="A3782" t="s">
        <v>5115</v>
      </c>
      <c r="B3782" t="s">
        <v>5116</v>
      </c>
      <c r="C3782" t="s">
        <v>8</v>
      </c>
      <c r="D3782">
        <v>2.7349999999999999</v>
      </c>
      <c r="E3782">
        <v>875</v>
      </c>
      <c r="F3782" t="str">
        <f>HYPERLINK("https://www.google.com/maps/search/?api=1&amp;query=24.5408,46.6944", "View Map")</f>
        <v>View Map</v>
      </c>
    </row>
    <row r="3783" spans="1:7" x14ac:dyDescent="0.3">
      <c r="A3783" t="s">
        <v>6177</v>
      </c>
      <c r="B3783" t="s">
        <v>6178</v>
      </c>
      <c r="C3783" t="s">
        <v>8</v>
      </c>
      <c r="D3783">
        <v>2.734</v>
      </c>
      <c r="E3783">
        <v>875</v>
      </c>
      <c r="F3783" t="str">
        <f>HYPERLINK("https://www.google.com/maps/search/?api=1&amp;query=24.7881747,46.8108076", "View Map")</f>
        <v>View Map</v>
      </c>
      <c r="G3783" s="2">
        <v>0.448226198317068</v>
      </c>
    </row>
    <row r="3784" spans="1:7" x14ac:dyDescent="0.3">
      <c r="A3784" t="s">
        <v>1802</v>
      </c>
      <c r="B3784" t="s">
        <v>1803</v>
      </c>
      <c r="C3784" t="s">
        <v>738</v>
      </c>
      <c r="D3784">
        <v>2.734</v>
      </c>
      <c r="E3784">
        <v>875</v>
      </c>
      <c r="F3784" t="str">
        <f>HYPERLINK("https://www.google.com/maps/search/?api=1&amp;query=24.91994606,45.85959713", "View Map")</f>
        <v>View Map</v>
      </c>
      <c r="G3784" s="2">
        <v>0.20882988405560521</v>
      </c>
    </row>
    <row r="3785" spans="1:7" x14ac:dyDescent="0.3">
      <c r="A3785" t="s">
        <v>11499</v>
      </c>
      <c r="B3785" t="s">
        <v>11500</v>
      </c>
      <c r="C3785" t="s">
        <v>8</v>
      </c>
      <c r="D3785">
        <v>2.734</v>
      </c>
      <c r="E3785">
        <v>875</v>
      </c>
      <c r="F3785" t="str">
        <f>HYPERLINK("https://www.google.com/maps/search/?api=1&amp;query=24.74925649,46.70563575", "View Map")</f>
        <v>View Map</v>
      </c>
    </row>
    <row r="3786" spans="1:7" x14ac:dyDescent="0.3">
      <c r="A3786" t="s">
        <v>4342</v>
      </c>
      <c r="B3786" t="s">
        <v>4343</v>
      </c>
      <c r="C3786" t="s">
        <v>30</v>
      </c>
      <c r="D3786">
        <v>2.734</v>
      </c>
      <c r="E3786">
        <v>875</v>
      </c>
      <c r="F3786" t="str">
        <f>HYPERLINK("https://www.google.com/maps/search/?api=1&amp;query=24.1256862,47.27311222", "View Map")</f>
        <v>View Map</v>
      </c>
      <c r="G3786" s="2">
        <v>0.38406214781138259</v>
      </c>
    </row>
    <row r="3787" spans="1:7" x14ac:dyDescent="0.3">
      <c r="A3787" t="s">
        <v>7268</v>
      </c>
      <c r="B3787" t="s">
        <v>8079</v>
      </c>
      <c r="C3787" t="s">
        <v>364</v>
      </c>
      <c r="D3787">
        <v>2.7330000000000001</v>
      </c>
      <c r="E3787">
        <v>875</v>
      </c>
      <c r="F3787" t="str">
        <f>HYPERLINK("https://www.google.com/maps/search/?api=1&amp;query=25.29282558,45.94999221", "View Map")</f>
        <v>View Map</v>
      </c>
      <c r="G3787" s="2">
        <v>0.44623597893530997</v>
      </c>
    </row>
    <row r="3788" spans="1:7" x14ac:dyDescent="0.3">
      <c r="A3788" t="s">
        <v>8796</v>
      </c>
      <c r="B3788" t="s">
        <v>9547</v>
      </c>
      <c r="C3788" t="s">
        <v>8</v>
      </c>
      <c r="D3788">
        <v>2.7330000000000001</v>
      </c>
      <c r="E3788">
        <v>875</v>
      </c>
      <c r="F3788" t="str">
        <f>HYPERLINK("https://www.google.com/maps/search/?api=1&amp;query=24.60219016,46.6008155", "View Map")</f>
        <v>View Map</v>
      </c>
    </row>
    <row r="3789" spans="1:7" x14ac:dyDescent="0.3">
      <c r="A3789" t="s">
        <v>6749</v>
      </c>
      <c r="B3789" t="s">
        <v>6750</v>
      </c>
      <c r="C3789" t="s">
        <v>8</v>
      </c>
      <c r="D3789">
        <v>2.7330000000000001</v>
      </c>
      <c r="E3789">
        <v>875</v>
      </c>
      <c r="F3789" t="str">
        <f>HYPERLINK("https://www.google.com/maps/search/?api=1&amp;query=24.77537434,46.7918322", "View Map")</f>
        <v>View Map</v>
      </c>
    </row>
    <row r="3790" spans="1:7" x14ac:dyDescent="0.3">
      <c r="A3790" t="s">
        <v>150</v>
      </c>
      <c r="B3790" t="s">
        <v>6653</v>
      </c>
      <c r="C3790" t="s">
        <v>8</v>
      </c>
      <c r="D3790">
        <v>2.7320000000000002</v>
      </c>
      <c r="E3790">
        <v>874</v>
      </c>
      <c r="F3790" t="str">
        <f>HYPERLINK("https://www.google.com/maps/search/?api=1&amp;query=24.77403814,46.82981711", "View Map")</f>
        <v>View Map</v>
      </c>
    </row>
    <row r="3791" spans="1:7" x14ac:dyDescent="0.3">
      <c r="A3791" t="s">
        <v>7077</v>
      </c>
      <c r="B3791" t="s">
        <v>7078</v>
      </c>
      <c r="C3791" t="s">
        <v>1112</v>
      </c>
      <c r="D3791">
        <v>2.7320000000000002</v>
      </c>
      <c r="E3791">
        <v>874</v>
      </c>
      <c r="F3791" t="str">
        <f>HYPERLINK("https://www.google.com/maps/search/?api=1&amp;query=26.02417732,44.94293467", "View Map")</f>
        <v>View Map</v>
      </c>
      <c r="G3791" s="2">
        <v>0.80179885780769222</v>
      </c>
    </row>
    <row r="3792" spans="1:7" x14ac:dyDescent="0.3">
      <c r="A3792" t="s">
        <v>8341</v>
      </c>
      <c r="B3792" t="s">
        <v>8342</v>
      </c>
      <c r="C3792" t="s">
        <v>270</v>
      </c>
      <c r="D3792">
        <v>2.7309999999999999</v>
      </c>
      <c r="E3792">
        <v>874</v>
      </c>
      <c r="F3792" t="str">
        <f>HYPERLINK("https://www.google.com/maps/search/?api=1&amp;query=23.98470104,47.1083658", "View Map")</f>
        <v>View Map</v>
      </c>
    </row>
    <row r="3793" spans="1:7" x14ac:dyDescent="0.3">
      <c r="A3793" t="s">
        <v>11501</v>
      </c>
      <c r="B3793" t="s">
        <v>11502</v>
      </c>
      <c r="C3793" t="s">
        <v>8</v>
      </c>
      <c r="D3793">
        <v>2.7309999999999999</v>
      </c>
      <c r="E3793">
        <v>874</v>
      </c>
      <c r="F3793" t="str">
        <f>HYPERLINK("https://www.google.com/maps/search/?api=1&amp;query=24.53071826,46.67123976", "View Map")</f>
        <v>View Map</v>
      </c>
    </row>
    <row r="3794" spans="1:7" x14ac:dyDescent="0.3">
      <c r="A3794" t="s">
        <v>5866</v>
      </c>
      <c r="B3794" t="s">
        <v>5867</v>
      </c>
      <c r="C3794" t="s">
        <v>8</v>
      </c>
      <c r="D3794">
        <v>2.7309999999999999</v>
      </c>
      <c r="E3794">
        <v>874</v>
      </c>
      <c r="F3794" t="str">
        <f>HYPERLINK("https://www.google.com/maps/search/?api=1&amp;query=24.58173059,46.66104574", "View Map")</f>
        <v>View Map</v>
      </c>
    </row>
    <row r="3795" spans="1:7" x14ac:dyDescent="0.3">
      <c r="A3795" t="s">
        <v>479</v>
      </c>
      <c r="B3795" t="s">
        <v>5665</v>
      </c>
      <c r="C3795" t="s">
        <v>738</v>
      </c>
      <c r="D3795">
        <v>2.7309999999999999</v>
      </c>
      <c r="E3795">
        <v>874</v>
      </c>
      <c r="F3795" t="str">
        <f>HYPERLINK("https://www.google.com/maps/search/?api=1&amp;query=25.12031365,46.08007253", "View Map")</f>
        <v>View Map</v>
      </c>
      <c r="G3795" s="2">
        <v>0.56005435515113999</v>
      </c>
    </row>
    <row r="3796" spans="1:7" x14ac:dyDescent="0.3">
      <c r="A3796" t="s">
        <v>4700</v>
      </c>
      <c r="B3796" t="s">
        <v>4701</v>
      </c>
      <c r="C3796" t="s">
        <v>241</v>
      </c>
      <c r="D3796">
        <v>2.7290000000000001</v>
      </c>
      <c r="E3796">
        <v>873</v>
      </c>
      <c r="F3796" t="str">
        <f>HYPERLINK("https://www.google.com/maps/search/?api=1&amp;query=20.47760957,44.78047792", "View Map")</f>
        <v>View Map</v>
      </c>
    </row>
    <row r="3797" spans="1:7" x14ac:dyDescent="0.3">
      <c r="A3797" t="s">
        <v>9620</v>
      </c>
      <c r="B3797" t="s">
        <v>9621</v>
      </c>
      <c r="C3797" t="s">
        <v>16</v>
      </c>
      <c r="D3797">
        <v>2.7290000000000001</v>
      </c>
      <c r="E3797">
        <v>873</v>
      </c>
      <c r="F3797" t="str">
        <f>HYPERLINK("https://www.google.com/maps/search/?api=1&amp;query=23.9101412,42.903208", "View Map")</f>
        <v>View Map</v>
      </c>
    </row>
    <row r="3798" spans="1:7" x14ac:dyDescent="0.3">
      <c r="A3798" t="s">
        <v>46</v>
      </c>
      <c r="B3798" t="s">
        <v>5333</v>
      </c>
      <c r="C3798" t="s">
        <v>8</v>
      </c>
      <c r="D3798">
        <v>2.7290000000000001</v>
      </c>
      <c r="E3798">
        <v>873</v>
      </c>
      <c r="F3798" t="str">
        <f>HYPERLINK("https://www.google.com/maps/search/?api=1&amp;query=24.81806154,46.83045765", "View Map")</f>
        <v>View Map</v>
      </c>
    </row>
    <row r="3799" spans="1:7" x14ac:dyDescent="0.3">
      <c r="A3799" t="s">
        <v>7162</v>
      </c>
      <c r="B3799" t="s">
        <v>7163</v>
      </c>
      <c r="C3799" t="s">
        <v>699</v>
      </c>
      <c r="D3799">
        <v>2.7290000000000001</v>
      </c>
      <c r="E3799">
        <v>873</v>
      </c>
      <c r="F3799" t="str">
        <f>HYPERLINK("https://www.google.com/maps/search/?api=1&amp;query=24.9425595,45.71276749", "View Map")</f>
        <v>View Map</v>
      </c>
      <c r="G3799" s="2">
        <v>0.60551954829679211</v>
      </c>
    </row>
    <row r="3800" spans="1:7" x14ac:dyDescent="0.3">
      <c r="A3800" t="s">
        <v>2285</v>
      </c>
      <c r="B3800" t="s">
        <v>6108</v>
      </c>
      <c r="C3800" t="s">
        <v>8</v>
      </c>
      <c r="D3800">
        <v>2.7290000000000001</v>
      </c>
      <c r="E3800">
        <v>873</v>
      </c>
      <c r="F3800" t="str">
        <f>HYPERLINK("https://www.google.com/maps/search/?api=1&amp;query=24.72844283,46.76238456", "View Map")</f>
        <v>View Map</v>
      </c>
    </row>
    <row r="3801" spans="1:7" x14ac:dyDescent="0.3">
      <c r="A3801" t="s">
        <v>5256</v>
      </c>
      <c r="B3801" t="s">
        <v>5257</v>
      </c>
      <c r="C3801" t="s">
        <v>8</v>
      </c>
      <c r="D3801">
        <v>2.7280000000000002</v>
      </c>
      <c r="E3801">
        <v>873</v>
      </c>
      <c r="F3801" t="str">
        <f>HYPERLINK("https://www.google.com/maps/search/?api=1&amp;query=24.82283934,46.74173806", "View Map")</f>
        <v>View Map</v>
      </c>
    </row>
    <row r="3802" spans="1:7" x14ac:dyDescent="0.3">
      <c r="A3802" t="s">
        <v>4709</v>
      </c>
      <c r="B3802" t="s">
        <v>4710</v>
      </c>
      <c r="C3802" t="s">
        <v>699</v>
      </c>
      <c r="D3802">
        <v>2.7269999999999999</v>
      </c>
      <c r="E3802">
        <v>873</v>
      </c>
      <c r="F3802" t="str">
        <f>HYPERLINK("https://www.google.com/maps/search/?api=1&amp;query=25.06817734,45.46543435", "View Map")</f>
        <v>View Map</v>
      </c>
    </row>
    <row r="3803" spans="1:7" x14ac:dyDescent="0.3">
      <c r="A3803" t="s">
        <v>11503</v>
      </c>
      <c r="B3803" t="s">
        <v>11504</v>
      </c>
      <c r="C3803" t="s">
        <v>8</v>
      </c>
      <c r="D3803">
        <v>2.726</v>
      </c>
      <c r="E3803">
        <v>872</v>
      </c>
      <c r="F3803" t="str">
        <f>HYPERLINK("https://www.google.com/maps/search/?api=1&amp;query=24.52819929,46.68851228", "View Map")</f>
        <v>View Map</v>
      </c>
    </row>
    <row r="3804" spans="1:7" x14ac:dyDescent="0.3">
      <c r="A3804" t="s">
        <v>146</v>
      </c>
      <c r="B3804" t="s">
        <v>11505</v>
      </c>
      <c r="C3804" t="s">
        <v>8</v>
      </c>
      <c r="D3804">
        <v>2.726</v>
      </c>
      <c r="E3804">
        <v>872</v>
      </c>
      <c r="F3804" t="str">
        <f>HYPERLINK("https://www.google.com/maps/search/?api=1&amp;query=24.55363955,46.6674507", "View Map")</f>
        <v>View Map</v>
      </c>
    </row>
    <row r="3805" spans="1:7" x14ac:dyDescent="0.3">
      <c r="A3805" t="s">
        <v>46</v>
      </c>
      <c r="B3805" t="s">
        <v>8746</v>
      </c>
      <c r="C3805" t="s">
        <v>8</v>
      </c>
      <c r="D3805">
        <v>2.726</v>
      </c>
      <c r="E3805">
        <v>872</v>
      </c>
      <c r="F3805" t="str">
        <f>HYPERLINK("https://www.google.com/maps/search/?api=1&amp;query=24.83240897,46.81835667", "View Map")</f>
        <v>View Map</v>
      </c>
      <c r="G3805" s="2">
        <v>0.96463321611070119</v>
      </c>
    </row>
    <row r="3806" spans="1:7" x14ac:dyDescent="0.3">
      <c r="A3806" t="s">
        <v>2170</v>
      </c>
      <c r="B3806" t="s">
        <v>2171</v>
      </c>
      <c r="C3806" t="s">
        <v>30</v>
      </c>
      <c r="D3806">
        <v>2.7250000000000001</v>
      </c>
      <c r="E3806">
        <v>872</v>
      </c>
      <c r="F3806" t="str">
        <f>HYPERLINK("https://www.google.com/maps/search/?api=1&amp;query=24.171653,47.3509764", "View Map")</f>
        <v>View Map</v>
      </c>
    </row>
    <row r="3807" spans="1:7" x14ac:dyDescent="0.3">
      <c r="A3807" t="s">
        <v>11506</v>
      </c>
      <c r="B3807" t="s">
        <v>11507</v>
      </c>
      <c r="C3807" t="s">
        <v>8</v>
      </c>
      <c r="D3807">
        <v>2.7250000000000001</v>
      </c>
      <c r="E3807">
        <v>872</v>
      </c>
      <c r="F3807" t="str">
        <f>HYPERLINK("https://www.google.com/maps/search/?api=1&amp;query=24.77838404,46.73919987", "View Map")</f>
        <v>View Map</v>
      </c>
    </row>
    <row r="3808" spans="1:7" x14ac:dyDescent="0.3">
      <c r="A3808" t="s">
        <v>2494</v>
      </c>
      <c r="B3808" t="s">
        <v>2495</v>
      </c>
      <c r="C3808" t="s">
        <v>8</v>
      </c>
      <c r="D3808">
        <v>2.7240000000000002</v>
      </c>
      <c r="E3808">
        <v>872</v>
      </c>
      <c r="F3808" t="str">
        <f>HYPERLINK("https://www.google.com/maps/search/?api=1&amp;query=24.66200276,46.8076914", "View Map")</f>
        <v>View Map</v>
      </c>
      <c r="G3808" s="2">
        <v>0.19826142106926681</v>
      </c>
    </row>
    <row r="3809" spans="1:7" x14ac:dyDescent="0.3">
      <c r="A3809" t="s">
        <v>4714</v>
      </c>
      <c r="B3809" t="s">
        <v>6572</v>
      </c>
      <c r="C3809" t="s">
        <v>8</v>
      </c>
      <c r="D3809">
        <v>2.7229999999999999</v>
      </c>
      <c r="E3809">
        <v>871</v>
      </c>
      <c r="F3809" t="str">
        <f>HYPERLINK("https://www.google.com/maps/search/?api=1&amp;query=24.64898377,46.72001269", "View Map")</f>
        <v>View Map</v>
      </c>
    </row>
    <row r="3810" spans="1:7" x14ac:dyDescent="0.3">
      <c r="A3810" t="s">
        <v>11508</v>
      </c>
      <c r="B3810" t="s">
        <v>11509</v>
      </c>
      <c r="C3810" t="s">
        <v>8</v>
      </c>
      <c r="D3810">
        <v>2.722</v>
      </c>
      <c r="E3810">
        <v>871</v>
      </c>
      <c r="F3810" t="str">
        <f>HYPERLINK("https://www.google.com/maps/search/?api=1&amp;query=24.59706643,46.71622342", "View Map")</f>
        <v>View Map</v>
      </c>
      <c r="G3810" s="2">
        <v>1.0659351435550679</v>
      </c>
    </row>
    <row r="3811" spans="1:7" x14ac:dyDescent="0.3">
      <c r="A3811" t="s">
        <v>9673</v>
      </c>
      <c r="B3811" t="s">
        <v>9674</v>
      </c>
      <c r="C3811" t="s">
        <v>8</v>
      </c>
      <c r="D3811">
        <v>2.722</v>
      </c>
      <c r="E3811">
        <v>871</v>
      </c>
      <c r="F3811" t="str">
        <f>HYPERLINK("https://www.google.com/maps/search/?api=1&amp;query=24.57271975,46.76291581", "View Map")</f>
        <v>View Map</v>
      </c>
    </row>
    <row r="3812" spans="1:7" x14ac:dyDescent="0.3">
      <c r="A3812" t="s">
        <v>6462</v>
      </c>
      <c r="B3812" t="s">
        <v>6463</v>
      </c>
      <c r="C3812" t="s">
        <v>8</v>
      </c>
      <c r="D3812">
        <v>2.7210000000000001</v>
      </c>
      <c r="E3812">
        <v>871</v>
      </c>
      <c r="F3812" t="str">
        <f>HYPERLINK("https://www.google.com/maps/search/?api=1&amp;query=24.82480423,46.73719783", "View Map")</f>
        <v>View Map</v>
      </c>
    </row>
    <row r="3813" spans="1:7" x14ac:dyDescent="0.3">
      <c r="A3813" t="s">
        <v>4464</v>
      </c>
      <c r="B3813" t="s">
        <v>4465</v>
      </c>
      <c r="C3813" t="s">
        <v>8</v>
      </c>
      <c r="D3813">
        <v>2.7210000000000001</v>
      </c>
      <c r="E3813">
        <v>871</v>
      </c>
      <c r="F3813" t="str">
        <f>HYPERLINK("https://www.google.com/maps/search/?api=1&amp;query=24.76235624,46.68537258", "View Map")</f>
        <v>View Map</v>
      </c>
    </row>
    <row r="3814" spans="1:7" x14ac:dyDescent="0.3">
      <c r="A3814" t="s">
        <v>6634</v>
      </c>
      <c r="B3814" t="s">
        <v>6635</v>
      </c>
      <c r="C3814" t="s">
        <v>270</v>
      </c>
      <c r="D3814">
        <v>2.72</v>
      </c>
      <c r="E3814">
        <v>870</v>
      </c>
      <c r="F3814" t="str">
        <f>HYPERLINK("https://www.google.com/maps/search/?api=1&amp;query=23.97992439,47.15317113", "View Map")</f>
        <v>View Map</v>
      </c>
      <c r="G3814" s="2">
        <v>0.37372458882668919</v>
      </c>
    </row>
    <row r="3815" spans="1:7" x14ac:dyDescent="0.3">
      <c r="A3815" t="s">
        <v>4784</v>
      </c>
      <c r="B3815" t="s">
        <v>4785</v>
      </c>
      <c r="C3815" t="s">
        <v>8</v>
      </c>
      <c r="D3815">
        <v>2.72</v>
      </c>
      <c r="E3815">
        <v>870</v>
      </c>
      <c r="F3815" t="str">
        <f>HYPERLINK("https://www.google.com/maps/search/?api=1&amp;query=24.55528807,46.71076679", "View Map")</f>
        <v>View Map</v>
      </c>
    </row>
    <row r="3816" spans="1:7" x14ac:dyDescent="0.3">
      <c r="A3816" t="s">
        <v>6046</v>
      </c>
      <c r="B3816" t="s">
        <v>6047</v>
      </c>
      <c r="C3816" t="s">
        <v>16</v>
      </c>
      <c r="D3816">
        <v>2.72</v>
      </c>
      <c r="E3816">
        <v>870</v>
      </c>
      <c r="F3816" t="str">
        <f>HYPERLINK("https://www.google.com/maps/search/?api=1&amp;query=23.6606,42.58", "View Map")</f>
        <v>View Map</v>
      </c>
      <c r="G3816" s="2">
        <v>0.51518978553675943</v>
      </c>
    </row>
    <row r="3817" spans="1:7" x14ac:dyDescent="0.3">
      <c r="A3817" t="s">
        <v>1502</v>
      </c>
      <c r="B3817" t="s">
        <v>1503</v>
      </c>
      <c r="C3817" t="s">
        <v>8</v>
      </c>
      <c r="D3817">
        <v>2.7189999999999999</v>
      </c>
      <c r="E3817">
        <v>870</v>
      </c>
      <c r="F3817" t="str">
        <f>HYPERLINK("https://www.google.com/maps/search/?api=1&amp;query=24.67455336,46.85583367", "View Map")</f>
        <v>View Map</v>
      </c>
      <c r="G3817" s="2">
        <v>0.21630288188168181</v>
      </c>
    </row>
    <row r="3818" spans="1:7" x14ac:dyDescent="0.3">
      <c r="A3818" t="s">
        <v>146</v>
      </c>
      <c r="B3818" t="s">
        <v>6312</v>
      </c>
      <c r="C3818" t="s">
        <v>8</v>
      </c>
      <c r="D3818">
        <v>2.7189999999999999</v>
      </c>
      <c r="E3818">
        <v>870</v>
      </c>
      <c r="F3818" t="str">
        <f>HYPERLINK("https://www.google.com/maps/search/?api=1&amp;query=24.53574394,46.65465023", "View Map")</f>
        <v>View Map</v>
      </c>
    </row>
    <row r="3819" spans="1:7" x14ac:dyDescent="0.3">
      <c r="A3819" t="s">
        <v>9589</v>
      </c>
      <c r="B3819" t="s">
        <v>9590</v>
      </c>
      <c r="C3819" t="s">
        <v>8</v>
      </c>
      <c r="D3819">
        <v>2.718</v>
      </c>
      <c r="E3819">
        <v>870</v>
      </c>
      <c r="F3819" t="str">
        <f>HYPERLINK("https://www.google.com/maps/search/?api=1&amp;query=24.63186336,46.56191313", "View Map")</f>
        <v>View Map</v>
      </c>
    </row>
    <row r="3820" spans="1:7" x14ac:dyDescent="0.3">
      <c r="A3820" t="s">
        <v>3916</v>
      </c>
      <c r="B3820" t="s">
        <v>3917</v>
      </c>
      <c r="C3820" t="s">
        <v>241</v>
      </c>
      <c r="D3820">
        <v>2.7170000000000001</v>
      </c>
      <c r="E3820">
        <v>869</v>
      </c>
      <c r="F3820" t="str">
        <f>HYPERLINK("https://www.google.com/maps/search/?api=1&amp;query=20.38919501,45.07709974", "View Map")</f>
        <v>View Map</v>
      </c>
      <c r="G3820" s="2">
        <v>0.3137559860701552</v>
      </c>
    </row>
    <row r="3821" spans="1:7" x14ac:dyDescent="0.3">
      <c r="A3821" t="s">
        <v>1143</v>
      </c>
      <c r="B3821" t="s">
        <v>7032</v>
      </c>
      <c r="C3821" t="s">
        <v>296</v>
      </c>
      <c r="D3821">
        <v>2.7160000000000002</v>
      </c>
      <c r="E3821">
        <v>869</v>
      </c>
      <c r="F3821" t="str">
        <f>HYPERLINK("https://www.google.com/maps/search/?api=1&amp;query=24.47600827,46.29257611", "View Map")</f>
        <v>View Map</v>
      </c>
    </row>
    <row r="3822" spans="1:7" x14ac:dyDescent="0.3">
      <c r="A3822" t="s">
        <v>8491</v>
      </c>
      <c r="B3822" t="s">
        <v>8492</v>
      </c>
      <c r="C3822" t="s">
        <v>255</v>
      </c>
      <c r="D3822">
        <v>2.7160000000000002</v>
      </c>
      <c r="E3822">
        <v>869</v>
      </c>
      <c r="F3822" t="str">
        <f>HYPERLINK("https://www.google.com/maps/search/?api=1&amp;query=25.48754007,44.41580468", "View Map")</f>
        <v>View Map</v>
      </c>
    </row>
    <row r="3823" spans="1:7" x14ac:dyDescent="0.3">
      <c r="A3823" t="s">
        <v>6915</v>
      </c>
      <c r="B3823" t="s">
        <v>6916</v>
      </c>
      <c r="C3823" t="s">
        <v>21</v>
      </c>
      <c r="D3823">
        <v>2.7160000000000002</v>
      </c>
      <c r="E3823">
        <v>869</v>
      </c>
      <c r="F3823" t="str">
        <f>HYPERLINK("https://www.google.com/maps/search/?api=1&amp;query=26.288355,44.84592019", "View Map")</f>
        <v>View Map</v>
      </c>
      <c r="G3823" s="2">
        <v>0.53831176147412296</v>
      </c>
    </row>
    <row r="3824" spans="1:7" x14ac:dyDescent="0.3">
      <c r="A3824" t="s">
        <v>6334</v>
      </c>
      <c r="B3824" t="s">
        <v>7745</v>
      </c>
      <c r="C3824" t="s">
        <v>883</v>
      </c>
      <c r="D3824">
        <v>2.7160000000000002</v>
      </c>
      <c r="E3824">
        <v>869</v>
      </c>
      <c r="F3824" t="str">
        <f>HYPERLINK("https://www.google.com/maps/search/?api=1&amp;query=25.5624204,47.1715866", "View Map")</f>
        <v>View Map</v>
      </c>
      <c r="G3824" s="2">
        <v>0.50090155897867594</v>
      </c>
    </row>
    <row r="3825" spans="1:7" x14ac:dyDescent="0.3">
      <c r="A3825" t="s">
        <v>1064</v>
      </c>
      <c r="B3825" t="s">
        <v>7945</v>
      </c>
      <c r="C3825" t="s">
        <v>8</v>
      </c>
      <c r="D3825">
        <v>2.7160000000000002</v>
      </c>
      <c r="E3825">
        <v>869</v>
      </c>
      <c r="F3825" t="str">
        <f>HYPERLINK("https://www.google.com/maps/search/?api=1&amp;query=24.71321018,46.81738632", "View Map")</f>
        <v>View Map</v>
      </c>
    </row>
    <row r="3826" spans="1:7" x14ac:dyDescent="0.3">
      <c r="A3826" t="s">
        <v>9132</v>
      </c>
      <c r="B3826" t="s">
        <v>9133</v>
      </c>
      <c r="C3826" t="s">
        <v>8</v>
      </c>
      <c r="D3826">
        <v>2.7149999999999999</v>
      </c>
      <c r="E3826">
        <v>869</v>
      </c>
      <c r="F3826" t="str">
        <f>HYPERLINK("https://www.google.com/maps/search/?api=1&amp;query=24.74424173,46.83460896", "View Map")</f>
        <v>View Map</v>
      </c>
    </row>
    <row r="3827" spans="1:7" x14ac:dyDescent="0.3">
      <c r="A3827" t="s">
        <v>7994</v>
      </c>
      <c r="B3827" t="s">
        <v>7995</v>
      </c>
      <c r="C3827" t="s">
        <v>8</v>
      </c>
      <c r="D3827">
        <v>2.7149999999999999</v>
      </c>
      <c r="E3827">
        <v>869</v>
      </c>
      <c r="F3827" t="str">
        <f>HYPERLINK("https://www.google.com/maps/search/?api=1&amp;query=24.62069505,46.76202884", "View Map")</f>
        <v>View Map</v>
      </c>
    </row>
    <row r="3828" spans="1:7" x14ac:dyDescent="0.3">
      <c r="A3828" t="s">
        <v>3597</v>
      </c>
      <c r="B3828" t="s">
        <v>11510</v>
      </c>
      <c r="C3828" t="s">
        <v>8</v>
      </c>
      <c r="D3828">
        <v>2.7149999999999999</v>
      </c>
      <c r="E3828">
        <v>869</v>
      </c>
      <c r="F3828" t="str">
        <f>HYPERLINK("https://www.google.com/maps/search/?api=1&amp;query=24.78133486,46.73659842", "View Map")</f>
        <v>View Map</v>
      </c>
    </row>
    <row r="3829" spans="1:7" x14ac:dyDescent="0.3">
      <c r="A3829" t="s">
        <v>2582</v>
      </c>
      <c r="B3829" t="s">
        <v>2583</v>
      </c>
      <c r="C3829" t="s">
        <v>8</v>
      </c>
      <c r="D3829">
        <v>2.714</v>
      </c>
      <c r="E3829">
        <v>868</v>
      </c>
      <c r="F3829" t="str">
        <f>HYPERLINK("https://www.google.com/maps/search/?api=1&amp;query=24.81887828,46.73195953", "View Map")</f>
        <v>View Map</v>
      </c>
    </row>
    <row r="3830" spans="1:7" x14ac:dyDescent="0.3">
      <c r="A3830" t="s">
        <v>2455</v>
      </c>
      <c r="B3830" t="s">
        <v>2456</v>
      </c>
      <c r="C3830" t="s">
        <v>8</v>
      </c>
      <c r="D3830">
        <v>2.7130000000000001</v>
      </c>
      <c r="E3830">
        <v>868</v>
      </c>
      <c r="F3830" t="str">
        <f>HYPERLINK("https://www.google.com/maps/search/?api=1&amp;query=24.74081802,46.84435842", "View Map")</f>
        <v>View Map</v>
      </c>
    </row>
    <row r="3831" spans="1:7" x14ac:dyDescent="0.3">
      <c r="A3831" t="s">
        <v>7257</v>
      </c>
      <c r="B3831" t="s">
        <v>7258</v>
      </c>
      <c r="C3831" t="s">
        <v>16</v>
      </c>
      <c r="D3831">
        <v>2.7120000000000002</v>
      </c>
      <c r="E3831">
        <v>868</v>
      </c>
      <c r="F3831" t="str">
        <f>HYPERLINK("https://www.google.com/maps/search/?api=1&amp;query=23.967795,43.33463", "View Map")</f>
        <v>View Map</v>
      </c>
      <c r="G3831" s="2">
        <v>0.87828807438572065</v>
      </c>
    </row>
    <row r="3832" spans="1:7" x14ac:dyDescent="0.3">
      <c r="A3832" t="s">
        <v>530</v>
      </c>
      <c r="B3832" t="s">
        <v>7971</v>
      </c>
      <c r="C3832" t="s">
        <v>8</v>
      </c>
      <c r="D3832">
        <v>2.7120000000000002</v>
      </c>
      <c r="E3832">
        <v>868</v>
      </c>
      <c r="F3832" t="str">
        <f>HYPERLINK("https://www.google.com/maps/search/?api=1&amp;query=24.73861982,46.75275256", "View Map")</f>
        <v>View Map</v>
      </c>
    </row>
    <row r="3833" spans="1:7" x14ac:dyDescent="0.3">
      <c r="A3833" t="s">
        <v>1234</v>
      </c>
      <c r="B3833" t="s">
        <v>4513</v>
      </c>
      <c r="C3833" t="s">
        <v>8</v>
      </c>
      <c r="D3833">
        <v>2.7120000000000002</v>
      </c>
      <c r="E3833">
        <v>868</v>
      </c>
      <c r="F3833" t="str">
        <f>HYPERLINK("https://www.google.com/maps/search/?api=1&amp;query=24.74275208,46.74966629", "View Map")</f>
        <v>View Map</v>
      </c>
    </row>
    <row r="3834" spans="1:7" x14ac:dyDescent="0.3">
      <c r="A3834" t="s">
        <v>46</v>
      </c>
      <c r="B3834" t="s">
        <v>3221</v>
      </c>
      <c r="C3834" t="s">
        <v>8</v>
      </c>
      <c r="D3834">
        <v>2.7109999999999999</v>
      </c>
      <c r="E3834">
        <v>868</v>
      </c>
      <c r="F3834" t="str">
        <f>HYPERLINK("https://www.google.com/maps/search/?api=1&amp;query=24.92525789,46.82341566", "View Map")</f>
        <v>View Map</v>
      </c>
    </row>
    <row r="3835" spans="1:7" x14ac:dyDescent="0.3">
      <c r="A3835" t="s">
        <v>196</v>
      </c>
      <c r="B3835" t="s">
        <v>9733</v>
      </c>
      <c r="C3835" t="s">
        <v>8</v>
      </c>
      <c r="D3835">
        <v>2.7109999999999999</v>
      </c>
      <c r="E3835">
        <v>868</v>
      </c>
      <c r="F3835" t="str">
        <f>HYPERLINK("https://www.google.com/maps/search/?api=1&amp;query=24.71204791,46.7646552", "View Map")</f>
        <v>View Map</v>
      </c>
    </row>
    <row r="3836" spans="1:7" x14ac:dyDescent="0.3">
      <c r="A3836" t="s">
        <v>6717</v>
      </c>
      <c r="B3836" t="s">
        <v>6718</v>
      </c>
      <c r="C3836" t="s">
        <v>255</v>
      </c>
      <c r="D3836">
        <v>2.7109999999999999</v>
      </c>
      <c r="E3836">
        <v>867</v>
      </c>
      <c r="F3836" t="str">
        <f>HYPERLINK("https://www.google.com/maps/search/?api=1&amp;query=25.13643382,43.47864151", "View Map")</f>
        <v>View Map</v>
      </c>
      <c r="G3836" s="2">
        <v>0.82810360427641438</v>
      </c>
    </row>
    <row r="3837" spans="1:7" x14ac:dyDescent="0.3">
      <c r="A3837" t="s">
        <v>46</v>
      </c>
      <c r="B3837" t="s">
        <v>11238</v>
      </c>
      <c r="C3837" t="s">
        <v>8</v>
      </c>
      <c r="D3837">
        <v>2.71</v>
      </c>
      <c r="E3837">
        <v>867</v>
      </c>
      <c r="F3837" t="str">
        <f>HYPERLINK("https://www.google.com/maps/search/?api=1&amp;query=24.55408653,46.78413843", "View Map")</f>
        <v>View Map</v>
      </c>
    </row>
    <row r="3838" spans="1:7" x14ac:dyDescent="0.3">
      <c r="A3838" t="s">
        <v>5184</v>
      </c>
      <c r="B3838" t="s">
        <v>5185</v>
      </c>
      <c r="C3838" t="s">
        <v>8</v>
      </c>
      <c r="D3838">
        <v>2.71</v>
      </c>
      <c r="E3838">
        <v>867</v>
      </c>
      <c r="F3838" t="str">
        <f>HYPERLINK("https://www.google.com/maps/search/?api=1&amp;query=24.71509161,46.78822783", "View Map")</f>
        <v>View Map</v>
      </c>
    </row>
    <row r="3839" spans="1:7" x14ac:dyDescent="0.3">
      <c r="A3839" t="s">
        <v>3335</v>
      </c>
      <c r="B3839" t="s">
        <v>3336</v>
      </c>
      <c r="C3839" t="s">
        <v>8</v>
      </c>
      <c r="D3839">
        <v>2.71</v>
      </c>
      <c r="E3839">
        <v>867</v>
      </c>
      <c r="F3839" t="str">
        <f>HYPERLINK("https://www.google.com/maps/search/?api=1&amp;query=24.6030049,46.74012515", "View Map")</f>
        <v>View Map</v>
      </c>
    </row>
    <row r="3840" spans="1:7" x14ac:dyDescent="0.3">
      <c r="A3840" t="s">
        <v>146</v>
      </c>
      <c r="B3840" t="s">
        <v>8526</v>
      </c>
      <c r="C3840" t="s">
        <v>8</v>
      </c>
      <c r="D3840">
        <v>2.7090000000000001</v>
      </c>
      <c r="E3840">
        <v>867</v>
      </c>
      <c r="F3840" t="str">
        <f>HYPERLINK("https://www.google.com/maps/search/?api=1&amp;query=24.55393782,46.60335925", "View Map")</f>
        <v>View Map</v>
      </c>
    </row>
    <row r="3841" spans="1:7" x14ac:dyDescent="0.3">
      <c r="A3841" t="s">
        <v>8959</v>
      </c>
      <c r="B3841" t="s">
        <v>8960</v>
      </c>
      <c r="C3841" t="s">
        <v>8</v>
      </c>
      <c r="D3841">
        <v>2.7080000000000002</v>
      </c>
      <c r="E3841">
        <v>866</v>
      </c>
      <c r="F3841" t="str">
        <f>HYPERLINK("https://www.google.com/maps/search/?api=1&amp;query=24.790299,46.67507852", "View Map")</f>
        <v>View Map</v>
      </c>
    </row>
    <row r="3842" spans="1:7" x14ac:dyDescent="0.3">
      <c r="A3842" t="s">
        <v>1975</v>
      </c>
      <c r="B3842" t="s">
        <v>1976</v>
      </c>
      <c r="C3842" t="s">
        <v>8</v>
      </c>
      <c r="D3842">
        <v>2.7080000000000002</v>
      </c>
      <c r="E3842">
        <v>867</v>
      </c>
      <c r="F3842" t="str">
        <f>HYPERLINK("https://www.google.com/maps/search/?api=1&amp;query=24.63750331,46.7302158", "View Map")</f>
        <v>View Map</v>
      </c>
      <c r="G3842" s="2">
        <v>0.17983991704123969</v>
      </c>
    </row>
    <row r="3843" spans="1:7" x14ac:dyDescent="0.3">
      <c r="A3843" t="s">
        <v>385</v>
      </c>
      <c r="B3843" t="s">
        <v>8968</v>
      </c>
      <c r="C3843" t="s">
        <v>255</v>
      </c>
      <c r="D3843">
        <v>2.7069999999999999</v>
      </c>
      <c r="E3843">
        <v>866</v>
      </c>
      <c r="F3843" t="str">
        <f>HYPERLINK("https://www.google.com/maps/search/?api=1&amp;query=24.2135803,44.73928016", "View Map")</f>
        <v>View Map</v>
      </c>
      <c r="G3843" s="2">
        <v>0.9449995281022523</v>
      </c>
    </row>
    <row r="3844" spans="1:7" x14ac:dyDescent="0.3">
      <c r="A3844" t="s">
        <v>4789</v>
      </c>
      <c r="B3844" t="s">
        <v>4790</v>
      </c>
      <c r="C3844" t="s">
        <v>8</v>
      </c>
      <c r="D3844">
        <v>2.7069999999999999</v>
      </c>
      <c r="E3844">
        <v>866</v>
      </c>
      <c r="F3844" t="str">
        <f>HYPERLINK("https://www.google.com/maps/search/?api=1&amp;query=24.63220534,46.73784733", "View Map")</f>
        <v>View Map</v>
      </c>
      <c r="G3844" s="2">
        <v>0.41256260673860001</v>
      </c>
    </row>
    <row r="3845" spans="1:7" x14ac:dyDescent="0.3">
      <c r="A3845" t="s">
        <v>46</v>
      </c>
      <c r="B3845" t="s">
        <v>5615</v>
      </c>
      <c r="C3845" t="s">
        <v>8</v>
      </c>
      <c r="D3845">
        <v>2.706</v>
      </c>
      <c r="E3845">
        <v>866</v>
      </c>
      <c r="F3845" t="str">
        <f>HYPERLINK("https://www.google.com/maps/search/?api=1&amp;query=24.92334319,46.82037301", "View Map")</f>
        <v>View Map</v>
      </c>
    </row>
    <row r="3846" spans="1:7" x14ac:dyDescent="0.3">
      <c r="A3846" t="s">
        <v>7710</v>
      </c>
      <c r="B3846" t="s">
        <v>7711</v>
      </c>
      <c r="C3846" t="s">
        <v>8</v>
      </c>
      <c r="D3846">
        <v>2.706</v>
      </c>
      <c r="E3846">
        <v>866</v>
      </c>
      <c r="F3846" t="str">
        <f>HYPERLINK("https://www.google.com/maps/search/?api=1&amp;query=24.64308693,46.73303622", "View Map")</f>
        <v>View Map</v>
      </c>
    </row>
    <row r="3847" spans="1:7" x14ac:dyDescent="0.3">
      <c r="A3847" t="s">
        <v>7743</v>
      </c>
      <c r="B3847" t="s">
        <v>7744</v>
      </c>
      <c r="C3847" t="s">
        <v>255</v>
      </c>
      <c r="D3847">
        <v>2.706</v>
      </c>
      <c r="E3847">
        <v>866</v>
      </c>
      <c r="F3847" t="str">
        <f>HYPERLINK("https://www.google.com/maps/search/?api=1&amp;query=25.07216834,44.69933647", "View Map")</f>
        <v>View Map</v>
      </c>
      <c r="G3847" s="2">
        <v>0.49104445922082718</v>
      </c>
    </row>
    <row r="3848" spans="1:7" x14ac:dyDescent="0.3">
      <c r="A3848" t="s">
        <v>11511</v>
      </c>
      <c r="B3848" t="s">
        <v>11512</v>
      </c>
      <c r="C3848" t="s">
        <v>255</v>
      </c>
      <c r="D3848">
        <v>2.706</v>
      </c>
      <c r="E3848">
        <v>866</v>
      </c>
      <c r="F3848" t="str">
        <f>HYPERLINK("https://www.google.com/maps/search/?api=1&amp;query=24.44964203,44.3728154", "View Map")</f>
        <v>View Map</v>
      </c>
      <c r="G3848" s="2">
        <v>0.47256297505819977</v>
      </c>
    </row>
    <row r="3849" spans="1:7" x14ac:dyDescent="0.3">
      <c r="A3849" t="s">
        <v>6016</v>
      </c>
      <c r="B3849" t="s">
        <v>6017</v>
      </c>
      <c r="C3849" t="s">
        <v>214</v>
      </c>
      <c r="D3849">
        <v>2.7050000000000001</v>
      </c>
      <c r="E3849">
        <v>866</v>
      </c>
      <c r="F3849" t="str">
        <f>HYPERLINK("https://www.google.com/maps/search/?api=1&amp;query=25.69664192,45.88027634", "View Map")</f>
        <v>View Map</v>
      </c>
      <c r="G3849" s="2">
        <v>0.42653322714876851</v>
      </c>
    </row>
    <row r="3850" spans="1:7" x14ac:dyDescent="0.3">
      <c r="A3850" t="s">
        <v>7390</v>
      </c>
      <c r="B3850" t="s">
        <v>7391</v>
      </c>
      <c r="C3850" t="s">
        <v>8</v>
      </c>
      <c r="D3850">
        <v>2.7050000000000001</v>
      </c>
      <c r="E3850">
        <v>866</v>
      </c>
      <c r="F3850" t="str">
        <f>HYPERLINK("https://www.google.com/maps/search/?api=1&amp;query=24.58503308,46.66263164", "View Map")</f>
        <v>View Map</v>
      </c>
    </row>
    <row r="3851" spans="1:7" x14ac:dyDescent="0.3">
      <c r="A3851" t="s">
        <v>8308</v>
      </c>
      <c r="B3851" t="s">
        <v>8309</v>
      </c>
      <c r="C3851" t="s">
        <v>8</v>
      </c>
      <c r="D3851">
        <v>2.7050000000000001</v>
      </c>
      <c r="E3851">
        <v>866</v>
      </c>
      <c r="F3851" t="str">
        <f>HYPERLINK("https://www.google.com/maps/search/?api=1&amp;query=24.57256528,46.68615296", "View Map")</f>
        <v>View Map</v>
      </c>
    </row>
    <row r="3852" spans="1:7" x14ac:dyDescent="0.3">
      <c r="A3852" t="s">
        <v>289</v>
      </c>
      <c r="B3852" t="s">
        <v>7041</v>
      </c>
      <c r="C3852" t="s">
        <v>393</v>
      </c>
      <c r="D3852">
        <v>2.7040000000000002</v>
      </c>
      <c r="E3852">
        <v>865</v>
      </c>
      <c r="F3852" t="str">
        <f>HYPERLINK("https://www.google.com/maps/search/?api=1&amp;query=22.73749652,45.03240146", "View Map")</f>
        <v>View Map</v>
      </c>
      <c r="G3852" s="2">
        <v>0.90698994193020899</v>
      </c>
    </row>
    <row r="3853" spans="1:7" x14ac:dyDescent="0.3">
      <c r="A3853" t="s">
        <v>10736</v>
      </c>
      <c r="B3853" t="s">
        <v>10737</v>
      </c>
      <c r="C3853" t="s">
        <v>286</v>
      </c>
      <c r="D3853">
        <v>2.7029999999999998</v>
      </c>
      <c r="E3853">
        <v>865</v>
      </c>
      <c r="F3853" t="str">
        <f>HYPERLINK("https://www.google.com/maps/search/?api=1&amp;query=25.24022645,45.2551567", "View Map")</f>
        <v>View Map</v>
      </c>
      <c r="G3853" s="2">
        <v>0.75393187920268578</v>
      </c>
    </row>
    <row r="3854" spans="1:7" x14ac:dyDescent="0.3">
      <c r="A3854" t="s">
        <v>1496</v>
      </c>
      <c r="B3854" t="s">
        <v>1497</v>
      </c>
      <c r="C3854" t="s">
        <v>8</v>
      </c>
      <c r="D3854">
        <v>2.7029999999999998</v>
      </c>
      <c r="E3854">
        <v>865</v>
      </c>
      <c r="F3854" t="str">
        <f>HYPERLINK("https://www.google.com/maps/search/?api=1&amp;query=24.58240149,46.76198493", "View Map")</f>
        <v>View Map</v>
      </c>
      <c r="G3854" s="2">
        <v>0.2343589621992154</v>
      </c>
    </row>
    <row r="3855" spans="1:7" x14ac:dyDescent="0.3">
      <c r="A3855" t="s">
        <v>2101</v>
      </c>
      <c r="B3855" t="s">
        <v>3271</v>
      </c>
      <c r="C3855" t="s">
        <v>883</v>
      </c>
      <c r="D3855">
        <v>2.7029999999999998</v>
      </c>
      <c r="E3855">
        <v>865</v>
      </c>
      <c r="F3855" t="str">
        <f>HYPERLINK("https://www.google.com/maps/search/?api=1&amp;query=25.54979306,47.18032012", "View Map")</f>
        <v>View Map</v>
      </c>
      <c r="G3855" s="2">
        <v>0.26323031330544411</v>
      </c>
    </row>
    <row r="3856" spans="1:7" x14ac:dyDescent="0.3">
      <c r="A3856" t="s">
        <v>6780</v>
      </c>
      <c r="B3856" t="s">
        <v>6781</v>
      </c>
      <c r="C3856" t="s">
        <v>270</v>
      </c>
      <c r="D3856">
        <v>2.702</v>
      </c>
      <c r="E3856">
        <v>865</v>
      </c>
      <c r="F3856" t="str">
        <f>HYPERLINK("https://www.google.com/maps/search/?api=1&amp;query=23.98640944,47.12490456", "View Map")</f>
        <v>View Map</v>
      </c>
      <c r="G3856" s="2">
        <v>0.39180278400707907</v>
      </c>
    </row>
    <row r="3857" spans="1:7" x14ac:dyDescent="0.3">
      <c r="A3857" t="s">
        <v>1273</v>
      </c>
      <c r="B3857" t="s">
        <v>7151</v>
      </c>
      <c r="C3857" t="s">
        <v>241</v>
      </c>
      <c r="D3857">
        <v>2.702</v>
      </c>
      <c r="E3857">
        <v>865</v>
      </c>
      <c r="F3857" t="str">
        <f>HYPERLINK("https://www.google.com/maps/search/?api=1&amp;query=20.47805559,44.76451486", "View Map")</f>
        <v>View Map</v>
      </c>
    </row>
    <row r="3858" spans="1:7" x14ac:dyDescent="0.3">
      <c r="A3858" t="s">
        <v>1002</v>
      </c>
      <c r="B3858" t="s">
        <v>6518</v>
      </c>
      <c r="C3858" t="s">
        <v>738</v>
      </c>
      <c r="D3858">
        <v>2.7010000000000001</v>
      </c>
      <c r="E3858">
        <v>864</v>
      </c>
      <c r="F3858" t="str">
        <f>HYPERLINK("https://www.google.com/maps/search/?api=1&amp;query=24.91203526,45.86388209", "View Map")</f>
        <v>View Map</v>
      </c>
      <c r="G3858" s="2">
        <v>0.63175117444104678</v>
      </c>
    </row>
    <row r="3859" spans="1:7" x14ac:dyDescent="0.3">
      <c r="A3859" t="s">
        <v>5152</v>
      </c>
      <c r="B3859" t="s">
        <v>5153</v>
      </c>
      <c r="C3859" t="s">
        <v>255</v>
      </c>
      <c r="D3859">
        <v>2.7</v>
      </c>
      <c r="E3859">
        <v>864</v>
      </c>
      <c r="F3859" t="str">
        <f>HYPERLINK("https://www.google.com/maps/search/?api=1&amp;query=24.6830547,43.6812741", "View Map")</f>
        <v>View Map</v>
      </c>
      <c r="G3859" s="2">
        <v>0.53998869300144203</v>
      </c>
    </row>
    <row r="3860" spans="1:7" x14ac:dyDescent="0.3">
      <c r="A3860" t="s">
        <v>362</v>
      </c>
      <c r="B3860" t="s">
        <v>6751</v>
      </c>
      <c r="C3860" t="s">
        <v>364</v>
      </c>
      <c r="D3860">
        <v>2.6989999999999998</v>
      </c>
      <c r="E3860">
        <v>864</v>
      </c>
      <c r="F3860" t="str">
        <f>HYPERLINK("https://www.google.com/maps/search/?api=1&amp;query=25.17903408,45.81382796", "View Map")</f>
        <v>View Map</v>
      </c>
      <c r="G3860" s="2">
        <v>0.6519740222317213</v>
      </c>
    </row>
    <row r="3861" spans="1:7" x14ac:dyDescent="0.3">
      <c r="A3861" t="s">
        <v>5808</v>
      </c>
      <c r="B3861" t="s">
        <v>5809</v>
      </c>
      <c r="C3861" t="s">
        <v>8</v>
      </c>
      <c r="D3861">
        <v>2.6989999999999998</v>
      </c>
      <c r="E3861">
        <v>864</v>
      </c>
      <c r="F3861" t="str">
        <f>HYPERLINK("https://www.google.com/maps/search/?api=1&amp;query=24.57211209,46.63986071", "View Map")</f>
        <v>View Map</v>
      </c>
    </row>
    <row r="3862" spans="1:7" x14ac:dyDescent="0.3">
      <c r="A3862" t="s">
        <v>46</v>
      </c>
      <c r="B3862" t="s">
        <v>4193</v>
      </c>
      <c r="C3862" t="s">
        <v>8</v>
      </c>
      <c r="D3862">
        <v>2.698</v>
      </c>
      <c r="E3862">
        <v>864</v>
      </c>
      <c r="F3862" t="str">
        <f>HYPERLINK("https://www.google.com/maps/search/?api=1&amp;query=24.78160745,46.68907762", "View Map")</f>
        <v>View Map</v>
      </c>
    </row>
    <row r="3863" spans="1:7" x14ac:dyDescent="0.3">
      <c r="A3863" t="s">
        <v>6334</v>
      </c>
      <c r="B3863" t="s">
        <v>6335</v>
      </c>
      <c r="C3863" t="s">
        <v>883</v>
      </c>
      <c r="D3863">
        <v>2.6970000000000001</v>
      </c>
      <c r="E3863">
        <v>863</v>
      </c>
      <c r="F3863" t="str">
        <f>HYPERLINK("https://www.google.com/maps/search/?api=1&amp;query=25.56589534,47.16303528", "View Map")</f>
        <v>View Map</v>
      </c>
      <c r="G3863" s="2">
        <v>0.52134851574132979</v>
      </c>
    </row>
    <row r="3864" spans="1:7" x14ac:dyDescent="0.3">
      <c r="A3864" t="s">
        <v>46</v>
      </c>
      <c r="B3864" t="s">
        <v>2809</v>
      </c>
      <c r="C3864" t="s">
        <v>8</v>
      </c>
      <c r="D3864">
        <v>2.6970000000000001</v>
      </c>
      <c r="E3864">
        <v>863</v>
      </c>
      <c r="F3864" t="str">
        <f>HYPERLINK("https://www.google.com/maps/search/?api=1&amp;query=24.87035104,46.65307017", "View Map")</f>
        <v>View Map</v>
      </c>
    </row>
    <row r="3865" spans="1:7" x14ac:dyDescent="0.3">
      <c r="A3865" t="s">
        <v>5311</v>
      </c>
      <c r="B3865" t="s">
        <v>5312</v>
      </c>
      <c r="C3865" t="s">
        <v>214</v>
      </c>
      <c r="D3865">
        <v>2.6960000000000002</v>
      </c>
      <c r="E3865">
        <v>863</v>
      </c>
      <c r="F3865" t="str">
        <f>HYPERLINK("https://www.google.com/maps/search/?api=1&amp;query=26.51188925,45.34240108", "View Map")</f>
        <v>View Map</v>
      </c>
      <c r="G3865" s="2">
        <v>0.34568635188363139</v>
      </c>
    </row>
    <row r="3866" spans="1:7" x14ac:dyDescent="0.3">
      <c r="A3866" t="s">
        <v>644</v>
      </c>
      <c r="B3866" t="s">
        <v>7164</v>
      </c>
      <c r="C3866" t="s">
        <v>646</v>
      </c>
      <c r="D3866">
        <v>2.6949999999999998</v>
      </c>
      <c r="E3866">
        <v>862</v>
      </c>
      <c r="F3866" t="str">
        <f>HYPERLINK("https://www.google.com/maps/search/?api=1&amp;query=20.41301735,45.4333519", "View Map")</f>
        <v>View Map</v>
      </c>
      <c r="G3866" s="2">
        <v>0.92896618658245533</v>
      </c>
    </row>
    <row r="3867" spans="1:7" x14ac:dyDescent="0.3">
      <c r="A3867" t="s">
        <v>10162</v>
      </c>
      <c r="B3867" t="s">
        <v>10163</v>
      </c>
      <c r="C3867" t="s">
        <v>255</v>
      </c>
      <c r="D3867">
        <v>2.694</v>
      </c>
      <c r="E3867">
        <v>862</v>
      </c>
      <c r="F3867" t="str">
        <f>HYPERLINK("https://www.google.com/maps/search/?api=1&amp;query=25.27284107,44.57736159", "View Map")</f>
        <v>View Map</v>
      </c>
    </row>
    <row r="3868" spans="1:7" x14ac:dyDescent="0.3">
      <c r="A3868" t="s">
        <v>3602</v>
      </c>
      <c r="B3868" t="s">
        <v>8431</v>
      </c>
      <c r="C3868" t="s">
        <v>8</v>
      </c>
      <c r="D3868">
        <v>2.694</v>
      </c>
      <c r="E3868">
        <v>862</v>
      </c>
      <c r="F3868" t="str">
        <f>HYPERLINK("https://www.google.com/maps/search/?api=1&amp;query=24.61300889,46.72979078", "View Map")</f>
        <v>View Map</v>
      </c>
    </row>
    <row r="3869" spans="1:7" x14ac:dyDescent="0.3">
      <c r="A3869" t="s">
        <v>46</v>
      </c>
      <c r="B3869" t="s">
        <v>3553</v>
      </c>
      <c r="C3869" t="s">
        <v>8</v>
      </c>
      <c r="D3869">
        <v>2.6930000000000001</v>
      </c>
      <c r="E3869">
        <v>862</v>
      </c>
      <c r="F3869" t="str">
        <f>HYPERLINK("https://www.google.com/maps/search/?api=1&amp;query=24.81491919,46.5935683", "View Map")</f>
        <v>View Map</v>
      </c>
      <c r="G3869" s="2">
        <v>0.36062402625360829</v>
      </c>
    </row>
    <row r="3870" spans="1:7" x14ac:dyDescent="0.3">
      <c r="A3870" t="s">
        <v>146</v>
      </c>
      <c r="B3870" t="s">
        <v>10880</v>
      </c>
      <c r="C3870" t="s">
        <v>8</v>
      </c>
      <c r="D3870">
        <v>2.6930000000000001</v>
      </c>
      <c r="E3870">
        <v>862</v>
      </c>
      <c r="F3870" t="str">
        <f>HYPERLINK("https://www.google.com/maps/search/?api=1&amp;query=24.67050962,46.57164983", "View Map")</f>
        <v>View Map</v>
      </c>
    </row>
    <row r="3871" spans="1:7" x14ac:dyDescent="0.3">
      <c r="A3871" t="s">
        <v>28</v>
      </c>
      <c r="B3871" t="s">
        <v>4746</v>
      </c>
      <c r="C3871" t="s">
        <v>30</v>
      </c>
      <c r="D3871">
        <v>2.6930000000000001</v>
      </c>
      <c r="E3871">
        <v>862</v>
      </c>
      <c r="F3871" t="str">
        <f>HYPERLINK("https://www.google.com/maps/search/?api=1&amp;query=24.09488066,47.29145779", "View Map")</f>
        <v>View Map</v>
      </c>
      <c r="G3871" s="2">
        <v>0.3743950600509281</v>
      </c>
    </row>
    <row r="3872" spans="1:7" x14ac:dyDescent="0.3">
      <c r="A3872" t="s">
        <v>46</v>
      </c>
      <c r="B3872" t="s">
        <v>11513</v>
      </c>
      <c r="C3872" t="s">
        <v>8</v>
      </c>
      <c r="D3872">
        <v>2.6920000000000002</v>
      </c>
      <c r="E3872">
        <v>862</v>
      </c>
      <c r="F3872" t="str">
        <f>HYPERLINK("https://www.google.com/maps/search/?api=1&amp;query=24.59666058,46.62223485", "View Map")</f>
        <v>View Map</v>
      </c>
    </row>
    <row r="3873" spans="1:7" x14ac:dyDescent="0.3">
      <c r="A3873" t="s">
        <v>8233</v>
      </c>
      <c r="B3873" t="s">
        <v>8234</v>
      </c>
      <c r="C3873" t="s">
        <v>137</v>
      </c>
      <c r="D3873">
        <v>2.6909999999999998</v>
      </c>
      <c r="E3873">
        <v>861</v>
      </c>
      <c r="F3873" t="str">
        <f>HYPERLINK("https://www.google.com/maps/search/?api=1&amp;query=23.50098371,46.8859067", "View Map")</f>
        <v>View Map</v>
      </c>
    </row>
    <row r="3874" spans="1:7" x14ac:dyDescent="0.3">
      <c r="A3874" t="s">
        <v>459</v>
      </c>
      <c r="B3874" t="s">
        <v>7960</v>
      </c>
      <c r="C3874" t="s">
        <v>8</v>
      </c>
      <c r="D3874">
        <v>2.6909999999999998</v>
      </c>
      <c r="E3874">
        <v>861</v>
      </c>
      <c r="F3874" t="str">
        <f>HYPERLINK("https://www.google.com/maps/search/?api=1&amp;query=24.63540842242,46.557078692864", "View Map")</f>
        <v>View Map</v>
      </c>
      <c r="G3874" s="2">
        <v>0.43536924713920222</v>
      </c>
    </row>
    <row r="3875" spans="1:7" x14ac:dyDescent="0.3">
      <c r="A3875" t="s">
        <v>46</v>
      </c>
      <c r="B3875" t="s">
        <v>2822</v>
      </c>
      <c r="C3875" t="s">
        <v>8</v>
      </c>
      <c r="D3875">
        <v>2.69</v>
      </c>
      <c r="E3875">
        <v>861</v>
      </c>
      <c r="F3875" t="str">
        <f>HYPERLINK("https://www.google.com/maps/search/?api=1&amp;query=24.88863907,46.6053174", "View Map")</f>
        <v>View Map</v>
      </c>
    </row>
    <row r="3876" spans="1:7" x14ac:dyDescent="0.3">
      <c r="A3876" t="s">
        <v>73</v>
      </c>
      <c r="B3876" t="s">
        <v>6633</v>
      </c>
      <c r="C3876" t="s">
        <v>8</v>
      </c>
      <c r="D3876">
        <v>2.69</v>
      </c>
      <c r="E3876">
        <v>861</v>
      </c>
      <c r="F3876" t="str">
        <f>HYPERLINK("https://www.google.com/maps/search/?api=1&amp;query=24.83177614,46.68945504", "View Map")</f>
        <v>View Map</v>
      </c>
    </row>
    <row r="3877" spans="1:7" x14ac:dyDescent="0.3">
      <c r="A3877" t="s">
        <v>6854</v>
      </c>
      <c r="B3877" t="s">
        <v>6855</v>
      </c>
      <c r="C3877" t="s">
        <v>8</v>
      </c>
      <c r="D3877">
        <v>2.6890000000000001</v>
      </c>
      <c r="E3877">
        <v>860</v>
      </c>
      <c r="F3877" t="str">
        <f>HYPERLINK("https://www.google.com/maps/search/?api=1&amp;query=24.60259749,46.65124715", "View Map")</f>
        <v>View Map</v>
      </c>
    </row>
    <row r="3878" spans="1:7" x14ac:dyDescent="0.3">
      <c r="A3878" t="s">
        <v>9859</v>
      </c>
      <c r="B3878" t="s">
        <v>9860</v>
      </c>
      <c r="C3878" t="s">
        <v>291</v>
      </c>
      <c r="D3878">
        <v>2.6890000000000001</v>
      </c>
      <c r="E3878">
        <v>861</v>
      </c>
      <c r="F3878" t="str">
        <f>HYPERLINK("https://www.google.com/maps/search/?api=1&amp;query=24.47487182,45.66728579", "View Map")</f>
        <v>View Map</v>
      </c>
      <c r="G3878" s="2">
        <v>0.76917862593988029</v>
      </c>
    </row>
    <row r="3879" spans="1:7" x14ac:dyDescent="0.3">
      <c r="A3879" t="s">
        <v>5503</v>
      </c>
      <c r="B3879" t="s">
        <v>5504</v>
      </c>
      <c r="C3879" t="s">
        <v>255</v>
      </c>
      <c r="D3879">
        <v>2.6880000000000002</v>
      </c>
      <c r="E3879">
        <v>860</v>
      </c>
      <c r="F3879" t="str">
        <f>HYPERLINK("https://www.google.com/maps/search/?api=1&amp;query=24.54456886,44.43271592", "View Map")</f>
        <v>View Map</v>
      </c>
      <c r="G3879" s="2">
        <v>0.34795642580638281</v>
      </c>
    </row>
    <row r="3880" spans="1:7" x14ac:dyDescent="0.3">
      <c r="A3880" t="s">
        <v>7439</v>
      </c>
      <c r="B3880" t="s">
        <v>7440</v>
      </c>
      <c r="C3880" t="s">
        <v>291</v>
      </c>
      <c r="D3880">
        <v>2.6880000000000002</v>
      </c>
      <c r="E3880">
        <v>860</v>
      </c>
      <c r="F3880" t="str">
        <f>HYPERLINK("https://www.google.com/maps/search/?api=1&amp;query=22.59503046,44.67905066", "View Map")</f>
        <v>View Map</v>
      </c>
      <c r="G3880" s="2">
        <v>0.94300864938582185</v>
      </c>
    </row>
    <row r="3881" spans="1:7" x14ac:dyDescent="0.3">
      <c r="A3881" t="s">
        <v>6710</v>
      </c>
      <c r="B3881" t="s">
        <v>6711</v>
      </c>
      <c r="C3881" t="s">
        <v>8</v>
      </c>
      <c r="D3881">
        <v>2.6880000000000002</v>
      </c>
      <c r="E3881">
        <v>860</v>
      </c>
      <c r="F3881" t="str">
        <f>HYPERLINK("https://www.google.com/maps/search/?api=1&amp;query=24.6261,46.6639", "View Map")</f>
        <v>View Map</v>
      </c>
    </row>
    <row r="3882" spans="1:7" x14ac:dyDescent="0.3">
      <c r="A3882" t="s">
        <v>7386</v>
      </c>
      <c r="B3882" t="s">
        <v>7387</v>
      </c>
      <c r="C3882" t="s">
        <v>214</v>
      </c>
      <c r="D3882">
        <v>2.6869999999999998</v>
      </c>
      <c r="E3882">
        <v>860</v>
      </c>
      <c r="F3882" t="str">
        <f>HYPERLINK("https://www.google.com/maps/search/?api=1&amp;query=25.69664192,45.88027634", "View Map")</f>
        <v>View Map</v>
      </c>
      <c r="G3882" s="2">
        <v>0.64938365446446111</v>
      </c>
    </row>
    <row r="3883" spans="1:7" x14ac:dyDescent="0.3">
      <c r="A3883" t="s">
        <v>7101</v>
      </c>
      <c r="B3883" t="s">
        <v>7102</v>
      </c>
      <c r="C3883" t="s">
        <v>16</v>
      </c>
      <c r="D3883">
        <v>2.6869999999999998</v>
      </c>
      <c r="E3883">
        <v>860</v>
      </c>
      <c r="F3883" t="str">
        <f>HYPERLINK("https://www.google.com/maps/search/?api=1&amp;query=24.35525875,43.00245828", "View Map")</f>
        <v>View Map</v>
      </c>
      <c r="G3883" s="2">
        <v>0.92509137499668948</v>
      </c>
    </row>
    <row r="3884" spans="1:7" x14ac:dyDescent="0.3">
      <c r="A3884" t="s">
        <v>2091</v>
      </c>
      <c r="B3884" t="s">
        <v>6987</v>
      </c>
      <c r="C3884" t="s">
        <v>8</v>
      </c>
      <c r="D3884">
        <v>2.6869999999999998</v>
      </c>
      <c r="E3884">
        <v>860</v>
      </c>
      <c r="F3884" t="str">
        <f>HYPERLINK("https://www.google.com/maps/search/?api=1&amp;query=24.67283897,46.78712445", "View Map")</f>
        <v>View Map</v>
      </c>
      <c r="G3884" s="2">
        <v>0.77959380768501929</v>
      </c>
    </row>
    <row r="3885" spans="1:7" x14ac:dyDescent="0.3">
      <c r="A3885" t="s">
        <v>46</v>
      </c>
      <c r="B3885" t="s">
        <v>7423</v>
      </c>
      <c r="C3885" t="s">
        <v>8</v>
      </c>
      <c r="D3885">
        <v>2.6859999999999999</v>
      </c>
      <c r="E3885">
        <v>860</v>
      </c>
      <c r="F3885" t="str">
        <f>HYPERLINK("https://www.google.com/maps/search/?api=1&amp;query=24.64433971,46.5514691", "View Map")</f>
        <v>View Map</v>
      </c>
    </row>
    <row r="3886" spans="1:7" x14ac:dyDescent="0.3">
      <c r="A3886" t="s">
        <v>1349</v>
      </c>
      <c r="B3886" t="s">
        <v>8131</v>
      </c>
      <c r="C3886" t="s">
        <v>270</v>
      </c>
      <c r="D3886">
        <v>2.6850000000000001</v>
      </c>
      <c r="E3886">
        <v>859</v>
      </c>
      <c r="F3886" t="str">
        <f>HYPERLINK("https://www.google.com/maps/search/?api=1&amp;query=23.99349883,47.17797152", "View Map")</f>
        <v>View Map</v>
      </c>
    </row>
    <row r="3887" spans="1:7" x14ac:dyDescent="0.3">
      <c r="A3887" t="s">
        <v>3786</v>
      </c>
      <c r="B3887" t="s">
        <v>3787</v>
      </c>
      <c r="C3887" t="s">
        <v>8</v>
      </c>
      <c r="D3887">
        <v>2.6840000000000002</v>
      </c>
      <c r="E3887">
        <v>859</v>
      </c>
      <c r="F3887" t="str">
        <f>HYPERLINK("https://www.google.com/maps/search/?api=1&amp;query=24.69292043,46.76261806", "View Map")</f>
        <v>View Map</v>
      </c>
      <c r="G3887" s="2">
        <v>0.34054207662893599</v>
      </c>
    </row>
    <row r="3888" spans="1:7" x14ac:dyDescent="0.3">
      <c r="A3888" t="s">
        <v>11514</v>
      </c>
      <c r="B3888" t="s">
        <v>11515</v>
      </c>
      <c r="C3888" t="s">
        <v>296</v>
      </c>
      <c r="D3888">
        <v>2.6829999999999998</v>
      </c>
      <c r="E3888">
        <v>858</v>
      </c>
      <c r="F3888" t="str">
        <f>HYPERLINK("https://www.google.com/maps/search/?api=1&amp;query=24.48222178,46.26497088", "View Map")</f>
        <v>View Map</v>
      </c>
    </row>
    <row r="3889" spans="1:7" x14ac:dyDescent="0.3">
      <c r="A3889" t="s">
        <v>7318</v>
      </c>
      <c r="B3889" t="s">
        <v>7319</v>
      </c>
      <c r="C3889" t="s">
        <v>8</v>
      </c>
      <c r="D3889">
        <v>2.6819999999999999</v>
      </c>
      <c r="E3889">
        <v>858</v>
      </c>
      <c r="F3889" t="str">
        <f>HYPERLINK("https://www.google.com/maps/search/?api=1&amp;query=24.56605515,46.5487791", "View Map")</f>
        <v>View Map</v>
      </c>
    </row>
    <row r="3890" spans="1:7" x14ac:dyDescent="0.3">
      <c r="A3890" t="s">
        <v>411</v>
      </c>
      <c r="B3890" t="s">
        <v>9538</v>
      </c>
      <c r="C3890" t="s">
        <v>77</v>
      </c>
      <c r="D3890">
        <v>2.6819999999999999</v>
      </c>
      <c r="E3890">
        <v>858</v>
      </c>
      <c r="F3890" t="str">
        <f>HYPERLINK("https://www.google.com/maps/search/?api=1&amp;query=22.43369286,46.18849436", "View Map")</f>
        <v>View Map</v>
      </c>
      <c r="G3890" s="2">
        <v>0.79989201833594026</v>
      </c>
    </row>
    <row r="3891" spans="1:7" x14ac:dyDescent="0.3">
      <c r="A3891" t="s">
        <v>2793</v>
      </c>
      <c r="B3891" t="s">
        <v>2794</v>
      </c>
      <c r="C3891" t="s">
        <v>8</v>
      </c>
      <c r="D3891">
        <v>2.6819999999999999</v>
      </c>
      <c r="E3891">
        <v>858</v>
      </c>
      <c r="F3891" t="str">
        <f>HYPERLINK("https://www.google.com/maps/search/?api=1&amp;query=24.76110876,46.68694082", "View Map")</f>
        <v>View Map</v>
      </c>
    </row>
    <row r="3892" spans="1:7" x14ac:dyDescent="0.3">
      <c r="A3892" t="s">
        <v>860</v>
      </c>
      <c r="B3892" t="s">
        <v>6276</v>
      </c>
      <c r="C3892" t="s">
        <v>255</v>
      </c>
      <c r="D3892">
        <v>2.6819999999999999</v>
      </c>
      <c r="E3892">
        <v>858</v>
      </c>
      <c r="F3892" t="str">
        <f>HYPERLINK("https://www.google.com/maps/search/?api=1&amp;query=25.48836068,44.41924387", "View Map")</f>
        <v>View Map</v>
      </c>
    </row>
    <row r="3893" spans="1:7" x14ac:dyDescent="0.3">
      <c r="A3893" t="s">
        <v>6627</v>
      </c>
      <c r="B3893" t="s">
        <v>6628</v>
      </c>
      <c r="C3893" t="s">
        <v>296</v>
      </c>
      <c r="D3893">
        <v>2.6819999999999999</v>
      </c>
      <c r="E3893">
        <v>858</v>
      </c>
      <c r="F3893" t="str">
        <f>HYPERLINK("https://www.google.com/maps/search/?api=1&amp;query=24.47820756,46.26500681", "View Map")</f>
        <v>View Map</v>
      </c>
      <c r="G3893" s="2">
        <v>0.43189871352527132</v>
      </c>
    </row>
    <row r="3894" spans="1:7" x14ac:dyDescent="0.3">
      <c r="A3894" t="s">
        <v>6722</v>
      </c>
      <c r="B3894" t="s">
        <v>6723</v>
      </c>
      <c r="C3894" t="s">
        <v>8</v>
      </c>
      <c r="D3894">
        <v>2.68</v>
      </c>
      <c r="E3894">
        <v>858</v>
      </c>
      <c r="F3894" t="str">
        <f>HYPERLINK("https://www.google.com/maps/search/?api=1&amp;query=24.69252727,46.69934526", "View Map")</f>
        <v>View Map</v>
      </c>
    </row>
    <row r="3895" spans="1:7" x14ac:dyDescent="0.3">
      <c r="A3895" t="s">
        <v>717</v>
      </c>
      <c r="B3895" t="s">
        <v>9976</v>
      </c>
      <c r="C3895" t="s">
        <v>255</v>
      </c>
      <c r="D3895">
        <v>2.68</v>
      </c>
      <c r="E3895">
        <v>857</v>
      </c>
      <c r="F3895" t="str">
        <f>HYPERLINK("https://www.google.com/maps/search/?api=1&amp;query=24.49637837,44.35010036", "View Map")</f>
        <v>View Map</v>
      </c>
      <c r="G3895" s="2">
        <v>0.78737888698483804</v>
      </c>
    </row>
    <row r="3896" spans="1:7" x14ac:dyDescent="0.3">
      <c r="A3896" t="s">
        <v>3129</v>
      </c>
      <c r="B3896" t="s">
        <v>3130</v>
      </c>
      <c r="C3896" t="s">
        <v>8</v>
      </c>
      <c r="D3896">
        <v>2.6789999999999998</v>
      </c>
      <c r="E3896">
        <v>857</v>
      </c>
      <c r="F3896" t="str">
        <f>HYPERLINK("https://www.google.com/maps/search/?api=1&amp;query=24.82722544,46.6510338", "View Map")</f>
        <v>View Map</v>
      </c>
    </row>
    <row r="3897" spans="1:7" x14ac:dyDescent="0.3">
      <c r="A3897" t="s">
        <v>11516</v>
      </c>
      <c r="B3897" t="s">
        <v>11517</v>
      </c>
      <c r="C3897" t="s">
        <v>291</v>
      </c>
      <c r="D3897">
        <v>2.6789999999999998</v>
      </c>
      <c r="E3897">
        <v>857</v>
      </c>
      <c r="F3897" t="str">
        <f>HYPERLINK("https://www.google.com/maps/search/?api=1&amp;query=23.41121617,43.92928008", "View Map")</f>
        <v>View Map</v>
      </c>
      <c r="G3897" s="2">
        <v>0.8894260606158737</v>
      </c>
    </row>
    <row r="3898" spans="1:7" x14ac:dyDescent="0.3">
      <c r="A3898" t="s">
        <v>5936</v>
      </c>
      <c r="B3898" t="s">
        <v>5937</v>
      </c>
      <c r="C3898" t="s">
        <v>255</v>
      </c>
      <c r="D3898">
        <v>2.6779999999999999</v>
      </c>
      <c r="E3898">
        <v>857</v>
      </c>
      <c r="F3898" t="str">
        <f>HYPERLINK("https://www.google.com/maps/search/?api=1&amp;query=25.09031,43.52543889", "View Map")</f>
        <v>View Map</v>
      </c>
      <c r="G3898" s="2">
        <v>0.41408263945218687</v>
      </c>
    </row>
    <row r="3899" spans="1:7" x14ac:dyDescent="0.3">
      <c r="A3899" t="s">
        <v>46</v>
      </c>
      <c r="B3899" t="s">
        <v>3722</v>
      </c>
      <c r="C3899" t="s">
        <v>8</v>
      </c>
      <c r="D3899">
        <v>2.6779999999999999</v>
      </c>
      <c r="E3899">
        <v>857</v>
      </c>
      <c r="F3899" t="str">
        <f>HYPERLINK("https://www.google.com/maps/search/?api=1&amp;query=24.81858521,46.89459462", "View Map")</f>
        <v>View Map</v>
      </c>
    </row>
    <row r="3900" spans="1:7" x14ac:dyDescent="0.3">
      <c r="A3900" t="s">
        <v>717</v>
      </c>
      <c r="B3900" t="s">
        <v>7886</v>
      </c>
      <c r="C3900" t="s">
        <v>255</v>
      </c>
      <c r="D3900">
        <v>2.677</v>
      </c>
      <c r="E3900">
        <v>857</v>
      </c>
      <c r="F3900" t="str">
        <f>HYPERLINK("https://www.google.com/maps/search/?api=1&amp;query=24.56953108,44.45371624", "View Map")</f>
        <v>View Map</v>
      </c>
      <c r="G3900" s="2">
        <v>0.62254938385036562</v>
      </c>
    </row>
    <row r="3901" spans="1:7" x14ac:dyDescent="0.3">
      <c r="A3901" t="s">
        <v>11518</v>
      </c>
      <c r="B3901" t="s">
        <v>11519</v>
      </c>
      <c r="C3901" t="s">
        <v>286</v>
      </c>
      <c r="D3901">
        <v>2.677</v>
      </c>
      <c r="E3901">
        <v>857</v>
      </c>
      <c r="F3901" t="str">
        <f>HYPERLINK("https://www.google.com/maps/search/?api=1&amp;query=25.33810752,45.18014738", "View Map")</f>
        <v>View Map</v>
      </c>
      <c r="G3901" s="2">
        <v>0.57113660244747444</v>
      </c>
    </row>
    <row r="3902" spans="1:7" x14ac:dyDescent="0.3">
      <c r="A3902" t="s">
        <v>150</v>
      </c>
      <c r="B3902" t="s">
        <v>5789</v>
      </c>
      <c r="C3902" t="s">
        <v>8</v>
      </c>
      <c r="D3902">
        <v>2.6760000000000002</v>
      </c>
      <c r="E3902">
        <v>856</v>
      </c>
      <c r="F3902" t="str">
        <f>HYPERLINK("https://www.google.com/maps/search/?api=1&amp;query=24.76382962,46.82501521", "View Map")</f>
        <v>View Map</v>
      </c>
    </row>
    <row r="3903" spans="1:7" x14ac:dyDescent="0.3">
      <c r="A3903" t="s">
        <v>150</v>
      </c>
      <c r="B3903" t="s">
        <v>5370</v>
      </c>
      <c r="C3903" t="s">
        <v>8</v>
      </c>
      <c r="D3903">
        <v>2.6760000000000002</v>
      </c>
      <c r="E3903">
        <v>856</v>
      </c>
      <c r="F3903" t="str">
        <f>HYPERLINK("https://www.google.com/maps/search/?api=1&amp;query=24.65120375,46.58584585", "View Map")</f>
        <v>View Map</v>
      </c>
    </row>
    <row r="3904" spans="1:7" x14ac:dyDescent="0.3">
      <c r="A3904" t="s">
        <v>5983</v>
      </c>
      <c r="B3904" t="s">
        <v>5984</v>
      </c>
      <c r="C3904" t="s">
        <v>8</v>
      </c>
      <c r="D3904">
        <v>2.6760000000000002</v>
      </c>
      <c r="E3904">
        <v>856</v>
      </c>
      <c r="F3904" t="str">
        <f>HYPERLINK("https://www.google.com/maps/search/?api=1&amp;query=24.65159728,46.67097827", "View Map")</f>
        <v>View Map</v>
      </c>
    </row>
    <row r="3905" spans="1:7" x14ac:dyDescent="0.3">
      <c r="A3905" t="s">
        <v>1924</v>
      </c>
      <c r="B3905" t="s">
        <v>1925</v>
      </c>
      <c r="C3905" t="s">
        <v>8</v>
      </c>
      <c r="D3905">
        <v>2.6749999999999998</v>
      </c>
      <c r="E3905">
        <v>856</v>
      </c>
      <c r="F3905" t="str">
        <f>HYPERLINK("https://www.google.com/maps/search/?api=1&amp;query=24.68615734,46.81352382", "View Map")</f>
        <v>View Map</v>
      </c>
    </row>
    <row r="3906" spans="1:7" x14ac:dyDescent="0.3">
      <c r="A3906" t="s">
        <v>4163</v>
      </c>
      <c r="B3906" t="s">
        <v>10047</v>
      </c>
      <c r="C3906" t="s">
        <v>8</v>
      </c>
      <c r="D3906">
        <v>2.6739999999999999</v>
      </c>
      <c r="E3906">
        <v>856</v>
      </c>
      <c r="F3906" t="str">
        <f>HYPERLINK("https://www.google.com/maps/search/?api=1&amp;query=24.75061858,46.78284778", "View Map")</f>
        <v>View Map</v>
      </c>
    </row>
    <row r="3907" spans="1:7" x14ac:dyDescent="0.3">
      <c r="A3907" t="s">
        <v>6696</v>
      </c>
      <c r="B3907" t="s">
        <v>6697</v>
      </c>
      <c r="C3907" t="s">
        <v>8</v>
      </c>
      <c r="D3907">
        <v>2.673</v>
      </c>
      <c r="E3907">
        <v>855</v>
      </c>
      <c r="F3907" t="str">
        <f>HYPERLINK("https://www.google.com/maps/search/?api=1&amp;query=24.58642562,46.61800224", "View Map")</f>
        <v>View Map</v>
      </c>
    </row>
    <row r="3908" spans="1:7" x14ac:dyDescent="0.3">
      <c r="A3908" t="s">
        <v>146</v>
      </c>
      <c r="B3908" t="s">
        <v>7310</v>
      </c>
      <c r="C3908" t="s">
        <v>8</v>
      </c>
      <c r="D3908">
        <v>2.6709999999999998</v>
      </c>
      <c r="E3908">
        <v>855</v>
      </c>
      <c r="F3908" t="str">
        <f>HYPERLINK("https://www.google.com/maps/search/?api=1&amp;query=24.52749365,46.72755615", "View Map")</f>
        <v>View Map</v>
      </c>
    </row>
    <row r="3909" spans="1:7" x14ac:dyDescent="0.3">
      <c r="A3909" t="s">
        <v>2861</v>
      </c>
      <c r="B3909" t="s">
        <v>2862</v>
      </c>
      <c r="C3909" t="s">
        <v>8</v>
      </c>
      <c r="D3909">
        <v>2.6709999999999998</v>
      </c>
      <c r="E3909">
        <v>855</v>
      </c>
      <c r="F3909" t="str">
        <f>HYPERLINK("https://www.google.com/maps/search/?api=1&amp;query=24.60780761,46.59942933", "View Map")</f>
        <v>View Map</v>
      </c>
    </row>
    <row r="3910" spans="1:7" x14ac:dyDescent="0.3">
      <c r="A3910" t="s">
        <v>11520</v>
      </c>
      <c r="B3910" t="s">
        <v>11521</v>
      </c>
      <c r="C3910" t="s">
        <v>16</v>
      </c>
      <c r="D3910">
        <v>2.67</v>
      </c>
      <c r="E3910">
        <v>854</v>
      </c>
      <c r="F3910" t="str">
        <f>HYPERLINK("https://www.google.com/maps/search/?api=1&amp;query=24.19485262,43.09109614", "View Map")</f>
        <v>View Map</v>
      </c>
      <c r="G3910" s="2">
        <v>0.4586329116291189</v>
      </c>
    </row>
    <row r="3911" spans="1:7" x14ac:dyDescent="0.3">
      <c r="A3911" t="s">
        <v>2478</v>
      </c>
      <c r="B3911" t="s">
        <v>7860</v>
      </c>
      <c r="C3911" t="s">
        <v>8</v>
      </c>
      <c r="D3911">
        <v>2.67</v>
      </c>
      <c r="E3911">
        <v>854</v>
      </c>
      <c r="F3911" t="str">
        <f>HYPERLINK("https://www.google.com/maps/search/?api=1&amp;query=24.80415947,46.89831973", "View Map")</f>
        <v>View Map</v>
      </c>
    </row>
    <row r="3912" spans="1:7" x14ac:dyDescent="0.3">
      <c r="A3912" t="s">
        <v>3005</v>
      </c>
      <c r="B3912" t="s">
        <v>3006</v>
      </c>
      <c r="C3912" t="s">
        <v>255</v>
      </c>
      <c r="D3912">
        <v>2.67</v>
      </c>
      <c r="E3912">
        <v>854</v>
      </c>
      <c r="F3912" t="str">
        <f>HYPERLINK("https://www.google.com/maps/search/?api=1&amp;query=25.19341282,44.60036332", "View Map")</f>
        <v>View Map</v>
      </c>
      <c r="G3912" s="2">
        <v>0.37760653224811208</v>
      </c>
    </row>
    <row r="3913" spans="1:7" x14ac:dyDescent="0.3">
      <c r="A3913" t="s">
        <v>10232</v>
      </c>
      <c r="B3913" t="s">
        <v>10233</v>
      </c>
      <c r="C3913" t="s">
        <v>255</v>
      </c>
      <c r="D3913">
        <v>2.67</v>
      </c>
      <c r="E3913">
        <v>854</v>
      </c>
      <c r="F3913" t="str">
        <f>HYPERLINK("https://www.google.com/maps/search/?api=1&amp;query=24.5107218,44.39540927", "View Map")</f>
        <v>View Map</v>
      </c>
    </row>
    <row r="3914" spans="1:7" x14ac:dyDescent="0.3">
      <c r="A3914" t="s">
        <v>8699</v>
      </c>
      <c r="B3914" t="s">
        <v>8700</v>
      </c>
      <c r="C3914" t="s">
        <v>8</v>
      </c>
      <c r="D3914">
        <v>2.669</v>
      </c>
      <c r="E3914">
        <v>854</v>
      </c>
      <c r="F3914" t="str">
        <f>HYPERLINK("https://www.google.com/maps/search/?api=1&amp;query=24.63805728,46.74544209", "View Map")</f>
        <v>View Map</v>
      </c>
    </row>
    <row r="3915" spans="1:7" x14ac:dyDescent="0.3">
      <c r="A3915" t="s">
        <v>9557</v>
      </c>
      <c r="B3915" t="s">
        <v>9558</v>
      </c>
      <c r="C3915" t="s">
        <v>699</v>
      </c>
      <c r="D3915">
        <v>2.6680000000000001</v>
      </c>
      <c r="E3915">
        <v>854</v>
      </c>
      <c r="F3915" t="str">
        <f>HYPERLINK("https://www.google.com/maps/search/?api=1&amp;query=25.12247962,45.47451631", "View Map")</f>
        <v>View Map</v>
      </c>
      <c r="G3915" s="2">
        <v>0.72251411880462768</v>
      </c>
    </row>
    <row r="3916" spans="1:7" x14ac:dyDescent="0.3">
      <c r="A3916" t="s">
        <v>627</v>
      </c>
      <c r="B3916" t="s">
        <v>2884</v>
      </c>
      <c r="C3916" t="s">
        <v>8</v>
      </c>
      <c r="D3916">
        <v>2.6669999999999998</v>
      </c>
      <c r="E3916">
        <v>854</v>
      </c>
      <c r="F3916" t="str">
        <f>HYPERLINK("https://www.google.com/maps/search/?api=1&amp;query=24.62043141,46.53928568", "View Map")</f>
        <v>View Map</v>
      </c>
    </row>
    <row r="3917" spans="1:7" x14ac:dyDescent="0.3">
      <c r="A3917" t="s">
        <v>5773</v>
      </c>
      <c r="B3917" t="s">
        <v>5774</v>
      </c>
      <c r="C3917" t="s">
        <v>241</v>
      </c>
      <c r="D3917">
        <v>2.6669999999999998</v>
      </c>
      <c r="E3917">
        <v>853</v>
      </c>
      <c r="F3917" t="str">
        <f>HYPERLINK("https://www.google.com/maps/search/?api=1&amp;query=20.46818392,45.13275226", "View Map")</f>
        <v>View Map</v>
      </c>
      <c r="G3917" s="2">
        <v>0.72046055627747607</v>
      </c>
    </row>
    <row r="3918" spans="1:7" x14ac:dyDescent="0.3">
      <c r="A3918" t="s">
        <v>6700</v>
      </c>
      <c r="B3918" t="s">
        <v>6701</v>
      </c>
      <c r="C3918" t="s">
        <v>8</v>
      </c>
      <c r="D3918">
        <v>2.6659999999999999</v>
      </c>
      <c r="E3918">
        <v>853</v>
      </c>
      <c r="F3918" t="str">
        <f>HYPERLINK("https://www.google.com/maps/search/?api=1&amp;query=24.77974236,46.79705114", "View Map")</f>
        <v>View Map</v>
      </c>
    </row>
    <row r="3919" spans="1:7" x14ac:dyDescent="0.3">
      <c r="A3919" t="s">
        <v>7458</v>
      </c>
      <c r="B3919" t="s">
        <v>7459</v>
      </c>
      <c r="C3919" t="s">
        <v>8</v>
      </c>
      <c r="D3919">
        <v>2.665</v>
      </c>
      <c r="E3919">
        <v>853</v>
      </c>
      <c r="F3919" t="str">
        <f>HYPERLINK("https://www.google.com/maps/search/?api=1&amp;query=24.57453587,46.58848251", "View Map")</f>
        <v>View Map</v>
      </c>
    </row>
    <row r="3920" spans="1:7" x14ac:dyDescent="0.3">
      <c r="A3920" t="s">
        <v>8224</v>
      </c>
      <c r="B3920" t="s">
        <v>8225</v>
      </c>
      <c r="C3920" t="s">
        <v>8</v>
      </c>
      <c r="D3920">
        <v>2.6640000000000001</v>
      </c>
      <c r="E3920">
        <v>852</v>
      </c>
      <c r="F3920" t="str">
        <f>HYPERLINK("https://www.google.com/maps/search/?api=1&amp;query=24.53071229,46.66097934", "View Map")</f>
        <v>View Map</v>
      </c>
    </row>
    <row r="3921" spans="1:7" x14ac:dyDescent="0.3">
      <c r="A3921" t="s">
        <v>146</v>
      </c>
      <c r="B3921" t="s">
        <v>11522</v>
      </c>
      <c r="C3921" t="s">
        <v>8</v>
      </c>
      <c r="D3921">
        <v>2.6640000000000001</v>
      </c>
      <c r="E3921">
        <v>852</v>
      </c>
      <c r="F3921" t="str">
        <f>HYPERLINK("https://www.google.com/maps/search/?api=1&amp;query=24.6156,46.6939", "View Map")</f>
        <v>View Map</v>
      </c>
    </row>
    <row r="3922" spans="1:7" x14ac:dyDescent="0.3">
      <c r="A3922" t="s">
        <v>46</v>
      </c>
      <c r="B3922" t="s">
        <v>3853</v>
      </c>
      <c r="C3922" t="s">
        <v>8</v>
      </c>
      <c r="D3922">
        <v>2.6640000000000001</v>
      </c>
      <c r="E3922">
        <v>853</v>
      </c>
      <c r="F3922" t="str">
        <f>HYPERLINK("https://www.google.com/maps/search/?api=1&amp;query=24.60699733,46.52597876", "View Map")</f>
        <v>View Map</v>
      </c>
    </row>
    <row r="3923" spans="1:7" x14ac:dyDescent="0.3">
      <c r="A3923" t="s">
        <v>8803</v>
      </c>
      <c r="B3923" t="s">
        <v>8804</v>
      </c>
      <c r="C3923" t="s">
        <v>286</v>
      </c>
      <c r="D3923">
        <v>2.6629999999999998</v>
      </c>
      <c r="E3923">
        <v>852</v>
      </c>
      <c r="F3923" t="str">
        <f>HYPERLINK("https://www.google.com/maps/search/?api=1&amp;query=25.21295418,45.24110705", "View Map")</f>
        <v>View Map</v>
      </c>
    </row>
    <row r="3924" spans="1:7" x14ac:dyDescent="0.3">
      <c r="A3924" t="s">
        <v>7665</v>
      </c>
      <c r="B3924" t="s">
        <v>7666</v>
      </c>
      <c r="C3924" t="s">
        <v>8</v>
      </c>
      <c r="D3924">
        <v>2.6629999999999998</v>
      </c>
      <c r="E3924">
        <v>852</v>
      </c>
      <c r="F3924" t="str">
        <f>HYPERLINK("https://www.google.com/maps/search/?api=1&amp;query=24.62752315,46.73811851", "View Map")</f>
        <v>View Map</v>
      </c>
    </row>
    <row r="3925" spans="1:7" x14ac:dyDescent="0.3">
      <c r="A3925" t="s">
        <v>6513</v>
      </c>
      <c r="B3925" t="s">
        <v>6514</v>
      </c>
      <c r="C3925" t="s">
        <v>8</v>
      </c>
      <c r="D3925">
        <v>2.6619999999999999</v>
      </c>
      <c r="E3925">
        <v>852</v>
      </c>
      <c r="F3925" t="str">
        <f>HYPERLINK("https://www.google.com/maps/search/?api=1&amp;query=24.79203679,46.89352716", "View Map")</f>
        <v>View Map</v>
      </c>
    </row>
    <row r="3926" spans="1:7" x14ac:dyDescent="0.3">
      <c r="A3926" t="s">
        <v>7688</v>
      </c>
      <c r="B3926" t="s">
        <v>7689</v>
      </c>
      <c r="C3926" t="s">
        <v>393</v>
      </c>
      <c r="D3926">
        <v>2.6619999999999999</v>
      </c>
      <c r="E3926">
        <v>852</v>
      </c>
      <c r="F3926" t="str">
        <f>HYPERLINK("https://www.google.com/maps/search/?api=1&amp;query=23.53489397,45.93930697", "View Map")</f>
        <v>View Map</v>
      </c>
      <c r="G3926" s="2">
        <v>0.80058531086262041</v>
      </c>
    </row>
    <row r="3927" spans="1:7" x14ac:dyDescent="0.3">
      <c r="A3927" t="s">
        <v>7628</v>
      </c>
      <c r="B3927" t="s">
        <v>7629</v>
      </c>
      <c r="C3927" t="s">
        <v>21</v>
      </c>
      <c r="D3927">
        <v>2.661</v>
      </c>
      <c r="E3927">
        <v>852</v>
      </c>
      <c r="F3927" t="str">
        <f>HYPERLINK("https://www.google.com/maps/search/?api=1&amp;query=26.31460834,44.7940335", "View Map")</f>
        <v>View Map</v>
      </c>
      <c r="G3927" s="2">
        <v>0.70533209910855665</v>
      </c>
    </row>
    <row r="3928" spans="1:7" x14ac:dyDescent="0.3">
      <c r="A3928" t="s">
        <v>9853</v>
      </c>
      <c r="B3928" t="s">
        <v>9854</v>
      </c>
      <c r="C3928" t="s">
        <v>364</v>
      </c>
      <c r="D3928">
        <v>2.66</v>
      </c>
      <c r="E3928">
        <v>851</v>
      </c>
      <c r="F3928" t="str">
        <f>HYPERLINK("https://www.google.com/maps/search/?api=1&amp;query=25.2207729,45.75329728", "View Map")</f>
        <v>View Map</v>
      </c>
    </row>
    <row r="3929" spans="1:7" x14ac:dyDescent="0.3">
      <c r="A3929" t="s">
        <v>2797</v>
      </c>
      <c r="B3929" t="s">
        <v>2798</v>
      </c>
      <c r="C3929" t="s">
        <v>8</v>
      </c>
      <c r="D3929">
        <v>2.66</v>
      </c>
      <c r="E3929">
        <v>851</v>
      </c>
      <c r="F3929" t="str">
        <f>HYPERLINK("https://www.google.com/maps/search/?api=1&amp;query=24.5877806,46.77013176", "View Map")</f>
        <v>View Map</v>
      </c>
    </row>
    <row r="3930" spans="1:7" x14ac:dyDescent="0.3">
      <c r="A3930" t="s">
        <v>6289</v>
      </c>
      <c r="B3930" t="s">
        <v>6290</v>
      </c>
      <c r="C3930" t="s">
        <v>16</v>
      </c>
      <c r="D3930">
        <v>2.6589999999999998</v>
      </c>
      <c r="E3930">
        <v>851</v>
      </c>
      <c r="F3930" t="str">
        <f>HYPERLINK("https://www.google.com/maps/search/?api=1&amp;query=23.8981095,42.90910727", "View Map")</f>
        <v>View Map</v>
      </c>
    </row>
    <row r="3931" spans="1:7" x14ac:dyDescent="0.3">
      <c r="A3931" t="s">
        <v>627</v>
      </c>
      <c r="B3931" t="s">
        <v>3626</v>
      </c>
      <c r="C3931" t="s">
        <v>8</v>
      </c>
      <c r="D3931">
        <v>2.6579999999999999</v>
      </c>
      <c r="E3931">
        <v>851</v>
      </c>
      <c r="F3931" t="str">
        <f>HYPERLINK("https://www.google.com/maps/search/?api=1&amp;query=24.77366523,46.59357873", "View Map")</f>
        <v>View Map</v>
      </c>
    </row>
    <row r="3932" spans="1:7" x14ac:dyDescent="0.3">
      <c r="A3932" t="s">
        <v>46</v>
      </c>
      <c r="B3932" t="s">
        <v>2586</v>
      </c>
      <c r="C3932" t="s">
        <v>8</v>
      </c>
      <c r="D3932">
        <v>2.657</v>
      </c>
      <c r="E3932">
        <v>850</v>
      </c>
      <c r="F3932" t="str">
        <f>HYPERLINK("https://www.google.com/maps/search/?api=1&amp;query=24.6894484,46.84775405", "View Map")</f>
        <v>View Map</v>
      </c>
    </row>
    <row r="3933" spans="1:7" x14ac:dyDescent="0.3">
      <c r="A3933" t="s">
        <v>7661</v>
      </c>
      <c r="B3933" t="s">
        <v>7662</v>
      </c>
      <c r="C3933" t="s">
        <v>393</v>
      </c>
      <c r="D3933">
        <v>2.6549999999999998</v>
      </c>
      <c r="E3933">
        <v>850</v>
      </c>
      <c r="F3933" t="str">
        <f>HYPERLINK("https://www.google.com/maps/search/?api=1&amp;query=23.66041123,45.38733481", "View Map")</f>
        <v>View Map</v>
      </c>
      <c r="G3933" s="2">
        <v>0.6401530274503725</v>
      </c>
    </row>
    <row r="3934" spans="1:7" x14ac:dyDescent="0.3">
      <c r="A3934" t="s">
        <v>150</v>
      </c>
      <c r="B3934" t="s">
        <v>4913</v>
      </c>
      <c r="C3934" t="s">
        <v>8</v>
      </c>
      <c r="D3934">
        <v>2.6549999999999998</v>
      </c>
      <c r="E3934">
        <v>850</v>
      </c>
      <c r="F3934" t="str">
        <f>HYPERLINK("https://www.google.com/maps/search/?api=1&amp;query=24.81223815,46.75974487", "View Map")</f>
        <v>View Map</v>
      </c>
    </row>
    <row r="3935" spans="1:7" x14ac:dyDescent="0.3">
      <c r="A3935" t="s">
        <v>10422</v>
      </c>
      <c r="B3935" t="s">
        <v>10423</v>
      </c>
      <c r="C3935" t="s">
        <v>291</v>
      </c>
      <c r="D3935">
        <v>2.6549999999999998</v>
      </c>
      <c r="E3935">
        <v>850</v>
      </c>
      <c r="F3935" t="str">
        <f>HYPERLINK("https://www.google.com/maps/search/?api=1&amp;query=24.09291253,45.30080909", "View Map")</f>
        <v>View Map</v>
      </c>
    </row>
    <row r="3936" spans="1:7" x14ac:dyDescent="0.3">
      <c r="A3936" t="s">
        <v>4763</v>
      </c>
      <c r="B3936" t="s">
        <v>4764</v>
      </c>
      <c r="C3936" t="s">
        <v>30</v>
      </c>
      <c r="D3936">
        <v>2.6549999999999998</v>
      </c>
      <c r="E3936">
        <v>849</v>
      </c>
      <c r="F3936" t="str">
        <f>HYPERLINK("https://www.google.com/maps/search/?api=1&amp;query=24.14864453,47.30744799", "View Map")</f>
        <v>View Map</v>
      </c>
    </row>
    <row r="3937" spans="1:7" x14ac:dyDescent="0.3">
      <c r="A3937" t="s">
        <v>459</v>
      </c>
      <c r="B3937" t="s">
        <v>4480</v>
      </c>
      <c r="C3937" t="s">
        <v>699</v>
      </c>
      <c r="D3937">
        <v>2.6539999999999999</v>
      </c>
      <c r="E3937">
        <v>849</v>
      </c>
      <c r="F3937" t="str">
        <f>HYPERLINK("https://www.google.com/maps/search/?api=1&amp;query=25.11646891,45.48871868", "View Map")</f>
        <v>View Map</v>
      </c>
      <c r="G3937" s="2">
        <v>0.27223022269774372</v>
      </c>
    </row>
    <row r="3938" spans="1:7" x14ac:dyDescent="0.3">
      <c r="A3938" t="s">
        <v>7819</v>
      </c>
      <c r="B3938" t="s">
        <v>7820</v>
      </c>
      <c r="C3938" t="s">
        <v>291</v>
      </c>
      <c r="D3938">
        <v>2.6539999999999999</v>
      </c>
      <c r="E3938">
        <v>849</v>
      </c>
      <c r="F3938" t="str">
        <f>HYPERLINK("https://www.google.com/maps/search/?api=1&amp;query=23.98776049,45.18537162", "View Map")</f>
        <v>View Map</v>
      </c>
      <c r="G3938" s="2">
        <v>0.63794158878035978</v>
      </c>
    </row>
    <row r="3939" spans="1:7" x14ac:dyDescent="0.3">
      <c r="A3939" t="s">
        <v>10497</v>
      </c>
      <c r="B3939" t="s">
        <v>10498</v>
      </c>
      <c r="C3939" t="s">
        <v>8</v>
      </c>
      <c r="D3939">
        <v>2.653</v>
      </c>
      <c r="E3939">
        <v>849</v>
      </c>
      <c r="F3939" t="str">
        <f>HYPERLINK("https://www.google.com/maps/search/?api=1&amp;query=24.59614393,46.67438373", "View Map")</f>
        <v>View Map</v>
      </c>
    </row>
    <row r="3940" spans="1:7" x14ac:dyDescent="0.3">
      <c r="A3940" t="s">
        <v>1174</v>
      </c>
      <c r="B3940" t="s">
        <v>1175</v>
      </c>
      <c r="C3940" t="s">
        <v>8</v>
      </c>
      <c r="D3940">
        <v>2.6520000000000001</v>
      </c>
      <c r="E3940">
        <v>849</v>
      </c>
      <c r="F3940" t="str">
        <f>HYPERLINK("https://www.google.com/maps/search/?api=1&amp;query=24.64598,46.70929", "View Map")</f>
        <v>View Map</v>
      </c>
      <c r="G3940" s="2">
        <v>0.19217554522623251</v>
      </c>
    </row>
    <row r="3941" spans="1:7" x14ac:dyDescent="0.3">
      <c r="A3941" t="s">
        <v>10839</v>
      </c>
      <c r="B3941" t="s">
        <v>10840</v>
      </c>
      <c r="C3941" t="s">
        <v>291</v>
      </c>
      <c r="D3941">
        <v>2.6509999999999998</v>
      </c>
      <c r="E3941">
        <v>848</v>
      </c>
      <c r="F3941" t="str">
        <f>HYPERLINK("https://www.google.com/maps/search/?api=1&amp;query=24.28118212,45.83269258", "View Map")</f>
        <v>View Map</v>
      </c>
      <c r="G3941" s="2">
        <v>0.41674955382167039</v>
      </c>
    </row>
    <row r="3942" spans="1:7" x14ac:dyDescent="0.3">
      <c r="A3942" t="s">
        <v>5425</v>
      </c>
      <c r="B3942" t="s">
        <v>5426</v>
      </c>
      <c r="C3942" t="s">
        <v>8</v>
      </c>
      <c r="D3942">
        <v>2.6509999999999998</v>
      </c>
      <c r="E3942">
        <v>848</v>
      </c>
      <c r="F3942" t="str">
        <f>HYPERLINK("https://www.google.com/maps/search/?api=1&amp;query=24.68685741,46.85477145", "View Map")</f>
        <v>View Map</v>
      </c>
    </row>
    <row r="3943" spans="1:7" x14ac:dyDescent="0.3">
      <c r="A3943" t="s">
        <v>352</v>
      </c>
      <c r="B3943" t="s">
        <v>4019</v>
      </c>
      <c r="C3943" t="s">
        <v>8</v>
      </c>
      <c r="D3943">
        <v>2.65</v>
      </c>
      <c r="E3943">
        <v>848</v>
      </c>
      <c r="F3943" t="str">
        <f>HYPERLINK("https://www.google.com/maps/search/?api=1&amp;query=24.75252973,46.78885689", "View Map")</f>
        <v>View Map</v>
      </c>
    </row>
    <row r="3944" spans="1:7" x14ac:dyDescent="0.3">
      <c r="A3944" t="s">
        <v>3412</v>
      </c>
      <c r="B3944" t="s">
        <v>3413</v>
      </c>
      <c r="C3944" t="s">
        <v>8</v>
      </c>
      <c r="D3944">
        <v>2.65</v>
      </c>
      <c r="E3944">
        <v>848</v>
      </c>
      <c r="F3944" t="str">
        <f>HYPERLINK("https://www.google.com/maps/search/?api=1&amp;query=24.66255947,46.62024682", "View Map")</f>
        <v>View Map</v>
      </c>
    </row>
    <row r="3945" spans="1:7" x14ac:dyDescent="0.3">
      <c r="A3945" t="s">
        <v>5188</v>
      </c>
      <c r="B3945" t="s">
        <v>5189</v>
      </c>
      <c r="C3945" t="s">
        <v>8</v>
      </c>
      <c r="D3945">
        <v>2.649</v>
      </c>
      <c r="E3945">
        <v>848</v>
      </c>
      <c r="F3945" t="str">
        <f>HYPERLINK("https://www.google.com/maps/search/?api=1&amp;query=24.66062681,46.69517615", "View Map")</f>
        <v>View Map</v>
      </c>
      <c r="G3945" s="2">
        <v>0.32484386559369599</v>
      </c>
    </row>
    <row r="3946" spans="1:7" x14ac:dyDescent="0.3">
      <c r="A3946" t="s">
        <v>4008</v>
      </c>
      <c r="B3946" t="s">
        <v>5117</v>
      </c>
      <c r="C3946" t="s">
        <v>8</v>
      </c>
      <c r="D3946">
        <v>2.649</v>
      </c>
      <c r="E3946">
        <v>848</v>
      </c>
      <c r="F3946" t="str">
        <f>HYPERLINK("https://www.google.com/maps/search/?api=1&amp;query=24.63808125,46.68975562", "View Map")</f>
        <v>View Map</v>
      </c>
      <c r="G3946" s="2">
        <v>0.74966383123980196</v>
      </c>
    </row>
    <row r="3947" spans="1:7" x14ac:dyDescent="0.3">
      <c r="A3947" t="s">
        <v>46</v>
      </c>
      <c r="B3947" t="s">
        <v>8346</v>
      </c>
      <c r="C3947" t="s">
        <v>8</v>
      </c>
      <c r="D3947">
        <v>2.649</v>
      </c>
      <c r="E3947">
        <v>848</v>
      </c>
      <c r="F3947" t="str">
        <f>HYPERLINK("https://www.google.com/maps/search/?api=1&amp;query=24.86586119,46.63841105", "View Map")</f>
        <v>View Map</v>
      </c>
      <c r="G3947" s="2">
        <v>0.80096200104067838</v>
      </c>
    </row>
    <row r="3948" spans="1:7" x14ac:dyDescent="0.3">
      <c r="A3948" t="s">
        <v>9114</v>
      </c>
      <c r="B3948" t="s">
        <v>9115</v>
      </c>
      <c r="C3948" t="s">
        <v>8</v>
      </c>
      <c r="D3948">
        <v>2.6480000000000001</v>
      </c>
      <c r="E3948">
        <v>847</v>
      </c>
      <c r="F3948" t="str">
        <f>HYPERLINK("https://www.google.com/maps/search/?api=1&amp;query=24.54541336,46.66119481", "View Map")</f>
        <v>View Map</v>
      </c>
    </row>
    <row r="3949" spans="1:7" x14ac:dyDescent="0.3">
      <c r="A3949" t="s">
        <v>7474</v>
      </c>
      <c r="B3949" t="s">
        <v>7475</v>
      </c>
      <c r="C3949" t="s">
        <v>8</v>
      </c>
      <c r="D3949">
        <v>2.6459999999999999</v>
      </c>
      <c r="E3949">
        <v>847</v>
      </c>
      <c r="F3949" t="str">
        <f>HYPERLINK("https://www.google.com/maps/search/?api=1&amp;query=24.76543416,46.71266227", "View Map")</f>
        <v>View Map</v>
      </c>
    </row>
    <row r="3950" spans="1:7" x14ac:dyDescent="0.3">
      <c r="A3950" t="s">
        <v>7382</v>
      </c>
      <c r="B3950" t="s">
        <v>7383</v>
      </c>
      <c r="C3950" t="s">
        <v>291</v>
      </c>
      <c r="D3950">
        <v>2.6459999999999999</v>
      </c>
      <c r="E3950">
        <v>847</v>
      </c>
      <c r="F3950" t="str">
        <f>HYPERLINK("https://www.google.com/maps/search/?api=1&amp;query=24.07152363,45.28004902", "View Map")</f>
        <v>View Map</v>
      </c>
      <c r="G3950" s="2">
        <v>0.73355088094245335</v>
      </c>
    </row>
    <row r="3951" spans="1:7" x14ac:dyDescent="0.3">
      <c r="A3951" t="s">
        <v>9253</v>
      </c>
      <c r="B3951" t="s">
        <v>9254</v>
      </c>
      <c r="C3951" t="s">
        <v>8</v>
      </c>
      <c r="D3951">
        <v>2.6440000000000001</v>
      </c>
      <c r="E3951">
        <v>846</v>
      </c>
      <c r="F3951" t="str">
        <f>HYPERLINK("https://www.google.com/maps/search/?api=1&amp;query=24.60648419,46.65019651", "View Map")</f>
        <v>View Map</v>
      </c>
    </row>
    <row r="3952" spans="1:7" x14ac:dyDescent="0.3">
      <c r="A3952" t="s">
        <v>7887</v>
      </c>
      <c r="B3952" t="s">
        <v>7888</v>
      </c>
      <c r="C3952" t="s">
        <v>255</v>
      </c>
      <c r="D3952">
        <v>2.6440000000000001</v>
      </c>
      <c r="E3952">
        <v>846</v>
      </c>
      <c r="F3952" t="str">
        <f>HYPERLINK("https://www.google.com/maps/search/?api=1&amp;query=25.15912025,44.59080021", "View Map")</f>
        <v>View Map</v>
      </c>
      <c r="G3952" s="2">
        <v>0.56568421791139023</v>
      </c>
    </row>
    <row r="3953" spans="1:7" x14ac:dyDescent="0.3">
      <c r="A3953" t="s">
        <v>8209</v>
      </c>
      <c r="B3953" t="s">
        <v>8210</v>
      </c>
      <c r="C3953" t="s">
        <v>255</v>
      </c>
      <c r="D3953">
        <v>2.6419999999999999</v>
      </c>
      <c r="E3953">
        <v>845</v>
      </c>
      <c r="F3953" t="str">
        <f>HYPERLINK("https://www.google.com/maps/search/?api=1&amp;query=24.53697719,44.27599619", "View Map")</f>
        <v>View Map</v>
      </c>
      <c r="G3953" s="2">
        <v>0.88998313374019022</v>
      </c>
    </row>
    <row r="3954" spans="1:7" x14ac:dyDescent="0.3">
      <c r="A3954" t="s">
        <v>706</v>
      </c>
      <c r="B3954" t="s">
        <v>5434</v>
      </c>
      <c r="C3954" t="s">
        <v>8</v>
      </c>
      <c r="D3954">
        <v>2.6419999999999999</v>
      </c>
      <c r="E3954">
        <v>845</v>
      </c>
      <c r="F3954" t="str">
        <f>HYPERLINK("https://www.google.com/maps/search/?api=1&amp;query=24.51929804,46.66862652", "View Map")</f>
        <v>View Map</v>
      </c>
    </row>
    <row r="3955" spans="1:7" x14ac:dyDescent="0.3">
      <c r="A3955" t="s">
        <v>46</v>
      </c>
      <c r="B3955" t="s">
        <v>1236</v>
      </c>
      <c r="C3955" t="s">
        <v>8</v>
      </c>
      <c r="D3955">
        <v>2.64</v>
      </c>
      <c r="E3955">
        <v>845</v>
      </c>
      <c r="F3955" t="str">
        <f>HYPERLINK("https://www.google.com/maps/search/?api=1&amp;query=24.8007155,46.72669667", "View Map")</f>
        <v>View Map</v>
      </c>
    </row>
    <row r="3956" spans="1:7" x14ac:dyDescent="0.3">
      <c r="A3956" t="s">
        <v>8474</v>
      </c>
      <c r="B3956" t="s">
        <v>8475</v>
      </c>
      <c r="C3956" t="s">
        <v>8</v>
      </c>
      <c r="D3956">
        <v>2.64</v>
      </c>
      <c r="E3956">
        <v>845</v>
      </c>
      <c r="F3956" t="str">
        <f>HYPERLINK("https://www.google.com/maps/search/?api=1&amp;query=24.60200188,46.71517847", "View Map")</f>
        <v>View Map</v>
      </c>
    </row>
    <row r="3957" spans="1:7" x14ac:dyDescent="0.3">
      <c r="A3957" t="s">
        <v>4865</v>
      </c>
      <c r="B3957" t="s">
        <v>4866</v>
      </c>
      <c r="C3957" t="s">
        <v>291</v>
      </c>
      <c r="D3957">
        <v>2.64</v>
      </c>
      <c r="E3957">
        <v>845</v>
      </c>
      <c r="F3957" t="str">
        <f>HYPERLINK("https://www.google.com/maps/search/?api=1&amp;query=23.78313373,44.78872573", "View Map")</f>
        <v>View Map</v>
      </c>
      <c r="G3957" s="2">
        <v>0.43333787664480072</v>
      </c>
    </row>
    <row r="3958" spans="1:7" x14ac:dyDescent="0.3">
      <c r="A3958" t="s">
        <v>46</v>
      </c>
      <c r="B3958" t="s">
        <v>2498</v>
      </c>
      <c r="C3958" t="s">
        <v>8</v>
      </c>
      <c r="D3958">
        <v>2.64</v>
      </c>
      <c r="E3958">
        <v>845</v>
      </c>
      <c r="F3958" t="str">
        <f>HYPERLINK("https://www.google.com/maps/search/?api=1&amp;query=24.86428164,46.64696819", "View Map")</f>
        <v>View Map</v>
      </c>
      <c r="G3958" s="2">
        <v>0.20506915380847801</v>
      </c>
    </row>
    <row r="3959" spans="1:7" x14ac:dyDescent="0.3">
      <c r="A3959" t="s">
        <v>8661</v>
      </c>
      <c r="B3959" t="s">
        <v>8662</v>
      </c>
      <c r="C3959" t="s">
        <v>8</v>
      </c>
      <c r="D3959">
        <v>2.64</v>
      </c>
      <c r="E3959">
        <v>845</v>
      </c>
      <c r="F3959" t="str">
        <f>HYPERLINK("https://www.google.com/maps/search/?api=1&amp;query=24.55524932,46.69621075", "View Map")</f>
        <v>View Map</v>
      </c>
    </row>
    <row r="3960" spans="1:7" x14ac:dyDescent="0.3">
      <c r="A3960" t="s">
        <v>9572</v>
      </c>
      <c r="B3960" t="s">
        <v>9573</v>
      </c>
      <c r="C3960" t="s">
        <v>8</v>
      </c>
      <c r="D3960">
        <v>2.6379999999999999</v>
      </c>
      <c r="E3960">
        <v>844</v>
      </c>
      <c r="F3960" t="str">
        <f>HYPERLINK("https://www.google.com/maps/search/?api=1&amp;query=24.71129217,46.66363214", "View Map")</f>
        <v>View Map</v>
      </c>
    </row>
    <row r="3961" spans="1:7" x14ac:dyDescent="0.3">
      <c r="A3961" t="s">
        <v>717</v>
      </c>
      <c r="B3961" t="s">
        <v>9172</v>
      </c>
      <c r="C3961" t="s">
        <v>255</v>
      </c>
      <c r="D3961">
        <v>2.637</v>
      </c>
      <c r="E3961">
        <v>844</v>
      </c>
      <c r="F3961" t="str">
        <f>HYPERLINK("https://www.google.com/maps/search/?api=1&amp;query=24.512779,44.39554229", "View Map")</f>
        <v>View Map</v>
      </c>
      <c r="G3961" s="2">
        <v>0.46641476199083631</v>
      </c>
    </row>
    <row r="3962" spans="1:7" x14ac:dyDescent="0.3">
      <c r="A3962" t="s">
        <v>7911</v>
      </c>
      <c r="B3962" t="s">
        <v>7912</v>
      </c>
      <c r="C3962" t="s">
        <v>291</v>
      </c>
      <c r="D3962">
        <v>2.6360000000000001</v>
      </c>
      <c r="E3962">
        <v>844</v>
      </c>
      <c r="F3962" t="str">
        <f>HYPERLINK("https://www.google.com/maps/search/?api=1&amp;query=23.74861512,44.78524752", "View Map")</f>
        <v>View Map</v>
      </c>
      <c r="G3962" s="2">
        <v>0.96654569196318207</v>
      </c>
    </row>
    <row r="3963" spans="1:7" x14ac:dyDescent="0.3">
      <c r="A3963" t="s">
        <v>2383</v>
      </c>
      <c r="B3963" t="s">
        <v>2384</v>
      </c>
      <c r="C3963" t="s">
        <v>30</v>
      </c>
      <c r="D3963">
        <v>2.6360000000000001</v>
      </c>
      <c r="E3963">
        <v>843</v>
      </c>
      <c r="F3963" t="str">
        <f>HYPERLINK("https://www.google.com/maps/search/?api=1&amp;query=24.17173734,47.30653452", "View Map")</f>
        <v>View Map</v>
      </c>
      <c r="G3963" s="2">
        <v>0.32107035313484739</v>
      </c>
    </row>
    <row r="3964" spans="1:7" x14ac:dyDescent="0.3">
      <c r="A3964" t="s">
        <v>1077</v>
      </c>
      <c r="B3964" t="s">
        <v>5407</v>
      </c>
      <c r="C3964" t="s">
        <v>8</v>
      </c>
      <c r="D3964">
        <v>2.6349999999999998</v>
      </c>
      <c r="E3964">
        <v>843</v>
      </c>
      <c r="F3964" t="str">
        <f>HYPERLINK("https://www.google.com/maps/search/?api=1&amp;query=24.55603292,46.769141", "View Map")</f>
        <v>View Map</v>
      </c>
    </row>
    <row r="3965" spans="1:7" x14ac:dyDescent="0.3">
      <c r="A3965" t="s">
        <v>8519</v>
      </c>
      <c r="B3965" t="s">
        <v>8520</v>
      </c>
      <c r="C3965" t="s">
        <v>393</v>
      </c>
      <c r="D3965">
        <v>2.6339999999999999</v>
      </c>
      <c r="E3965">
        <v>843</v>
      </c>
      <c r="F3965" t="str">
        <f>HYPERLINK("https://www.google.com/maps/search/?api=1&amp;query=22.74332077,44.97755932", "View Map")</f>
        <v>View Map</v>
      </c>
      <c r="G3965" s="2">
        <v>0.8050757119672407</v>
      </c>
    </row>
    <row r="3966" spans="1:7" x14ac:dyDescent="0.3">
      <c r="A3966" t="s">
        <v>7734</v>
      </c>
      <c r="B3966" t="s">
        <v>7735</v>
      </c>
      <c r="C3966" t="s">
        <v>8</v>
      </c>
      <c r="D3966">
        <v>2.6339999999999999</v>
      </c>
      <c r="E3966">
        <v>843</v>
      </c>
      <c r="F3966" t="str">
        <f>HYPERLINK("https://www.google.com/maps/search/?api=1&amp;query=24.63989924,46.7349719", "View Map")</f>
        <v>View Map</v>
      </c>
    </row>
    <row r="3967" spans="1:7" x14ac:dyDescent="0.3">
      <c r="A3967" t="s">
        <v>3881</v>
      </c>
      <c r="B3967" t="s">
        <v>3882</v>
      </c>
      <c r="C3967" t="s">
        <v>8</v>
      </c>
      <c r="D3967">
        <v>2.633</v>
      </c>
      <c r="E3967">
        <v>843</v>
      </c>
      <c r="F3967" t="str">
        <f>HYPERLINK("https://www.google.com/maps/search/?api=1&amp;query=24.7249854,46.65135602", "View Map")</f>
        <v>View Map</v>
      </c>
      <c r="G3967" s="2">
        <v>0.2484393128032624</v>
      </c>
    </row>
    <row r="3968" spans="1:7" x14ac:dyDescent="0.3">
      <c r="A3968" t="s">
        <v>7009</v>
      </c>
      <c r="B3968" t="s">
        <v>7010</v>
      </c>
      <c r="C3968" t="s">
        <v>55</v>
      </c>
      <c r="D3968">
        <v>2.6320000000000001</v>
      </c>
      <c r="E3968">
        <v>842</v>
      </c>
      <c r="F3968" t="str">
        <f>HYPERLINK("https://www.google.com/maps/search/?api=1&amp;query=24.76524244,46.53854941", "View Map")</f>
        <v>View Map</v>
      </c>
      <c r="G3968" s="2">
        <v>0.43851997106105739</v>
      </c>
    </row>
    <row r="3969" spans="1:7" x14ac:dyDescent="0.3">
      <c r="A3969" t="s">
        <v>9243</v>
      </c>
      <c r="B3969" t="s">
        <v>9244</v>
      </c>
      <c r="C3969" t="s">
        <v>646</v>
      </c>
      <c r="D3969">
        <v>2.6320000000000001</v>
      </c>
      <c r="E3969">
        <v>842</v>
      </c>
      <c r="F3969" t="str">
        <f>HYPERLINK("https://www.google.com/maps/search/?api=1&amp;query=20.42604757,45.243802", "View Map")</f>
        <v>View Map</v>
      </c>
      <c r="G3969" s="2">
        <v>0.85222970436624323</v>
      </c>
    </row>
    <row r="3970" spans="1:7" x14ac:dyDescent="0.3">
      <c r="A3970" t="s">
        <v>6020</v>
      </c>
      <c r="B3970" t="s">
        <v>6021</v>
      </c>
      <c r="C3970" t="s">
        <v>8</v>
      </c>
      <c r="D3970">
        <v>2.6320000000000001</v>
      </c>
      <c r="E3970">
        <v>842</v>
      </c>
      <c r="F3970" t="str">
        <f>HYPERLINK("https://www.google.com/maps/search/?api=1&amp;query=24.58117468,46.73653156", "View Map")</f>
        <v>View Map</v>
      </c>
      <c r="G3970" s="2">
        <v>0.36454550258819512</v>
      </c>
    </row>
    <row r="3971" spans="1:7" x14ac:dyDescent="0.3">
      <c r="A3971" t="s">
        <v>9360</v>
      </c>
      <c r="B3971" t="s">
        <v>9361</v>
      </c>
      <c r="C3971" t="s">
        <v>393</v>
      </c>
      <c r="D3971">
        <v>2.6320000000000001</v>
      </c>
      <c r="E3971">
        <v>842</v>
      </c>
      <c r="F3971" t="str">
        <f>HYPERLINK("https://www.google.com/maps/search/?api=1&amp;query=23.08364035,45.25194438", "View Map")</f>
        <v>View Map</v>
      </c>
      <c r="G3971" s="2">
        <v>0.81677974876916726</v>
      </c>
    </row>
    <row r="3972" spans="1:7" x14ac:dyDescent="0.3">
      <c r="A3972" t="s">
        <v>150</v>
      </c>
      <c r="B3972" t="s">
        <v>10645</v>
      </c>
      <c r="C3972" t="s">
        <v>8</v>
      </c>
      <c r="D3972">
        <v>2.63</v>
      </c>
      <c r="E3972">
        <v>842</v>
      </c>
      <c r="F3972" t="str">
        <f>HYPERLINK("https://www.google.com/maps/search/?api=1&amp;query=24.84352026,46.76454994", "View Map")</f>
        <v>View Map</v>
      </c>
    </row>
    <row r="3973" spans="1:7" x14ac:dyDescent="0.3">
      <c r="A3973" t="s">
        <v>7355</v>
      </c>
      <c r="B3973" t="s">
        <v>7356</v>
      </c>
      <c r="C3973" t="s">
        <v>8</v>
      </c>
      <c r="D3973">
        <v>2.63</v>
      </c>
      <c r="E3973">
        <v>842</v>
      </c>
      <c r="F3973" t="str">
        <f>HYPERLINK("https://www.google.com/maps/search/?api=1&amp;query=24.62848236,46.68284861", "View Map")</f>
        <v>View Map</v>
      </c>
    </row>
    <row r="3974" spans="1:7" x14ac:dyDescent="0.3">
      <c r="A3974" t="s">
        <v>5489</v>
      </c>
      <c r="B3974" t="s">
        <v>5490</v>
      </c>
      <c r="C3974" t="s">
        <v>8</v>
      </c>
      <c r="D3974">
        <v>2.629</v>
      </c>
      <c r="E3974">
        <v>841</v>
      </c>
      <c r="F3974" t="str">
        <f>HYPERLINK("https://www.google.com/maps/search/?api=1&amp;query=24.83185183,46.75088176", "View Map")</f>
        <v>View Map</v>
      </c>
    </row>
    <row r="3975" spans="1:7" x14ac:dyDescent="0.3">
      <c r="A3975" t="s">
        <v>8727</v>
      </c>
      <c r="B3975" t="s">
        <v>8728</v>
      </c>
      <c r="C3975" t="s">
        <v>8</v>
      </c>
      <c r="D3975">
        <v>2.629</v>
      </c>
      <c r="E3975">
        <v>841</v>
      </c>
      <c r="F3975" t="str">
        <f>HYPERLINK("https://www.google.com/maps/search/?api=1&amp;query=24.57485421,46.62675184", "View Map")</f>
        <v>View Map</v>
      </c>
    </row>
    <row r="3976" spans="1:7" x14ac:dyDescent="0.3">
      <c r="A3976" t="s">
        <v>2848</v>
      </c>
      <c r="B3976" t="s">
        <v>6967</v>
      </c>
      <c r="C3976" t="s">
        <v>214</v>
      </c>
      <c r="D3976">
        <v>2.629</v>
      </c>
      <c r="E3976">
        <v>841</v>
      </c>
      <c r="F3976" t="str">
        <f>HYPERLINK("https://www.google.com/maps/search/?api=1&amp;query=26.50936382,45.35519277", "View Map")</f>
        <v>View Map</v>
      </c>
      <c r="G3976" s="2">
        <v>0.66335733500734195</v>
      </c>
    </row>
    <row r="3977" spans="1:7" x14ac:dyDescent="0.3">
      <c r="A3977" t="s">
        <v>7048</v>
      </c>
      <c r="B3977" t="s">
        <v>7049</v>
      </c>
      <c r="C3977" t="s">
        <v>137</v>
      </c>
      <c r="D3977">
        <v>2.6280000000000001</v>
      </c>
      <c r="E3977">
        <v>841</v>
      </c>
      <c r="F3977" t="str">
        <f>HYPERLINK("https://www.google.com/maps/search/?api=1&amp;query=23.48690881,46.84985787", "View Map")</f>
        <v>View Map</v>
      </c>
      <c r="G3977" s="2">
        <v>0.38090058765781859</v>
      </c>
    </row>
    <row r="3978" spans="1:7" x14ac:dyDescent="0.3">
      <c r="A3978" t="s">
        <v>9632</v>
      </c>
      <c r="B3978" t="s">
        <v>9633</v>
      </c>
      <c r="C3978" t="s">
        <v>8</v>
      </c>
      <c r="D3978">
        <v>2.6269999999999998</v>
      </c>
      <c r="E3978">
        <v>841</v>
      </c>
      <c r="F3978" t="str">
        <f>HYPERLINK("https://www.google.com/maps/search/?api=1&amp;query=24.72848731,46.84582952", "View Map")</f>
        <v>View Map</v>
      </c>
    </row>
    <row r="3979" spans="1:7" x14ac:dyDescent="0.3">
      <c r="A3979" t="s">
        <v>11523</v>
      </c>
      <c r="B3979" t="s">
        <v>11524</v>
      </c>
      <c r="C3979" t="s">
        <v>8</v>
      </c>
      <c r="D3979">
        <v>2.6259999999999999</v>
      </c>
      <c r="E3979">
        <v>840</v>
      </c>
      <c r="F3979" t="str">
        <f>HYPERLINK("https://www.google.com/maps/search/?api=1&amp;query=24.54654235,46.70081307", "View Map")</f>
        <v>View Map</v>
      </c>
    </row>
    <row r="3980" spans="1:7" x14ac:dyDescent="0.3">
      <c r="A3980" t="s">
        <v>5049</v>
      </c>
      <c r="B3980" t="s">
        <v>5050</v>
      </c>
      <c r="C3980" t="s">
        <v>8</v>
      </c>
      <c r="D3980">
        <v>2.625</v>
      </c>
      <c r="E3980">
        <v>840</v>
      </c>
      <c r="F3980" t="str">
        <f>HYPERLINK("https://www.google.com/maps/search/?api=1&amp;query=24.56370406,46.77201019", "View Map")</f>
        <v>View Map</v>
      </c>
    </row>
    <row r="3981" spans="1:7" x14ac:dyDescent="0.3">
      <c r="A3981" t="s">
        <v>8306</v>
      </c>
      <c r="B3981" t="s">
        <v>8307</v>
      </c>
      <c r="C3981" t="s">
        <v>16</v>
      </c>
      <c r="D3981">
        <v>2.625</v>
      </c>
      <c r="E3981">
        <v>840</v>
      </c>
      <c r="F3981" t="str">
        <f>HYPERLINK("https://www.google.com/maps/search/?api=1&amp;query=23.88451333,42.91173705", "View Map")</f>
        <v>View Map</v>
      </c>
      <c r="G3981" s="2">
        <v>0.55587196612806278</v>
      </c>
    </row>
    <row r="3982" spans="1:7" x14ac:dyDescent="0.3">
      <c r="A3982" t="s">
        <v>5267</v>
      </c>
      <c r="B3982" t="s">
        <v>5268</v>
      </c>
      <c r="C3982" t="s">
        <v>30</v>
      </c>
      <c r="D3982">
        <v>2.625</v>
      </c>
      <c r="E3982">
        <v>840</v>
      </c>
      <c r="F3982" t="str">
        <f>HYPERLINK("https://www.google.com/maps/search/?api=1&amp;query=24.15405288,47.36583522", "View Map")</f>
        <v>View Map</v>
      </c>
    </row>
    <row r="3983" spans="1:7" x14ac:dyDescent="0.3">
      <c r="A3983" t="s">
        <v>11525</v>
      </c>
      <c r="B3983" t="s">
        <v>11526</v>
      </c>
      <c r="C3983" t="s">
        <v>255</v>
      </c>
      <c r="D3983">
        <v>2.6230000000000002</v>
      </c>
      <c r="E3983">
        <v>839</v>
      </c>
      <c r="F3983" t="str">
        <f>HYPERLINK("https://www.google.com/maps/search/?api=1&amp;query=25.1802458,44.55879448", "View Map")</f>
        <v>View Map</v>
      </c>
      <c r="G3983" s="2">
        <v>0.90117498885717562</v>
      </c>
    </row>
    <row r="3984" spans="1:7" x14ac:dyDescent="0.3">
      <c r="A3984" t="s">
        <v>146</v>
      </c>
      <c r="B3984" t="s">
        <v>6682</v>
      </c>
      <c r="C3984" t="s">
        <v>55</v>
      </c>
      <c r="D3984">
        <v>2.6219999999999999</v>
      </c>
      <c r="E3984">
        <v>839</v>
      </c>
      <c r="F3984" t="str">
        <f>HYPERLINK("https://www.google.com/maps/search/?api=1&amp;query=24.9180013,46.4348035", "View Map")</f>
        <v>View Map</v>
      </c>
      <c r="G3984" s="2">
        <v>0.35768835566876039</v>
      </c>
    </row>
    <row r="3985" spans="1:7" x14ac:dyDescent="0.3">
      <c r="A3985" t="s">
        <v>73</v>
      </c>
      <c r="B3985" t="s">
        <v>3564</v>
      </c>
      <c r="C3985" t="s">
        <v>55</v>
      </c>
      <c r="D3985">
        <v>2.621</v>
      </c>
      <c r="E3985">
        <v>839</v>
      </c>
      <c r="F3985" t="str">
        <f>HYPERLINK("https://www.google.com/maps/search/?api=1&amp;query=24.89494171,46.44201942", "View Map")</f>
        <v>View Map</v>
      </c>
      <c r="G3985" s="2">
        <v>0.29189722300294818</v>
      </c>
    </row>
    <row r="3986" spans="1:7" x14ac:dyDescent="0.3">
      <c r="A3986" t="s">
        <v>7140</v>
      </c>
      <c r="B3986" t="s">
        <v>7141</v>
      </c>
      <c r="C3986" t="s">
        <v>8</v>
      </c>
      <c r="D3986">
        <v>2.62</v>
      </c>
      <c r="E3986">
        <v>838</v>
      </c>
      <c r="F3986" t="str">
        <f>HYPERLINK("https://www.google.com/maps/search/?api=1&amp;query=24.67219664,46.80932935", "View Map")</f>
        <v>View Map</v>
      </c>
    </row>
    <row r="3987" spans="1:7" x14ac:dyDescent="0.3">
      <c r="A3987" t="s">
        <v>8339</v>
      </c>
      <c r="B3987" t="s">
        <v>8340</v>
      </c>
      <c r="C3987" t="s">
        <v>8</v>
      </c>
      <c r="D3987">
        <v>2.62</v>
      </c>
      <c r="E3987">
        <v>839</v>
      </c>
      <c r="F3987" t="str">
        <f>HYPERLINK("https://www.google.com/maps/search/?api=1&amp;query=24.77815313,46.7244194", "View Map")</f>
        <v>View Map</v>
      </c>
    </row>
    <row r="3988" spans="1:7" x14ac:dyDescent="0.3">
      <c r="A3988" t="s">
        <v>5180</v>
      </c>
      <c r="B3988" t="s">
        <v>5181</v>
      </c>
      <c r="C3988" t="s">
        <v>8</v>
      </c>
      <c r="D3988">
        <v>2.6190000000000002</v>
      </c>
      <c r="E3988">
        <v>838</v>
      </c>
      <c r="F3988" t="str">
        <f>HYPERLINK("https://www.google.com/maps/search/?api=1&amp;query=24.55900659,46.68057761", "View Map")</f>
        <v>View Map</v>
      </c>
    </row>
    <row r="3989" spans="1:7" x14ac:dyDescent="0.3">
      <c r="A3989" t="s">
        <v>8148</v>
      </c>
      <c r="B3989" t="s">
        <v>8149</v>
      </c>
      <c r="C3989" t="s">
        <v>21</v>
      </c>
      <c r="D3989">
        <v>2.6190000000000002</v>
      </c>
      <c r="E3989">
        <v>838</v>
      </c>
      <c r="F3989" t="str">
        <f>HYPERLINK("https://www.google.com/maps/search/?api=1&amp;query=26.29079536,44.79491385", "View Map")</f>
        <v>View Map</v>
      </c>
    </row>
    <row r="3990" spans="1:7" x14ac:dyDescent="0.3">
      <c r="A3990" t="s">
        <v>2478</v>
      </c>
      <c r="B3990" t="s">
        <v>2479</v>
      </c>
      <c r="C3990" t="s">
        <v>8</v>
      </c>
      <c r="D3990">
        <v>2.6190000000000002</v>
      </c>
      <c r="E3990">
        <v>838</v>
      </c>
      <c r="F3990" t="str">
        <f>HYPERLINK("https://www.google.com/maps/search/?api=1&amp;query=24.8036957,46.90211765", "View Map")</f>
        <v>View Map</v>
      </c>
    </row>
    <row r="3991" spans="1:7" x14ac:dyDescent="0.3">
      <c r="A3991" t="s">
        <v>8880</v>
      </c>
      <c r="B3991" t="s">
        <v>8881</v>
      </c>
      <c r="C3991" t="s">
        <v>255</v>
      </c>
      <c r="D3991">
        <v>2.6179999999999999</v>
      </c>
      <c r="E3991">
        <v>838</v>
      </c>
      <c r="F3991" t="str">
        <f>HYPERLINK("https://www.google.com/maps/search/?api=1&amp;query=24.59975,43.53307639", "View Map")</f>
        <v>View Map</v>
      </c>
      <c r="G3991" s="2">
        <v>0.90543321011541167</v>
      </c>
    </row>
    <row r="3992" spans="1:7" x14ac:dyDescent="0.3">
      <c r="A3992" t="s">
        <v>7278</v>
      </c>
      <c r="B3992" t="s">
        <v>7279</v>
      </c>
      <c r="C3992" t="s">
        <v>214</v>
      </c>
      <c r="D3992">
        <v>2.617</v>
      </c>
      <c r="E3992">
        <v>837</v>
      </c>
      <c r="F3992" t="str">
        <f>HYPERLINK("https://www.google.com/maps/search/?api=1&amp;query=25.90578298,45.34073835", "View Map")</f>
        <v>View Map</v>
      </c>
      <c r="G3992" s="2">
        <v>0.65110589924418871</v>
      </c>
    </row>
    <row r="3993" spans="1:7" x14ac:dyDescent="0.3">
      <c r="A3993" t="s">
        <v>11527</v>
      </c>
      <c r="B3993" t="s">
        <v>11528</v>
      </c>
      <c r="C3993" t="s">
        <v>137</v>
      </c>
      <c r="D3993">
        <v>2.6160000000000001</v>
      </c>
      <c r="E3993">
        <v>837</v>
      </c>
      <c r="F3993" t="str">
        <f>HYPERLINK("https://www.google.com/maps/search/?api=1&amp;query=22.99686073,46.10232192", "View Map")</f>
        <v>View Map</v>
      </c>
    </row>
    <row r="3994" spans="1:7" x14ac:dyDescent="0.3">
      <c r="A3994" t="s">
        <v>7505</v>
      </c>
      <c r="B3994" t="s">
        <v>7506</v>
      </c>
      <c r="C3994" t="s">
        <v>1112</v>
      </c>
      <c r="D3994">
        <v>2.6160000000000001</v>
      </c>
      <c r="E3994">
        <v>837</v>
      </c>
      <c r="F3994" t="str">
        <f>HYPERLINK("https://www.google.com/maps/search/?api=1&amp;query=26.1473412,44.91178461", "View Map")</f>
        <v>View Map</v>
      </c>
      <c r="G3994" s="2">
        <v>0.77360954714509877</v>
      </c>
    </row>
    <row r="3995" spans="1:7" x14ac:dyDescent="0.3">
      <c r="A3995" t="s">
        <v>11529</v>
      </c>
      <c r="B3995" t="s">
        <v>11530</v>
      </c>
      <c r="C3995" t="s">
        <v>8</v>
      </c>
      <c r="D3995">
        <v>2.6160000000000001</v>
      </c>
      <c r="E3995">
        <v>837</v>
      </c>
      <c r="F3995" t="str">
        <f>HYPERLINK("https://www.google.com/maps/search/?api=1&amp;query=24.56510419,46.70562768", "View Map")</f>
        <v>View Map</v>
      </c>
    </row>
    <row r="3996" spans="1:7" x14ac:dyDescent="0.3">
      <c r="A3996" t="s">
        <v>1349</v>
      </c>
      <c r="B3996" t="s">
        <v>4173</v>
      </c>
      <c r="C3996" t="s">
        <v>270</v>
      </c>
      <c r="D3996">
        <v>2.6139999999999999</v>
      </c>
      <c r="E3996">
        <v>836</v>
      </c>
      <c r="F3996" t="str">
        <f>HYPERLINK("https://www.google.com/maps/search/?api=1&amp;query=23.96111,47.17606", "View Map")</f>
        <v>View Map</v>
      </c>
      <c r="G3996" s="2">
        <v>0.29077736931575371</v>
      </c>
    </row>
    <row r="3997" spans="1:7" x14ac:dyDescent="0.3">
      <c r="A3997" t="s">
        <v>150</v>
      </c>
      <c r="B3997" t="s">
        <v>7189</v>
      </c>
      <c r="C3997" t="s">
        <v>8</v>
      </c>
      <c r="D3997">
        <v>2.613</v>
      </c>
      <c r="E3997">
        <v>836</v>
      </c>
      <c r="F3997" t="str">
        <f>HYPERLINK("https://www.google.com/maps/search/?api=1&amp;query=24.8436,46.8181", "View Map")</f>
        <v>View Map</v>
      </c>
    </row>
    <row r="3998" spans="1:7" x14ac:dyDescent="0.3">
      <c r="A3998" t="s">
        <v>3943</v>
      </c>
      <c r="B3998" t="s">
        <v>3944</v>
      </c>
      <c r="C3998" t="s">
        <v>8</v>
      </c>
      <c r="D3998">
        <v>2.613</v>
      </c>
      <c r="E3998">
        <v>836</v>
      </c>
      <c r="F3998" t="str">
        <f>HYPERLINK("https://www.google.com/maps/search/?api=1&amp;query=24.68702498,46.78192438", "View Map")</f>
        <v>View Map</v>
      </c>
    </row>
    <row r="3999" spans="1:7" x14ac:dyDescent="0.3">
      <c r="A3999" t="s">
        <v>11230</v>
      </c>
      <c r="B3999" t="s">
        <v>11231</v>
      </c>
      <c r="C3999" t="s">
        <v>8</v>
      </c>
      <c r="D3999">
        <v>2.6120000000000001</v>
      </c>
      <c r="E3999">
        <v>836</v>
      </c>
      <c r="F3999" t="str">
        <f>HYPERLINK("https://www.google.com/maps/search/?api=1&amp;query=24.59360186,46.66058462", "View Map")</f>
        <v>View Map</v>
      </c>
    </row>
    <row r="4000" spans="1:7" x14ac:dyDescent="0.3">
      <c r="A4000" t="s">
        <v>7721</v>
      </c>
      <c r="B4000" t="s">
        <v>7722</v>
      </c>
      <c r="C4000" t="s">
        <v>30</v>
      </c>
      <c r="D4000">
        <v>2.6120000000000001</v>
      </c>
      <c r="E4000">
        <v>836</v>
      </c>
      <c r="F4000" t="str">
        <f>HYPERLINK("https://www.google.com/maps/search/?api=1&amp;query=24.27894665,47.29329035", "View Map")</f>
        <v>View Map</v>
      </c>
      <c r="G4000" s="2">
        <v>0.72348647718979409</v>
      </c>
    </row>
    <row r="4001" spans="1:7" x14ac:dyDescent="0.3">
      <c r="A4001" t="s">
        <v>2597</v>
      </c>
      <c r="B4001" t="s">
        <v>11531</v>
      </c>
      <c r="C4001" t="s">
        <v>291</v>
      </c>
      <c r="D4001">
        <v>2.6120000000000001</v>
      </c>
      <c r="E4001">
        <v>836</v>
      </c>
      <c r="F4001" t="str">
        <f>HYPERLINK("https://www.google.com/maps/search/?api=1&amp;query=23.76429,44.75222", "View Map")</f>
        <v>View Map</v>
      </c>
      <c r="G4001" s="2">
        <v>0.63267120258633835</v>
      </c>
    </row>
    <row r="4002" spans="1:7" x14ac:dyDescent="0.3">
      <c r="A4002" t="s">
        <v>7572</v>
      </c>
      <c r="B4002" t="s">
        <v>7573</v>
      </c>
      <c r="C4002" t="s">
        <v>393</v>
      </c>
      <c r="D4002">
        <v>2.6110000000000002</v>
      </c>
      <c r="E4002">
        <v>836</v>
      </c>
      <c r="F4002" t="str">
        <f>HYPERLINK("https://www.google.com/maps/search/?api=1&amp;query=22.48379003,44.91095822", "View Map")</f>
        <v>View Map</v>
      </c>
      <c r="G4002" s="2">
        <v>0.79789152815881192</v>
      </c>
    </row>
    <row r="4003" spans="1:7" x14ac:dyDescent="0.3">
      <c r="A4003" t="s">
        <v>11532</v>
      </c>
      <c r="B4003" t="s">
        <v>11533</v>
      </c>
      <c r="C4003" t="s">
        <v>8</v>
      </c>
      <c r="D4003">
        <v>2.6110000000000002</v>
      </c>
      <c r="E4003">
        <v>836</v>
      </c>
      <c r="F4003" t="str">
        <f>HYPERLINK("https://www.google.com/maps/search/?api=1&amp;query=24.6209448,46.70433278", "View Map")</f>
        <v>View Map</v>
      </c>
    </row>
    <row r="4004" spans="1:7" x14ac:dyDescent="0.3">
      <c r="A4004" t="s">
        <v>46</v>
      </c>
      <c r="B4004" t="s">
        <v>10868</v>
      </c>
      <c r="C4004" t="s">
        <v>8</v>
      </c>
      <c r="D4004">
        <v>2.6110000000000002</v>
      </c>
      <c r="E4004">
        <v>835</v>
      </c>
      <c r="F4004" t="str">
        <f>HYPERLINK("https://www.google.com/maps/search/?api=1&amp;query=24.78529326,46.71730123", "View Map")</f>
        <v>View Map</v>
      </c>
    </row>
    <row r="4005" spans="1:7" x14ac:dyDescent="0.3">
      <c r="A4005" t="s">
        <v>6340</v>
      </c>
      <c r="B4005" t="s">
        <v>6341</v>
      </c>
      <c r="C4005" t="s">
        <v>270</v>
      </c>
      <c r="D4005">
        <v>2.6110000000000002</v>
      </c>
      <c r="E4005">
        <v>836</v>
      </c>
      <c r="F4005" t="str">
        <f>HYPERLINK("https://www.google.com/maps/search/?api=1&amp;query=23.98890129,47.16907234", "View Map")</f>
        <v>View Map</v>
      </c>
    </row>
    <row r="4006" spans="1:7" x14ac:dyDescent="0.3">
      <c r="A4006" t="s">
        <v>11534</v>
      </c>
      <c r="B4006" t="s">
        <v>11535</v>
      </c>
      <c r="C4006" t="s">
        <v>55</v>
      </c>
      <c r="D4006">
        <v>2.61</v>
      </c>
      <c r="E4006">
        <v>835</v>
      </c>
      <c r="F4006" t="str">
        <f>HYPERLINK("https://www.google.com/maps/search/?api=1&amp;query=24.90976853,46.38775768", "View Map")</f>
        <v>View Map</v>
      </c>
      <c r="G4006" s="2">
        <v>0.82186561831934402</v>
      </c>
    </row>
    <row r="4007" spans="1:7" x14ac:dyDescent="0.3">
      <c r="A4007" t="s">
        <v>10906</v>
      </c>
      <c r="B4007" t="s">
        <v>10907</v>
      </c>
      <c r="C4007" t="s">
        <v>16</v>
      </c>
      <c r="D4007">
        <v>2.61</v>
      </c>
      <c r="E4007">
        <v>835</v>
      </c>
      <c r="F4007" t="str">
        <f>HYPERLINK("https://www.google.com/maps/search/?api=1&amp;query=23.70357373,42.22471763", "View Map")</f>
        <v>View Map</v>
      </c>
      <c r="G4007" s="2">
        <v>0.87261543987673518</v>
      </c>
    </row>
    <row r="4008" spans="1:7" x14ac:dyDescent="0.3">
      <c r="A4008" t="s">
        <v>2831</v>
      </c>
      <c r="B4008" t="s">
        <v>2832</v>
      </c>
      <c r="C4008" t="s">
        <v>8</v>
      </c>
      <c r="D4008">
        <v>2.61</v>
      </c>
      <c r="E4008">
        <v>835</v>
      </c>
      <c r="F4008" t="str">
        <f>HYPERLINK("https://www.google.com/maps/search/?api=1&amp;query=24.78967807,46.77506996", "View Map")</f>
        <v>View Map</v>
      </c>
    </row>
    <row r="4009" spans="1:7" x14ac:dyDescent="0.3">
      <c r="A4009" t="s">
        <v>11536</v>
      </c>
      <c r="B4009" t="s">
        <v>11537</v>
      </c>
      <c r="C4009" t="s">
        <v>255</v>
      </c>
      <c r="D4009">
        <v>2.609</v>
      </c>
      <c r="E4009">
        <v>835</v>
      </c>
      <c r="F4009" t="str">
        <f>HYPERLINK("https://www.google.com/maps/search/?api=1&amp;query=23.95004269,43.71666431", "View Map")</f>
        <v>View Map</v>
      </c>
    </row>
    <row r="4010" spans="1:7" x14ac:dyDescent="0.3">
      <c r="A4010" t="s">
        <v>11538</v>
      </c>
      <c r="B4010" t="s">
        <v>11539</v>
      </c>
      <c r="C4010" t="s">
        <v>8</v>
      </c>
      <c r="D4010">
        <v>2.6080000000000001</v>
      </c>
      <c r="E4010">
        <v>834</v>
      </c>
      <c r="F4010" t="str">
        <f>HYPERLINK("https://www.google.com/maps/search/?api=1&amp;query=24.79713085,46.87634948", "View Map")</f>
        <v>View Map</v>
      </c>
    </row>
    <row r="4011" spans="1:7" x14ac:dyDescent="0.3">
      <c r="A4011" t="s">
        <v>10012</v>
      </c>
      <c r="B4011" t="s">
        <v>10013</v>
      </c>
      <c r="C4011" t="s">
        <v>466</v>
      </c>
      <c r="D4011">
        <v>2.6080000000000001</v>
      </c>
      <c r="E4011">
        <v>835</v>
      </c>
      <c r="F4011" t="str">
        <f>HYPERLINK("https://www.google.com/maps/search/?api=1&amp;query=24.59671314,46.13215887", "View Map")</f>
        <v>View Map</v>
      </c>
    </row>
    <row r="4012" spans="1:7" x14ac:dyDescent="0.3">
      <c r="A4012" t="s">
        <v>5101</v>
      </c>
      <c r="B4012" t="s">
        <v>7752</v>
      </c>
      <c r="C4012" t="s">
        <v>8</v>
      </c>
      <c r="D4012">
        <v>2.6070000000000002</v>
      </c>
      <c r="E4012">
        <v>834</v>
      </c>
      <c r="F4012" t="str">
        <f>HYPERLINK("https://www.google.com/maps/search/?api=1&amp;query=24.57836643,46.70986096", "View Map")</f>
        <v>View Map</v>
      </c>
    </row>
    <row r="4013" spans="1:7" x14ac:dyDescent="0.3">
      <c r="A4013" t="s">
        <v>6810</v>
      </c>
      <c r="B4013" t="s">
        <v>6811</v>
      </c>
      <c r="C4013" t="s">
        <v>286</v>
      </c>
      <c r="D4013">
        <v>2.6059999999999999</v>
      </c>
      <c r="E4013">
        <v>834</v>
      </c>
      <c r="F4013" t="str">
        <f>HYPERLINK("https://www.google.com/maps/search/?api=1&amp;query=25.29597092,45.53238578", "View Map")</f>
        <v>View Map</v>
      </c>
      <c r="G4013" s="2">
        <v>0.3822240029483005</v>
      </c>
    </row>
    <row r="4014" spans="1:7" x14ac:dyDescent="0.3">
      <c r="A4014" t="s">
        <v>11540</v>
      </c>
      <c r="B4014" t="s">
        <v>11541</v>
      </c>
      <c r="C4014" t="s">
        <v>8</v>
      </c>
      <c r="D4014">
        <v>2.6059999999999999</v>
      </c>
      <c r="E4014">
        <v>834</v>
      </c>
      <c r="F4014" t="str">
        <f>HYPERLINK("https://www.google.com/maps/search/?api=1&amp;query=24.70187815,46.85983424", "View Map")</f>
        <v>View Map</v>
      </c>
      <c r="G4014" s="2">
        <v>0.68671873885212686</v>
      </c>
    </row>
    <row r="4015" spans="1:7" x14ac:dyDescent="0.3">
      <c r="A4015" t="s">
        <v>7035</v>
      </c>
      <c r="B4015" t="s">
        <v>7036</v>
      </c>
      <c r="C4015" t="s">
        <v>8</v>
      </c>
      <c r="D4015">
        <v>2.6059999999999999</v>
      </c>
      <c r="E4015">
        <v>834</v>
      </c>
      <c r="F4015" t="str">
        <f>HYPERLINK("https://www.google.com/maps/search/?api=1&amp;query=24.81871042,46.74988871", "View Map")</f>
        <v>View Map</v>
      </c>
    </row>
    <row r="4016" spans="1:7" x14ac:dyDescent="0.3">
      <c r="A4016" t="s">
        <v>4564</v>
      </c>
      <c r="B4016" t="s">
        <v>5943</v>
      </c>
      <c r="C4016" t="s">
        <v>8</v>
      </c>
      <c r="D4016">
        <v>2.6059999999999999</v>
      </c>
      <c r="E4016">
        <v>834</v>
      </c>
      <c r="F4016" t="str">
        <f>HYPERLINK("https://www.google.com/maps/search/?api=1&amp;query=24.54186146,46.69824246", "View Map")</f>
        <v>View Map</v>
      </c>
    </row>
    <row r="4017" spans="1:7" x14ac:dyDescent="0.3">
      <c r="A4017" t="s">
        <v>146</v>
      </c>
      <c r="B4017" t="s">
        <v>9326</v>
      </c>
      <c r="C4017" t="s">
        <v>8</v>
      </c>
      <c r="D4017">
        <v>2.605</v>
      </c>
      <c r="E4017">
        <v>834</v>
      </c>
      <c r="F4017" t="str">
        <f>HYPERLINK("https://www.google.com/maps/search/?api=1&amp;query=24.49251532,46.64242447", "View Map")</f>
        <v>View Map</v>
      </c>
    </row>
    <row r="4018" spans="1:7" x14ac:dyDescent="0.3">
      <c r="A4018" t="s">
        <v>8096</v>
      </c>
      <c r="B4018" t="s">
        <v>8097</v>
      </c>
      <c r="C4018" t="s">
        <v>8</v>
      </c>
      <c r="D4018">
        <v>2.605</v>
      </c>
      <c r="E4018">
        <v>834</v>
      </c>
      <c r="F4018" t="str">
        <f>HYPERLINK("https://www.google.com/maps/search/?api=1&amp;query=24.74660643,46.78485708", "View Map")</f>
        <v>View Map</v>
      </c>
    </row>
    <row r="4019" spans="1:7" x14ac:dyDescent="0.3">
      <c r="A4019" t="s">
        <v>10150</v>
      </c>
      <c r="B4019" t="s">
        <v>10151</v>
      </c>
      <c r="C4019" t="s">
        <v>296</v>
      </c>
      <c r="D4019">
        <v>2.6040000000000001</v>
      </c>
      <c r="E4019">
        <v>833</v>
      </c>
      <c r="F4019" t="str">
        <f>HYPERLINK("https://www.google.com/maps/search/?api=1&amp;query=24.36809771,46.43821997", "View Map")</f>
        <v>View Map</v>
      </c>
    </row>
    <row r="4020" spans="1:7" x14ac:dyDescent="0.3">
      <c r="A4020" t="s">
        <v>2485</v>
      </c>
      <c r="B4020" t="s">
        <v>8117</v>
      </c>
      <c r="C4020" t="s">
        <v>255</v>
      </c>
      <c r="D4020">
        <v>2.6030000000000002</v>
      </c>
      <c r="E4020">
        <v>833</v>
      </c>
      <c r="F4020" t="str">
        <f>HYPERLINK("https://www.google.com/maps/search/?api=1&amp;query=25.13643382,43.47864151", "View Map")</f>
        <v>View Map</v>
      </c>
      <c r="G4020" s="2">
        <v>0.8509098371408983</v>
      </c>
    </row>
    <row r="4021" spans="1:7" x14ac:dyDescent="0.3">
      <c r="A4021" t="s">
        <v>9331</v>
      </c>
      <c r="B4021" t="s">
        <v>9332</v>
      </c>
      <c r="C4021" t="s">
        <v>291</v>
      </c>
      <c r="D4021">
        <v>2.6019999999999999</v>
      </c>
      <c r="E4021">
        <v>833</v>
      </c>
      <c r="F4021" t="str">
        <f>HYPERLINK("https://www.google.com/maps/search/?api=1&amp;query=24.33064733,45.7602704", "View Map")</f>
        <v>View Map</v>
      </c>
      <c r="G4021" s="2">
        <v>0.84752101332286911</v>
      </c>
    </row>
    <row r="4022" spans="1:7" x14ac:dyDescent="0.3">
      <c r="A4022" t="s">
        <v>539</v>
      </c>
      <c r="B4022" t="s">
        <v>540</v>
      </c>
      <c r="C4022" t="s">
        <v>137</v>
      </c>
      <c r="D4022">
        <v>2.6019999999999999</v>
      </c>
      <c r="E4022">
        <v>833</v>
      </c>
      <c r="F4022" t="str">
        <f>HYPERLINK("https://www.google.com/maps/search/?api=1&amp;query=23.53012053,46.83201069", "View Map")</f>
        <v>View Map</v>
      </c>
      <c r="G4022" s="2">
        <v>0.1364618690290097</v>
      </c>
    </row>
    <row r="4023" spans="1:7" x14ac:dyDescent="0.3">
      <c r="A4023" t="s">
        <v>4050</v>
      </c>
      <c r="B4023" t="s">
        <v>6382</v>
      </c>
      <c r="C4023" t="s">
        <v>8</v>
      </c>
      <c r="D4023">
        <v>2.601</v>
      </c>
      <c r="E4023">
        <v>832</v>
      </c>
      <c r="F4023" t="str">
        <f>HYPERLINK("https://www.google.com/maps/search/?api=1&amp;query=24.71981618,46.83474361", "View Map")</f>
        <v>View Map</v>
      </c>
    </row>
    <row r="4024" spans="1:7" x14ac:dyDescent="0.3">
      <c r="A4024" t="s">
        <v>5401</v>
      </c>
      <c r="B4024" t="s">
        <v>5402</v>
      </c>
      <c r="C4024" t="s">
        <v>8</v>
      </c>
      <c r="D4024">
        <v>2.601</v>
      </c>
      <c r="E4024">
        <v>832</v>
      </c>
      <c r="F4024" t="str">
        <f>HYPERLINK("https://www.google.com/maps/search/?api=1&amp;query=24.56457099,46.69482586", "View Map")</f>
        <v>View Map</v>
      </c>
    </row>
    <row r="4025" spans="1:7" x14ac:dyDescent="0.3">
      <c r="A4025" t="s">
        <v>9456</v>
      </c>
      <c r="B4025" t="s">
        <v>9457</v>
      </c>
      <c r="C4025" t="s">
        <v>77</v>
      </c>
      <c r="D4025">
        <v>2.6</v>
      </c>
      <c r="E4025">
        <v>832</v>
      </c>
      <c r="F4025" t="str">
        <f>HYPERLINK("https://www.google.com/maps/search/?api=1&amp;query=22.28950176,46.72999823", "View Map")</f>
        <v>View Map</v>
      </c>
      <c r="G4025" s="2">
        <v>0.47950608135145412</v>
      </c>
    </row>
    <row r="4026" spans="1:7" x14ac:dyDescent="0.3">
      <c r="A4026" t="s">
        <v>2063</v>
      </c>
      <c r="B4026" t="s">
        <v>8136</v>
      </c>
      <c r="C4026" t="s">
        <v>255</v>
      </c>
      <c r="D4026">
        <v>2.5990000000000002</v>
      </c>
      <c r="E4026">
        <v>832</v>
      </c>
      <c r="F4026" t="str">
        <f>HYPERLINK("https://www.google.com/maps/search/?api=1&amp;query=24.55444197,44.26472534", "View Map")</f>
        <v>View Map</v>
      </c>
      <c r="G4026" s="2">
        <v>0.93493752940800634</v>
      </c>
    </row>
    <row r="4027" spans="1:7" x14ac:dyDescent="0.3">
      <c r="A4027" t="s">
        <v>5876</v>
      </c>
      <c r="B4027" t="s">
        <v>5877</v>
      </c>
      <c r="C4027" t="s">
        <v>8</v>
      </c>
      <c r="D4027">
        <v>2.5979999999999999</v>
      </c>
      <c r="E4027">
        <v>831</v>
      </c>
      <c r="F4027" t="str">
        <f>HYPERLINK("https://www.google.com/maps/search/?api=1&amp;query=24.79144062,46.90331246", "View Map")</f>
        <v>View Map</v>
      </c>
    </row>
    <row r="4028" spans="1:7" x14ac:dyDescent="0.3">
      <c r="A4028" t="s">
        <v>7241</v>
      </c>
      <c r="B4028" t="s">
        <v>7242</v>
      </c>
      <c r="C4028" t="s">
        <v>214</v>
      </c>
      <c r="D4028">
        <v>2.5979999999999999</v>
      </c>
      <c r="E4028">
        <v>831</v>
      </c>
      <c r="F4028" t="str">
        <f>HYPERLINK("https://www.google.com/maps/search/?api=1&amp;query=25.71852347,45.85190797", "View Map")</f>
        <v>View Map</v>
      </c>
      <c r="G4028" s="2">
        <v>0.59211539628706655</v>
      </c>
    </row>
    <row r="4029" spans="1:7" x14ac:dyDescent="0.3">
      <c r="A4029" t="s">
        <v>6066</v>
      </c>
      <c r="B4029" t="s">
        <v>6067</v>
      </c>
      <c r="C4029" t="s">
        <v>8</v>
      </c>
      <c r="D4029">
        <v>2.5979999999999999</v>
      </c>
      <c r="E4029">
        <v>831</v>
      </c>
      <c r="F4029" t="str">
        <f>HYPERLINK("https://www.google.com/maps/search/?api=1&amp;query=24.69678223,46.65361999", "View Map")</f>
        <v>View Map</v>
      </c>
    </row>
    <row r="4030" spans="1:7" x14ac:dyDescent="0.3">
      <c r="A4030" t="s">
        <v>7004</v>
      </c>
      <c r="B4030" t="s">
        <v>7005</v>
      </c>
      <c r="C4030" t="s">
        <v>8</v>
      </c>
      <c r="D4030">
        <v>2.5979999999999999</v>
      </c>
      <c r="E4030">
        <v>831</v>
      </c>
      <c r="F4030" t="str">
        <f>HYPERLINK("https://www.google.com/maps/search/?api=1&amp;query=24.77518909,46.62713351", "View Map")</f>
        <v>View Map</v>
      </c>
    </row>
    <row r="4031" spans="1:7" x14ac:dyDescent="0.3">
      <c r="A4031" t="s">
        <v>2088</v>
      </c>
      <c r="B4031" t="s">
        <v>2089</v>
      </c>
      <c r="C4031" t="s">
        <v>21</v>
      </c>
      <c r="D4031">
        <v>2.5979999999999999</v>
      </c>
      <c r="E4031">
        <v>831</v>
      </c>
      <c r="F4031" t="str">
        <f>HYPERLINK("https://www.google.com/maps/search/?api=1&amp;query=26.31571149,44.8013907", "View Map")</f>
        <v>View Map</v>
      </c>
      <c r="G4031" s="2">
        <v>0.32314342217147107</v>
      </c>
    </row>
    <row r="4032" spans="1:7" x14ac:dyDescent="0.3">
      <c r="A4032" t="s">
        <v>11542</v>
      </c>
      <c r="B4032" t="s">
        <v>11543</v>
      </c>
      <c r="C4032" t="s">
        <v>16</v>
      </c>
      <c r="D4032">
        <v>2.5979999999999999</v>
      </c>
      <c r="E4032">
        <v>832</v>
      </c>
      <c r="F4032" t="str">
        <f>HYPERLINK("https://www.google.com/maps/search/?api=1&amp;query=24.40700261,43.23196378", "View Map")</f>
        <v>View Map</v>
      </c>
    </row>
    <row r="4033" spans="1:7" x14ac:dyDescent="0.3">
      <c r="A4033" t="s">
        <v>9386</v>
      </c>
      <c r="B4033" t="s">
        <v>9387</v>
      </c>
      <c r="C4033" t="s">
        <v>255</v>
      </c>
      <c r="D4033">
        <v>2.597</v>
      </c>
      <c r="E4033">
        <v>831</v>
      </c>
      <c r="F4033" t="str">
        <f>HYPERLINK("https://www.google.com/maps/search/?api=1&amp;query=23.91497946,44.61392708", "View Map")</f>
        <v>View Map</v>
      </c>
    </row>
    <row r="4034" spans="1:7" x14ac:dyDescent="0.3">
      <c r="A4034" t="s">
        <v>7431</v>
      </c>
      <c r="B4034" t="s">
        <v>7432</v>
      </c>
      <c r="C4034" t="s">
        <v>8</v>
      </c>
      <c r="D4034">
        <v>2.5960000000000001</v>
      </c>
      <c r="E4034">
        <v>831</v>
      </c>
      <c r="F4034" t="str">
        <f>HYPERLINK("https://www.google.com/maps/search/?api=1&amp;query=24.57565732,46.5703181", "View Map")</f>
        <v>View Map</v>
      </c>
    </row>
    <row r="4035" spans="1:7" x14ac:dyDescent="0.3">
      <c r="A4035" t="s">
        <v>7429</v>
      </c>
      <c r="B4035" t="s">
        <v>7430</v>
      </c>
      <c r="C4035" t="s">
        <v>8</v>
      </c>
      <c r="D4035">
        <v>2.5960000000000001</v>
      </c>
      <c r="E4035">
        <v>831</v>
      </c>
      <c r="F4035" t="str">
        <f>HYPERLINK("https://www.google.com/maps/search/?api=1&amp;query=24.81552698,46.83827553", "View Map")</f>
        <v>View Map</v>
      </c>
    </row>
    <row r="4036" spans="1:7" x14ac:dyDescent="0.3">
      <c r="A4036" t="s">
        <v>5093</v>
      </c>
      <c r="B4036" t="s">
        <v>11544</v>
      </c>
      <c r="C4036" t="s">
        <v>255</v>
      </c>
      <c r="D4036">
        <v>2.5960000000000001</v>
      </c>
      <c r="E4036">
        <v>831</v>
      </c>
      <c r="F4036" t="str">
        <f>HYPERLINK("https://www.google.com/maps/search/?api=1&amp;query=24.20045799,43.84274351", "View Map")</f>
        <v>View Map</v>
      </c>
    </row>
    <row r="4037" spans="1:7" x14ac:dyDescent="0.3">
      <c r="A4037" t="s">
        <v>2204</v>
      </c>
      <c r="B4037" t="s">
        <v>2205</v>
      </c>
      <c r="C4037" t="s">
        <v>8</v>
      </c>
      <c r="D4037">
        <v>2.5950000000000002</v>
      </c>
      <c r="E4037">
        <v>830</v>
      </c>
      <c r="F4037" t="str">
        <f>HYPERLINK("https://www.google.com/maps/search/?api=1&amp;query=24.81758482,46.74703221", "View Map")</f>
        <v>View Map</v>
      </c>
      <c r="G4037" s="2">
        <v>0.18593404414613079</v>
      </c>
    </row>
    <row r="4038" spans="1:7" x14ac:dyDescent="0.3">
      <c r="A4038" t="s">
        <v>10227</v>
      </c>
      <c r="B4038" t="s">
        <v>10228</v>
      </c>
      <c r="C4038" t="s">
        <v>8</v>
      </c>
      <c r="D4038">
        <v>2.5950000000000002</v>
      </c>
      <c r="E4038">
        <v>830</v>
      </c>
      <c r="F4038" t="str">
        <f>HYPERLINK("https://www.google.com/maps/search/?api=1&amp;query=24.58322854,46.62525201", "View Map")</f>
        <v>View Map</v>
      </c>
    </row>
    <row r="4039" spans="1:7" x14ac:dyDescent="0.3">
      <c r="A4039" t="s">
        <v>3849</v>
      </c>
      <c r="B4039" t="s">
        <v>3850</v>
      </c>
      <c r="C4039" t="s">
        <v>8</v>
      </c>
      <c r="D4039">
        <v>2.5950000000000002</v>
      </c>
      <c r="E4039">
        <v>830</v>
      </c>
      <c r="F4039" t="str">
        <f>HYPERLINK("https://www.google.com/maps/search/?api=1&amp;query=24.79353745,46.73622187", "View Map")</f>
        <v>View Map</v>
      </c>
    </row>
    <row r="4040" spans="1:7" x14ac:dyDescent="0.3">
      <c r="A4040" t="s">
        <v>3077</v>
      </c>
      <c r="B4040" t="s">
        <v>3078</v>
      </c>
      <c r="C4040" t="s">
        <v>883</v>
      </c>
      <c r="D4040">
        <v>2.5939999999999999</v>
      </c>
      <c r="E4040">
        <v>830</v>
      </c>
      <c r="F4040" t="str">
        <f>HYPERLINK("https://www.google.com/maps/search/?api=1&amp;query=25.40415528,47.21579319", "View Map")</f>
        <v>View Map</v>
      </c>
      <c r="G4040" s="2">
        <v>0.19578186777673329</v>
      </c>
    </row>
    <row r="4041" spans="1:7" x14ac:dyDescent="0.3">
      <c r="A4041" t="s">
        <v>6106</v>
      </c>
      <c r="B4041" t="s">
        <v>6107</v>
      </c>
      <c r="C4041" t="s">
        <v>8</v>
      </c>
      <c r="D4041">
        <v>2.5939999999999999</v>
      </c>
      <c r="E4041">
        <v>830</v>
      </c>
      <c r="F4041" t="str">
        <f>HYPERLINK("https://www.google.com/maps/search/?api=1&amp;query=24.77399065,46.6159704", "View Map")</f>
        <v>View Map</v>
      </c>
    </row>
    <row r="4042" spans="1:7" x14ac:dyDescent="0.3">
      <c r="A4042" t="s">
        <v>6023</v>
      </c>
      <c r="B4042" t="s">
        <v>6024</v>
      </c>
      <c r="C4042" t="s">
        <v>8</v>
      </c>
      <c r="D4042">
        <v>2.593</v>
      </c>
      <c r="E4042">
        <v>830</v>
      </c>
      <c r="F4042" t="str">
        <f>HYPERLINK("https://www.google.com/maps/search/?api=1&amp;query=24.76985014,46.74216619", "View Map")</f>
        <v>View Map</v>
      </c>
    </row>
    <row r="4043" spans="1:7" x14ac:dyDescent="0.3">
      <c r="A4043" t="s">
        <v>6684</v>
      </c>
      <c r="B4043" t="s">
        <v>6685</v>
      </c>
      <c r="C4043" t="s">
        <v>738</v>
      </c>
      <c r="D4043">
        <v>2.593</v>
      </c>
      <c r="E4043">
        <v>830</v>
      </c>
      <c r="F4043" t="str">
        <f>HYPERLINK("https://www.google.com/maps/search/?api=1&amp;query=25.1100756,46.09843221", "View Map")</f>
        <v>View Map</v>
      </c>
      <c r="G4043" s="2">
        <v>0.52704992326151279</v>
      </c>
    </row>
    <row r="4044" spans="1:7" x14ac:dyDescent="0.3">
      <c r="A4044" t="s">
        <v>150</v>
      </c>
      <c r="B4044" t="s">
        <v>8710</v>
      </c>
      <c r="C4044" t="s">
        <v>8</v>
      </c>
      <c r="D4044">
        <v>2.593</v>
      </c>
      <c r="E4044">
        <v>830</v>
      </c>
      <c r="F4044" t="str">
        <f>HYPERLINK("https://www.google.com/maps/search/?api=1&amp;query=24.83512749,46.88101455", "View Map")</f>
        <v>View Map</v>
      </c>
    </row>
    <row r="4045" spans="1:7" x14ac:dyDescent="0.3">
      <c r="A4045" t="s">
        <v>8267</v>
      </c>
      <c r="B4045" t="s">
        <v>8268</v>
      </c>
      <c r="C4045" t="s">
        <v>241</v>
      </c>
      <c r="D4045">
        <v>2.5920000000000001</v>
      </c>
      <c r="E4045">
        <v>829</v>
      </c>
      <c r="F4045" t="str">
        <f>HYPERLINK("https://www.google.com/maps/search/?api=1&amp;query=20.44635123,44.82191721", "View Map")</f>
        <v>View Map</v>
      </c>
    </row>
    <row r="4046" spans="1:7" x14ac:dyDescent="0.3">
      <c r="A4046" t="s">
        <v>8277</v>
      </c>
      <c r="B4046" t="s">
        <v>8278</v>
      </c>
      <c r="C4046" t="s">
        <v>30</v>
      </c>
      <c r="D4046">
        <v>2.5920000000000001</v>
      </c>
      <c r="E4046">
        <v>830</v>
      </c>
      <c r="F4046" t="str">
        <f>HYPERLINK("https://www.google.com/maps/search/?api=1&amp;query=24.11119,47.28556", "View Map")</f>
        <v>View Map</v>
      </c>
    </row>
    <row r="4047" spans="1:7" x14ac:dyDescent="0.3">
      <c r="A4047" t="s">
        <v>4058</v>
      </c>
      <c r="B4047" t="s">
        <v>4059</v>
      </c>
      <c r="C4047" t="s">
        <v>8</v>
      </c>
      <c r="D4047">
        <v>2.59</v>
      </c>
      <c r="E4047">
        <v>829</v>
      </c>
      <c r="F4047" t="str">
        <f>HYPERLINK("https://www.google.com/maps/search/?api=1&amp;query=24.70343706,46.84071593", "View Map")</f>
        <v>View Map</v>
      </c>
    </row>
    <row r="4048" spans="1:7" x14ac:dyDescent="0.3">
      <c r="A4048" t="s">
        <v>7044</v>
      </c>
      <c r="B4048" t="s">
        <v>7045</v>
      </c>
      <c r="C4048" t="s">
        <v>296</v>
      </c>
      <c r="D4048">
        <v>2.59</v>
      </c>
      <c r="E4048">
        <v>829</v>
      </c>
      <c r="F4048" t="str">
        <f>HYPERLINK("https://www.google.com/maps/search/?api=1&amp;query=24.49253937,46.32304037", "View Map")</f>
        <v>View Map</v>
      </c>
      <c r="G4048" s="2">
        <v>0.68912584221763717</v>
      </c>
    </row>
    <row r="4049" spans="1:7" x14ac:dyDescent="0.3">
      <c r="A4049" t="s">
        <v>146</v>
      </c>
      <c r="B4049" t="s">
        <v>7402</v>
      </c>
      <c r="C4049" t="s">
        <v>8</v>
      </c>
      <c r="D4049">
        <v>2.5880000000000001</v>
      </c>
      <c r="E4049">
        <v>828</v>
      </c>
      <c r="F4049" t="str">
        <f>HYPERLINK("https://www.google.com/maps/search/?api=1&amp;query=24.56030096,46.54348166", "View Map")</f>
        <v>View Map</v>
      </c>
    </row>
    <row r="4050" spans="1:7" x14ac:dyDescent="0.3">
      <c r="A4050" t="s">
        <v>6948</v>
      </c>
      <c r="B4050" t="s">
        <v>6949</v>
      </c>
      <c r="C4050" t="s">
        <v>137</v>
      </c>
      <c r="D4050">
        <v>2.5880000000000001</v>
      </c>
      <c r="E4050">
        <v>828</v>
      </c>
      <c r="F4050" t="str">
        <f>HYPERLINK("https://www.google.com/maps/search/?api=1&amp;query=23.48809345,46.88234365", "View Map")</f>
        <v>View Map</v>
      </c>
      <c r="G4050" s="2">
        <v>0.40646922998135387</v>
      </c>
    </row>
    <row r="4051" spans="1:7" x14ac:dyDescent="0.3">
      <c r="A4051" t="s">
        <v>2664</v>
      </c>
      <c r="B4051" t="s">
        <v>2665</v>
      </c>
      <c r="C4051" t="s">
        <v>8</v>
      </c>
      <c r="D4051">
        <v>2.5880000000000001</v>
      </c>
      <c r="E4051">
        <v>828</v>
      </c>
      <c r="F4051" t="str">
        <f>HYPERLINK("https://www.google.com/maps/search/?api=1&amp;query=24.62075159,46.71184437", "View Map")</f>
        <v>View Map</v>
      </c>
    </row>
    <row r="4052" spans="1:7" x14ac:dyDescent="0.3">
      <c r="A4052" t="s">
        <v>663</v>
      </c>
      <c r="B4052" t="s">
        <v>664</v>
      </c>
      <c r="C4052" t="s">
        <v>77</v>
      </c>
      <c r="D4052">
        <v>2.5870000000000002</v>
      </c>
      <c r="E4052">
        <v>828</v>
      </c>
      <c r="F4052" t="str">
        <f>HYPERLINK("https://www.google.com/maps/search/?api=1&amp;query=22.30212061,46.70328734", "View Map")</f>
        <v>View Map</v>
      </c>
      <c r="G4052" s="2">
        <v>7.5769271588582043E-2</v>
      </c>
    </row>
    <row r="4053" spans="1:7" x14ac:dyDescent="0.3">
      <c r="A4053" t="s">
        <v>7564</v>
      </c>
      <c r="B4053" t="s">
        <v>7565</v>
      </c>
      <c r="C4053" t="s">
        <v>241</v>
      </c>
      <c r="D4053">
        <v>2.5859999999999999</v>
      </c>
      <c r="E4053">
        <v>827</v>
      </c>
      <c r="F4053" t="str">
        <f>HYPERLINK("https://www.google.com/maps/search/?api=1&amp;query=20.44626217,44.85257081", "View Map")</f>
        <v>View Map</v>
      </c>
    </row>
    <row r="4054" spans="1:7" x14ac:dyDescent="0.3">
      <c r="A4054" t="s">
        <v>2748</v>
      </c>
      <c r="B4054" t="s">
        <v>3540</v>
      </c>
      <c r="C4054" t="s">
        <v>8</v>
      </c>
      <c r="D4054">
        <v>2.5859999999999999</v>
      </c>
      <c r="E4054">
        <v>827</v>
      </c>
      <c r="F4054" t="str">
        <f>HYPERLINK("https://www.google.com/maps/search/?api=1&amp;query=24.5675954,46.64251946", "View Map")</f>
        <v>View Map</v>
      </c>
    </row>
    <row r="4055" spans="1:7" x14ac:dyDescent="0.3">
      <c r="A4055" t="s">
        <v>11545</v>
      </c>
      <c r="B4055" t="s">
        <v>11546</v>
      </c>
      <c r="C4055" t="s">
        <v>393</v>
      </c>
      <c r="D4055">
        <v>2.585</v>
      </c>
      <c r="E4055">
        <v>827</v>
      </c>
      <c r="F4055" t="str">
        <f>HYPERLINK("https://www.google.com/maps/search/?api=1&amp;query=22.47940739,44.90790395", "View Map")</f>
        <v>View Map</v>
      </c>
      <c r="G4055" s="2">
        <v>1.230667754529772</v>
      </c>
    </row>
    <row r="4056" spans="1:7" x14ac:dyDescent="0.3">
      <c r="A4056" t="s">
        <v>8599</v>
      </c>
      <c r="B4056" t="s">
        <v>8600</v>
      </c>
      <c r="C4056" t="s">
        <v>286</v>
      </c>
      <c r="D4056">
        <v>2.585</v>
      </c>
      <c r="E4056">
        <v>827</v>
      </c>
      <c r="F4056" t="str">
        <f>HYPERLINK("https://www.google.com/maps/search/?api=1&amp;query=25.29597092,45.53238578", "View Map")</f>
        <v>View Map</v>
      </c>
      <c r="G4056" s="2">
        <v>0.76451761319529832</v>
      </c>
    </row>
    <row r="4057" spans="1:7" x14ac:dyDescent="0.3">
      <c r="A4057" t="s">
        <v>10158</v>
      </c>
      <c r="B4057" t="s">
        <v>10159</v>
      </c>
      <c r="C4057" t="s">
        <v>8</v>
      </c>
      <c r="D4057">
        <v>2.585</v>
      </c>
      <c r="E4057">
        <v>827</v>
      </c>
      <c r="F4057" t="str">
        <f>HYPERLINK("https://www.google.com/maps/search/?api=1&amp;query=24.59649693,46.72643655", "View Map")</f>
        <v>View Map</v>
      </c>
    </row>
    <row r="4058" spans="1:7" x14ac:dyDescent="0.3">
      <c r="A4058" t="s">
        <v>6609</v>
      </c>
      <c r="B4058" t="s">
        <v>6610</v>
      </c>
      <c r="C4058" t="s">
        <v>883</v>
      </c>
      <c r="D4058">
        <v>2.5840000000000001</v>
      </c>
      <c r="E4058">
        <v>827</v>
      </c>
      <c r="F4058" t="str">
        <f>HYPERLINK("https://www.google.com/maps/search/?api=1&amp;query=25.55411565,47.16795281", "View Map")</f>
        <v>View Map</v>
      </c>
    </row>
    <row r="4059" spans="1:7" x14ac:dyDescent="0.3">
      <c r="A4059" t="s">
        <v>8895</v>
      </c>
      <c r="B4059" t="s">
        <v>8896</v>
      </c>
      <c r="C4059" t="s">
        <v>241</v>
      </c>
      <c r="D4059">
        <v>2.5840000000000001</v>
      </c>
      <c r="E4059">
        <v>827</v>
      </c>
      <c r="F4059" t="str">
        <f>HYPERLINK("https://www.google.com/maps/search/?api=1&amp;query=20.41568369,44.73849208", "View Map")</f>
        <v>View Map</v>
      </c>
      <c r="G4059" s="2">
        <v>0.84469017899686338</v>
      </c>
    </row>
    <row r="4060" spans="1:7" x14ac:dyDescent="0.3">
      <c r="A4060" t="s">
        <v>7955</v>
      </c>
      <c r="B4060" t="s">
        <v>7956</v>
      </c>
      <c r="C4060" t="s">
        <v>296</v>
      </c>
      <c r="D4060">
        <v>2.5840000000000001</v>
      </c>
      <c r="E4060">
        <v>827</v>
      </c>
      <c r="F4060" t="str">
        <f>HYPERLINK("https://www.google.com/maps/search/?api=1&amp;query=24.4820828,46.27771797", "View Map")</f>
        <v>View Map</v>
      </c>
      <c r="G4060" s="2">
        <v>0.77123479658401128</v>
      </c>
    </row>
    <row r="4061" spans="1:7" x14ac:dyDescent="0.3">
      <c r="A4061" t="s">
        <v>10153</v>
      </c>
      <c r="B4061" t="s">
        <v>10154</v>
      </c>
      <c r="C4061" t="s">
        <v>255</v>
      </c>
      <c r="D4061">
        <v>2.5830000000000002</v>
      </c>
      <c r="E4061">
        <v>827</v>
      </c>
      <c r="F4061" t="str">
        <f>HYPERLINK("https://www.google.com/maps/search/?api=1&amp;query=25.37801483,44.46428497", "View Map")</f>
        <v>View Map</v>
      </c>
      <c r="G4061" s="2">
        <v>0.87600958082894786</v>
      </c>
    </row>
    <row r="4062" spans="1:7" x14ac:dyDescent="0.3">
      <c r="A4062" t="s">
        <v>46</v>
      </c>
      <c r="B4062" t="s">
        <v>8005</v>
      </c>
      <c r="C4062" t="s">
        <v>8</v>
      </c>
      <c r="D4062">
        <v>2.5830000000000002</v>
      </c>
      <c r="E4062">
        <v>827</v>
      </c>
      <c r="F4062" t="str">
        <f>HYPERLINK("https://www.google.com/maps/search/?api=1&amp;query=24.86586241,46.66731139", "View Map")</f>
        <v>View Map</v>
      </c>
    </row>
    <row r="4063" spans="1:7" x14ac:dyDescent="0.3">
      <c r="A4063" t="s">
        <v>11547</v>
      </c>
      <c r="B4063" t="s">
        <v>11548</v>
      </c>
      <c r="C4063" t="s">
        <v>8</v>
      </c>
      <c r="D4063">
        <v>2.5819999999999999</v>
      </c>
      <c r="E4063">
        <v>826</v>
      </c>
      <c r="F4063" t="str">
        <f>HYPERLINK("https://www.google.com/maps/search/?api=1&amp;query=24.81116091,46.81263578", "View Map")</f>
        <v>View Map</v>
      </c>
    </row>
    <row r="4064" spans="1:7" x14ac:dyDescent="0.3">
      <c r="A4064" t="s">
        <v>10249</v>
      </c>
      <c r="B4064" t="s">
        <v>10250</v>
      </c>
      <c r="C4064" t="s">
        <v>255</v>
      </c>
      <c r="D4064">
        <v>2.58</v>
      </c>
      <c r="E4064">
        <v>825</v>
      </c>
      <c r="F4064" t="str">
        <f>HYPERLINK("https://www.google.com/maps/search/?api=1&amp;query=24.30572994,43.76523383", "View Map")</f>
        <v>View Map</v>
      </c>
      <c r="G4064" s="2">
        <v>0.74083071425286706</v>
      </c>
    </row>
    <row r="4065" spans="1:7" x14ac:dyDescent="0.3">
      <c r="A4065" t="s">
        <v>11549</v>
      </c>
      <c r="B4065" t="s">
        <v>11550</v>
      </c>
      <c r="C4065" t="s">
        <v>466</v>
      </c>
      <c r="D4065">
        <v>2.58</v>
      </c>
      <c r="E4065">
        <v>826</v>
      </c>
      <c r="F4065" t="str">
        <f>HYPERLINK("https://www.google.com/maps/search/?api=1&amp;query=24.48087117,46.16883555", "View Map")</f>
        <v>View Map</v>
      </c>
      <c r="G4065" s="2">
        <v>0.86168022950572221</v>
      </c>
    </row>
    <row r="4066" spans="1:7" x14ac:dyDescent="0.3">
      <c r="A4066" t="s">
        <v>7769</v>
      </c>
      <c r="B4066" t="s">
        <v>7770</v>
      </c>
      <c r="C4066" t="s">
        <v>8</v>
      </c>
      <c r="D4066">
        <v>2.5790000000000002</v>
      </c>
      <c r="E4066">
        <v>825</v>
      </c>
      <c r="F4066" t="str">
        <f>HYPERLINK("https://www.google.com/maps/search/?api=1&amp;query=24.68969,46.8557412", "View Map")</f>
        <v>View Map</v>
      </c>
    </row>
    <row r="4067" spans="1:7" x14ac:dyDescent="0.3">
      <c r="A4067" t="s">
        <v>146</v>
      </c>
      <c r="B4067" t="s">
        <v>10133</v>
      </c>
      <c r="C4067" t="s">
        <v>8</v>
      </c>
      <c r="D4067">
        <v>2.5790000000000002</v>
      </c>
      <c r="E4067">
        <v>825</v>
      </c>
      <c r="F4067" t="str">
        <f>HYPERLINK("https://www.google.com/maps/search/?api=1&amp;query=24.54339607,46.51293146", "View Map")</f>
        <v>View Map</v>
      </c>
    </row>
    <row r="4068" spans="1:7" x14ac:dyDescent="0.3">
      <c r="A4068" t="s">
        <v>3748</v>
      </c>
      <c r="B4068" t="s">
        <v>3749</v>
      </c>
      <c r="C4068" t="s">
        <v>16</v>
      </c>
      <c r="D4068">
        <v>2.5779999999999998</v>
      </c>
      <c r="E4068">
        <v>825</v>
      </c>
      <c r="F4068" t="str">
        <f>HYPERLINK("https://www.google.com/maps/search/?api=1&amp;query=23.89088619,42.89513887", "View Map")</f>
        <v>View Map</v>
      </c>
      <c r="G4068" s="2">
        <v>0.42408953429225321</v>
      </c>
    </row>
    <row r="4069" spans="1:7" x14ac:dyDescent="0.3">
      <c r="A4069" t="s">
        <v>7999</v>
      </c>
      <c r="B4069" t="s">
        <v>8000</v>
      </c>
      <c r="C4069" t="s">
        <v>738</v>
      </c>
      <c r="D4069">
        <v>2.577</v>
      </c>
      <c r="E4069">
        <v>825</v>
      </c>
      <c r="F4069" t="str">
        <f>HYPERLINK("https://www.google.com/maps/search/?api=1&amp;query=25.12260162,46.08378967", "View Map")</f>
        <v>View Map</v>
      </c>
      <c r="G4069" s="2">
        <v>0.75052733674556715</v>
      </c>
    </row>
    <row r="4070" spans="1:7" x14ac:dyDescent="0.3">
      <c r="A4070" t="s">
        <v>73</v>
      </c>
      <c r="B4070" t="s">
        <v>6472</v>
      </c>
      <c r="C4070" t="s">
        <v>8</v>
      </c>
      <c r="D4070">
        <v>2.5739999999999998</v>
      </c>
      <c r="E4070">
        <v>824</v>
      </c>
      <c r="F4070" t="str">
        <f>HYPERLINK("https://www.google.com/maps/search/?api=1&amp;query=24.64797859,46.57036827", "View Map")</f>
        <v>View Map</v>
      </c>
    </row>
    <row r="4071" spans="1:7" x14ac:dyDescent="0.3">
      <c r="A4071" t="s">
        <v>10591</v>
      </c>
      <c r="B4071" t="s">
        <v>10592</v>
      </c>
      <c r="C4071" t="s">
        <v>214</v>
      </c>
      <c r="D4071">
        <v>2.5739999999999998</v>
      </c>
      <c r="E4071">
        <v>824</v>
      </c>
      <c r="F4071" t="str">
        <f>HYPERLINK("https://www.google.com/maps/search/?api=1&amp;query=26.50695,45.3694", "View Map")</f>
        <v>View Map</v>
      </c>
      <c r="G4071" s="2">
        <v>0.73241839416735754</v>
      </c>
    </row>
    <row r="4072" spans="1:7" x14ac:dyDescent="0.3">
      <c r="A4072" t="s">
        <v>6418</v>
      </c>
      <c r="B4072" t="s">
        <v>6419</v>
      </c>
      <c r="C4072" t="s">
        <v>296</v>
      </c>
      <c r="D4072">
        <v>2.573</v>
      </c>
      <c r="E4072">
        <v>823</v>
      </c>
      <c r="F4072" t="str">
        <f>HYPERLINK("https://www.google.com/maps/search/?api=1&amp;query=24.4433005,46.10886165", "View Map")</f>
        <v>View Map</v>
      </c>
      <c r="G4072" s="2">
        <v>0.53370519275659223</v>
      </c>
    </row>
    <row r="4073" spans="1:7" x14ac:dyDescent="0.3">
      <c r="A4073" t="s">
        <v>7152</v>
      </c>
      <c r="B4073" t="s">
        <v>7153</v>
      </c>
      <c r="C4073" t="s">
        <v>255</v>
      </c>
      <c r="D4073">
        <v>2.573</v>
      </c>
      <c r="E4073">
        <v>823</v>
      </c>
      <c r="F4073" t="str">
        <f>HYPERLINK("https://www.google.com/maps/search/?api=1&amp;query=24.81194067,43.80421887", "View Map")</f>
        <v>View Map</v>
      </c>
      <c r="G4073" s="2">
        <v>0.83744184974688873</v>
      </c>
    </row>
    <row r="4074" spans="1:7" x14ac:dyDescent="0.3">
      <c r="A4074" t="s">
        <v>5258</v>
      </c>
      <c r="B4074" t="s">
        <v>5259</v>
      </c>
      <c r="C4074" t="s">
        <v>883</v>
      </c>
      <c r="D4074">
        <v>2.5720000000000001</v>
      </c>
      <c r="E4074">
        <v>823</v>
      </c>
      <c r="F4074" t="str">
        <f>HYPERLINK("https://www.google.com/maps/search/?api=1&amp;query=25.56067806,47.15759085", "View Map")</f>
        <v>View Map</v>
      </c>
    </row>
    <row r="4075" spans="1:7" x14ac:dyDescent="0.3">
      <c r="A4075" t="s">
        <v>8227</v>
      </c>
      <c r="B4075" t="s">
        <v>8228</v>
      </c>
      <c r="C4075" t="s">
        <v>8</v>
      </c>
      <c r="D4075">
        <v>2.5710000000000002</v>
      </c>
      <c r="E4075">
        <v>823</v>
      </c>
      <c r="F4075" t="str">
        <f>HYPERLINK("https://www.google.com/maps/search/?api=1&amp;query=24.73820711,46.8144656", "View Map")</f>
        <v>View Map</v>
      </c>
    </row>
    <row r="4076" spans="1:7" x14ac:dyDescent="0.3">
      <c r="A4076" t="s">
        <v>122</v>
      </c>
      <c r="B4076" t="s">
        <v>8418</v>
      </c>
      <c r="C4076" t="s">
        <v>442</v>
      </c>
      <c r="D4076">
        <v>2.57</v>
      </c>
      <c r="E4076">
        <v>822</v>
      </c>
      <c r="F4076" t="str">
        <f>HYPERLINK("https://www.google.com/maps/search/?api=1&amp;query=23.64016014,46.49008692", "View Map")</f>
        <v>View Map</v>
      </c>
      <c r="G4076" s="2">
        <v>0.64786587076502467</v>
      </c>
    </row>
    <row r="4077" spans="1:7" x14ac:dyDescent="0.3">
      <c r="A4077" t="s">
        <v>6770</v>
      </c>
      <c r="B4077" t="s">
        <v>6771</v>
      </c>
      <c r="C4077" t="s">
        <v>8</v>
      </c>
      <c r="D4077">
        <v>2.57</v>
      </c>
      <c r="E4077">
        <v>823</v>
      </c>
      <c r="F4077" t="str">
        <f>HYPERLINK("https://www.google.com/maps/search/?api=1&amp;query=24.7060772,46.85162253", "View Map")</f>
        <v>View Map</v>
      </c>
    </row>
    <row r="4078" spans="1:7" x14ac:dyDescent="0.3">
      <c r="A4078" t="s">
        <v>2408</v>
      </c>
      <c r="B4078" t="s">
        <v>2409</v>
      </c>
      <c r="C4078" t="s">
        <v>30</v>
      </c>
      <c r="D4078">
        <v>2.57</v>
      </c>
      <c r="E4078">
        <v>822</v>
      </c>
      <c r="F4078" t="str">
        <f>HYPERLINK("https://www.google.com/maps/search/?api=1&amp;query=24.10812208,47.28429742", "View Map")</f>
        <v>View Map</v>
      </c>
    </row>
    <row r="4079" spans="1:7" x14ac:dyDescent="0.3">
      <c r="A4079" t="s">
        <v>6013</v>
      </c>
      <c r="B4079" t="s">
        <v>8244</v>
      </c>
      <c r="C4079" t="s">
        <v>8</v>
      </c>
      <c r="D4079">
        <v>2.569</v>
      </c>
      <c r="E4079">
        <v>822</v>
      </c>
      <c r="F4079" t="str">
        <f>HYPERLINK("https://www.google.com/maps/search/?api=1&amp;query=24.75861569,46.68282007", "View Map")</f>
        <v>View Map</v>
      </c>
    </row>
    <row r="4080" spans="1:7" x14ac:dyDescent="0.3">
      <c r="A4080" t="s">
        <v>6029</v>
      </c>
      <c r="B4080" t="s">
        <v>6030</v>
      </c>
      <c r="C4080" t="s">
        <v>393</v>
      </c>
      <c r="D4080">
        <v>2.569</v>
      </c>
      <c r="E4080">
        <v>822</v>
      </c>
      <c r="F4080" t="str">
        <f>HYPERLINK("https://www.google.com/maps/search/?api=1&amp;query=22.64484319,44.79941371", "View Map")</f>
        <v>View Map</v>
      </c>
      <c r="G4080" s="2">
        <v>0.53132017813651056</v>
      </c>
    </row>
    <row r="4081" spans="1:7" x14ac:dyDescent="0.3">
      <c r="A4081" t="s">
        <v>4370</v>
      </c>
      <c r="B4081" t="s">
        <v>4371</v>
      </c>
      <c r="C4081" t="s">
        <v>8</v>
      </c>
      <c r="D4081">
        <v>2.569</v>
      </c>
      <c r="E4081">
        <v>822</v>
      </c>
      <c r="F4081" t="str">
        <f>HYPERLINK("https://www.google.com/maps/search/?api=1&amp;query=24.74056975,46.82994626", "View Map")</f>
        <v>View Map</v>
      </c>
    </row>
    <row r="4082" spans="1:7" x14ac:dyDescent="0.3">
      <c r="A4082" t="s">
        <v>46</v>
      </c>
      <c r="B4082" t="s">
        <v>11551</v>
      </c>
      <c r="C4082" t="s">
        <v>8</v>
      </c>
      <c r="D4082">
        <v>2.569</v>
      </c>
      <c r="E4082">
        <v>822</v>
      </c>
      <c r="F4082" t="str">
        <f>HYPERLINK("https://www.google.com/maps/search/?api=1&amp;query=24.88136,46.6425", "View Map")</f>
        <v>View Map</v>
      </c>
    </row>
    <row r="4083" spans="1:7" x14ac:dyDescent="0.3">
      <c r="A4083" t="s">
        <v>7103</v>
      </c>
      <c r="B4083" t="s">
        <v>7104</v>
      </c>
      <c r="C4083" t="s">
        <v>255</v>
      </c>
      <c r="D4083">
        <v>2.5680000000000001</v>
      </c>
      <c r="E4083">
        <v>822</v>
      </c>
      <c r="F4083" t="str">
        <f>HYPERLINK("https://www.google.com/maps/search/?api=1&amp;query=24.47208822,44.34718941", "View Map")</f>
        <v>View Map</v>
      </c>
      <c r="G4083" s="2">
        <v>0.88179197155581934</v>
      </c>
    </row>
    <row r="4084" spans="1:7" x14ac:dyDescent="0.3">
      <c r="A4084" t="s">
        <v>4398</v>
      </c>
      <c r="B4084" t="s">
        <v>4399</v>
      </c>
      <c r="C4084" t="s">
        <v>8</v>
      </c>
      <c r="D4084">
        <v>2.5670000000000002</v>
      </c>
      <c r="E4084">
        <v>821</v>
      </c>
      <c r="F4084" t="str">
        <f>HYPERLINK("https://www.google.com/maps/search/?api=1&amp;query=24.63897865,46.72488425", "View Map")</f>
        <v>View Map</v>
      </c>
    </row>
    <row r="4085" spans="1:7" x14ac:dyDescent="0.3">
      <c r="A4085" t="s">
        <v>6985</v>
      </c>
      <c r="B4085" t="s">
        <v>6986</v>
      </c>
      <c r="C4085" t="s">
        <v>1112</v>
      </c>
      <c r="D4085">
        <v>2.5670000000000002</v>
      </c>
      <c r="E4085">
        <v>822</v>
      </c>
      <c r="F4085" t="str">
        <f>HYPERLINK("https://www.google.com/maps/search/?api=1&amp;query=26.14307655,44.91804842", "View Map")</f>
        <v>View Map</v>
      </c>
      <c r="G4085" s="2">
        <v>0.38091078792211081</v>
      </c>
    </row>
    <row r="4086" spans="1:7" x14ac:dyDescent="0.3">
      <c r="A4086" t="s">
        <v>150</v>
      </c>
      <c r="B4086" t="s">
        <v>5060</v>
      </c>
      <c r="C4086" t="s">
        <v>8</v>
      </c>
      <c r="D4086">
        <v>2.5659999999999998</v>
      </c>
      <c r="E4086">
        <v>821</v>
      </c>
      <c r="F4086" t="str">
        <f>HYPERLINK("https://www.google.com/maps/search/?api=1&amp;query=24.76176439,46.60760998", "View Map")</f>
        <v>View Map</v>
      </c>
    </row>
    <row r="4087" spans="1:7" x14ac:dyDescent="0.3">
      <c r="A4087" t="s">
        <v>2621</v>
      </c>
      <c r="B4087" t="s">
        <v>2622</v>
      </c>
      <c r="C4087" t="s">
        <v>8</v>
      </c>
      <c r="D4087">
        <v>2.5659999999999998</v>
      </c>
      <c r="E4087">
        <v>821</v>
      </c>
      <c r="F4087" t="str">
        <f>HYPERLINK("https://www.google.com/maps/search/?api=1&amp;query=24.56661351,46.6275459", "View Map")</f>
        <v>View Map</v>
      </c>
    </row>
    <row r="4088" spans="1:7" x14ac:dyDescent="0.3">
      <c r="A4088" t="s">
        <v>11552</v>
      </c>
      <c r="B4088" t="s">
        <v>11553</v>
      </c>
      <c r="C4088" t="s">
        <v>466</v>
      </c>
      <c r="D4088">
        <v>2.5649999999999999</v>
      </c>
      <c r="E4088">
        <v>821</v>
      </c>
      <c r="F4088" t="str">
        <f>HYPERLINK("https://www.google.com/maps/search/?api=1&amp;query=24.59490287,46.13604467", "View Map")</f>
        <v>View Map</v>
      </c>
    </row>
    <row r="4089" spans="1:7" x14ac:dyDescent="0.3">
      <c r="A4089" t="s">
        <v>9193</v>
      </c>
      <c r="B4089" t="s">
        <v>9194</v>
      </c>
      <c r="C4089" t="s">
        <v>466</v>
      </c>
      <c r="D4089">
        <v>2.5640000000000001</v>
      </c>
      <c r="E4089">
        <v>821</v>
      </c>
      <c r="F4089" t="str">
        <f>HYPERLINK("https://www.google.com/maps/search/?api=1&amp;query=24.5109488,46.37716494", "View Map")</f>
        <v>View Map</v>
      </c>
      <c r="G4089" s="2">
        <v>0.52223601711947509</v>
      </c>
    </row>
    <row r="4090" spans="1:7" x14ac:dyDescent="0.3">
      <c r="A4090" t="s">
        <v>8528</v>
      </c>
      <c r="B4090" t="s">
        <v>8529</v>
      </c>
      <c r="C4090" t="s">
        <v>214</v>
      </c>
      <c r="D4090">
        <v>2.5619999999999998</v>
      </c>
      <c r="E4090">
        <v>820</v>
      </c>
      <c r="F4090" t="str">
        <f>HYPERLINK("https://www.google.com/maps/search/?api=1&amp;query=26.40770331,45.1166275", "View Map")</f>
        <v>View Map</v>
      </c>
      <c r="G4090" s="2">
        <v>0.96528645330776131</v>
      </c>
    </row>
    <row r="4091" spans="1:7" x14ac:dyDescent="0.3">
      <c r="A4091" t="s">
        <v>5447</v>
      </c>
      <c r="B4091" t="s">
        <v>5448</v>
      </c>
      <c r="C4091" t="s">
        <v>8</v>
      </c>
      <c r="D4091">
        <v>2.5619999999999998</v>
      </c>
      <c r="E4091">
        <v>820</v>
      </c>
      <c r="F4091" t="str">
        <f>HYPERLINK("https://www.google.com/maps/search/?api=1&amp;query=24.60990773,46.70333873", "View Map")</f>
        <v>View Map</v>
      </c>
    </row>
    <row r="4092" spans="1:7" x14ac:dyDescent="0.3">
      <c r="A4092" t="s">
        <v>10052</v>
      </c>
      <c r="B4092" t="s">
        <v>10053</v>
      </c>
      <c r="C4092" t="s">
        <v>8</v>
      </c>
      <c r="D4092">
        <v>2.5619999999999998</v>
      </c>
      <c r="E4092">
        <v>820</v>
      </c>
      <c r="F4092" t="str">
        <f>HYPERLINK("https://www.google.com/maps/search/?api=1&amp;query=24.55615944,46.70645238", "View Map")</f>
        <v>View Map</v>
      </c>
    </row>
    <row r="4093" spans="1:7" x14ac:dyDescent="0.3">
      <c r="A4093" t="s">
        <v>9485</v>
      </c>
      <c r="B4093" t="s">
        <v>9486</v>
      </c>
      <c r="C4093" t="s">
        <v>8</v>
      </c>
      <c r="D4093">
        <v>2.5609999999999999</v>
      </c>
      <c r="E4093">
        <v>820</v>
      </c>
      <c r="F4093" t="str">
        <f>HYPERLINK("https://www.google.com/maps/search/?api=1&amp;query=24.64501956,46.73064645", "View Map")</f>
        <v>View Map</v>
      </c>
    </row>
    <row r="4094" spans="1:7" x14ac:dyDescent="0.3">
      <c r="A4094" t="s">
        <v>8312</v>
      </c>
      <c r="B4094" t="s">
        <v>8313</v>
      </c>
      <c r="C4094" t="s">
        <v>8</v>
      </c>
      <c r="D4094">
        <v>2.5609999999999999</v>
      </c>
      <c r="E4094">
        <v>819</v>
      </c>
      <c r="F4094" t="str">
        <f>HYPERLINK("https://www.google.com/maps/search/?api=1&amp;query=24.56690937,46.54187861", "View Map")</f>
        <v>View Map</v>
      </c>
    </row>
    <row r="4095" spans="1:7" x14ac:dyDescent="0.3">
      <c r="A4095" t="s">
        <v>4554</v>
      </c>
      <c r="B4095" t="s">
        <v>4555</v>
      </c>
      <c r="C4095" t="s">
        <v>8</v>
      </c>
      <c r="D4095">
        <v>2.5609999999999999</v>
      </c>
      <c r="E4095">
        <v>819</v>
      </c>
      <c r="F4095" t="str">
        <f>HYPERLINK("https://www.google.com/maps/search/?api=1&amp;query=24.64786086,46.57852373", "View Map")</f>
        <v>View Map</v>
      </c>
    </row>
    <row r="4096" spans="1:7" x14ac:dyDescent="0.3">
      <c r="A4096" t="s">
        <v>1273</v>
      </c>
      <c r="B4096" t="s">
        <v>11554</v>
      </c>
      <c r="C4096" t="s">
        <v>646</v>
      </c>
      <c r="D4096">
        <v>2.56</v>
      </c>
      <c r="E4096">
        <v>819</v>
      </c>
      <c r="F4096" t="str">
        <f>HYPERLINK("https://www.google.com/maps/search/?api=1&amp;query=20.41658509,45.23225865", "View Map")</f>
        <v>View Map</v>
      </c>
      <c r="G4096" s="2">
        <v>0.46091395786226258</v>
      </c>
    </row>
    <row r="4097" spans="1:7" x14ac:dyDescent="0.3">
      <c r="A4097" t="s">
        <v>7579</v>
      </c>
      <c r="B4097" t="s">
        <v>7580</v>
      </c>
      <c r="C4097" t="s">
        <v>738</v>
      </c>
      <c r="D4097">
        <v>2.5579999999999998</v>
      </c>
      <c r="E4097">
        <v>819</v>
      </c>
      <c r="F4097" t="str">
        <f>HYPERLINK("https://www.google.com/maps/search/?api=1&amp;query=25.16525364,46.32879618", "View Map")</f>
        <v>View Map</v>
      </c>
      <c r="G4097" s="2">
        <v>0.53895476512515494</v>
      </c>
    </row>
    <row r="4098" spans="1:7" x14ac:dyDescent="0.3">
      <c r="A4098" t="s">
        <v>5800</v>
      </c>
      <c r="B4098" t="s">
        <v>5801</v>
      </c>
      <c r="C4098" t="s">
        <v>8</v>
      </c>
      <c r="D4098">
        <v>2.5579999999999998</v>
      </c>
      <c r="E4098">
        <v>818</v>
      </c>
      <c r="F4098" t="str">
        <f>HYPERLINK("https://www.google.com/maps/search/?api=1&amp;query=24.74764861,46.83726737", "View Map")</f>
        <v>View Map</v>
      </c>
    </row>
    <row r="4099" spans="1:7" x14ac:dyDescent="0.3">
      <c r="A4099" t="s">
        <v>150</v>
      </c>
      <c r="B4099" t="s">
        <v>7859</v>
      </c>
      <c r="C4099" t="s">
        <v>8</v>
      </c>
      <c r="D4099">
        <v>2.5579999999999998</v>
      </c>
      <c r="E4099">
        <v>818</v>
      </c>
      <c r="F4099" t="str">
        <f>HYPERLINK("https://www.google.com/maps/search/?api=1&amp;query=24.77248273,46.78830519", "View Map")</f>
        <v>View Map</v>
      </c>
    </row>
    <row r="4100" spans="1:7" x14ac:dyDescent="0.3">
      <c r="A4100" t="s">
        <v>8523</v>
      </c>
      <c r="B4100" t="s">
        <v>8524</v>
      </c>
      <c r="C4100" t="s">
        <v>8</v>
      </c>
      <c r="D4100">
        <v>2.5569999999999999</v>
      </c>
      <c r="E4100">
        <v>818</v>
      </c>
      <c r="F4100" t="str">
        <f>HYPERLINK("https://www.google.com/maps/search/?api=1&amp;query=24.81386025,46.68862474", "View Map")</f>
        <v>View Map</v>
      </c>
    </row>
    <row r="4101" spans="1:7" x14ac:dyDescent="0.3">
      <c r="A4101" t="s">
        <v>46</v>
      </c>
      <c r="B4101" t="s">
        <v>8602</v>
      </c>
      <c r="C4101" t="s">
        <v>8</v>
      </c>
      <c r="D4101">
        <v>2.556</v>
      </c>
      <c r="E4101">
        <v>818</v>
      </c>
      <c r="F4101" t="str">
        <f>HYPERLINK("https://www.google.com/maps/search/?api=1&amp;query=24.81262518,46.59295891", "View Map")</f>
        <v>View Map</v>
      </c>
    </row>
    <row r="4102" spans="1:7" x14ac:dyDescent="0.3">
      <c r="A4102" t="s">
        <v>1943</v>
      </c>
      <c r="B4102" t="s">
        <v>1944</v>
      </c>
      <c r="C4102" t="s">
        <v>8</v>
      </c>
      <c r="D4102">
        <v>2.5550000000000002</v>
      </c>
      <c r="E4102">
        <v>818</v>
      </c>
      <c r="F4102" t="str">
        <f>HYPERLINK("https://www.google.com/maps/search/?api=1&amp;query=24.753885,46.71888321", "View Map")</f>
        <v>View Map</v>
      </c>
    </row>
    <row r="4103" spans="1:7" x14ac:dyDescent="0.3">
      <c r="A4103" t="s">
        <v>6427</v>
      </c>
      <c r="B4103" t="s">
        <v>6428</v>
      </c>
      <c r="C4103" t="s">
        <v>8</v>
      </c>
      <c r="D4103">
        <v>2.5550000000000002</v>
      </c>
      <c r="E4103">
        <v>817</v>
      </c>
      <c r="F4103" t="str">
        <f>HYPERLINK("https://www.google.com/maps/search/?api=1&amp;query=24.778807,46.806766", "View Map")</f>
        <v>View Map</v>
      </c>
      <c r="G4103" s="2">
        <v>0.491190875604333</v>
      </c>
    </row>
    <row r="4104" spans="1:7" x14ac:dyDescent="0.3">
      <c r="A4104" t="s">
        <v>740</v>
      </c>
      <c r="B4104" t="s">
        <v>6307</v>
      </c>
      <c r="C4104" t="s">
        <v>8</v>
      </c>
      <c r="D4104">
        <v>2.5550000000000002</v>
      </c>
      <c r="E4104">
        <v>818</v>
      </c>
      <c r="F4104" t="str">
        <f>HYPERLINK("https://www.google.com/maps/search/?api=1&amp;query=24.70982637,46.82888247", "View Map")</f>
        <v>View Map</v>
      </c>
    </row>
    <row r="4105" spans="1:7" x14ac:dyDescent="0.3">
      <c r="A4105" t="s">
        <v>9230</v>
      </c>
      <c r="B4105" t="s">
        <v>9231</v>
      </c>
      <c r="C4105" t="s">
        <v>8</v>
      </c>
      <c r="D4105">
        <v>2.5550000000000002</v>
      </c>
      <c r="E4105">
        <v>818</v>
      </c>
      <c r="F4105" t="str">
        <f>HYPERLINK("https://www.google.com/maps/search/?api=1&amp;query=24.72366288,46.81965454", "View Map")</f>
        <v>View Map</v>
      </c>
    </row>
    <row r="4106" spans="1:7" x14ac:dyDescent="0.3">
      <c r="A4106" t="s">
        <v>46</v>
      </c>
      <c r="B4106" t="s">
        <v>10480</v>
      </c>
      <c r="C4106" t="s">
        <v>8</v>
      </c>
      <c r="D4106">
        <v>2.5539999999999998</v>
      </c>
      <c r="E4106">
        <v>817</v>
      </c>
      <c r="F4106" t="str">
        <f>HYPERLINK("https://www.google.com/maps/search/?api=1&amp;query=24.92525789,46.82341566", "View Map")</f>
        <v>View Map</v>
      </c>
    </row>
    <row r="4107" spans="1:7" x14ac:dyDescent="0.3">
      <c r="A4107" t="s">
        <v>7176</v>
      </c>
      <c r="B4107" t="s">
        <v>7177</v>
      </c>
      <c r="C4107" t="s">
        <v>255</v>
      </c>
      <c r="D4107">
        <v>2.5539999999999998</v>
      </c>
      <c r="E4107">
        <v>817</v>
      </c>
      <c r="F4107" t="str">
        <f>HYPERLINK("https://www.google.com/maps/search/?api=1&amp;query=24.55618761,44.4447462", "View Map")</f>
        <v>View Map</v>
      </c>
      <c r="G4107" s="2">
        <v>0.74344412315403252</v>
      </c>
    </row>
    <row r="4108" spans="1:7" x14ac:dyDescent="0.3">
      <c r="A4108" t="s">
        <v>459</v>
      </c>
      <c r="B4108" t="s">
        <v>11555</v>
      </c>
      <c r="C4108" t="s">
        <v>286</v>
      </c>
      <c r="D4108">
        <v>2.5539999999999998</v>
      </c>
      <c r="E4108">
        <v>817</v>
      </c>
      <c r="F4108" t="str">
        <f>HYPERLINK("https://www.google.com/maps/search/?api=1&amp;query=25.25063277,45.23645267", "View Map")</f>
        <v>View Map</v>
      </c>
    </row>
    <row r="4109" spans="1:7" x14ac:dyDescent="0.3">
      <c r="A4109" t="s">
        <v>881</v>
      </c>
      <c r="B4109" t="s">
        <v>8201</v>
      </c>
      <c r="C4109" t="s">
        <v>883</v>
      </c>
      <c r="D4109">
        <v>2.5539999999999998</v>
      </c>
      <c r="E4109">
        <v>817</v>
      </c>
      <c r="F4109" t="str">
        <f>HYPERLINK("https://www.google.com/maps/search/?api=1&amp;query=25.55826481,47.15430599", "View Map")</f>
        <v>View Map</v>
      </c>
      <c r="G4109" s="2">
        <v>0.6159556049335001</v>
      </c>
    </row>
    <row r="4110" spans="1:7" x14ac:dyDescent="0.3">
      <c r="A4110" t="s">
        <v>7865</v>
      </c>
      <c r="B4110" t="s">
        <v>7866</v>
      </c>
      <c r="C4110" t="s">
        <v>393</v>
      </c>
      <c r="D4110">
        <v>2.5529999999999999</v>
      </c>
      <c r="E4110">
        <v>817</v>
      </c>
      <c r="F4110" t="str">
        <f>HYPERLINK("https://www.google.com/maps/search/?api=1&amp;query=22.75626,44.90633", "View Map")</f>
        <v>View Map</v>
      </c>
      <c r="G4110" s="2">
        <v>0.98456296216627504</v>
      </c>
    </row>
    <row r="4111" spans="1:7" x14ac:dyDescent="0.3">
      <c r="A4111" t="s">
        <v>46</v>
      </c>
      <c r="B4111" t="s">
        <v>6508</v>
      </c>
      <c r="C4111" t="s">
        <v>8</v>
      </c>
      <c r="D4111">
        <v>2.5529999999999999</v>
      </c>
      <c r="E4111">
        <v>817</v>
      </c>
      <c r="F4111" t="str">
        <f>HYPERLINK("https://www.google.com/maps/search/?api=1&amp;query=24.79964045,46.8481822", "View Map")</f>
        <v>View Map</v>
      </c>
    </row>
    <row r="4112" spans="1:7" x14ac:dyDescent="0.3">
      <c r="A4112" t="s">
        <v>9286</v>
      </c>
      <c r="B4112" t="s">
        <v>9287</v>
      </c>
      <c r="C4112" t="s">
        <v>8</v>
      </c>
      <c r="D4112">
        <v>2.552</v>
      </c>
      <c r="E4112">
        <v>817</v>
      </c>
      <c r="F4112" t="str">
        <f>HYPERLINK("https://www.google.com/maps/search/?api=1&amp;query=24.48705692,46.63087398", "View Map")</f>
        <v>View Map</v>
      </c>
    </row>
    <row r="4113" spans="1:7" x14ac:dyDescent="0.3">
      <c r="A4113" t="s">
        <v>380</v>
      </c>
      <c r="B4113" t="s">
        <v>6803</v>
      </c>
      <c r="C4113" t="s">
        <v>291</v>
      </c>
      <c r="D4113">
        <v>2.552</v>
      </c>
      <c r="E4113">
        <v>817</v>
      </c>
      <c r="F4113" t="str">
        <f>HYPERLINK("https://www.google.com/maps/search/?api=1&amp;query=24.09442143,45.89106511", "View Map")</f>
        <v>View Map</v>
      </c>
      <c r="G4113" s="2">
        <v>0.8295241980902659</v>
      </c>
    </row>
    <row r="4114" spans="1:7" x14ac:dyDescent="0.3">
      <c r="A4114" t="s">
        <v>2122</v>
      </c>
      <c r="B4114" t="s">
        <v>6721</v>
      </c>
      <c r="C4114" t="s">
        <v>8</v>
      </c>
      <c r="D4114">
        <v>2.5510000000000002</v>
      </c>
      <c r="E4114">
        <v>816</v>
      </c>
      <c r="F4114" t="str">
        <f>HYPERLINK("https://www.google.com/maps/search/?api=1&amp;query=24.8253364,46.78417961", "View Map")</f>
        <v>View Map</v>
      </c>
      <c r="G4114" s="2">
        <v>0.89112867564124709</v>
      </c>
    </row>
    <row r="4115" spans="1:7" x14ac:dyDescent="0.3">
      <c r="A4115" t="s">
        <v>11556</v>
      </c>
      <c r="B4115" t="s">
        <v>11557</v>
      </c>
      <c r="C4115" t="s">
        <v>8</v>
      </c>
      <c r="D4115">
        <v>2.5499999999999998</v>
      </c>
      <c r="E4115">
        <v>816</v>
      </c>
      <c r="F4115" t="str">
        <f>HYPERLINK("https://www.google.com/maps/search/?api=1&amp;query=24.6360861,46.70918957", "View Map")</f>
        <v>View Map</v>
      </c>
    </row>
    <row r="4116" spans="1:7" x14ac:dyDescent="0.3">
      <c r="A4116" t="s">
        <v>11558</v>
      </c>
      <c r="B4116" t="s">
        <v>11559</v>
      </c>
      <c r="C4116" t="s">
        <v>8</v>
      </c>
      <c r="D4116">
        <v>2.5499999999999998</v>
      </c>
      <c r="E4116">
        <v>816</v>
      </c>
      <c r="F4116" t="str">
        <f>HYPERLINK("https://www.google.com/maps/search/?api=1&amp;query=24.57292257,46.70908803", "View Map")</f>
        <v>View Map</v>
      </c>
    </row>
    <row r="4117" spans="1:7" x14ac:dyDescent="0.3">
      <c r="A4117" t="s">
        <v>242</v>
      </c>
      <c r="B4117" t="s">
        <v>5614</v>
      </c>
      <c r="C4117" t="s">
        <v>8</v>
      </c>
      <c r="D4117">
        <v>2.5499999999999998</v>
      </c>
      <c r="E4117">
        <v>816</v>
      </c>
      <c r="F4117" t="str">
        <f>HYPERLINK("https://www.google.com/maps/search/?api=1&amp;query=24.76882926,46.79507954", "View Map")</f>
        <v>View Map</v>
      </c>
    </row>
    <row r="4118" spans="1:7" x14ac:dyDescent="0.3">
      <c r="A4118" t="s">
        <v>4726</v>
      </c>
      <c r="B4118" t="s">
        <v>4727</v>
      </c>
      <c r="C4118" t="s">
        <v>8</v>
      </c>
      <c r="D4118">
        <v>2.5499999999999998</v>
      </c>
      <c r="E4118">
        <v>816</v>
      </c>
      <c r="F4118" t="str">
        <f>HYPERLINK("https://www.google.com/maps/search/?api=1&amp;query=24.78386498,46.71254496", "View Map")</f>
        <v>View Map</v>
      </c>
    </row>
    <row r="4119" spans="1:7" x14ac:dyDescent="0.3">
      <c r="A4119" t="s">
        <v>6154</v>
      </c>
      <c r="B4119" t="s">
        <v>6155</v>
      </c>
      <c r="C4119" t="s">
        <v>8</v>
      </c>
      <c r="D4119">
        <v>2.5489999999999999</v>
      </c>
      <c r="E4119">
        <v>816</v>
      </c>
      <c r="F4119" t="str">
        <f>HYPERLINK("https://www.google.com/maps/search/?api=1&amp;query=24.57955107,46.76374026", "View Map")</f>
        <v>View Map</v>
      </c>
    </row>
    <row r="4120" spans="1:7" x14ac:dyDescent="0.3">
      <c r="A4120" t="s">
        <v>9533</v>
      </c>
      <c r="B4120" t="s">
        <v>9534</v>
      </c>
      <c r="C4120" t="s">
        <v>270</v>
      </c>
      <c r="D4120">
        <v>2.5489999999999999</v>
      </c>
      <c r="E4120">
        <v>816</v>
      </c>
      <c r="F4120" t="str">
        <f>HYPERLINK("https://www.google.com/maps/search/?api=1&amp;query=23.98542409,47.16326666", "View Map")</f>
        <v>View Map</v>
      </c>
    </row>
    <row r="4121" spans="1:7" x14ac:dyDescent="0.3">
      <c r="A4121" t="s">
        <v>11560</v>
      </c>
      <c r="B4121" t="s">
        <v>11561</v>
      </c>
      <c r="C4121" t="s">
        <v>30</v>
      </c>
      <c r="D4121">
        <v>2.5489999999999999</v>
      </c>
      <c r="E4121">
        <v>816</v>
      </c>
      <c r="F4121" t="str">
        <f>HYPERLINK("https://www.google.com/maps/search/?api=1&amp;query=24.12756351,47.26491257", "View Map")</f>
        <v>View Map</v>
      </c>
    </row>
    <row r="4122" spans="1:7" x14ac:dyDescent="0.3">
      <c r="A4122" t="s">
        <v>2597</v>
      </c>
      <c r="B4122" t="s">
        <v>10490</v>
      </c>
      <c r="C4122" t="s">
        <v>291</v>
      </c>
      <c r="D4122">
        <v>2.5489999999999999</v>
      </c>
      <c r="E4122">
        <v>816</v>
      </c>
      <c r="F4122" t="str">
        <f>HYPERLINK("https://www.google.com/maps/search/?api=1&amp;query=23.25990736,44.64970997", "View Map")</f>
        <v>View Map</v>
      </c>
      <c r="G4122" s="2">
        <v>0.89509484860988309</v>
      </c>
    </row>
    <row r="4123" spans="1:7" x14ac:dyDescent="0.3">
      <c r="A4123" t="s">
        <v>352</v>
      </c>
      <c r="B4123" t="s">
        <v>6861</v>
      </c>
      <c r="C4123" t="s">
        <v>8</v>
      </c>
      <c r="D4123">
        <v>2.548</v>
      </c>
      <c r="E4123">
        <v>815</v>
      </c>
      <c r="F4123" t="str">
        <f>HYPERLINK("https://www.google.com/maps/search/?api=1&amp;query=24.75655387,46.77571345", "View Map")</f>
        <v>View Map</v>
      </c>
    </row>
    <row r="4124" spans="1:7" x14ac:dyDescent="0.3">
      <c r="A4124" t="s">
        <v>6702</v>
      </c>
      <c r="B4124" t="s">
        <v>6703</v>
      </c>
      <c r="C4124" t="s">
        <v>8</v>
      </c>
      <c r="D4124">
        <v>2.548</v>
      </c>
      <c r="E4124">
        <v>815</v>
      </c>
      <c r="F4124" t="str">
        <f>HYPERLINK("https://www.google.com/maps/search/?api=1&amp;query=24.64139843,46.72323201", "View Map")</f>
        <v>View Map</v>
      </c>
    </row>
    <row r="4125" spans="1:7" x14ac:dyDescent="0.3">
      <c r="A4125" t="s">
        <v>10545</v>
      </c>
      <c r="B4125" t="s">
        <v>10546</v>
      </c>
      <c r="C4125" t="s">
        <v>8</v>
      </c>
      <c r="D4125">
        <v>2.548</v>
      </c>
      <c r="E4125">
        <v>815</v>
      </c>
      <c r="F4125" t="str">
        <f>HYPERLINK("https://www.google.com/maps/search/?api=1&amp;query=24.80503329,46.71316172", "View Map")</f>
        <v>View Map</v>
      </c>
    </row>
    <row r="4126" spans="1:7" x14ac:dyDescent="0.3">
      <c r="A4126" t="s">
        <v>3740</v>
      </c>
      <c r="B4126" t="s">
        <v>3741</v>
      </c>
      <c r="C4126" t="s">
        <v>8</v>
      </c>
      <c r="D4126">
        <v>2.5459999999999998</v>
      </c>
      <c r="E4126">
        <v>815</v>
      </c>
      <c r="F4126" t="str">
        <f>HYPERLINK("https://www.google.com/maps/search/?api=1&amp;query=24.6164,46.7219", "View Map")</f>
        <v>View Map</v>
      </c>
    </row>
    <row r="4127" spans="1:7" x14ac:dyDescent="0.3">
      <c r="A4127" t="s">
        <v>9685</v>
      </c>
      <c r="B4127" t="s">
        <v>9686</v>
      </c>
      <c r="C4127" t="s">
        <v>393</v>
      </c>
      <c r="D4127">
        <v>2.5459999999999998</v>
      </c>
      <c r="E4127">
        <v>815</v>
      </c>
      <c r="F4127" t="str">
        <f>HYPERLINK("https://www.google.com/maps/search/?api=1&amp;query=23.7606316,45.66205152", "View Map")</f>
        <v>View Map</v>
      </c>
      <c r="G4127" s="2">
        <v>0.98800013215502769</v>
      </c>
    </row>
    <row r="4128" spans="1:7" x14ac:dyDescent="0.3">
      <c r="A4128" t="s">
        <v>938</v>
      </c>
      <c r="B4128" t="s">
        <v>9426</v>
      </c>
      <c r="C4128" t="s">
        <v>8</v>
      </c>
      <c r="D4128">
        <v>2.5459999999999998</v>
      </c>
      <c r="E4128">
        <v>815</v>
      </c>
      <c r="F4128" t="str">
        <f>HYPERLINK("https://www.google.com/maps/search/?api=1&amp;query=24.51514961,46.72642852", "View Map")</f>
        <v>View Map</v>
      </c>
    </row>
    <row r="4129" spans="1:7" x14ac:dyDescent="0.3">
      <c r="A4129" t="s">
        <v>9040</v>
      </c>
      <c r="B4129" t="s">
        <v>9041</v>
      </c>
      <c r="C4129" t="s">
        <v>8</v>
      </c>
      <c r="D4129">
        <v>2.5459999999999998</v>
      </c>
      <c r="E4129">
        <v>815</v>
      </c>
      <c r="F4129" t="str">
        <f>HYPERLINK("https://www.google.com/maps/search/?api=1&amp;query=24.48644743,46.61966642", "View Map")</f>
        <v>View Map</v>
      </c>
    </row>
    <row r="4130" spans="1:7" x14ac:dyDescent="0.3">
      <c r="A4130" t="s">
        <v>8656</v>
      </c>
      <c r="B4130" t="s">
        <v>8657</v>
      </c>
      <c r="C4130" t="s">
        <v>738</v>
      </c>
      <c r="D4130">
        <v>2.5449999999999999</v>
      </c>
      <c r="E4130">
        <v>815</v>
      </c>
      <c r="F4130" t="str">
        <f>HYPERLINK("https://www.google.com/maps/search/?api=1&amp;query=25.06387779,46.37814091", "View Map")</f>
        <v>View Map</v>
      </c>
      <c r="G4130" s="2">
        <v>0.79027270375543812</v>
      </c>
    </row>
    <row r="4131" spans="1:7" x14ac:dyDescent="0.3">
      <c r="A4131" t="s">
        <v>5783</v>
      </c>
      <c r="B4131" t="s">
        <v>5784</v>
      </c>
      <c r="C4131" t="s">
        <v>8</v>
      </c>
      <c r="D4131">
        <v>2.544</v>
      </c>
      <c r="E4131">
        <v>814</v>
      </c>
      <c r="F4131" t="str">
        <f>HYPERLINK("https://www.google.com/maps/search/?api=1&amp;query=24.6065563,46.72695161", "View Map")</f>
        <v>View Map</v>
      </c>
    </row>
    <row r="4132" spans="1:7" x14ac:dyDescent="0.3">
      <c r="A4132" t="s">
        <v>6546</v>
      </c>
      <c r="B4132" t="s">
        <v>6547</v>
      </c>
      <c r="C4132" t="s">
        <v>286</v>
      </c>
      <c r="D4132">
        <v>2.544</v>
      </c>
      <c r="E4132">
        <v>814</v>
      </c>
      <c r="F4132" t="str">
        <f>HYPERLINK("https://www.google.com/maps/search/?api=1&amp;query=25.24809743,45.22916392", "View Map")</f>
        <v>View Map</v>
      </c>
      <c r="G4132" s="2">
        <v>0.66396945080677028</v>
      </c>
    </row>
    <row r="4133" spans="1:7" x14ac:dyDescent="0.3">
      <c r="A4133" t="s">
        <v>717</v>
      </c>
      <c r="B4133" t="s">
        <v>7623</v>
      </c>
      <c r="C4133" t="s">
        <v>255</v>
      </c>
      <c r="D4133">
        <v>2.544</v>
      </c>
      <c r="E4133">
        <v>814</v>
      </c>
      <c r="F4133" t="str">
        <f>HYPERLINK("https://www.google.com/maps/search/?api=1&amp;query=24.54971815,44.40286216", "View Map")</f>
        <v>View Map</v>
      </c>
    </row>
    <row r="4134" spans="1:7" x14ac:dyDescent="0.3">
      <c r="A4134" t="s">
        <v>2604</v>
      </c>
      <c r="B4134" t="s">
        <v>6800</v>
      </c>
      <c r="C4134" t="s">
        <v>8</v>
      </c>
      <c r="D4134">
        <v>2.5430000000000001</v>
      </c>
      <c r="E4134">
        <v>814</v>
      </c>
      <c r="F4134" t="str">
        <f>HYPERLINK("https://www.google.com/maps/search/?api=1&amp;query=24.71373788,46.83265533", "View Map")</f>
        <v>View Map</v>
      </c>
    </row>
    <row r="4135" spans="1:7" x14ac:dyDescent="0.3">
      <c r="A4135" t="s">
        <v>8572</v>
      </c>
      <c r="B4135" t="s">
        <v>8573</v>
      </c>
      <c r="C4135" t="s">
        <v>255</v>
      </c>
      <c r="D4135">
        <v>2.5419999999999998</v>
      </c>
      <c r="E4135">
        <v>813</v>
      </c>
      <c r="F4135" t="str">
        <f>HYPERLINK("https://www.google.com/maps/search/?api=1&amp;query=24.43484835,44.2568614", "View Map")</f>
        <v>View Map</v>
      </c>
      <c r="G4135" s="2">
        <v>0.58972375630408425</v>
      </c>
    </row>
    <row r="4136" spans="1:7" x14ac:dyDescent="0.3">
      <c r="A4136" t="s">
        <v>8040</v>
      </c>
      <c r="B4136" t="s">
        <v>8041</v>
      </c>
      <c r="C4136" t="s">
        <v>8</v>
      </c>
      <c r="D4136">
        <v>2.5419999999999998</v>
      </c>
      <c r="E4136">
        <v>813</v>
      </c>
      <c r="F4136" t="str">
        <f>HYPERLINK("https://www.google.com/maps/search/?api=1&amp;query=24.59750659,46.64263773", "View Map")</f>
        <v>View Map</v>
      </c>
    </row>
    <row r="4137" spans="1:7" x14ac:dyDescent="0.3">
      <c r="A4137" t="s">
        <v>6354</v>
      </c>
      <c r="B4137" t="s">
        <v>6355</v>
      </c>
      <c r="C4137" t="s">
        <v>8</v>
      </c>
      <c r="D4137">
        <v>2.5409999999999999</v>
      </c>
      <c r="E4137">
        <v>813</v>
      </c>
      <c r="F4137" t="str">
        <f>HYPERLINK("https://www.google.com/maps/search/?api=1&amp;query=24.75567718,46.68313838", "View Map")</f>
        <v>View Map</v>
      </c>
    </row>
    <row r="4138" spans="1:7" x14ac:dyDescent="0.3">
      <c r="A4138" t="s">
        <v>7704</v>
      </c>
      <c r="B4138" t="s">
        <v>7705</v>
      </c>
      <c r="C4138" t="s">
        <v>21</v>
      </c>
      <c r="D4138">
        <v>2.5409999999999999</v>
      </c>
      <c r="E4138">
        <v>813</v>
      </c>
      <c r="F4138" t="str">
        <f>HYPERLINK("https://www.google.com/maps/search/?api=1&amp;query=26.2935095,44.78403525", "View Map")</f>
        <v>View Map</v>
      </c>
      <c r="G4138" s="2">
        <v>0.45767701783148979</v>
      </c>
    </row>
    <row r="4139" spans="1:7" x14ac:dyDescent="0.3">
      <c r="A4139" t="s">
        <v>3735</v>
      </c>
      <c r="B4139" t="s">
        <v>8318</v>
      </c>
      <c r="C4139" t="s">
        <v>255</v>
      </c>
      <c r="D4139">
        <v>2.54</v>
      </c>
      <c r="E4139">
        <v>813</v>
      </c>
      <c r="F4139" t="str">
        <f>HYPERLINK("https://www.google.com/maps/search/?api=1&amp;query=25.17420934,44.61100612", "View Map")</f>
        <v>View Map</v>
      </c>
      <c r="G4139" s="2">
        <v>0.59153825042398223</v>
      </c>
    </row>
    <row r="4140" spans="1:7" x14ac:dyDescent="0.3">
      <c r="A4140" t="s">
        <v>6830</v>
      </c>
      <c r="B4140" t="s">
        <v>6831</v>
      </c>
      <c r="C4140" t="s">
        <v>214</v>
      </c>
      <c r="D4140">
        <v>2.54</v>
      </c>
      <c r="E4140">
        <v>813</v>
      </c>
      <c r="F4140" t="str">
        <f>HYPERLINK("https://www.google.com/maps/search/?api=1&amp;query=26.58229294,45.2620917", "View Map")</f>
        <v>View Map</v>
      </c>
      <c r="G4140" s="2">
        <v>0.84347283450121646</v>
      </c>
    </row>
    <row r="4141" spans="1:7" x14ac:dyDescent="0.3">
      <c r="A4141" t="s">
        <v>3124</v>
      </c>
      <c r="B4141" t="s">
        <v>3125</v>
      </c>
      <c r="C4141" t="s">
        <v>8</v>
      </c>
      <c r="D4141">
        <v>2.54</v>
      </c>
      <c r="E4141">
        <v>813</v>
      </c>
      <c r="F4141" t="str">
        <f>HYPERLINK("https://www.google.com/maps/search/?api=1&amp;query=24.74273643,46.84253558", "View Map")</f>
        <v>View Map</v>
      </c>
    </row>
    <row r="4142" spans="1:7" x14ac:dyDescent="0.3">
      <c r="A4142" t="s">
        <v>7845</v>
      </c>
      <c r="B4142" t="s">
        <v>7846</v>
      </c>
      <c r="C4142" t="s">
        <v>286</v>
      </c>
      <c r="D4142">
        <v>2.5390000000000001</v>
      </c>
      <c r="E4142">
        <v>812</v>
      </c>
      <c r="F4142" t="str">
        <f>HYPERLINK("https://www.google.com/maps/search/?api=1&amp;query=25.34764921,45.18940087", "View Map")</f>
        <v>View Map</v>
      </c>
      <c r="G4142" s="2">
        <v>0.810941308474741</v>
      </c>
    </row>
    <row r="4143" spans="1:7" x14ac:dyDescent="0.3">
      <c r="A4143" t="s">
        <v>2285</v>
      </c>
      <c r="B4143" t="s">
        <v>2286</v>
      </c>
      <c r="C4143" t="s">
        <v>8</v>
      </c>
      <c r="D4143">
        <v>2.5390000000000001</v>
      </c>
      <c r="E4143">
        <v>813</v>
      </c>
      <c r="F4143" t="str">
        <f>HYPERLINK("https://www.google.com/maps/search/?api=1&amp;query=24.74446412,46.78346912", "View Map")</f>
        <v>View Map</v>
      </c>
    </row>
    <row r="4144" spans="1:7" x14ac:dyDescent="0.3">
      <c r="A4144" t="s">
        <v>7337</v>
      </c>
      <c r="B4144" t="s">
        <v>7338</v>
      </c>
      <c r="C4144" t="s">
        <v>442</v>
      </c>
      <c r="D4144">
        <v>2.5390000000000001</v>
      </c>
      <c r="E4144">
        <v>812</v>
      </c>
      <c r="F4144" t="str">
        <f>HYPERLINK("https://www.google.com/maps/search/?api=1&amp;query=23.63548615,46.50674346", "View Map")</f>
        <v>View Map</v>
      </c>
      <c r="G4144" s="2">
        <v>0.3902021804718242</v>
      </c>
    </row>
    <row r="4145" spans="1:7" x14ac:dyDescent="0.3">
      <c r="A4145" t="s">
        <v>46</v>
      </c>
      <c r="B4145" t="s">
        <v>940</v>
      </c>
      <c r="C4145" t="s">
        <v>8</v>
      </c>
      <c r="D4145">
        <v>2.5379999999999998</v>
      </c>
      <c r="E4145">
        <v>812</v>
      </c>
      <c r="F4145" t="str">
        <f>HYPERLINK("https://www.google.com/maps/search/?api=1&amp;query=24.8067,46.8792", "View Map")</f>
        <v>View Map</v>
      </c>
      <c r="G4145" s="2">
        <v>0.13840147801968061</v>
      </c>
    </row>
    <row r="4146" spans="1:7" x14ac:dyDescent="0.3">
      <c r="A4146" t="s">
        <v>915</v>
      </c>
      <c r="B4146" t="s">
        <v>916</v>
      </c>
      <c r="C4146" t="s">
        <v>255</v>
      </c>
      <c r="D4146">
        <v>2.5379999999999998</v>
      </c>
      <c r="E4146">
        <v>812</v>
      </c>
      <c r="F4146" t="str">
        <f>HYPERLINK("https://www.google.com/maps/search/?api=1&amp;query=25.18153362,44.59708181", "View Map")</f>
        <v>View Map</v>
      </c>
      <c r="G4146" s="2">
        <v>0.1190119456145462</v>
      </c>
    </row>
    <row r="4147" spans="1:7" x14ac:dyDescent="0.3">
      <c r="A4147" t="s">
        <v>11562</v>
      </c>
      <c r="B4147" t="s">
        <v>11563</v>
      </c>
      <c r="C4147" t="s">
        <v>16</v>
      </c>
      <c r="D4147">
        <v>2.5379999999999998</v>
      </c>
      <c r="E4147">
        <v>812</v>
      </c>
      <c r="F4147" t="str">
        <f>HYPERLINK("https://www.google.com/maps/search/?api=1&amp;query=24.33102572,42.36840387", "View Map")</f>
        <v>View Map</v>
      </c>
      <c r="G4147" s="2">
        <v>0.60696852875687046</v>
      </c>
    </row>
    <row r="4148" spans="1:7" x14ac:dyDescent="0.3">
      <c r="A4148" t="s">
        <v>150</v>
      </c>
      <c r="B4148" t="s">
        <v>10394</v>
      </c>
      <c r="C4148" t="s">
        <v>8</v>
      </c>
      <c r="D4148">
        <v>2.5379999999999998</v>
      </c>
      <c r="E4148">
        <v>812</v>
      </c>
      <c r="F4148" t="str">
        <f>HYPERLINK("https://www.google.com/maps/search/?api=1&amp;query=24.83331876,46.74016241", "View Map")</f>
        <v>View Map</v>
      </c>
    </row>
    <row r="4149" spans="1:7" x14ac:dyDescent="0.3">
      <c r="A4149" t="s">
        <v>8639</v>
      </c>
      <c r="B4149" t="s">
        <v>8640</v>
      </c>
      <c r="C4149" t="s">
        <v>21</v>
      </c>
      <c r="D4149">
        <v>2.5379999999999998</v>
      </c>
      <c r="E4149">
        <v>812</v>
      </c>
      <c r="F4149" t="str">
        <f>HYPERLINK("https://www.google.com/maps/search/?api=1&amp;query=26.31964089,44.8138683", "View Map")</f>
        <v>View Map</v>
      </c>
      <c r="G4149" s="2">
        <v>0.54465788078857558</v>
      </c>
    </row>
    <row r="4150" spans="1:7" x14ac:dyDescent="0.3">
      <c r="A4150" t="s">
        <v>6747</v>
      </c>
      <c r="B4150" t="s">
        <v>6748</v>
      </c>
      <c r="C4150" t="s">
        <v>286</v>
      </c>
      <c r="D4150">
        <v>2.5379999999999998</v>
      </c>
      <c r="E4150">
        <v>812</v>
      </c>
      <c r="F4150" t="str">
        <f>HYPERLINK("https://www.google.com/maps/search/?api=1&amp;query=25.24463853,45.24633525", "View Map")</f>
        <v>View Map</v>
      </c>
      <c r="G4150" s="2">
        <v>0.5278139620130704</v>
      </c>
    </row>
    <row r="4151" spans="1:7" x14ac:dyDescent="0.3">
      <c r="A4151" t="s">
        <v>3350</v>
      </c>
      <c r="B4151" t="s">
        <v>9794</v>
      </c>
      <c r="C4151" t="s">
        <v>8</v>
      </c>
      <c r="D4151">
        <v>2.5369999999999999</v>
      </c>
      <c r="E4151">
        <v>812</v>
      </c>
      <c r="F4151" t="str">
        <f>HYPERLINK("https://www.google.com/maps/search/?api=1&amp;query=24.56657566,46.63072662", "View Map")</f>
        <v>View Map</v>
      </c>
    </row>
    <row r="4152" spans="1:7" x14ac:dyDescent="0.3">
      <c r="A4152" t="s">
        <v>7782</v>
      </c>
      <c r="B4152" t="s">
        <v>7783</v>
      </c>
      <c r="C4152" t="s">
        <v>466</v>
      </c>
      <c r="D4152">
        <v>2.536</v>
      </c>
      <c r="E4152">
        <v>811</v>
      </c>
      <c r="F4152" t="str">
        <f>HYPERLINK("https://www.google.com/maps/search/?api=1&amp;query=24.73419814,45.79676895", "View Map")</f>
        <v>View Map</v>
      </c>
      <c r="G4152" s="2">
        <v>0.76206390001042768</v>
      </c>
    </row>
    <row r="4153" spans="1:7" x14ac:dyDescent="0.3">
      <c r="A4153" t="s">
        <v>5359</v>
      </c>
      <c r="B4153" t="s">
        <v>9476</v>
      </c>
      <c r="C4153" t="s">
        <v>8</v>
      </c>
      <c r="D4153">
        <v>2.536</v>
      </c>
      <c r="E4153">
        <v>811</v>
      </c>
      <c r="F4153" t="str">
        <f>HYPERLINK("https://www.google.com/maps/search/?api=1&amp;query=24.79755355,46.74844532", "View Map")</f>
        <v>View Map</v>
      </c>
    </row>
    <row r="4154" spans="1:7" x14ac:dyDescent="0.3">
      <c r="A4154" t="s">
        <v>459</v>
      </c>
      <c r="B4154" t="s">
        <v>7396</v>
      </c>
      <c r="C4154" t="s">
        <v>286</v>
      </c>
      <c r="D4154">
        <v>2.536</v>
      </c>
      <c r="E4154">
        <v>812</v>
      </c>
      <c r="F4154" t="str">
        <f>HYPERLINK("https://www.google.com/maps/search/?api=1&amp;query=25.20453519,45.23333758", "View Map")</f>
        <v>View Map</v>
      </c>
      <c r="G4154" s="2">
        <v>0.58976746580507367</v>
      </c>
    </row>
    <row r="4155" spans="1:7" x14ac:dyDescent="0.3">
      <c r="A4155" t="s">
        <v>11564</v>
      </c>
      <c r="B4155" t="s">
        <v>11565</v>
      </c>
      <c r="C4155" t="s">
        <v>8</v>
      </c>
      <c r="D4155">
        <v>2.536</v>
      </c>
      <c r="E4155">
        <v>812</v>
      </c>
      <c r="F4155" t="str">
        <f>HYPERLINK("https://www.google.com/maps/search/?api=1&amp;query=24.63690242,46.5449221", "View Map")</f>
        <v>View Map</v>
      </c>
    </row>
    <row r="4156" spans="1:7" x14ac:dyDescent="0.3">
      <c r="A4156" t="s">
        <v>9907</v>
      </c>
      <c r="B4156" t="s">
        <v>9908</v>
      </c>
      <c r="C4156" t="s">
        <v>291</v>
      </c>
      <c r="D4156">
        <v>2.5350000000000001</v>
      </c>
      <c r="E4156">
        <v>811</v>
      </c>
      <c r="F4156" t="str">
        <f>HYPERLINK("https://www.google.com/maps/search/?api=1&amp;query=24.36507001,45.28321109", "View Map")</f>
        <v>View Map</v>
      </c>
      <c r="G4156" s="2">
        <v>0.85308760748665757</v>
      </c>
    </row>
    <row r="4157" spans="1:7" x14ac:dyDescent="0.3">
      <c r="A4157" t="s">
        <v>7234</v>
      </c>
      <c r="B4157" t="s">
        <v>7235</v>
      </c>
      <c r="C4157" t="s">
        <v>8</v>
      </c>
      <c r="D4157">
        <v>2.5339999999999998</v>
      </c>
      <c r="E4157">
        <v>811</v>
      </c>
      <c r="F4157" t="str">
        <f>HYPERLINK("https://www.google.com/maps/search/?api=1&amp;query=24.7789,46.6286", "View Map")</f>
        <v>View Map</v>
      </c>
    </row>
    <row r="4158" spans="1:7" x14ac:dyDescent="0.3">
      <c r="A4158" t="s">
        <v>5725</v>
      </c>
      <c r="B4158" t="s">
        <v>7646</v>
      </c>
      <c r="C4158" t="s">
        <v>8</v>
      </c>
      <c r="D4158">
        <v>2.5329999999999999</v>
      </c>
      <c r="E4158">
        <v>811</v>
      </c>
      <c r="F4158" t="str">
        <f>HYPERLINK("https://www.google.com/maps/search/?api=1&amp;query=24.75143717,46.83678866", "View Map")</f>
        <v>View Map</v>
      </c>
    </row>
    <row r="4159" spans="1:7" x14ac:dyDescent="0.3">
      <c r="A4159" t="s">
        <v>7339</v>
      </c>
      <c r="B4159" t="s">
        <v>7340</v>
      </c>
      <c r="C4159" t="s">
        <v>214</v>
      </c>
      <c r="D4159">
        <v>2.5310000000000001</v>
      </c>
      <c r="E4159">
        <v>810</v>
      </c>
      <c r="F4159" t="str">
        <f>HYPERLINK("https://www.google.com/maps/search/?api=1&amp;query=25.59788567,45.6459508", "View Map")</f>
        <v>View Map</v>
      </c>
      <c r="G4159" s="2">
        <v>0.8126233978968187</v>
      </c>
    </row>
    <row r="4160" spans="1:7" x14ac:dyDescent="0.3">
      <c r="A4160" t="s">
        <v>289</v>
      </c>
      <c r="B4160" t="s">
        <v>8447</v>
      </c>
      <c r="C4160" t="s">
        <v>291</v>
      </c>
      <c r="D4160">
        <v>2.5310000000000001</v>
      </c>
      <c r="E4160">
        <v>810</v>
      </c>
      <c r="F4160" t="str">
        <f>HYPERLINK("https://www.google.com/maps/search/?api=1&amp;query=24.07626638,45.30074534", "View Map")</f>
        <v>View Map</v>
      </c>
      <c r="G4160" s="2">
        <v>0.96790351219330628</v>
      </c>
    </row>
    <row r="4161" spans="1:7" x14ac:dyDescent="0.3">
      <c r="A4161" t="s">
        <v>46</v>
      </c>
      <c r="B4161" t="s">
        <v>1895</v>
      </c>
      <c r="C4161" t="s">
        <v>8</v>
      </c>
      <c r="D4161">
        <v>2.5310000000000001</v>
      </c>
      <c r="E4161">
        <v>810</v>
      </c>
      <c r="F4161" t="str">
        <f>HYPERLINK("https://www.google.com/maps/search/?api=1&amp;query=24.64157218,46.66129257", "View Map")</f>
        <v>View Map</v>
      </c>
    </row>
    <row r="4162" spans="1:7" x14ac:dyDescent="0.3">
      <c r="A4162" t="s">
        <v>8092</v>
      </c>
      <c r="B4162" t="s">
        <v>8093</v>
      </c>
      <c r="C4162" t="s">
        <v>296</v>
      </c>
      <c r="D4162">
        <v>2.5310000000000001</v>
      </c>
      <c r="E4162">
        <v>810</v>
      </c>
      <c r="F4162" t="str">
        <f>HYPERLINK("https://www.google.com/maps/search/?api=1&amp;query=24.16121583,46.2229782", "View Map")</f>
        <v>View Map</v>
      </c>
      <c r="G4162" s="2">
        <v>0.68043283228199258</v>
      </c>
    </row>
    <row r="4163" spans="1:7" x14ac:dyDescent="0.3">
      <c r="A4163" t="s">
        <v>8450</v>
      </c>
      <c r="B4163" t="s">
        <v>8451</v>
      </c>
      <c r="C4163" t="s">
        <v>393</v>
      </c>
      <c r="D4163">
        <v>2.5299999999999998</v>
      </c>
      <c r="E4163">
        <v>809</v>
      </c>
      <c r="F4163" t="str">
        <f>HYPERLINK("https://www.google.com/maps/search/?api=1&amp;query=23.54114103,45.50679278", "View Map")</f>
        <v>View Map</v>
      </c>
    </row>
    <row r="4164" spans="1:7" x14ac:dyDescent="0.3">
      <c r="A4164" t="s">
        <v>4163</v>
      </c>
      <c r="B4164" t="s">
        <v>6865</v>
      </c>
      <c r="C4164" t="s">
        <v>8</v>
      </c>
      <c r="D4164">
        <v>2.5299999999999998</v>
      </c>
      <c r="E4164">
        <v>810</v>
      </c>
      <c r="F4164" t="str">
        <f>HYPERLINK("https://www.google.com/maps/search/?api=1&amp;query=24.74901179,46.77937212", "View Map")</f>
        <v>View Map</v>
      </c>
    </row>
    <row r="4165" spans="1:7" x14ac:dyDescent="0.3">
      <c r="A4165" t="s">
        <v>6270</v>
      </c>
      <c r="B4165" t="s">
        <v>6271</v>
      </c>
      <c r="C4165" t="s">
        <v>466</v>
      </c>
      <c r="D4165">
        <v>2.5299999999999998</v>
      </c>
      <c r="E4165">
        <v>810</v>
      </c>
      <c r="F4165" t="str">
        <f>HYPERLINK("https://www.google.com/maps/search/?api=1&amp;query=24.42102165,46.57391049", "View Map")</f>
        <v>View Map</v>
      </c>
      <c r="G4165" s="2">
        <v>0.33356043694467891</v>
      </c>
    </row>
    <row r="4166" spans="1:7" x14ac:dyDescent="0.3">
      <c r="A4166" t="s">
        <v>10883</v>
      </c>
      <c r="B4166" t="s">
        <v>10884</v>
      </c>
      <c r="C4166" t="s">
        <v>16</v>
      </c>
      <c r="D4166">
        <v>2.5299999999999998</v>
      </c>
      <c r="E4166">
        <v>810</v>
      </c>
      <c r="F4166" t="str">
        <f>HYPERLINK("https://www.google.com/maps/search/?api=1&amp;query=23.91677189,42.93534483", "View Map")</f>
        <v>View Map</v>
      </c>
      <c r="G4166" s="2">
        <v>0.43466313686079311</v>
      </c>
    </row>
    <row r="4167" spans="1:7" x14ac:dyDescent="0.3">
      <c r="A4167" t="s">
        <v>289</v>
      </c>
      <c r="B4167" t="s">
        <v>1134</v>
      </c>
      <c r="C4167" t="s">
        <v>291</v>
      </c>
      <c r="D4167">
        <v>2.5299999999999998</v>
      </c>
      <c r="E4167">
        <v>810</v>
      </c>
      <c r="F4167" t="str">
        <f>HYPERLINK("https://www.google.com/maps/search/?api=1&amp;query=24.08557491,45.33983807", "View Map")</f>
        <v>View Map</v>
      </c>
      <c r="G4167" s="2">
        <v>0.18063140364681751</v>
      </c>
    </row>
    <row r="4168" spans="1:7" x14ac:dyDescent="0.3">
      <c r="A4168" t="s">
        <v>11566</v>
      </c>
      <c r="B4168" t="s">
        <v>11567</v>
      </c>
      <c r="C4168" t="s">
        <v>8</v>
      </c>
      <c r="D4168">
        <v>2.528</v>
      </c>
      <c r="E4168">
        <v>809</v>
      </c>
      <c r="F4168" t="str">
        <f>HYPERLINK("https://www.google.com/maps/search/?api=1&amp;query=24.651714,46.66845802", "View Map")</f>
        <v>View Map</v>
      </c>
    </row>
    <row r="4169" spans="1:7" x14ac:dyDescent="0.3">
      <c r="A4169" t="s">
        <v>46</v>
      </c>
      <c r="B4169" t="s">
        <v>7017</v>
      </c>
      <c r="C4169" t="s">
        <v>55</v>
      </c>
      <c r="D4169">
        <v>2.528</v>
      </c>
      <c r="E4169">
        <v>809</v>
      </c>
      <c r="F4169" t="str">
        <f>HYPERLINK("https://www.google.com/maps/search/?api=1&amp;query=24.91306254,46.46192095", "View Map")</f>
        <v>View Map</v>
      </c>
    </row>
    <row r="4170" spans="1:7" x14ac:dyDescent="0.3">
      <c r="A4170" t="s">
        <v>627</v>
      </c>
      <c r="B4170" t="s">
        <v>10149</v>
      </c>
      <c r="C4170" t="s">
        <v>8</v>
      </c>
      <c r="D4170">
        <v>2.5270000000000001</v>
      </c>
      <c r="E4170">
        <v>809</v>
      </c>
      <c r="F4170" t="str">
        <f>HYPERLINK("https://www.google.com/maps/search/?api=1&amp;query=24.81156308,46.65588961", "View Map")</f>
        <v>View Map</v>
      </c>
    </row>
    <row r="4171" spans="1:7" x14ac:dyDescent="0.3">
      <c r="A4171" t="s">
        <v>9196</v>
      </c>
      <c r="B4171" t="s">
        <v>9197</v>
      </c>
      <c r="C4171" t="s">
        <v>214</v>
      </c>
      <c r="D4171">
        <v>2.5249999999999999</v>
      </c>
      <c r="E4171">
        <v>808</v>
      </c>
      <c r="F4171" t="str">
        <f>HYPERLINK("https://www.google.com/maps/search/?api=1&amp;query=25.56604493,45.65262343", "View Map")</f>
        <v>View Map</v>
      </c>
      <c r="G4171" s="2">
        <v>0.70441614023884991</v>
      </c>
    </row>
    <row r="4172" spans="1:7" x14ac:dyDescent="0.3">
      <c r="A4172" t="s">
        <v>8099</v>
      </c>
      <c r="B4172" t="s">
        <v>8100</v>
      </c>
      <c r="C4172" t="s">
        <v>393</v>
      </c>
      <c r="D4172">
        <v>2.5249999999999999</v>
      </c>
      <c r="E4172">
        <v>808</v>
      </c>
      <c r="F4172" t="str">
        <f>HYPERLINK("https://www.google.com/maps/search/?api=1&amp;query=22.97114925,45.00906323", "View Map")</f>
        <v>View Map</v>
      </c>
      <c r="G4172" s="2">
        <v>0.62488422505405239</v>
      </c>
    </row>
    <row r="4173" spans="1:7" x14ac:dyDescent="0.3">
      <c r="A4173" t="s">
        <v>11568</v>
      </c>
      <c r="B4173" t="s">
        <v>11569</v>
      </c>
      <c r="C4173" t="s">
        <v>255</v>
      </c>
      <c r="D4173">
        <v>2.5249999999999999</v>
      </c>
      <c r="E4173">
        <v>808</v>
      </c>
      <c r="F4173" t="str">
        <f>HYPERLINK("https://www.google.com/maps/search/?api=1&amp;query=24.77907231,43.7833067", "View Map")</f>
        <v>View Map</v>
      </c>
      <c r="G4173" s="2">
        <v>0.58326921399796117</v>
      </c>
    </row>
    <row r="4174" spans="1:7" x14ac:dyDescent="0.3">
      <c r="A4174" t="s">
        <v>1700</v>
      </c>
      <c r="B4174" t="s">
        <v>8023</v>
      </c>
      <c r="C4174" t="s">
        <v>8</v>
      </c>
      <c r="D4174">
        <v>2.524</v>
      </c>
      <c r="E4174">
        <v>808</v>
      </c>
      <c r="F4174" t="str">
        <f>HYPERLINK("https://www.google.com/maps/search/?api=1&amp;query=24.77707811,46.78082179", "View Map")</f>
        <v>View Map</v>
      </c>
    </row>
    <row r="4175" spans="1:7" x14ac:dyDescent="0.3">
      <c r="A4175" t="s">
        <v>2005</v>
      </c>
      <c r="B4175" t="s">
        <v>2006</v>
      </c>
      <c r="C4175" t="s">
        <v>8</v>
      </c>
      <c r="D4175">
        <v>2.524</v>
      </c>
      <c r="E4175">
        <v>808</v>
      </c>
      <c r="F4175" t="str">
        <f>HYPERLINK("https://www.google.com/maps/search/?api=1&amp;query=24.55673478,46.61292399", "View Map")</f>
        <v>View Map</v>
      </c>
      <c r="G4175" s="2">
        <v>0.14388826631489171</v>
      </c>
    </row>
    <row r="4176" spans="1:7" x14ac:dyDescent="0.3">
      <c r="A4176" t="s">
        <v>1594</v>
      </c>
      <c r="B4176" t="s">
        <v>1595</v>
      </c>
      <c r="C4176" t="s">
        <v>466</v>
      </c>
      <c r="D4176">
        <v>2.524</v>
      </c>
      <c r="E4176">
        <v>808</v>
      </c>
      <c r="F4176" t="str">
        <f>HYPERLINK("https://www.google.com/maps/search/?api=1&amp;query=24.47364713,46.20741669", "View Map")</f>
        <v>View Map</v>
      </c>
      <c r="G4176" s="2">
        <v>0.13424042500347541</v>
      </c>
    </row>
    <row r="4177" spans="1:7" x14ac:dyDescent="0.3">
      <c r="A4177" t="s">
        <v>6590</v>
      </c>
      <c r="B4177" t="s">
        <v>6591</v>
      </c>
      <c r="C4177" t="s">
        <v>8</v>
      </c>
      <c r="D4177">
        <v>2.524</v>
      </c>
      <c r="E4177">
        <v>808</v>
      </c>
      <c r="F4177" t="str">
        <f>HYPERLINK("https://www.google.com/maps/search/?api=1&amp;query=24.70235429,46.77728484", "View Map")</f>
        <v>View Map</v>
      </c>
    </row>
    <row r="4178" spans="1:7" x14ac:dyDescent="0.3">
      <c r="A4178" t="s">
        <v>7099</v>
      </c>
      <c r="B4178" t="s">
        <v>7100</v>
      </c>
      <c r="C4178" t="s">
        <v>291</v>
      </c>
      <c r="D4178">
        <v>2.524</v>
      </c>
      <c r="E4178">
        <v>808</v>
      </c>
      <c r="F4178" t="str">
        <f>HYPERLINK("https://www.google.com/maps/search/?api=1&amp;query=23.84568173,45.64976864", "View Map")</f>
        <v>View Map</v>
      </c>
      <c r="G4178" s="2">
        <v>0.68915704340217199</v>
      </c>
    </row>
    <row r="4179" spans="1:7" x14ac:dyDescent="0.3">
      <c r="A4179" t="s">
        <v>7801</v>
      </c>
      <c r="B4179" t="s">
        <v>7802</v>
      </c>
      <c r="C4179" t="s">
        <v>8</v>
      </c>
      <c r="D4179">
        <v>2.5230000000000001</v>
      </c>
      <c r="E4179">
        <v>807</v>
      </c>
      <c r="F4179" t="str">
        <f>HYPERLINK("https://www.google.com/maps/search/?api=1&amp;query=24.62816711,46.74875571", "View Map")</f>
        <v>View Map</v>
      </c>
    </row>
    <row r="4180" spans="1:7" x14ac:dyDescent="0.3">
      <c r="A4180" t="s">
        <v>8543</v>
      </c>
      <c r="B4180" t="s">
        <v>8544</v>
      </c>
      <c r="C4180" t="s">
        <v>77</v>
      </c>
      <c r="D4180">
        <v>2.5230000000000001</v>
      </c>
      <c r="E4180">
        <v>807</v>
      </c>
      <c r="F4180" t="str">
        <f>HYPERLINK("https://www.google.com/maps/search/?api=1&amp;query=22.03741546,46.56649041", "View Map")</f>
        <v>View Map</v>
      </c>
      <c r="G4180" s="2">
        <v>0.59306887179742995</v>
      </c>
    </row>
    <row r="4181" spans="1:7" x14ac:dyDescent="0.3">
      <c r="A4181" t="s">
        <v>9548</v>
      </c>
      <c r="B4181" t="s">
        <v>10338</v>
      </c>
      <c r="C4181" t="s">
        <v>8</v>
      </c>
      <c r="D4181">
        <v>2.5230000000000001</v>
      </c>
      <c r="E4181">
        <v>807</v>
      </c>
      <c r="F4181" t="str">
        <f>HYPERLINK("https://www.google.com/maps/search/?api=1&amp;query=24.60294939,46.74625428", "View Map")</f>
        <v>View Map</v>
      </c>
    </row>
    <row r="4182" spans="1:7" x14ac:dyDescent="0.3">
      <c r="A4182" t="s">
        <v>706</v>
      </c>
      <c r="B4182" t="s">
        <v>6001</v>
      </c>
      <c r="C4182" t="s">
        <v>8</v>
      </c>
      <c r="D4182">
        <v>2.5230000000000001</v>
      </c>
      <c r="E4182">
        <v>807</v>
      </c>
      <c r="F4182" t="str">
        <f>HYPERLINK("https://www.google.com/maps/search/?api=1&amp;query=24.56103337,46.56076701", "View Map")</f>
        <v>View Map</v>
      </c>
    </row>
    <row r="4183" spans="1:7" x14ac:dyDescent="0.3">
      <c r="A4183" t="s">
        <v>46</v>
      </c>
      <c r="B4183" t="s">
        <v>9020</v>
      </c>
      <c r="C4183" t="s">
        <v>8</v>
      </c>
      <c r="D4183">
        <v>2.5230000000000001</v>
      </c>
      <c r="E4183">
        <v>808</v>
      </c>
      <c r="F4183" t="str">
        <f>HYPERLINK("https://www.google.com/maps/search/?api=1&amp;query=24.6228,46.5183", "View Map")</f>
        <v>View Map</v>
      </c>
    </row>
    <row r="4184" spans="1:7" x14ac:dyDescent="0.3">
      <c r="A4184" t="s">
        <v>46</v>
      </c>
      <c r="B4184" t="s">
        <v>7634</v>
      </c>
      <c r="C4184" t="s">
        <v>8</v>
      </c>
      <c r="D4184">
        <v>2.5219999999999998</v>
      </c>
      <c r="E4184">
        <v>807</v>
      </c>
      <c r="F4184" t="str">
        <f>HYPERLINK("https://www.google.com/maps/search/?api=1&amp;query=24.61395679,46.50235749", "View Map")</f>
        <v>View Map</v>
      </c>
    </row>
    <row r="4185" spans="1:7" x14ac:dyDescent="0.3">
      <c r="A4185" t="s">
        <v>7325</v>
      </c>
      <c r="B4185" t="s">
        <v>7326</v>
      </c>
      <c r="C4185" t="s">
        <v>699</v>
      </c>
      <c r="D4185">
        <v>2.5219999999999998</v>
      </c>
      <c r="E4185">
        <v>807</v>
      </c>
      <c r="F4185" t="str">
        <f>HYPERLINK("https://www.google.com/maps/search/?api=1&amp;query=24.51969224,45.36491023", "View Map")</f>
        <v>View Map</v>
      </c>
      <c r="G4185" s="2">
        <v>0.6931487036185211</v>
      </c>
    </row>
    <row r="4186" spans="1:7" x14ac:dyDescent="0.3">
      <c r="A4186" t="s">
        <v>8917</v>
      </c>
      <c r="B4186" t="s">
        <v>8918</v>
      </c>
      <c r="C4186" t="s">
        <v>255</v>
      </c>
      <c r="D4186">
        <v>2.5219999999999998</v>
      </c>
      <c r="E4186">
        <v>807</v>
      </c>
      <c r="F4186" t="str">
        <f>HYPERLINK("https://www.google.com/maps/search/?api=1&amp;query=25.07899236,44.61324798", "View Map")</f>
        <v>View Map</v>
      </c>
    </row>
    <row r="4187" spans="1:7" x14ac:dyDescent="0.3">
      <c r="A4187" t="s">
        <v>3997</v>
      </c>
      <c r="B4187" t="s">
        <v>3998</v>
      </c>
      <c r="C4187" t="s">
        <v>8</v>
      </c>
      <c r="D4187">
        <v>2.5209999999999999</v>
      </c>
      <c r="E4187">
        <v>807</v>
      </c>
      <c r="F4187" t="str">
        <f>HYPERLINK("https://www.google.com/maps/search/?api=1&amp;query=24.6054429,46.68789631", "View Map")</f>
        <v>View Map</v>
      </c>
      <c r="G4187" s="2">
        <v>0.27597707235114383</v>
      </c>
    </row>
    <row r="4188" spans="1:7" x14ac:dyDescent="0.3">
      <c r="A4188" t="s">
        <v>5629</v>
      </c>
      <c r="B4188" t="s">
        <v>5630</v>
      </c>
      <c r="C4188" t="s">
        <v>8</v>
      </c>
      <c r="D4188">
        <v>2.52</v>
      </c>
      <c r="E4188">
        <v>806</v>
      </c>
      <c r="F4188" t="str">
        <f>HYPERLINK("https://www.google.com/maps/search/?api=1&amp;query=24.53908772,46.70975259", "View Map")</f>
        <v>View Map</v>
      </c>
    </row>
    <row r="4189" spans="1:7" x14ac:dyDescent="0.3">
      <c r="A4189" t="s">
        <v>2485</v>
      </c>
      <c r="B4189" t="s">
        <v>11570</v>
      </c>
      <c r="C4189" t="s">
        <v>255</v>
      </c>
      <c r="D4189">
        <v>2.52</v>
      </c>
      <c r="E4189">
        <v>806</v>
      </c>
      <c r="F4189" t="str">
        <f>HYPERLINK("https://www.google.com/maps/search/?api=1&amp;query=24.67280515,43.66033968", "View Map")</f>
        <v>View Map</v>
      </c>
      <c r="G4189" s="2">
        <v>0.69929226188383387</v>
      </c>
    </row>
    <row r="4190" spans="1:7" x14ac:dyDescent="0.3">
      <c r="A4190" t="s">
        <v>7537</v>
      </c>
      <c r="B4190" t="s">
        <v>7538</v>
      </c>
      <c r="C4190" t="s">
        <v>8</v>
      </c>
      <c r="D4190">
        <v>2.5190000000000001</v>
      </c>
      <c r="E4190">
        <v>806</v>
      </c>
      <c r="F4190" t="str">
        <f>HYPERLINK("https://www.google.com/maps/search/?api=1&amp;query=24.71166402,46.77993013", "View Map")</f>
        <v>View Map</v>
      </c>
    </row>
    <row r="4191" spans="1:7" x14ac:dyDescent="0.3">
      <c r="A4191" t="s">
        <v>3216</v>
      </c>
      <c r="B4191" t="s">
        <v>3217</v>
      </c>
      <c r="C4191" t="s">
        <v>30</v>
      </c>
      <c r="D4191">
        <v>2.5169999999999999</v>
      </c>
      <c r="E4191">
        <v>806</v>
      </c>
      <c r="F4191" t="str">
        <f>HYPERLINK("https://www.google.com/maps/search/?api=1&amp;query=24.1879591,47.29645055", "View Map")</f>
        <v>View Map</v>
      </c>
      <c r="G4191" s="2">
        <v>0.38451568192411018</v>
      </c>
    </row>
    <row r="4192" spans="1:7" x14ac:dyDescent="0.3">
      <c r="A4192" t="s">
        <v>11571</v>
      </c>
      <c r="B4192" t="s">
        <v>11572</v>
      </c>
      <c r="C4192" t="s">
        <v>16</v>
      </c>
      <c r="D4192">
        <v>2.516</v>
      </c>
      <c r="E4192">
        <v>805</v>
      </c>
      <c r="F4192" t="str">
        <f>HYPERLINK("https://www.google.com/maps/search/?api=1&amp;query=23.90203359,42.90467772", "View Map")</f>
        <v>View Map</v>
      </c>
      <c r="G4192" s="2">
        <v>0.92080886214261648</v>
      </c>
    </row>
    <row r="4193" spans="1:7" x14ac:dyDescent="0.3">
      <c r="A4193" t="s">
        <v>2584</v>
      </c>
      <c r="B4193" t="s">
        <v>2585</v>
      </c>
      <c r="C4193" t="s">
        <v>16</v>
      </c>
      <c r="D4193">
        <v>2.516</v>
      </c>
      <c r="E4193">
        <v>805</v>
      </c>
      <c r="F4193" t="str">
        <f>HYPERLINK("https://www.google.com/maps/search/?api=1&amp;query=23.74346865,43.10195353", "View Map")</f>
        <v>View Map</v>
      </c>
      <c r="G4193" s="2">
        <v>0.27604950127263789</v>
      </c>
    </row>
    <row r="4194" spans="1:7" x14ac:dyDescent="0.3">
      <c r="A4194" t="s">
        <v>4014</v>
      </c>
      <c r="B4194" t="s">
        <v>11573</v>
      </c>
      <c r="C4194" t="s">
        <v>8</v>
      </c>
      <c r="D4194">
        <v>2.516</v>
      </c>
      <c r="E4194">
        <v>805</v>
      </c>
      <c r="F4194" t="str">
        <f>HYPERLINK("https://www.google.com/maps/search/?api=1&amp;query=24.57459988,46.58496426", "View Map")</f>
        <v>View Map</v>
      </c>
    </row>
    <row r="4195" spans="1:7" x14ac:dyDescent="0.3">
      <c r="A4195" t="s">
        <v>7913</v>
      </c>
      <c r="B4195" t="s">
        <v>7914</v>
      </c>
      <c r="C4195" t="s">
        <v>8</v>
      </c>
      <c r="D4195">
        <v>2.516</v>
      </c>
      <c r="E4195">
        <v>805</v>
      </c>
      <c r="F4195" t="str">
        <f>HYPERLINK("https://www.google.com/maps/search/?api=1&amp;query=24.5638059,46.6983198", "View Map")</f>
        <v>View Map</v>
      </c>
    </row>
    <row r="4196" spans="1:7" x14ac:dyDescent="0.3">
      <c r="A4196" t="s">
        <v>6573</v>
      </c>
      <c r="B4196" t="s">
        <v>6574</v>
      </c>
      <c r="C4196" t="s">
        <v>291</v>
      </c>
      <c r="D4196">
        <v>2.516</v>
      </c>
      <c r="E4196">
        <v>805</v>
      </c>
      <c r="F4196" t="str">
        <f>HYPERLINK("https://www.google.com/maps/search/?api=1&amp;query=24.37875255,45.32935555", "View Map")</f>
        <v>View Map</v>
      </c>
      <c r="G4196" s="2">
        <v>0.70096451128273085</v>
      </c>
    </row>
    <row r="4197" spans="1:7" x14ac:dyDescent="0.3">
      <c r="A4197" t="s">
        <v>3541</v>
      </c>
      <c r="B4197" t="s">
        <v>3542</v>
      </c>
      <c r="C4197" t="s">
        <v>30</v>
      </c>
      <c r="D4197">
        <v>2.516</v>
      </c>
      <c r="E4197">
        <v>805</v>
      </c>
      <c r="F4197" t="str">
        <f>HYPERLINK("https://www.google.com/maps/search/?api=1&amp;query=24.12779657,47.35800702", "View Map")</f>
        <v>View Map</v>
      </c>
      <c r="G4197" s="2">
        <v>0.35083186616149259</v>
      </c>
    </row>
    <row r="4198" spans="1:7" x14ac:dyDescent="0.3">
      <c r="A4198" t="s">
        <v>28</v>
      </c>
      <c r="B4198" t="s">
        <v>9471</v>
      </c>
      <c r="C4198" t="s">
        <v>30</v>
      </c>
      <c r="D4198">
        <v>2.5150000000000001</v>
      </c>
      <c r="E4198">
        <v>805</v>
      </c>
      <c r="F4198" t="str">
        <f>HYPERLINK("https://www.google.com/maps/search/?api=1&amp;query=24.16779894,47.37025955", "View Map")</f>
        <v>View Map</v>
      </c>
    </row>
    <row r="4199" spans="1:7" x14ac:dyDescent="0.3">
      <c r="A4199" t="s">
        <v>7117</v>
      </c>
      <c r="B4199" t="s">
        <v>7118</v>
      </c>
      <c r="C4199" t="s">
        <v>30</v>
      </c>
      <c r="D4199">
        <v>2.5139999999999998</v>
      </c>
      <c r="E4199">
        <v>805</v>
      </c>
      <c r="F4199" t="str">
        <f>HYPERLINK("https://www.google.com/maps/search/?api=1&amp;query=24.1371347,47.35865942", "View Map")</f>
        <v>View Map</v>
      </c>
    </row>
    <row r="4200" spans="1:7" x14ac:dyDescent="0.3">
      <c r="A4200" t="s">
        <v>6189</v>
      </c>
      <c r="B4200" t="s">
        <v>6190</v>
      </c>
      <c r="C4200" t="s">
        <v>291</v>
      </c>
      <c r="D4200">
        <v>2.5139999999999998</v>
      </c>
      <c r="E4200">
        <v>805</v>
      </c>
      <c r="F4200" t="str">
        <f>HYPERLINK("https://www.google.com/maps/search/?api=1&amp;query=24.31184379,45.8233528", "View Map")</f>
        <v>View Map</v>
      </c>
      <c r="G4200" s="2">
        <v>0.56188726272839762</v>
      </c>
    </row>
    <row r="4201" spans="1:7" x14ac:dyDescent="0.3">
      <c r="A4201" t="s">
        <v>11574</v>
      </c>
      <c r="B4201" t="s">
        <v>11575</v>
      </c>
      <c r="C4201" t="s">
        <v>21</v>
      </c>
      <c r="D4201">
        <v>2.5139999999999998</v>
      </c>
      <c r="E4201">
        <v>805</v>
      </c>
      <c r="F4201" t="str">
        <f>HYPERLINK("https://www.google.com/maps/search/?api=1&amp;query=26.28878892,44.80371881", "View Map")</f>
        <v>View Map</v>
      </c>
    </row>
    <row r="4202" spans="1:7" x14ac:dyDescent="0.3">
      <c r="A4202" t="s">
        <v>1594</v>
      </c>
      <c r="B4202" t="s">
        <v>8786</v>
      </c>
      <c r="C4202" t="s">
        <v>296</v>
      </c>
      <c r="D4202">
        <v>2.5139999999999998</v>
      </c>
      <c r="E4202">
        <v>804</v>
      </c>
      <c r="F4202" t="str">
        <f>HYPERLINK("https://www.google.com/maps/search/?api=1&amp;query=24.45845423,46.26727099", "View Map")</f>
        <v>View Map</v>
      </c>
      <c r="G4202" s="2">
        <v>0.82232208101995585</v>
      </c>
    </row>
    <row r="4203" spans="1:7" x14ac:dyDescent="0.3">
      <c r="A4203" t="s">
        <v>146</v>
      </c>
      <c r="B4203" t="s">
        <v>8285</v>
      </c>
      <c r="C4203" t="s">
        <v>8</v>
      </c>
      <c r="D4203">
        <v>2.512</v>
      </c>
      <c r="E4203">
        <v>804</v>
      </c>
      <c r="F4203" t="str">
        <f>HYPERLINK("https://www.google.com/maps/search/?api=1&amp;query=24.63765118,46.7164898", "View Map")</f>
        <v>View Map</v>
      </c>
    </row>
    <row r="4204" spans="1:7" x14ac:dyDescent="0.3">
      <c r="A4204" t="s">
        <v>9942</v>
      </c>
      <c r="B4204" t="s">
        <v>9943</v>
      </c>
      <c r="C4204" t="s">
        <v>8</v>
      </c>
      <c r="D4204">
        <v>2.512</v>
      </c>
      <c r="E4204">
        <v>804</v>
      </c>
      <c r="F4204" t="str">
        <f>HYPERLINK("https://www.google.com/maps/search/?api=1&amp;query=24.701344,46.854539", "View Map")</f>
        <v>View Map</v>
      </c>
      <c r="G4204" s="2">
        <v>0.70307888370535143</v>
      </c>
    </row>
    <row r="4205" spans="1:7" x14ac:dyDescent="0.3">
      <c r="A4205" t="s">
        <v>7172</v>
      </c>
      <c r="B4205" t="s">
        <v>7173</v>
      </c>
      <c r="C4205" t="s">
        <v>8</v>
      </c>
      <c r="D4205">
        <v>2.512</v>
      </c>
      <c r="E4205">
        <v>804</v>
      </c>
      <c r="F4205" t="str">
        <f>HYPERLINK("https://www.google.com/maps/search/?api=1&amp;query=24.74386157,46.69515679", "View Map")</f>
        <v>View Map</v>
      </c>
    </row>
    <row r="4206" spans="1:7" x14ac:dyDescent="0.3">
      <c r="A4206" t="s">
        <v>678</v>
      </c>
      <c r="B4206" t="s">
        <v>8288</v>
      </c>
      <c r="C4206" t="s">
        <v>21</v>
      </c>
      <c r="D4206">
        <v>2.5110000000000001</v>
      </c>
      <c r="E4206">
        <v>804</v>
      </c>
      <c r="F4206" t="str">
        <f>HYPERLINK("https://www.google.com/maps/search/?api=1&amp;query=26.33839227,44.79702489", "View Map")</f>
        <v>View Map</v>
      </c>
      <c r="G4206" s="2">
        <v>0.56435286854580335</v>
      </c>
    </row>
    <row r="4207" spans="1:7" x14ac:dyDescent="0.3">
      <c r="A4207" t="s">
        <v>10600</v>
      </c>
      <c r="B4207" t="s">
        <v>10601</v>
      </c>
      <c r="C4207" t="s">
        <v>255</v>
      </c>
      <c r="D4207">
        <v>2.5110000000000001</v>
      </c>
      <c r="E4207">
        <v>803</v>
      </c>
      <c r="F4207" t="str">
        <f>HYPERLINK("https://www.google.com/maps/search/?api=1&amp;query=24.76705527,44.72902353", "View Map")</f>
        <v>View Map</v>
      </c>
      <c r="G4207" s="2">
        <v>0.60032101030484808</v>
      </c>
    </row>
    <row r="4208" spans="1:7" x14ac:dyDescent="0.3">
      <c r="A4208" t="s">
        <v>7058</v>
      </c>
      <c r="B4208" t="s">
        <v>11576</v>
      </c>
      <c r="C4208" t="s">
        <v>8</v>
      </c>
      <c r="D4208">
        <v>2.5099999999999998</v>
      </c>
      <c r="E4208">
        <v>803</v>
      </c>
      <c r="F4208" t="str">
        <f>HYPERLINK("https://www.google.com/maps/search/?api=1&amp;query=24.61390532,46.86947896", "View Map")</f>
        <v>View Map</v>
      </c>
    </row>
    <row r="4209" spans="1:7" x14ac:dyDescent="0.3">
      <c r="A4209" t="s">
        <v>10563</v>
      </c>
      <c r="B4209" t="s">
        <v>10564</v>
      </c>
      <c r="C4209" t="s">
        <v>241</v>
      </c>
      <c r="D4209">
        <v>2.5089999999999999</v>
      </c>
      <c r="E4209">
        <v>803</v>
      </c>
      <c r="F4209" t="str">
        <f>HYPERLINK("https://www.google.com/maps/search/?api=1&amp;query=20.44153651,44.84647715", "View Map")</f>
        <v>View Map</v>
      </c>
    </row>
    <row r="4210" spans="1:7" x14ac:dyDescent="0.3">
      <c r="A4210" t="s">
        <v>6897</v>
      </c>
      <c r="B4210" t="s">
        <v>6898</v>
      </c>
      <c r="C4210" t="s">
        <v>8</v>
      </c>
      <c r="D4210">
        <v>2.508</v>
      </c>
      <c r="E4210">
        <v>803</v>
      </c>
      <c r="F4210" t="str">
        <f>HYPERLINK("https://www.google.com/maps/search/?api=1&amp;query=24.65488059,46.75307789", "View Map")</f>
        <v>View Map</v>
      </c>
    </row>
    <row r="4211" spans="1:7" x14ac:dyDescent="0.3">
      <c r="A4211" t="s">
        <v>150</v>
      </c>
      <c r="B4211" t="s">
        <v>8776</v>
      </c>
      <c r="C4211" t="s">
        <v>8</v>
      </c>
      <c r="D4211">
        <v>2.508</v>
      </c>
      <c r="E4211">
        <v>803</v>
      </c>
      <c r="F4211" t="str">
        <f>HYPERLINK("https://www.google.com/maps/search/?api=1&amp;query=24.61707847,46.53316512", "View Map")</f>
        <v>View Map</v>
      </c>
    </row>
    <row r="4212" spans="1:7" x14ac:dyDescent="0.3">
      <c r="A4212" t="s">
        <v>11577</v>
      </c>
      <c r="B4212" t="s">
        <v>11578</v>
      </c>
      <c r="C4212" t="s">
        <v>291</v>
      </c>
      <c r="D4212">
        <v>2.5070000000000001</v>
      </c>
      <c r="E4212">
        <v>802</v>
      </c>
      <c r="F4212" t="str">
        <f>HYPERLINK("https://www.google.com/maps/search/?api=1&amp;query=24.077962,45.27994122", "View Map")</f>
        <v>View Map</v>
      </c>
    </row>
    <row r="4213" spans="1:7" x14ac:dyDescent="0.3">
      <c r="A4213" t="s">
        <v>632</v>
      </c>
      <c r="B4213" t="s">
        <v>9493</v>
      </c>
      <c r="C4213" t="s">
        <v>8</v>
      </c>
      <c r="D4213">
        <v>2.5059999999999998</v>
      </c>
      <c r="E4213">
        <v>802</v>
      </c>
      <c r="F4213" t="str">
        <f>HYPERLINK("https://www.google.com/maps/search/?api=1&amp;query=24.60037473,46.57583863", "View Map")</f>
        <v>View Map</v>
      </c>
    </row>
    <row r="4214" spans="1:7" x14ac:dyDescent="0.3">
      <c r="A4214" t="s">
        <v>122</v>
      </c>
      <c r="B4214" t="s">
        <v>5417</v>
      </c>
      <c r="C4214" t="s">
        <v>442</v>
      </c>
      <c r="D4214">
        <v>2.5059999999999998</v>
      </c>
      <c r="E4214">
        <v>802</v>
      </c>
      <c r="F4214" t="str">
        <f>HYPERLINK("https://www.google.com/maps/search/?api=1&amp;query=23.60732967,46.51164826", "View Map")</f>
        <v>View Map</v>
      </c>
      <c r="G4214" s="2">
        <v>0.30761111286694998</v>
      </c>
    </row>
    <row r="4215" spans="1:7" x14ac:dyDescent="0.3">
      <c r="A4215" t="s">
        <v>479</v>
      </c>
      <c r="B4215" t="s">
        <v>5006</v>
      </c>
      <c r="C4215" t="s">
        <v>738</v>
      </c>
      <c r="D4215">
        <v>2.5059999999999998</v>
      </c>
      <c r="E4215">
        <v>802</v>
      </c>
      <c r="F4215" t="str">
        <f>HYPERLINK("https://www.google.com/maps/search/?api=1&amp;query=25.1146144,46.09004195", "View Map")</f>
        <v>View Map</v>
      </c>
      <c r="G4215" s="2">
        <v>0.41342694305903271</v>
      </c>
    </row>
    <row r="4216" spans="1:7" x14ac:dyDescent="0.3">
      <c r="A4216" t="s">
        <v>6449</v>
      </c>
      <c r="B4216" t="s">
        <v>6450</v>
      </c>
      <c r="C4216" t="s">
        <v>8</v>
      </c>
      <c r="D4216">
        <v>2.5049999999999999</v>
      </c>
      <c r="E4216">
        <v>802</v>
      </c>
      <c r="F4216" t="str">
        <f>HYPERLINK("https://www.google.com/maps/search/?api=1&amp;query=24.57351962,46.76343489", "View Map")</f>
        <v>View Map</v>
      </c>
    </row>
    <row r="4217" spans="1:7" x14ac:dyDescent="0.3">
      <c r="A4217" t="s">
        <v>146</v>
      </c>
      <c r="B4217" t="s">
        <v>11579</v>
      </c>
      <c r="C4217" t="s">
        <v>8</v>
      </c>
      <c r="D4217">
        <v>2.5049999999999999</v>
      </c>
      <c r="E4217">
        <v>802</v>
      </c>
      <c r="F4217" t="str">
        <f>HYPERLINK("https://www.google.com/maps/search/?api=1&amp;query=24.55286778,46.53859732", "View Map")</f>
        <v>View Map</v>
      </c>
    </row>
    <row r="4218" spans="1:7" x14ac:dyDescent="0.3">
      <c r="A4218" t="s">
        <v>7868</v>
      </c>
      <c r="B4218" t="s">
        <v>7869</v>
      </c>
      <c r="C4218" t="s">
        <v>296</v>
      </c>
      <c r="D4218">
        <v>2.5049999999999999</v>
      </c>
      <c r="E4218">
        <v>802</v>
      </c>
      <c r="F4218" t="str">
        <f>HYPERLINK("https://www.google.com/maps/search/?api=1&amp;query=24.49231809,46.26368629", "View Map")</f>
        <v>View Map</v>
      </c>
    </row>
    <row r="4219" spans="1:7" x14ac:dyDescent="0.3">
      <c r="A4219" t="s">
        <v>6179</v>
      </c>
      <c r="B4219" t="s">
        <v>6180</v>
      </c>
      <c r="C4219" t="s">
        <v>8</v>
      </c>
      <c r="D4219">
        <v>2.5030000000000001</v>
      </c>
      <c r="E4219">
        <v>801</v>
      </c>
      <c r="F4219" t="str">
        <f>HYPERLINK("https://www.google.com/maps/search/?api=1&amp;query=24.66121066,46.74543344", "View Map")</f>
        <v>View Map</v>
      </c>
    </row>
    <row r="4220" spans="1:7" x14ac:dyDescent="0.3">
      <c r="A4220" t="s">
        <v>6895</v>
      </c>
      <c r="B4220" t="s">
        <v>6896</v>
      </c>
      <c r="C4220" t="s">
        <v>21</v>
      </c>
      <c r="D4220">
        <v>2.5019999999999998</v>
      </c>
      <c r="E4220">
        <v>801</v>
      </c>
      <c r="F4220" t="str">
        <f>HYPERLINK("https://www.google.com/maps/search/?api=1&amp;query=26.31757153,44.87334576", "View Map")</f>
        <v>View Map</v>
      </c>
      <c r="G4220" s="2">
        <v>0.63630112872471822</v>
      </c>
    </row>
    <row r="4221" spans="1:7" x14ac:dyDescent="0.3">
      <c r="A4221" t="s">
        <v>8919</v>
      </c>
      <c r="B4221" t="s">
        <v>8920</v>
      </c>
      <c r="C4221" t="s">
        <v>8</v>
      </c>
      <c r="D4221">
        <v>2.5019999999999998</v>
      </c>
      <c r="E4221">
        <v>801</v>
      </c>
      <c r="F4221" t="str">
        <f>HYPERLINK("https://www.google.com/maps/search/?api=1&amp;query=24.56217063,46.63502891", "View Map")</f>
        <v>View Map</v>
      </c>
    </row>
    <row r="4222" spans="1:7" x14ac:dyDescent="0.3">
      <c r="A4222" t="s">
        <v>2076</v>
      </c>
      <c r="B4222" t="s">
        <v>6041</v>
      </c>
      <c r="C4222" t="s">
        <v>8</v>
      </c>
      <c r="D4222">
        <v>2.5019999999999998</v>
      </c>
      <c r="E4222">
        <v>801</v>
      </c>
      <c r="F4222" t="str">
        <f>HYPERLINK("https://www.google.com/maps/search/?api=1&amp;query=24.56718292,46.69915196", "View Map")</f>
        <v>View Map</v>
      </c>
      <c r="G4222" s="2">
        <v>0.56152600146513032</v>
      </c>
    </row>
    <row r="4223" spans="1:7" x14ac:dyDescent="0.3">
      <c r="A4223" t="s">
        <v>7836</v>
      </c>
      <c r="B4223" t="s">
        <v>7837</v>
      </c>
      <c r="C4223" t="s">
        <v>296</v>
      </c>
      <c r="D4223">
        <v>2.5019999999999998</v>
      </c>
      <c r="E4223">
        <v>801</v>
      </c>
      <c r="F4223" t="str">
        <f>HYPERLINK("https://www.google.com/maps/search/?api=1&amp;query=24.51657862,46.27337911", "View Map")</f>
        <v>View Map</v>
      </c>
      <c r="G4223" s="2">
        <v>0.89880462755383594</v>
      </c>
    </row>
    <row r="4224" spans="1:7" x14ac:dyDescent="0.3">
      <c r="A4224" t="s">
        <v>8658</v>
      </c>
      <c r="B4224" t="s">
        <v>8659</v>
      </c>
      <c r="C4224" t="s">
        <v>21</v>
      </c>
      <c r="D4224">
        <v>2.5019999999999998</v>
      </c>
      <c r="E4224">
        <v>801</v>
      </c>
      <c r="F4224" t="str">
        <f>HYPERLINK("https://www.google.com/maps/search/?api=1&amp;query=26.23666849,44.67030854", "View Map")</f>
        <v>View Map</v>
      </c>
      <c r="G4224" s="2">
        <v>0.75557160222701303</v>
      </c>
    </row>
    <row r="4225" spans="1:7" x14ac:dyDescent="0.3">
      <c r="A4225" t="s">
        <v>4014</v>
      </c>
      <c r="B4225" t="s">
        <v>11580</v>
      </c>
      <c r="C4225" t="s">
        <v>8</v>
      </c>
      <c r="D4225">
        <v>2.5009999999999999</v>
      </c>
      <c r="E4225">
        <v>800</v>
      </c>
      <c r="F4225" t="str">
        <f>HYPERLINK("https://www.google.com/maps/search/?api=1&amp;query=24.58461882,46.57937659", "View Map")</f>
        <v>View Map</v>
      </c>
    </row>
    <row r="4226" spans="1:7" x14ac:dyDescent="0.3">
      <c r="A4226" t="s">
        <v>11070</v>
      </c>
      <c r="B4226" t="s">
        <v>11071</v>
      </c>
      <c r="C4226" t="s">
        <v>8</v>
      </c>
      <c r="D4226">
        <v>2.5009999999999999</v>
      </c>
      <c r="E4226">
        <v>800</v>
      </c>
      <c r="F4226" t="str">
        <f>HYPERLINK("https://www.google.com/maps/search/?api=1&amp;query=24.7322082,46.71941962", "View Map")</f>
        <v>View Map</v>
      </c>
      <c r="G4226" s="2">
        <v>0.75102222114589767</v>
      </c>
    </row>
    <row r="4227" spans="1:7" x14ac:dyDescent="0.3">
      <c r="A4227" t="s">
        <v>5066</v>
      </c>
      <c r="B4227" t="s">
        <v>5067</v>
      </c>
      <c r="C4227" t="s">
        <v>8</v>
      </c>
      <c r="D4227">
        <v>2.5</v>
      </c>
      <c r="E4227">
        <v>800</v>
      </c>
      <c r="F4227" t="str">
        <f>HYPERLINK("https://www.google.com/maps/search/?api=1&amp;query=24.67883732,46.69634316", "View Map")</f>
        <v>View Map</v>
      </c>
    </row>
    <row r="4228" spans="1:7" x14ac:dyDescent="0.3">
      <c r="A4228" t="s">
        <v>10083</v>
      </c>
      <c r="B4228" t="s">
        <v>10084</v>
      </c>
      <c r="C4228" t="s">
        <v>255</v>
      </c>
      <c r="D4228">
        <v>2.4990000000000001</v>
      </c>
      <c r="E4228">
        <v>800</v>
      </c>
      <c r="F4228" t="str">
        <f>HYPERLINK("https://www.google.com/maps/search/?api=1&amp;query=24.5338014,44.26879178", "View Map")</f>
        <v>View Map</v>
      </c>
    </row>
    <row r="4229" spans="1:7" x14ac:dyDescent="0.3">
      <c r="A4229" t="s">
        <v>10626</v>
      </c>
      <c r="B4229" t="s">
        <v>10627</v>
      </c>
      <c r="C4229" t="s">
        <v>8</v>
      </c>
      <c r="D4229">
        <v>2.4990000000000001</v>
      </c>
      <c r="E4229">
        <v>800</v>
      </c>
      <c r="F4229" t="str">
        <f>HYPERLINK("https://www.google.com/maps/search/?api=1&amp;query=24.55712394,46.77317016", "View Map")</f>
        <v>View Map</v>
      </c>
    </row>
    <row r="4230" spans="1:7" x14ac:dyDescent="0.3">
      <c r="A4230" t="s">
        <v>10050</v>
      </c>
      <c r="B4230" t="s">
        <v>10051</v>
      </c>
      <c r="C4230" t="s">
        <v>738</v>
      </c>
      <c r="D4230">
        <v>2.4980000000000002</v>
      </c>
      <c r="E4230">
        <v>799</v>
      </c>
      <c r="F4230" t="str">
        <f>HYPERLINK("https://www.google.com/maps/search/?api=1&amp;query=25.10892054,46.11415273", "View Map")</f>
        <v>View Map</v>
      </c>
      <c r="G4230" s="2">
        <v>0.61252755906841383</v>
      </c>
    </row>
    <row r="4231" spans="1:7" x14ac:dyDescent="0.3">
      <c r="A4231" t="s">
        <v>479</v>
      </c>
      <c r="B4231" t="s">
        <v>4459</v>
      </c>
      <c r="C4231" t="s">
        <v>738</v>
      </c>
      <c r="D4231">
        <v>2.4980000000000002</v>
      </c>
      <c r="E4231">
        <v>799</v>
      </c>
      <c r="F4231" t="str">
        <f>HYPERLINK("https://www.google.com/maps/search/?api=1&amp;query=25.16919687,46.33634203", "View Map")</f>
        <v>View Map</v>
      </c>
      <c r="G4231" s="2">
        <v>0.49552848301676861</v>
      </c>
    </row>
    <row r="4232" spans="1:7" x14ac:dyDescent="0.3">
      <c r="A4232" t="s">
        <v>464</v>
      </c>
      <c r="B4232" t="s">
        <v>8576</v>
      </c>
      <c r="C4232" t="s">
        <v>466</v>
      </c>
      <c r="D4232">
        <v>2.4969999999999999</v>
      </c>
      <c r="E4232">
        <v>799</v>
      </c>
      <c r="F4232" t="str">
        <f>HYPERLINK("https://www.google.com/maps/search/?api=1&amp;query=24.5908024,46.13035834", "View Map")</f>
        <v>View Map</v>
      </c>
    </row>
    <row r="4233" spans="1:7" x14ac:dyDescent="0.3">
      <c r="A4233" t="s">
        <v>5476</v>
      </c>
      <c r="B4233" t="s">
        <v>5477</v>
      </c>
      <c r="C4233" t="s">
        <v>214</v>
      </c>
      <c r="D4233">
        <v>2.4969999999999999</v>
      </c>
      <c r="E4233">
        <v>799</v>
      </c>
      <c r="F4233" t="str">
        <f>HYPERLINK("https://www.google.com/maps/search/?api=1&amp;query=26.88146375,45.31585587", "View Map")</f>
        <v>View Map</v>
      </c>
      <c r="G4233" s="2">
        <v>0.29541961818128698</v>
      </c>
    </row>
    <row r="4234" spans="1:7" x14ac:dyDescent="0.3">
      <c r="A4234" t="s">
        <v>6905</v>
      </c>
      <c r="B4234" t="s">
        <v>6906</v>
      </c>
      <c r="C4234" t="s">
        <v>8</v>
      </c>
      <c r="D4234">
        <v>2.4969999999999999</v>
      </c>
      <c r="E4234">
        <v>799</v>
      </c>
      <c r="F4234" t="str">
        <f>HYPERLINK("https://www.google.com/maps/search/?api=1&amp;query=24.57971703,46.53004934", "View Map")</f>
        <v>View Map</v>
      </c>
    </row>
    <row r="4235" spans="1:7" x14ac:dyDescent="0.3">
      <c r="A4235" t="s">
        <v>6651</v>
      </c>
      <c r="B4235" t="s">
        <v>6652</v>
      </c>
      <c r="C4235" t="s">
        <v>286</v>
      </c>
      <c r="D4235">
        <v>2.4969999999999999</v>
      </c>
      <c r="E4235">
        <v>799</v>
      </c>
      <c r="F4235" t="str">
        <f>HYPERLINK("https://www.google.com/maps/search/?api=1&amp;query=25.24692982,45.25864217", "View Map")</f>
        <v>View Map</v>
      </c>
    </row>
    <row r="4236" spans="1:7" x14ac:dyDescent="0.3">
      <c r="A4236" t="s">
        <v>4417</v>
      </c>
      <c r="B4236" t="s">
        <v>4418</v>
      </c>
      <c r="C4236" t="s">
        <v>21</v>
      </c>
      <c r="D4236">
        <v>2.496</v>
      </c>
      <c r="E4236">
        <v>799</v>
      </c>
      <c r="F4236" t="str">
        <f>HYPERLINK("https://www.google.com/maps/search/?api=1&amp;query=26.28126719,44.83399955", "View Map")</f>
        <v>View Map</v>
      </c>
      <c r="G4236" s="2">
        <v>0.31960096483089229</v>
      </c>
    </row>
    <row r="4237" spans="1:7" x14ac:dyDescent="0.3">
      <c r="A4237" t="s">
        <v>1391</v>
      </c>
      <c r="B4237" t="s">
        <v>7363</v>
      </c>
      <c r="C4237" t="s">
        <v>8</v>
      </c>
      <c r="D4237">
        <v>2.4950000000000001</v>
      </c>
      <c r="E4237">
        <v>798</v>
      </c>
      <c r="F4237" t="str">
        <f>HYPERLINK("https://www.google.com/maps/search/?api=1&amp;query=24.73878948,46.84631879", "View Map")</f>
        <v>View Map</v>
      </c>
    </row>
    <row r="4238" spans="1:7" x14ac:dyDescent="0.3">
      <c r="A4238" t="s">
        <v>4901</v>
      </c>
      <c r="B4238" t="s">
        <v>4902</v>
      </c>
      <c r="C4238" t="s">
        <v>8</v>
      </c>
      <c r="D4238">
        <v>2.4950000000000001</v>
      </c>
      <c r="E4238">
        <v>798</v>
      </c>
      <c r="F4238" t="str">
        <f>HYPERLINK("https://www.google.com/maps/search/?api=1&amp;query=24.55594874,46.68403626", "View Map")</f>
        <v>View Map</v>
      </c>
    </row>
    <row r="4239" spans="1:7" x14ac:dyDescent="0.3">
      <c r="A4239" t="s">
        <v>7589</v>
      </c>
      <c r="B4239" t="s">
        <v>7590</v>
      </c>
      <c r="C4239" t="s">
        <v>8</v>
      </c>
      <c r="D4239">
        <v>2.4950000000000001</v>
      </c>
      <c r="E4239">
        <v>798</v>
      </c>
      <c r="F4239" t="str">
        <f>HYPERLINK("https://www.google.com/maps/search/?api=1&amp;query=24.58400131,46.57588952", "View Map")</f>
        <v>View Map</v>
      </c>
    </row>
    <row r="4240" spans="1:7" x14ac:dyDescent="0.3">
      <c r="A4240" t="s">
        <v>6425</v>
      </c>
      <c r="B4240" t="s">
        <v>6426</v>
      </c>
      <c r="C4240" t="s">
        <v>241</v>
      </c>
      <c r="D4240">
        <v>2.4940000000000002</v>
      </c>
      <c r="E4240">
        <v>798</v>
      </c>
      <c r="F4240" t="str">
        <f>HYPERLINK("https://www.google.com/maps/search/?api=1&amp;query=20.39730908,44.81552465", "View Map")</f>
        <v>View Map</v>
      </c>
      <c r="G4240" s="2">
        <v>0.56684321587920072</v>
      </c>
    </row>
    <row r="4241" spans="1:7" x14ac:dyDescent="0.3">
      <c r="A4241" t="s">
        <v>146</v>
      </c>
      <c r="B4241" t="s">
        <v>9472</v>
      </c>
      <c r="C4241" t="s">
        <v>8</v>
      </c>
      <c r="D4241">
        <v>2.4929999999999999</v>
      </c>
      <c r="E4241">
        <v>798</v>
      </c>
      <c r="F4241" t="str">
        <f>HYPERLINK("https://www.google.com/maps/search/?api=1&amp;query=24.56347807,46.5287017", "View Map")</f>
        <v>View Map</v>
      </c>
    </row>
    <row r="4242" spans="1:7" x14ac:dyDescent="0.3">
      <c r="A4242" t="s">
        <v>9465</v>
      </c>
      <c r="B4242" t="s">
        <v>9466</v>
      </c>
      <c r="C4242" t="s">
        <v>8</v>
      </c>
      <c r="D4242">
        <v>2.492</v>
      </c>
      <c r="E4242">
        <v>798</v>
      </c>
      <c r="F4242" t="str">
        <f>HYPERLINK("https://www.google.com/maps/search/?api=1&amp;query=24.78454585,46.77305851", "View Map")</f>
        <v>View Map</v>
      </c>
    </row>
    <row r="4243" spans="1:7" x14ac:dyDescent="0.3">
      <c r="A4243" t="s">
        <v>7289</v>
      </c>
      <c r="B4243" t="s">
        <v>7290</v>
      </c>
      <c r="C4243" t="s">
        <v>8</v>
      </c>
      <c r="D4243">
        <v>2.492</v>
      </c>
      <c r="E4243">
        <v>797</v>
      </c>
      <c r="F4243" t="str">
        <f>HYPERLINK("https://www.google.com/maps/search/?api=1&amp;query=24.68792032,46.63903792", "View Map")</f>
        <v>View Map</v>
      </c>
    </row>
    <row r="4244" spans="1:7" x14ac:dyDescent="0.3">
      <c r="A4244" t="s">
        <v>4564</v>
      </c>
      <c r="B4244" t="s">
        <v>6862</v>
      </c>
      <c r="C4244" t="s">
        <v>8</v>
      </c>
      <c r="D4244">
        <v>2.4910000000000001</v>
      </c>
      <c r="E4244">
        <v>797</v>
      </c>
      <c r="F4244" t="str">
        <f>HYPERLINK("https://www.google.com/maps/search/?api=1&amp;query=24.54393524,46.70151236", "View Map")</f>
        <v>View Map</v>
      </c>
    </row>
    <row r="4245" spans="1:7" x14ac:dyDescent="0.3">
      <c r="A4245" t="s">
        <v>7089</v>
      </c>
      <c r="B4245" t="s">
        <v>7090</v>
      </c>
      <c r="C4245" t="s">
        <v>296</v>
      </c>
      <c r="D4245">
        <v>2.4900000000000002</v>
      </c>
      <c r="E4245">
        <v>797</v>
      </c>
      <c r="F4245" t="str">
        <f>HYPERLINK("https://www.google.com/maps/search/?api=1&amp;query=24.47706295,46.27303775", "View Map")</f>
        <v>View Map</v>
      </c>
      <c r="G4245" s="2">
        <v>0.4281579131702033</v>
      </c>
    </row>
    <row r="4246" spans="1:7" x14ac:dyDescent="0.3">
      <c r="A4246" t="s">
        <v>7792</v>
      </c>
      <c r="B4246" t="s">
        <v>7793</v>
      </c>
      <c r="C4246" t="s">
        <v>8</v>
      </c>
      <c r="D4246">
        <v>2.4900000000000002</v>
      </c>
      <c r="E4246">
        <v>797</v>
      </c>
      <c r="F4246" t="str">
        <f>HYPERLINK("https://www.google.com/maps/search/?api=1&amp;query=24.71532518,46.83074209", "View Map")</f>
        <v>View Map</v>
      </c>
    </row>
    <row r="4247" spans="1:7" x14ac:dyDescent="0.3">
      <c r="A4247" t="s">
        <v>11116</v>
      </c>
      <c r="B4247" t="s">
        <v>11117</v>
      </c>
      <c r="C4247" t="s">
        <v>8</v>
      </c>
      <c r="D4247">
        <v>2.4889999999999999</v>
      </c>
      <c r="E4247">
        <v>796</v>
      </c>
      <c r="F4247" t="str">
        <f>HYPERLINK("https://www.google.com/maps/search/?api=1&amp;query=24.73977422,46.68617058", "View Map")</f>
        <v>View Map</v>
      </c>
    </row>
    <row r="4248" spans="1:7" x14ac:dyDescent="0.3">
      <c r="A4248" t="s">
        <v>6961</v>
      </c>
      <c r="B4248" t="s">
        <v>6962</v>
      </c>
      <c r="C4248" t="s">
        <v>21</v>
      </c>
      <c r="D4248">
        <v>2.4889999999999999</v>
      </c>
      <c r="E4248">
        <v>797</v>
      </c>
      <c r="F4248" t="str">
        <f>HYPERLINK("https://www.google.com/maps/search/?api=1&amp;query=26.30219914,44.82615726", "View Map")</f>
        <v>View Map</v>
      </c>
      <c r="G4248" s="2">
        <v>0.39640783883243108</v>
      </c>
    </row>
    <row r="4249" spans="1:7" x14ac:dyDescent="0.3">
      <c r="A4249" t="s">
        <v>8621</v>
      </c>
      <c r="B4249" t="s">
        <v>8622</v>
      </c>
      <c r="C4249" t="s">
        <v>30</v>
      </c>
      <c r="D4249">
        <v>2.4889999999999999</v>
      </c>
      <c r="E4249">
        <v>796</v>
      </c>
      <c r="F4249" t="str">
        <f>HYPERLINK("https://www.google.com/maps/search/?api=1&amp;query=24.19700207,47.29871877", "View Map")</f>
        <v>View Map</v>
      </c>
    </row>
    <row r="4250" spans="1:7" x14ac:dyDescent="0.3">
      <c r="A4250" t="s">
        <v>11581</v>
      </c>
      <c r="B4250" t="s">
        <v>11582</v>
      </c>
      <c r="C4250" t="s">
        <v>699</v>
      </c>
      <c r="D4250">
        <v>2.488</v>
      </c>
      <c r="E4250">
        <v>796</v>
      </c>
      <c r="F4250" t="str">
        <f>HYPERLINK("https://www.google.com/maps/search/?api=1&amp;query=25.1633023,45.39479981", "View Map")</f>
        <v>View Map</v>
      </c>
      <c r="G4250" s="2">
        <v>0.919842314898353</v>
      </c>
    </row>
    <row r="4251" spans="1:7" x14ac:dyDescent="0.3">
      <c r="A4251" t="s">
        <v>8971</v>
      </c>
      <c r="B4251" t="s">
        <v>8972</v>
      </c>
      <c r="C4251" t="s">
        <v>8</v>
      </c>
      <c r="D4251">
        <v>2.488</v>
      </c>
      <c r="E4251">
        <v>796</v>
      </c>
      <c r="F4251" t="str">
        <f>HYPERLINK("https://www.google.com/maps/search/?api=1&amp;query=24.68278566,46.81484869", "View Map")</f>
        <v>View Map</v>
      </c>
    </row>
    <row r="4252" spans="1:7" x14ac:dyDescent="0.3">
      <c r="A4252" t="s">
        <v>7786</v>
      </c>
      <c r="B4252" t="s">
        <v>7787</v>
      </c>
      <c r="C4252" t="s">
        <v>8</v>
      </c>
      <c r="D4252">
        <v>2.488</v>
      </c>
      <c r="E4252">
        <v>796</v>
      </c>
      <c r="F4252" t="str">
        <f>HYPERLINK("https://www.google.com/maps/search/?api=1&amp;query=24.55238324,46.51014576", "View Map")</f>
        <v>View Map</v>
      </c>
    </row>
    <row r="4253" spans="1:7" x14ac:dyDescent="0.3">
      <c r="A4253" t="s">
        <v>46</v>
      </c>
      <c r="B4253" t="s">
        <v>7245</v>
      </c>
      <c r="C4253" t="s">
        <v>8</v>
      </c>
      <c r="D4253">
        <v>2.488</v>
      </c>
      <c r="E4253">
        <v>796</v>
      </c>
      <c r="F4253" t="str">
        <f>HYPERLINK("https://www.google.com/maps/search/?api=1&amp;query=24.7822,46.5958", "View Map")</f>
        <v>View Map</v>
      </c>
    </row>
    <row r="4254" spans="1:7" x14ac:dyDescent="0.3">
      <c r="A4254" t="s">
        <v>6544</v>
      </c>
      <c r="B4254" t="s">
        <v>6545</v>
      </c>
      <c r="C4254" t="s">
        <v>8</v>
      </c>
      <c r="D4254">
        <v>2.488</v>
      </c>
      <c r="E4254">
        <v>796</v>
      </c>
      <c r="F4254" t="str">
        <f>HYPERLINK("https://www.google.com/maps/search/?api=1&amp;query=24.77078145,46.68597114", "View Map")</f>
        <v>View Map</v>
      </c>
    </row>
    <row r="4255" spans="1:7" x14ac:dyDescent="0.3">
      <c r="A4255" t="s">
        <v>11583</v>
      </c>
      <c r="B4255" t="s">
        <v>11584</v>
      </c>
      <c r="C4255" t="s">
        <v>8</v>
      </c>
      <c r="D4255">
        <v>2.4860000000000002</v>
      </c>
      <c r="E4255">
        <v>796</v>
      </c>
      <c r="F4255" t="str">
        <f>HYPERLINK("https://www.google.com/maps/search/?api=1&amp;query=24.4880591,46.625285", "View Map")</f>
        <v>View Map</v>
      </c>
    </row>
    <row r="4256" spans="1:7" x14ac:dyDescent="0.3">
      <c r="A4256" t="s">
        <v>576</v>
      </c>
      <c r="B4256" t="s">
        <v>6947</v>
      </c>
      <c r="C4256" t="s">
        <v>8</v>
      </c>
      <c r="D4256">
        <v>2.4860000000000002</v>
      </c>
      <c r="E4256">
        <v>796</v>
      </c>
      <c r="F4256" t="str">
        <f>HYPERLINK("https://www.google.com/maps/search/?api=1&amp;query=24.53458024,46.70329105", "View Map")</f>
        <v>View Map</v>
      </c>
    </row>
    <row r="4257" spans="1:7" x14ac:dyDescent="0.3">
      <c r="A4257" t="s">
        <v>6170</v>
      </c>
      <c r="B4257" t="s">
        <v>6171</v>
      </c>
      <c r="C4257" t="s">
        <v>8</v>
      </c>
      <c r="D4257">
        <v>2.4860000000000002</v>
      </c>
      <c r="E4257">
        <v>795</v>
      </c>
      <c r="F4257" t="str">
        <f>HYPERLINK("https://www.google.com/maps/search/?api=1&amp;query=24.79117748,46.73424738", "View Map")</f>
        <v>View Map</v>
      </c>
    </row>
    <row r="4258" spans="1:7" x14ac:dyDescent="0.3">
      <c r="A4258" t="s">
        <v>11585</v>
      </c>
      <c r="B4258" t="s">
        <v>11586</v>
      </c>
      <c r="C4258" t="s">
        <v>291</v>
      </c>
      <c r="D4258">
        <v>2.4860000000000002</v>
      </c>
      <c r="E4258">
        <v>796</v>
      </c>
      <c r="F4258" t="str">
        <f>HYPERLINK("https://www.google.com/maps/search/?api=1&amp;query=24.47032893,45.69454849", "View Map")</f>
        <v>View Map</v>
      </c>
      <c r="G4258" s="2">
        <v>1.0202521181946149</v>
      </c>
    </row>
    <row r="4259" spans="1:7" x14ac:dyDescent="0.3">
      <c r="A4259" t="s">
        <v>5595</v>
      </c>
      <c r="B4259" t="s">
        <v>5596</v>
      </c>
      <c r="C4259" t="s">
        <v>214</v>
      </c>
      <c r="D4259">
        <v>2.4860000000000002</v>
      </c>
      <c r="E4259">
        <v>796</v>
      </c>
      <c r="F4259" t="str">
        <f>HYPERLINK("https://www.google.com/maps/search/?api=1&amp;query=25.69664192,45.88027634", "View Map")</f>
        <v>View Map</v>
      </c>
      <c r="G4259" s="2">
        <v>0.57644092855685092</v>
      </c>
    </row>
    <row r="4260" spans="1:7" x14ac:dyDescent="0.3">
      <c r="A4260" t="s">
        <v>46</v>
      </c>
      <c r="B4260" t="s">
        <v>7518</v>
      </c>
      <c r="C4260" t="s">
        <v>8</v>
      </c>
      <c r="D4260">
        <v>2.484</v>
      </c>
      <c r="E4260">
        <v>795</v>
      </c>
      <c r="F4260" t="str">
        <f>HYPERLINK("https://www.google.com/maps/search/?api=1&amp;query=24.88801077,46.63703612", "View Map")</f>
        <v>View Map</v>
      </c>
    </row>
    <row r="4261" spans="1:7" x14ac:dyDescent="0.3">
      <c r="A4261" t="s">
        <v>11587</v>
      </c>
      <c r="B4261" t="s">
        <v>11588</v>
      </c>
      <c r="C4261" t="s">
        <v>8</v>
      </c>
      <c r="D4261">
        <v>2.484</v>
      </c>
      <c r="E4261">
        <v>795</v>
      </c>
      <c r="F4261" t="str">
        <f>HYPERLINK("https://www.google.com/maps/search/?api=1&amp;query=24.67260933,46.70782774", "View Map")</f>
        <v>View Map</v>
      </c>
    </row>
    <row r="4262" spans="1:7" x14ac:dyDescent="0.3">
      <c r="A4262" t="s">
        <v>8798</v>
      </c>
      <c r="B4262" t="s">
        <v>8799</v>
      </c>
      <c r="C4262" t="s">
        <v>255</v>
      </c>
      <c r="D4262">
        <v>2.484</v>
      </c>
      <c r="E4262">
        <v>795</v>
      </c>
      <c r="F4262" t="str">
        <f>HYPERLINK("https://www.google.com/maps/search/?api=1&amp;query=24.49734777,44.40767353", "View Map")</f>
        <v>View Map</v>
      </c>
    </row>
    <row r="4263" spans="1:7" x14ac:dyDescent="0.3">
      <c r="A4263" t="s">
        <v>1118</v>
      </c>
      <c r="B4263" t="s">
        <v>7362</v>
      </c>
      <c r="C4263" t="s">
        <v>8</v>
      </c>
      <c r="D4263">
        <v>2.4830000000000001</v>
      </c>
      <c r="E4263">
        <v>795</v>
      </c>
      <c r="F4263" t="str">
        <f>HYPERLINK("https://www.google.com/maps/search/?api=1&amp;query=24.73873252,46.82683067", "View Map")</f>
        <v>View Map</v>
      </c>
    </row>
    <row r="4264" spans="1:7" x14ac:dyDescent="0.3">
      <c r="A4264" t="s">
        <v>46</v>
      </c>
      <c r="B4264" t="s">
        <v>11589</v>
      </c>
      <c r="C4264" t="s">
        <v>8</v>
      </c>
      <c r="D4264">
        <v>2.4830000000000001</v>
      </c>
      <c r="E4264">
        <v>795</v>
      </c>
      <c r="F4264" t="str">
        <f>HYPERLINK("https://www.google.com/maps/search/?api=1&amp;query=24.61041436,46.51618071", "View Map")</f>
        <v>View Map</v>
      </c>
    </row>
    <row r="4265" spans="1:7" x14ac:dyDescent="0.3">
      <c r="A4265" t="s">
        <v>3735</v>
      </c>
      <c r="B4265" t="s">
        <v>7372</v>
      </c>
      <c r="C4265" t="s">
        <v>255</v>
      </c>
      <c r="D4265">
        <v>2.4830000000000001</v>
      </c>
      <c r="E4265">
        <v>795</v>
      </c>
      <c r="F4265" t="str">
        <f>HYPERLINK("https://www.google.com/maps/search/?api=1&amp;query=25.16683454,44.60725864", "View Map")</f>
        <v>View Map</v>
      </c>
    </row>
    <row r="4266" spans="1:7" x14ac:dyDescent="0.3">
      <c r="A4266" t="s">
        <v>6396</v>
      </c>
      <c r="B4266" t="s">
        <v>9728</v>
      </c>
      <c r="C4266" t="s">
        <v>8</v>
      </c>
      <c r="D4266">
        <v>2.4820000000000002</v>
      </c>
      <c r="E4266">
        <v>794</v>
      </c>
      <c r="F4266" t="str">
        <f>HYPERLINK("https://www.google.com/maps/search/?api=1&amp;query=24.76200531,46.73597415", "View Map")</f>
        <v>View Map</v>
      </c>
    </row>
    <row r="4267" spans="1:7" x14ac:dyDescent="0.3">
      <c r="A4267" t="s">
        <v>5141</v>
      </c>
      <c r="B4267" t="s">
        <v>5142</v>
      </c>
      <c r="C4267" t="s">
        <v>8</v>
      </c>
      <c r="D4267">
        <v>2.4820000000000002</v>
      </c>
      <c r="E4267">
        <v>794</v>
      </c>
      <c r="F4267" t="str">
        <f>HYPERLINK("https://www.google.com/maps/search/?api=1&amp;query=24.62381385,46.7214933", "View Map")</f>
        <v>View Map</v>
      </c>
    </row>
    <row r="4268" spans="1:7" x14ac:dyDescent="0.3">
      <c r="A4268" t="s">
        <v>11175</v>
      </c>
      <c r="B4268" t="s">
        <v>11176</v>
      </c>
      <c r="C4268" t="s">
        <v>255</v>
      </c>
      <c r="D4268">
        <v>2.4820000000000002</v>
      </c>
      <c r="E4268">
        <v>794</v>
      </c>
      <c r="F4268" t="str">
        <f>HYPERLINK("https://www.google.com/maps/search/?api=1&amp;query=24.29512638,43.73824623", "View Map")</f>
        <v>View Map</v>
      </c>
    </row>
    <row r="4269" spans="1:7" x14ac:dyDescent="0.3">
      <c r="A4269" t="s">
        <v>10076</v>
      </c>
      <c r="B4269" t="s">
        <v>10077</v>
      </c>
      <c r="C4269" t="s">
        <v>241</v>
      </c>
      <c r="D4269">
        <v>2.4809999999999999</v>
      </c>
      <c r="E4269">
        <v>794</v>
      </c>
      <c r="F4269" t="str">
        <f>HYPERLINK("https://www.google.com/maps/search/?api=1&amp;query=20.45466368,44.85435293", "View Map")</f>
        <v>View Map</v>
      </c>
    </row>
    <row r="4270" spans="1:7" x14ac:dyDescent="0.3">
      <c r="A4270" t="s">
        <v>464</v>
      </c>
      <c r="B4270" t="s">
        <v>7581</v>
      </c>
      <c r="C4270" t="s">
        <v>466</v>
      </c>
      <c r="D4270">
        <v>2.4809999999999999</v>
      </c>
      <c r="E4270">
        <v>794</v>
      </c>
      <c r="F4270" t="str">
        <f>HYPERLINK("https://www.google.com/maps/search/?api=1&amp;query=24.66996188,45.91387333", "View Map")</f>
        <v>View Map</v>
      </c>
    </row>
    <row r="4271" spans="1:7" x14ac:dyDescent="0.3">
      <c r="A4271" t="s">
        <v>7366</v>
      </c>
      <c r="B4271" t="s">
        <v>7367</v>
      </c>
      <c r="C4271" t="s">
        <v>255</v>
      </c>
      <c r="D4271">
        <v>2.48</v>
      </c>
      <c r="E4271">
        <v>794</v>
      </c>
      <c r="F4271" t="str">
        <f>HYPERLINK("https://www.google.com/maps/search/?api=1&amp;query=24.31017508,43.50979521", "View Map")</f>
        <v>View Map</v>
      </c>
      <c r="G4271" s="2">
        <v>0.83845406658248411</v>
      </c>
    </row>
    <row r="4272" spans="1:7" x14ac:dyDescent="0.3">
      <c r="A4272" t="s">
        <v>5249</v>
      </c>
      <c r="B4272" t="s">
        <v>5250</v>
      </c>
      <c r="C4272" t="s">
        <v>8</v>
      </c>
      <c r="D4272">
        <v>2.4780000000000002</v>
      </c>
      <c r="E4272">
        <v>793</v>
      </c>
      <c r="F4272" t="str">
        <f>HYPERLINK("https://www.google.com/maps/search/?api=1&amp;query=24.56298908,46.5635717", "View Map")</f>
        <v>View Map</v>
      </c>
    </row>
    <row r="4273" spans="1:7" x14ac:dyDescent="0.3">
      <c r="A4273" t="s">
        <v>3586</v>
      </c>
      <c r="B4273" t="s">
        <v>3587</v>
      </c>
      <c r="C4273" t="s">
        <v>8</v>
      </c>
      <c r="D4273">
        <v>2.4780000000000002</v>
      </c>
      <c r="E4273">
        <v>793</v>
      </c>
      <c r="F4273" t="str">
        <f>HYPERLINK("https://www.google.com/maps/search/?api=1&amp;query=24.7996065,46.63834561", "View Map")</f>
        <v>View Map</v>
      </c>
    </row>
    <row r="4274" spans="1:7" x14ac:dyDescent="0.3">
      <c r="A4274" t="s">
        <v>10189</v>
      </c>
      <c r="B4274" t="s">
        <v>10190</v>
      </c>
      <c r="C4274" t="s">
        <v>8</v>
      </c>
      <c r="D4274">
        <v>2.4769999999999999</v>
      </c>
      <c r="E4274">
        <v>793</v>
      </c>
      <c r="F4274" t="str">
        <f>HYPERLINK("https://www.google.com/maps/search/?api=1&amp;query=24.7006,46.6803", "View Map")</f>
        <v>View Map</v>
      </c>
    </row>
    <row r="4275" spans="1:7" x14ac:dyDescent="0.3">
      <c r="A4275" t="s">
        <v>1234</v>
      </c>
      <c r="B4275" t="s">
        <v>5748</v>
      </c>
      <c r="C4275" t="s">
        <v>8</v>
      </c>
      <c r="D4275">
        <v>2.4769999999999999</v>
      </c>
      <c r="E4275">
        <v>793</v>
      </c>
      <c r="F4275" t="str">
        <f>HYPERLINK("https://www.google.com/maps/search/?api=1&amp;query=24.81508246,46.88640375", "View Map")</f>
        <v>View Map</v>
      </c>
    </row>
    <row r="4276" spans="1:7" x14ac:dyDescent="0.3">
      <c r="A4276" t="s">
        <v>1788</v>
      </c>
      <c r="B4276" t="s">
        <v>8565</v>
      </c>
      <c r="C4276" t="s">
        <v>393</v>
      </c>
      <c r="D4276">
        <v>2.4769999999999999</v>
      </c>
      <c r="E4276">
        <v>793</v>
      </c>
      <c r="F4276" t="str">
        <f>HYPERLINK("https://www.google.com/maps/search/?api=1&amp;query=23.50897741,45.51404219", "View Map")</f>
        <v>View Map</v>
      </c>
      <c r="G4276" s="2">
        <v>0.93182237511929955</v>
      </c>
    </row>
    <row r="4277" spans="1:7" x14ac:dyDescent="0.3">
      <c r="A4277" t="s">
        <v>7293</v>
      </c>
      <c r="B4277" t="s">
        <v>7294</v>
      </c>
      <c r="C4277" t="s">
        <v>214</v>
      </c>
      <c r="D4277">
        <v>2.4769999999999999</v>
      </c>
      <c r="E4277">
        <v>793</v>
      </c>
      <c r="F4277" t="str">
        <f>HYPERLINK("https://www.google.com/maps/search/?api=1&amp;query=26.42771947,45.58176617", "View Map")</f>
        <v>View Map</v>
      </c>
    </row>
    <row r="4278" spans="1:7" x14ac:dyDescent="0.3">
      <c r="A4278" t="s">
        <v>5964</v>
      </c>
      <c r="B4278" t="s">
        <v>5965</v>
      </c>
      <c r="C4278" t="s">
        <v>8</v>
      </c>
      <c r="D4278">
        <v>2.4769999999999999</v>
      </c>
      <c r="E4278">
        <v>793</v>
      </c>
      <c r="F4278" t="str">
        <f>HYPERLINK("https://www.google.com/maps/search/?api=1&amp;query=24.62506497,46.71437349", "View Map")</f>
        <v>View Map</v>
      </c>
    </row>
    <row r="4279" spans="1:7" x14ac:dyDescent="0.3">
      <c r="A4279" t="s">
        <v>5585</v>
      </c>
      <c r="B4279" t="s">
        <v>5586</v>
      </c>
      <c r="C4279" t="s">
        <v>214</v>
      </c>
      <c r="D4279">
        <v>2.4750000000000001</v>
      </c>
      <c r="E4279">
        <v>792</v>
      </c>
      <c r="F4279" t="str">
        <f>HYPERLINK("https://www.google.com/maps/search/?api=1&amp;query=25.90401363,45.36998863", "View Map")</f>
        <v>View Map</v>
      </c>
    </row>
    <row r="4280" spans="1:7" x14ac:dyDescent="0.3">
      <c r="A4280" t="s">
        <v>7876</v>
      </c>
      <c r="B4280" t="s">
        <v>7877</v>
      </c>
      <c r="C4280" t="s">
        <v>214</v>
      </c>
      <c r="D4280">
        <v>2.4750000000000001</v>
      </c>
      <c r="E4280">
        <v>792</v>
      </c>
      <c r="F4280" t="str">
        <f>HYPERLINK("https://www.google.com/maps/search/?api=1&amp;query=25.95283359,45.34618831", "View Map")</f>
        <v>View Map</v>
      </c>
      <c r="G4280" s="2">
        <v>0.48719913151039479</v>
      </c>
    </row>
    <row r="4281" spans="1:7" x14ac:dyDescent="0.3">
      <c r="A4281" t="s">
        <v>150</v>
      </c>
      <c r="B4281" t="s">
        <v>7909</v>
      </c>
      <c r="C4281" t="s">
        <v>8</v>
      </c>
      <c r="D4281">
        <v>2.4740000000000002</v>
      </c>
      <c r="E4281">
        <v>792</v>
      </c>
      <c r="F4281" t="str">
        <f>HYPERLINK("https://www.google.com/maps/search/?api=1&amp;query=24.81483793,46.73893518", "View Map")</f>
        <v>View Map</v>
      </c>
    </row>
    <row r="4282" spans="1:7" x14ac:dyDescent="0.3">
      <c r="A4282" t="s">
        <v>8291</v>
      </c>
      <c r="B4282" t="s">
        <v>8292</v>
      </c>
      <c r="C4282" t="s">
        <v>8</v>
      </c>
      <c r="D4282">
        <v>2.4740000000000002</v>
      </c>
      <c r="E4282">
        <v>792</v>
      </c>
      <c r="F4282" t="str">
        <f>HYPERLINK("https://www.google.com/maps/search/?api=1&amp;query=24.58980718,46.62978375", "View Map")</f>
        <v>View Map</v>
      </c>
    </row>
    <row r="4283" spans="1:7" x14ac:dyDescent="0.3">
      <c r="A4283" t="s">
        <v>46</v>
      </c>
      <c r="B4283" t="s">
        <v>11107</v>
      </c>
      <c r="C4283" t="s">
        <v>8</v>
      </c>
      <c r="D4283">
        <v>2.4740000000000002</v>
      </c>
      <c r="E4283">
        <v>792</v>
      </c>
      <c r="F4283" t="str">
        <f>HYPERLINK("https://www.google.com/maps/search/?api=1&amp;query=24.7851743,46.90611436", "View Map")</f>
        <v>View Map</v>
      </c>
    </row>
    <row r="4284" spans="1:7" x14ac:dyDescent="0.3">
      <c r="A4284" t="s">
        <v>3556</v>
      </c>
      <c r="B4284" t="s">
        <v>3557</v>
      </c>
      <c r="C4284" t="s">
        <v>255</v>
      </c>
      <c r="D4284">
        <v>2.4740000000000002</v>
      </c>
      <c r="E4284">
        <v>792</v>
      </c>
      <c r="F4284" t="str">
        <f>HYPERLINK("https://www.google.com/maps/search/?api=1&amp;query=24.92728503,44.71200101", "View Map")</f>
        <v>View Map</v>
      </c>
      <c r="G4284" s="2">
        <v>0.41229305052507498</v>
      </c>
    </row>
    <row r="4285" spans="1:7" x14ac:dyDescent="0.3">
      <c r="A4285" t="s">
        <v>11590</v>
      </c>
      <c r="B4285" t="s">
        <v>11591</v>
      </c>
      <c r="C4285" t="s">
        <v>8</v>
      </c>
      <c r="D4285">
        <v>2.4740000000000002</v>
      </c>
      <c r="E4285">
        <v>792</v>
      </c>
      <c r="F4285" t="str">
        <f>HYPERLINK("https://www.google.com/maps/search/?api=1&amp;query=24.575306,46.582452", "View Map")</f>
        <v>View Map</v>
      </c>
    </row>
    <row r="4286" spans="1:7" x14ac:dyDescent="0.3">
      <c r="A4286" t="s">
        <v>7541</v>
      </c>
      <c r="B4286" t="s">
        <v>7542</v>
      </c>
      <c r="C4286" t="s">
        <v>214</v>
      </c>
      <c r="D4286">
        <v>2.4729999999999999</v>
      </c>
      <c r="E4286">
        <v>791</v>
      </c>
      <c r="F4286" t="str">
        <f>HYPERLINK("https://www.google.com/maps/search/?api=1&amp;query=25.67345744,45.45611219", "View Map")</f>
        <v>View Map</v>
      </c>
      <c r="G4286" s="2">
        <v>0.72682239366751789</v>
      </c>
    </row>
    <row r="4287" spans="1:7" x14ac:dyDescent="0.3">
      <c r="A4287" t="s">
        <v>5133</v>
      </c>
      <c r="B4287" t="s">
        <v>5134</v>
      </c>
      <c r="C4287" t="s">
        <v>8</v>
      </c>
      <c r="D4287">
        <v>2.472</v>
      </c>
      <c r="E4287">
        <v>791</v>
      </c>
      <c r="F4287" t="str">
        <f>HYPERLINK("https://www.google.com/maps/search/?api=1&amp;query=24.56710009,46.76306593", "View Map")</f>
        <v>View Map</v>
      </c>
    </row>
    <row r="4288" spans="1:7" x14ac:dyDescent="0.3">
      <c r="A4288" t="s">
        <v>7680</v>
      </c>
      <c r="B4288" t="s">
        <v>7681</v>
      </c>
      <c r="C4288" t="s">
        <v>296</v>
      </c>
      <c r="D4288">
        <v>2.472</v>
      </c>
      <c r="E4288">
        <v>791</v>
      </c>
      <c r="F4288" t="str">
        <f>HYPERLINK("https://www.google.com/maps/search/?api=1&amp;query=24.13628627,46.31287803", "View Map")</f>
        <v>View Map</v>
      </c>
      <c r="G4288" s="2">
        <v>0.75160716982829368</v>
      </c>
    </row>
    <row r="4289" spans="1:7" x14ac:dyDescent="0.3">
      <c r="A4289" t="s">
        <v>7676</v>
      </c>
      <c r="B4289" t="s">
        <v>7677</v>
      </c>
      <c r="C4289" t="s">
        <v>214</v>
      </c>
      <c r="D4289">
        <v>2.4700000000000002</v>
      </c>
      <c r="E4289">
        <v>791</v>
      </c>
      <c r="F4289" t="str">
        <f>HYPERLINK("https://www.google.com/maps/search/?api=1&amp;query=25.62308728,45.57784672", "View Map")</f>
        <v>View Map</v>
      </c>
      <c r="G4289" s="2">
        <v>0.49047070297230422</v>
      </c>
    </row>
    <row r="4290" spans="1:7" x14ac:dyDescent="0.3">
      <c r="A4290" t="s">
        <v>3391</v>
      </c>
      <c r="B4290" t="s">
        <v>3392</v>
      </c>
      <c r="C4290" t="s">
        <v>8</v>
      </c>
      <c r="D4290">
        <v>2.4689999999999999</v>
      </c>
      <c r="E4290">
        <v>790</v>
      </c>
      <c r="F4290" t="str">
        <f>HYPERLINK("https://www.google.com/maps/search/?api=1&amp;query=24.69418897,46.69232732", "View Map")</f>
        <v>View Map</v>
      </c>
    </row>
    <row r="4291" spans="1:7" x14ac:dyDescent="0.3">
      <c r="A4291" t="s">
        <v>11592</v>
      </c>
      <c r="B4291" t="s">
        <v>11593</v>
      </c>
      <c r="C4291" t="s">
        <v>21</v>
      </c>
      <c r="D4291">
        <v>2.4689999999999999</v>
      </c>
      <c r="E4291">
        <v>790</v>
      </c>
      <c r="F4291" t="str">
        <f>HYPERLINK("https://www.google.com/maps/search/?api=1&amp;query=26.30959972,44.81057149", "View Map")</f>
        <v>View Map</v>
      </c>
    </row>
    <row r="4292" spans="1:7" x14ac:dyDescent="0.3">
      <c r="A4292" t="s">
        <v>2825</v>
      </c>
      <c r="B4292" t="s">
        <v>2826</v>
      </c>
      <c r="C4292" t="s">
        <v>8</v>
      </c>
      <c r="D4292">
        <v>2.468</v>
      </c>
      <c r="E4292">
        <v>790</v>
      </c>
      <c r="F4292" t="str">
        <f>HYPERLINK("https://www.google.com/maps/search/?api=1&amp;query=24.8117612,46.68612283", "View Map")</f>
        <v>View Map</v>
      </c>
    </row>
    <row r="4293" spans="1:7" x14ac:dyDescent="0.3">
      <c r="A4293" t="s">
        <v>6878</v>
      </c>
      <c r="B4293" t="s">
        <v>6879</v>
      </c>
      <c r="C4293" t="s">
        <v>8</v>
      </c>
      <c r="D4293">
        <v>2.4670000000000001</v>
      </c>
      <c r="E4293">
        <v>789</v>
      </c>
      <c r="F4293" t="str">
        <f>HYPERLINK("https://www.google.com/maps/search/?api=1&amp;query=24.5861994,46.65743851", "View Map")</f>
        <v>View Map</v>
      </c>
    </row>
    <row r="4294" spans="1:7" x14ac:dyDescent="0.3">
      <c r="A4294" t="s">
        <v>289</v>
      </c>
      <c r="B4294" t="s">
        <v>6064</v>
      </c>
      <c r="C4294" t="s">
        <v>291</v>
      </c>
      <c r="D4294">
        <v>2.4670000000000001</v>
      </c>
      <c r="E4294">
        <v>790</v>
      </c>
      <c r="F4294" t="str">
        <f>HYPERLINK("https://www.google.com/maps/search/?api=1&amp;query=24.07626638,45.30074534", "View Map")</f>
        <v>View Map</v>
      </c>
      <c r="G4294" s="2">
        <v>0.78894042078925164</v>
      </c>
    </row>
    <row r="4295" spans="1:7" x14ac:dyDescent="0.3">
      <c r="A4295" t="s">
        <v>2713</v>
      </c>
      <c r="B4295" t="s">
        <v>6739</v>
      </c>
      <c r="C4295" t="s">
        <v>8</v>
      </c>
      <c r="D4295">
        <v>2.4660000000000002</v>
      </c>
      <c r="E4295">
        <v>789</v>
      </c>
      <c r="F4295" t="str">
        <f>HYPERLINK("https://www.google.com/maps/search/?api=1&amp;query=24.61201695,46.76081118", "View Map")</f>
        <v>View Map</v>
      </c>
    </row>
    <row r="4296" spans="1:7" x14ac:dyDescent="0.3">
      <c r="A4296" t="s">
        <v>7405</v>
      </c>
      <c r="B4296" t="s">
        <v>7406</v>
      </c>
      <c r="C4296" t="s">
        <v>8</v>
      </c>
      <c r="D4296">
        <v>2.4660000000000002</v>
      </c>
      <c r="E4296">
        <v>789</v>
      </c>
      <c r="F4296" t="str">
        <f>HYPERLINK("https://www.google.com/maps/search/?api=1&amp;query=24.57248513,46.59060284", "View Map")</f>
        <v>View Map</v>
      </c>
    </row>
    <row r="4297" spans="1:7" x14ac:dyDescent="0.3">
      <c r="A4297" t="s">
        <v>5533</v>
      </c>
      <c r="B4297" t="s">
        <v>5534</v>
      </c>
      <c r="C4297" t="s">
        <v>8</v>
      </c>
      <c r="D4297">
        <v>2.4660000000000002</v>
      </c>
      <c r="E4297">
        <v>789</v>
      </c>
      <c r="F4297" t="str">
        <f>HYPERLINK("https://www.google.com/maps/search/?api=1&amp;query=24.70761085,46.81183148", "View Map")</f>
        <v>View Map</v>
      </c>
    </row>
    <row r="4298" spans="1:7" x14ac:dyDescent="0.3">
      <c r="A4298" t="s">
        <v>11594</v>
      </c>
      <c r="B4298" t="s">
        <v>11595</v>
      </c>
      <c r="C4298" t="s">
        <v>30</v>
      </c>
      <c r="D4298">
        <v>2.4660000000000002</v>
      </c>
      <c r="E4298">
        <v>789</v>
      </c>
      <c r="F4298" t="str">
        <f>HYPERLINK("https://www.google.com/maps/search/?api=1&amp;query=24.16282973,47.33829746", "View Map")</f>
        <v>View Map</v>
      </c>
    </row>
    <row r="4299" spans="1:7" x14ac:dyDescent="0.3">
      <c r="A4299" t="s">
        <v>11596</v>
      </c>
      <c r="B4299" t="s">
        <v>11597</v>
      </c>
      <c r="C4299" t="s">
        <v>393</v>
      </c>
      <c r="D4299">
        <v>2.4660000000000002</v>
      </c>
      <c r="E4299">
        <v>789</v>
      </c>
      <c r="F4299" t="str">
        <f>HYPERLINK("https://www.google.com/maps/search/?api=1&amp;query=23.06613079,45.43973354", "View Map")</f>
        <v>View Map</v>
      </c>
      <c r="G4299" s="2">
        <v>0.72006509531418994</v>
      </c>
    </row>
    <row r="4300" spans="1:7" x14ac:dyDescent="0.3">
      <c r="A4300" t="s">
        <v>11122</v>
      </c>
      <c r="B4300" t="s">
        <v>11123</v>
      </c>
      <c r="C4300" t="s">
        <v>8</v>
      </c>
      <c r="D4300">
        <v>2.4649999999999999</v>
      </c>
      <c r="E4300">
        <v>789</v>
      </c>
      <c r="F4300" t="str">
        <f>HYPERLINK("https://www.google.com/maps/search/?api=1&amp;query=24.761386,46.8013258", "View Map")</f>
        <v>View Map</v>
      </c>
    </row>
    <row r="4301" spans="1:7" x14ac:dyDescent="0.3">
      <c r="A4301" t="s">
        <v>5118</v>
      </c>
      <c r="B4301" t="s">
        <v>10197</v>
      </c>
      <c r="C4301" t="s">
        <v>8</v>
      </c>
      <c r="D4301">
        <v>2.4649999999999999</v>
      </c>
      <c r="E4301">
        <v>789</v>
      </c>
      <c r="F4301" t="str">
        <f>HYPERLINK("https://www.google.com/maps/search/?api=1&amp;query=24.58706693,46.62038853", "View Map")</f>
        <v>View Map</v>
      </c>
    </row>
    <row r="4302" spans="1:7" x14ac:dyDescent="0.3">
      <c r="A4302" t="s">
        <v>5914</v>
      </c>
      <c r="B4302" t="s">
        <v>5915</v>
      </c>
      <c r="C4302" t="s">
        <v>8</v>
      </c>
      <c r="D4302">
        <v>2.4649999999999999</v>
      </c>
      <c r="E4302">
        <v>789</v>
      </c>
      <c r="F4302" t="str">
        <f>HYPERLINK("https://www.google.com/maps/search/?api=1&amp;query=24.67632908,46.79872813", "View Map")</f>
        <v>View Map</v>
      </c>
    </row>
    <row r="4303" spans="1:7" x14ac:dyDescent="0.3">
      <c r="A4303" t="s">
        <v>146</v>
      </c>
      <c r="B4303" t="s">
        <v>7762</v>
      </c>
      <c r="C4303" t="s">
        <v>8</v>
      </c>
      <c r="D4303">
        <v>2.4649999999999999</v>
      </c>
      <c r="E4303">
        <v>789</v>
      </c>
      <c r="F4303" t="str">
        <f>HYPERLINK("https://www.google.com/maps/search/?api=1&amp;query=24.5567,46.5722", "View Map")</f>
        <v>View Map</v>
      </c>
    </row>
    <row r="4304" spans="1:7" x14ac:dyDescent="0.3">
      <c r="A4304" t="s">
        <v>289</v>
      </c>
      <c r="B4304" t="s">
        <v>9437</v>
      </c>
      <c r="C4304" t="s">
        <v>393</v>
      </c>
      <c r="D4304">
        <v>2.464</v>
      </c>
      <c r="E4304">
        <v>788</v>
      </c>
      <c r="F4304" t="str">
        <f>HYPERLINK("https://www.google.com/maps/search/?api=1&amp;query=22.51883785,44.79750998", "View Map")</f>
        <v>View Map</v>
      </c>
      <c r="G4304" s="2">
        <v>0.68436928222027815</v>
      </c>
    </row>
    <row r="4305" spans="1:7" x14ac:dyDescent="0.3">
      <c r="A4305" t="s">
        <v>5922</v>
      </c>
      <c r="B4305" t="s">
        <v>5923</v>
      </c>
      <c r="C4305" t="s">
        <v>8</v>
      </c>
      <c r="D4305">
        <v>2.4630000000000001</v>
      </c>
      <c r="E4305">
        <v>788</v>
      </c>
      <c r="F4305" t="str">
        <f>HYPERLINK("https://www.google.com/maps/search/?api=1&amp;query=24.59506565,46.70733893", "View Map")</f>
        <v>View Map</v>
      </c>
    </row>
    <row r="4306" spans="1:7" x14ac:dyDescent="0.3">
      <c r="A4306" t="s">
        <v>11598</v>
      </c>
      <c r="B4306" t="s">
        <v>11599</v>
      </c>
      <c r="C4306" t="s">
        <v>646</v>
      </c>
      <c r="D4306">
        <v>2.4620000000000002</v>
      </c>
      <c r="E4306">
        <v>788</v>
      </c>
      <c r="F4306" t="str">
        <f>HYPERLINK("https://www.google.com/maps/search/?api=1&amp;query=20.46481889,45.56784072", "View Map")</f>
        <v>View Map</v>
      </c>
      <c r="G4306" s="2">
        <v>0.68765671794871419</v>
      </c>
    </row>
    <row r="4307" spans="1:7" x14ac:dyDescent="0.3">
      <c r="A4307" t="s">
        <v>11600</v>
      </c>
      <c r="B4307" t="s">
        <v>11601</v>
      </c>
      <c r="C4307" t="s">
        <v>214</v>
      </c>
      <c r="D4307">
        <v>2.4620000000000002</v>
      </c>
      <c r="E4307">
        <v>788</v>
      </c>
      <c r="F4307" t="str">
        <f>HYPERLINK("https://www.google.com/maps/search/?api=1&amp;query=26.40599623,45.3332904", "View Map")</f>
        <v>View Map</v>
      </c>
      <c r="G4307" s="2">
        <v>0.73575581537970991</v>
      </c>
    </row>
    <row r="4308" spans="1:7" x14ac:dyDescent="0.3">
      <c r="A4308" t="s">
        <v>10947</v>
      </c>
      <c r="B4308" t="s">
        <v>10948</v>
      </c>
      <c r="C4308" t="s">
        <v>30</v>
      </c>
      <c r="D4308">
        <v>2.4620000000000002</v>
      </c>
      <c r="E4308">
        <v>788</v>
      </c>
      <c r="F4308" t="str">
        <f>HYPERLINK("https://www.google.com/maps/search/?api=1&amp;query=24.08398279,47.223657", "View Map")</f>
        <v>View Map</v>
      </c>
      <c r="G4308" s="2">
        <v>0.49103240827796818</v>
      </c>
    </row>
    <row r="4309" spans="1:7" x14ac:dyDescent="0.3">
      <c r="A4309" t="s">
        <v>7870</v>
      </c>
      <c r="B4309" t="s">
        <v>7871</v>
      </c>
      <c r="C4309" t="s">
        <v>255</v>
      </c>
      <c r="D4309">
        <v>2.4620000000000002</v>
      </c>
      <c r="E4309">
        <v>788</v>
      </c>
      <c r="F4309" t="str">
        <f>HYPERLINK("https://www.google.com/maps/search/?api=1&amp;query=24.50445841,44.40135291", "View Map")</f>
        <v>View Map</v>
      </c>
      <c r="G4309" s="2">
        <v>0.50366149503574686</v>
      </c>
    </row>
    <row r="4310" spans="1:7" x14ac:dyDescent="0.3">
      <c r="A4310" t="s">
        <v>9548</v>
      </c>
      <c r="B4310" t="s">
        <v>11602</v>
      </c>
      <c r="C4310" t="s">
        <v>8</v>
      </c>
      <c r="D4310">
        <v>2.4620000000000002</v>
      </c>
      <c r="E4310">
        <v>788</v>
      </c>
      <c r="F4310" t="str">
        <f>HYPERLINK("https://www.google.com/maps/search/?api=1&amp;query=24.57502104,46.83168619", "View Map")</f>
        <v>View Map</v>
      </c>
    </row>
    <row r="4311" spans="1:7" x14ac:dyDescent="0.3">
      <c r="A4311" t="s">
        <v>5948</v>
      </c>
      <c r="B4311" t="s">
        <v>5949</v>
      </c>
      <c r="C4311" t="s">
        <v>296</v>
      </c>
      <c r="D4311">
        <v>2.4609999999999999</v>
      </c>
      <c r="E4311">
        <v>787</v>
      </c>
      <c r="F4311" t="str">
        <f>HYPERLINK("https://www.google.com/maps/search/?api=1&amp;query=24.46051,46.27504", "View Map")</f>
        <v>View Map</v>
      </c>
      <c r="G4311" s="2">
        <v>0.53063257776818884</v>
      </c>
    </row>
    <row r="4312" spans="1:7" x14ac:dyDescent="0.3">
      <c r="A4312" t="s">
        <v>9400</v>
      </c>
      <c r="B4312" t="s">
        <v>9401</v>
      </c>
      <c r="C4312" t="s">
        <v>8</v>
      </c>
      <c r="D4312">
        <v>2.4609999999999999</v>
      </c>
      <c r="E4312">
        <v>788</v>
      </c>
      <c r="F4312" t="str">
        <f>HYPERLINK("https://www.google.com/maps/search/?api=1&amp;query=24.60860153,46.83062752", "View Map")</f>
        <v>View Map</v>
      </c>
    </row>
    <row r="4313" spans="1:7" x14ac:dyDescent="0.3">
      <c r="A4313" t="s">
        <v>9029</v>
      </c>
      <c r="B4313" t="s">
        <v>9030</v>
      </c>
      <c r="C4313" t="s">
        <v>241</v>
      </c>
      <c r="D4313">
        <v>2.46</v>
      </c>
      <c r="E4313">
        <v>787</v>
      </c>
      <c r="F4313" t="str">
        <f>HYPERLINK("https://www.google.com/maps/search/?api=1&amp;query=20.42129243,44.83081796", "View Map")</f>
        <v>View Map</v>
      </c>
      <c r="G4313" s="2">
        <v>0.51323940994988981</v>
      </c>
    </row>
    <row r="4314" spans="1:7" x14ac:dyDescent="0.3">
      <c r="A4314" t="s">
        <v>8405</v>
      </c>
      <c r="B4314" t="s">
        <v>8406</v>
      </c>
      <c r="C4314" t="s">
        <v>286</v>
      </c>
      <c r="D4314">
        <v>2.46</v>
      </c>
      <c r="E4314">
        <v>787</v>
      </c>
      <c r="F4314" t="str">
        <f>HYPERLINK("https://www.google.com/maps/search/?api=1&amp;query=25.29272909,45.51955166", "View Map")</f>
        <v>View Map</v>
      </c>
    </row>
    <row r="4315" spans="1:7" x14ac:dyDescent="0.3">
      <c r="A4315" t="s">
        <v>8196</v>
      </c>
      <c r="B4315" t="s">
        <v>8197</v>
      </c>
      <c r="C4315" t="s">
        <v>393</v>
      </c>
      <c r="D4315">
        <v>2.46</v>
      </c>
      <c r="E4315">
        <v>787</v>
      </c>
      <c r="F4315" t="str">
        <f>HYPERLINK("https://www.google.com/maps/search/?api=1&amp;query=23.65536317,45.39125613", "View Map")</f>
        <v>View Map</v>
      </c>
      <c r="G4315" s="2">
        <v>0.82680225774693628</v>
      </c>
    </row>
    <row r="4316" spans="1:7" x14ac:dyDescent="0.3">
      <c r="A4316" t="s">
        <v>8929</v>
      </c>
      <c r="B4316" t="s">
        <v>8930</v>
      </c>
      <c r="C4316" t="s">
        <v>8</v>
      </c>
      <c r="D4316">
        <v>2.4590000000000001</v>
      </c>
      <c r="E4316">
        <v>787</v>
      </c>
      <c r="F4316" t="str">
        <f>HYPERLINK("https://www.google.com/maps/search/?api=1&amp;query=24.58672745,46.53021536", "View Map")</f>
        <v>View Map</v>
      </c>
    </row>
    <row r="4317" spans="1:7" x14ac:dyDescent="0.3">
      <c r="A4317" t="s">
        <v>889</v>
      </c>
      <c r="B4317" t="s">
        <v>10567</v>
      </c>
      <c r="C4317" t="s">
        <v>8</v>
      </c>
      <c r="D4317">
        <v>2.4590000000000001</v>
      </c>
      <c r="E4317">
        <v>787</v>
      </c>
      <c r="F4317" t="str">
        <f>HYPERLINK("https://www.google.com/maps/search/?api=1&amp;query=24.77325432,46.63898777", "View Map")</f>
        <v>View Map</v>
      </c>
    </row>
    <row r="4318" spans="1:7" x14ac:dyDescent="0.3">
      <c r="A4318" t="s">
        <v>196</v>
      </c>
      <c r="B4318" t="s">
        <v>5377</v>
      </c>
      <c r="C4318" t="s">
        <v>8</v>
      </c>
      <c r="D4318">
        <v>2.4590000000000001</v>
      </c>
      <c r="E4318">
        <v>787</v>
      </c>
      <c r="F4318" t="str">
        <f>HYPERLINK("https://www.google.com/maps/search/?api=1&amp;query=24.7685038,46.77489772", "View Map")</f>
        <v>View Map</v>
      </c>
    </row>
    <row r="4319" spans="1:7" x14ac:dyDescent="0.3">
      <c r="A4319" t="s">
        <v>5031</v>
      </c>
      <c r="B4319" t="s">
        <v>5032</v>
      </c>
      <c r="C4319" t="s">
        <v>30</v>
      </c>
      <c r="D4319">
        <v>2.4580000000000002</v>
      </c>
      <c r="E4319">
        <v>786</v>
      </c>
      <c r="F4319" t="str">
        <f>HYPERLINK("https://www.google.com/maps/search/?api=1&amp;query=24.26254752,47.30638916", "View Map")</f>
        <v>View Map</v>
      </c>
      <c r="G4319" s="2">
        <v>0.26773107450078609</v>
      </c>
    </row>
    <row r="4320" spans="1:7" x14ac:dyDescent="0.3">
      <c r="A4320" t="s">
        <v>10667</v>
      </c>
      <c r="B4320" t="s">
        <v>10668</v>
      </c>
      <c r="C4320" t="s">
        <v>8</v>
      </c>
      <c r="D4320">
        <v>2.4580000000000002</v>
      </c>
      <c r="E4320">
        <v>787</v>
      </c>
      <c r="F4320" t="str">
        <f>HYPERLINK("https://www.google.com/maps/search/?api=1&amp;query=24.58172479,46.57986006", "View Map")</f>
        <v>View Map</v>
      </c>
    </row>
    <row r="4321" spans="1:7" x14ac:dyDescent="0.3">
      <c r="A4321" t="s">
        <v>8059</v>
      </c>
      <c r="B4321" t="s">
        <v>8060</v>
      </c>
      <c r="C4321" t="s">
        <v>8</v>
      </c>
      <c r="D4321">
        <v>2.4580000000000002</v>
      </c>
      <c r="E4321">
        <v>787</v>
      </c>
      <c r="F4321" t="str">
        <f>HYPERLINK("https://www.google.com/maps/search/?api=1&amp;query=24.59116346,46.65047966", "View Map")</f>
        <v>View Map</v>
      </c>
    </row>
    <row r="4322" spans="1:7" x14ac:dyDescent="0.3">
      <c r="A4322" t="s">
        <v>8829</v>
      </c>
      <c r="B4322" t="s">
        <v>8830</v>
      </c>
      <c r="C4322" t="s">
        <v>466</v>
      </c>
      <c r="D4322">
        <v>2.4580000000000002</v>
      </c>
      <c r="E4322">
        <v>786</v>
      </c>
      <c r="F4322" t="str">
        <f>HYPERLINK("https://www.google.com/maps/search/?api=1&amp;query=24.50641069,46.36330946", "View Map")</f>
        <v>View Map</v>
      </c>
    </row>
    <row r="4323" spans="1:7" x14ac:dyDescent="0.3">
      <c r="A4323" t="s">
        <v>289</v>
      </c>
      <c r="B4323" t="s">
        <v>4528</v>
      </c>
      <c r="C4323" t="s">
        <v>291</v>
      </c>
      <c r="D4323">
        <v>2.4580000000000002</v>
      </c>
      <c r="E4323">
        <v>787</v>
      </c>
      <c r="F4323" t="str">
        <f>HYPERLINK("https://www.google.com/maps/search/?api=1&amp;query=24.32680018,45.82388909", "View Map")</f>
        <v>View Map</v>
      </c>
      <c r="G4323" s="2">
        <v>0.40356972543268538</v>
      </c>
    </row>
    <row r="4324" spans="1:7" x14ac:dyDescent="0.3">
      <c r="A4324" t="s">
        <v>46</v>
      </c>
      <c r="B4324" t="s">
        <v>8140</v>
      </c>
      <c r="C4324" t="s">
        <v>8</v>
      </c>
      <c r="D4324">
        <v>2.4580000000000002</v>
      </c>
      <c r="E4324">
        <v>787</v>
      </c>
      <c r="F4324" t="str">
        <f>HYPERLINK("https://www.google.com/maps/search/?api=1&amp;query=24.79006225,46.60469117", "View Map")</f>
        <v>View Map</v>
      </c>
    </row>
    <row r="4325" spans="1:7" x14ac:dyDescent="0.3">
      <c r="A4325" t="s">
        <v>7716</v>
      </c>
      <c r="B4325" t="s">
        <v>7717</v>
      </c>
      <c r="C4325" t="s">
        <v>393</v>
      </c>
      <c r="D4325">
        <v>2.456</v>
      </c>
      <c r="E4325">
        <v>786</v>
      </c>
      <c r="F4325" t="str">
        <f>HYPERLINK("https://www.google.com/maps/search/?api=1&amp;query=23.22887655,45.55541257", "View Map")</f>
        <v>View Map</v>
      </c>
      <c r="G4325" s="2">
        <v>0.82783947966988802</v>
      </c>
    </row>
    <row r="4326" spans="1:7" x14ac:dyDescent="0.3">
      <c r="A4326" t="s">
        <v>661</v>
      </c>
      <c r="B4326" t="s">
        <v>8981</v>
      </c>
      <c r="C4326" t="s">
        <v>214</v>
      </c>
      <c r="D4326">
        <v>2.4550000000000001</v>
      </c>
      <c r="E4326">
        <v>786</v>
      </c>
      <c r="F4326" t="str">
        <f>HYPERLINK("https://www.google.com/maps/search/?api=1&amp;query=25.65081687,45.56503056", "View Map")</f>
        <v>View Map</v>
      </c>
      <c r="G4326" s="2">
        <v>0.78194376542359545</v>
      </c>
    </row>
    <row r="4327" spans="1:7" x14ac:dyDescent="0.3">
      <c r="A4327" t="s">
        <v>9713</v>
      </c>
      <c r="B4327" t="s">
        <v>9714</v>
      </c>
      <c r="C4327" t="s">
        <v>8</v>
      </c>
      <c r="D4327">
        <v>2.4540000000000002</v>
      </c>
      <c r="E4327">
        <v>785</v>
      </c>
      <c r="F4327" t="str">
        <f>HYPERLINK("https://www.google.com/maps/search/?api=1&amp;query=24.57175114,46.66794553", "View Map")</f>
        <v>View Map</v>
      </c>
    </row>
    <row r="4328" spans="1:7" x14ac:dyDescent="0.3">
      <c r="A4328" t="s">
        <v>7609</v>
      </c>
      <c r="B4328" t="s">
        <v>7610</v>
      </c>
      <c r="C4328" t="s">
        <v>296</v>
      </c>
      <c r="D4328">
        <v>2.4529999999999998</v>
      </c>
      <c r="E4328">
        <v>785</v>
      </c>
      <c r="F4328" t="str">
        <f>HYPERLINK("https://www.google.com/maps/search/?api=1&amp;query=24.13847835,46.31380971", "View Map")</f>
        <v>View Map</v>
      </c>
      <c r="G4328" s="2">
        <v>0.84794656683637859</v>
      </c>
    </row>
    <row r="4329" spans="1:7" x14ac:dyDescent="0.3">
      <c r="A4329" t="s">
        <v>7392</v>
      </c>
      <c r="B4329" t="s">
        <v>7393</v>
      </c>
      <c r="C4329" t="s">
        <v>8</v>
      </c>
      <c r="D4329">
        <v>2.4529999999999998</v>
      </c>
      <c r="E4329">
        <v>785</v>
      </c>
      <c r="F4329" t="str">
        <f>HYPERLINK("https://www.google.com/maps/search/?api=1&amp;query=24.79892065,46.89519252", "View Map")</f>
        <v>View Map</v>
      </c>
    </row>
    <row r="4330" spans="1:7" x14ac:dyDescent="0.3">
      <c r="A4330" t="s">
        <v>7545</v>
      </c>
      <c r="B4330" t="s">
        <v>7546</v>
      </c>
      <c r="C4330" t="s">
        <v>8</v>
      </c>
      <c r="D4330">
        <v>2.4529999999999998</v>
      </c>
      <c r="E4330">
        <v>785</v>
      </c>
      <c r="F4330" t="str">
        <f>HYPERLINK("https://www.google.com/maps/search/?api=1&amp;query=24.74331575,46.77019181", "View Map")</f>
        <v>View Map</v>
      </c>
    </row>
    <row r="4331" spans="1:7" x14ac:dyDescent="0.3">
      <c r="A4331" t="s">
        <v>4450</v>
      </c>
      <c r="B4331" t="s">
        <v>4451</v>
      </c>
      <c r="C4331" t="s">
        <v>738</v>
      </c>
      <c r="D4331">
        <v>2.452</v>
      </c>
      <c r="E4331">
        <v>784</v>
      </c>
      <c r="F4331" t="str">
        <f>HYPERLINK("https://www.google.com/maps/search/?api=1&amp;query=25.14405089,46.26464413", "View Map")</f>
        <v>View Map</v>
      </c>
      <c r="G4331" s="2">
        <v>0.37936261646064429</v>
      </c>
    </row>
    <row r="4332" spans="1:7" x14ac:dyDescent="0.3">
      <c r="A4332" t="s">
        <v>11603</v>
      </c>
      <c r="B4332" t="s">
        <v>11604</v>
      </c>
      <c r="C4332" t="s">
        <v>291</v>
      </c>
      <c r="D4332">
        <v>2.452</v>
      </c>
      <c r="E4332">
        <v>785</v>
      </c>
      <c r="F4332" t="str">
        <f>HYPERLINK("https://www.google.com/maps/search/?api=1&amp;query=23.26027854,44.64979408", "View Map")</f>
        <v>View Map</v>
      </c>
      <c r="G4332" s="2">
        <v>0.59853047744712007</v>
      </c>
    </row>
    <row r="4333" spans="1:7" x14ac:dyDescent="0.3">
      <c r="A4333" t="s">
        <v>150</v>
      </c>
      <c r="B4333" t="s">
        <v>6415</v>
      </c>
      <c r="C4333" t="s">
        <v>8</v>
      </c>
      <c r="D4333">
        <v>2.4510000000000001</v>
      </c>
      <c r="E4333">
        <v>784</v>
      </c>
      <c r="F4333" t="str">
        <f>HYPERLINK("https://www.google.com/maps/search/?api=1&amp;query=24.83129098,46.76080229", "View Map")</f>
        <v>View Map</v>
      </c>
    </row>
    <row r="4334" spans="1:7" x14ac:dyDescent="0.3">
      <c r="A4334" t="s">
        <v>46</v>
      </c>
      <c r="B4334" t="s">
        <v>1785</v>
      </c>
      <c r="C4334" t="s">
        <v>8</v>
      </c>
      <c r="D4334">
        <v>2.4510000000000001</v>
      </c>
      <c r="E4334">
        <v>784</v>
      </c>
      <c r="F4334" t="str">
        <f>HYPERLINK("https://www.google.com/maps/search/?api=1&amp;query=24.74721727,46.62628386", "View Map")</f>
        <v>View Map</v>
      </c>
    </row>
    <row r="4335" spans="1:7" x14ac:dyDescent="0.3">
      <c r="A4335" t="s">
        <v>7239</v>
      </c>
      <c r="B4335" t="s">
        <v>7240</v>
      </c>
      <c r="C4335" t="s">
        <v>8</v>
      </c>
      <c r="D4335">
        <v>2.4510000000000001</v>
      </c>
      <c r="E4335">
        <v>784</v>
      </c>
      <c r="F4335" t="str">
        <f>HYPERLINK("https://www.google.com/maps/search/?api=1&amp;query=24.60913518,46.73610417", "View Map")</f>
        <v>View Map</v>
      </c>
    </row>
    <row r="4336" spans="1:7" x14ac:dyDescent="0.3">
      <c r="A4336" t="s">
        <v>46</v>
      </c>
      <c r="B4336" t="s">
        <v>10813</v>
      </c>
      <c r="C4336" t="s">
        <v>8</v>
      </c>
      <c r="D4336">
        <v>2.4500000000000002</v>
      </c>
      <c r="E4336">
        <v>784</v>
      </c>
      <c r="F4336" t="str">
        <f>HYPERLINK("https://www.google.com/maps/search/?api=1&amp;query=24.83766159,46.80180738", "View Map")</f>
        <v>View Map</v>
      </c>
    </row>
    <row r="4337" spans="1:7" x14ac:dyDescent="0.3">
      <c r="A4337" t="s">
        <v>7832</v>
      </c>
      <c r="B4337" t="s">
        <v>7833</v>
      </c>
      <c r="C4337" t="s">
        <v>8</v>
      </c>
      <c r="D4337">
        <v>2.4500000000000002</v>
      </c>
      <c r="E4337">
        <v>784</v>
      </c>
      <c r="F4337" t="str">
        <f>HYPERLINK("https://www.google.com/maps/search/?api=1&amp;query=24.73227004,46.81633594", "View Map")</f>
        <v>View Map</v>
      </c>
    </row>
    <row r="4338" spans="1:7" x14ac:dyDescent="0.3">
      <c r="A4338" t="s">
        <v>661</v>
      </c>
      <c r="B4338" t="s">
        <v>10728</v>
      </c>
      <c r="C4338" t="s">
        <v>214</v>
      </c>
      <c r="D4338">
        <v>2.4489999999999998</v>
      </c>
      <c r="E4338">
        <v>784</v>
      </c>
      <c r="F4338" t="str">
        <f>HYPERLINK("https://www.google.com/maps/search/?api=1&amp;query=25.70290708,45.45487016", "View Map")</f>
        <v>View Map</v>
      </c>
      <c r="G4338" s="2">
        <v>0.59751982891787347</v>
      </c>
    </row>
    <row r="4339" spans="1:7" x14ac:dyDescent="0.3">
      <c r="A4339" t="s">
        <v>9236</v>
      </c>
      <c r="B4339" t="s">
        <v>9237</v>
      </c>
      <c r="C4339" t="s">
        <v>699</v>
      </c>
      <c r="D4339">
        <v>2.448</v>
      </c>
      <c r="E4339">
        <v>783</v>
      </c>
      <c r="F4339" t="str">
        <f>HYPERLINK("https://www.google.com/maps/search/?api=1&amp;query=25.11048231,45.4865717", "View Map")</f>
        <v>View Map</v>
      </c>
      <c r="G4339" s="2">
        <v>0.78686257485861621</v>
      </c>
    </row>
    <row r="4340" spans="1:7" x14ac:dyDescent="0.3">
      <c r="A4340" t="s">
        <v>576</v>
      </c>
      <c r="B4340" t="s">
        <v>11605</v>
      </c>
      <c r="C4340" t="s">
        <v>8</v>
      </c>
      <c r="D4340">
        <v>2.448</v>
      </c>
      <c r="E4340">
        <v>783</v>
      </c>
      <c r="F4340" t="str">
        <f>HYPERLINK("https://www.google.com/maps/search/?api=1&amp;query=24.57384886,46.71337917", "View Map")</f>
        <v>View Map</v>
      </c>
    </row>
    <row r="4341" spans="1:7" x14ac:dyDescent="0.3">
      <c r="A4341" t="s">
        <v>3735</v>
      </c>
      <c r="B4341" t="s">
        <v>11606</v>
      </c>
      <c r="C4341" t="s">
        <v>255</v>
      </c>
      <c r="D4341">
        <v>2.448</v>
      </c>
      <c r="E4341">
        <v>784</v>
      </c>
      <c r="F4341" t="str">
        <f>HYPERLINK("https://www.google.com/maps/search/?api=1&amp;query=25.49872885,44.40698078", "View Map")</f>
        <v>View Map</v>
      </c>
      <c r="G4341" s="2">
        <v>0.58896140978540756</v>
      </c>
    </row>
    <row r="4342" spans="1:7" x14ac:dyDescent="0.3">
      <c r="A4342" t="s">
        <v>11607</v>
      </c>
      <c r="B4342" t="s">
        <v>11608</v>
      </c>
      <c r="C4342" t="s">
        <v>255</v>
      </c>
      <c r="D4342">
        <v>2.448</v>
      </c>
      <c r="E4342">
        <v>783</v>
      </c>
      <c r="F4342" t="str">
        <f>HYPERLINK("https://www.google.com/maps/search/?api=1&amp;query=24.62085471,43.63686909", "View Map")</f>
        <v>View Map</v>
      </c>
    </row>
    <row r="4343" spans="1:7" x14ac:dyDescent="0.3">
      <c r="A4343" t="s">
        <v>7790</v>
      </c>
      <c r="B4343" t="s">
        <v>7791</v>
      </c>
      <c r="C4343" t="s">
        <v>393</v>
      </c>
      <c r="D4343">
        <v>2.448</v>
      </c>
      <c r="E4343">
        <v>784</v>
      </c>
      <c r="F4343" t="str">
        <f>HYPERLINK("https://www.google.com/maps/search/?api=1&amp;query=23.47821488,45.76748388", "View Map")</f>
        <v>View Map</v>
      </c>
      <c r="G4343" s="2">
        <v>0.73550126969014462</v>
      </c>
    </row>
    <row r="4344" spans="1:7" x14ac:dyDescent="0.3">
      <c r="A4344" t="s">
        <v>1255</v>
      </c>
      <c r="B4344" t="s">
        <v>1256</v>
      </c>
      <c r="C4344" t="s">
        <v>8</v>
      </c>
      <c r="D4344">
        <v>2.448</v>
      </c>
      <c r="E4344">
        <v>784</v>
      </c>
      <c r="F4344" t="str">
        <f>HYPERLINK("https://www.google.com/maps/search/?api=1&amp;query=24.78808545,46.90147752", "View Map")</f>
        <v>View Map</v>
      </c>
      <c r="G4344" s="2">
        <v>0.21003072934622699</v>
      </c>
    </row>
    <row r="4345" spans="1:7" x14ac:dyDescent="0.3">
      <c r="A4345" t="s">
        <v>627</v>
      </c>
      <c r="B4345" t="s">
        <v>10493</v>
      </c>
      <c r="C4345" t="s">
        <v>8</v>
      </c>
      <c r="D4345">
        <v>2.4470000000000001</v>
      </c>
      <c r="E4345">
        <v>783</v>
      </c>
      <c r="F4345" t="str">
        <f>HYPERLINK("https://www.google.com/maps/search/?api=1&amp;query=24.8291428,46.63729708", "View Map")</f>
        <v>View Map</v>
      </c>
    </row>
    <row r="4346" spans="1:7" x14ac:dyDescent="0.3">
      <c r="A4346" t="s">
        <v>8547</v>
      </c>
      <c r="B4346" t="s">
        <v>8548</v>
      </c>
      <c r="C4346" t="s">
        <v>291</v>
      </c>
      <c r="D4346">
        <v>2.4470000000000001</v>
      </c>
      <c r="E4346">
        <v>783</v>
      </c>
      <c r="F4346" t="str">
        <f>HYPERLINK("https://www.google.com/maps/search/?api=1&amp;query=24.51560447,45.68748505", "View Map")</f>
        <v>View Map</v>
      </c>
      <c r="G4346" s="2">
        <v>0.5901461433730959</v>
      </c>
    </row>
    <row r="4347" spans="1:7" x14ac:dyDescent="0.3">
      <c r="A4347" t="s">
        <v>7498</v>
      </c>
      <c r="B4347" t="s">
        <v>7499</v>
      </c>
      <c r="C4347" t="s">
        <v>241</v>
      </c>
      <c r="D4347">
        <v>2.4470000000000001</v>
      </c>
      <c r="E4347">
        <v>783</v>
      </c>
      <c r="F4347" t="str">
        <f>HYPERLINK("https://www.google.com/maps/search/?api=1&amp;query=20.52925643,44.6718017", "View Map")</f>
        <v>View Map</v>
      </c>
    </row>
    <row r="4348" spans="1:7" x14ac:dyDescent="0.3">
      <c r="A4348" t="s">
        <v>46</v>
      </c>
      <c r="B4348" t="s">
        <v>8950</v>
      </c>
      <c r="C4348" t="s">
        <v>8</v>
      </c>
      <c r="D4348">
        <v>2.4460000000000002</v>
      </c>
      <c r="E4348">
        <v>783</v>
      </c>
      <c r="F4348" t="str">
        <f>HYPERLINK("https://www.google.com/maps/search/?api=1&amp;query=24.83945816,46.76052188", "View Map")</f>
        <v>View Map</v>
      </c>
    </row>
    <row r="4349" spans="1:7" x14ac:dyDescent="0.3">
      <c r="A4349" t="s">
        <v>5940</v>
      </c>
      <c r="B4349" t="s">
        <v>5941</v>
      </c>
      <c r="C4349" t="s">
        <v>738</v>
      </c>
      <c r="D4349">
        <v>2.4460000000000002</v>
      </c>
      <c r="E4349">
        <v>783</v>
      </c>
      <c r="F4349" t="str">
        <f>HYPERLINK("https://www.google.com/maps/search/?api=1&amp;query=25.10882325,46.10666799", "View Map")</f>
        <v>View Map</v>
      </c>
      <c r="G4349" s="2">
        <v>0.47042932990005187</v>
      </c>
    </row>
    <row r="4350" spans="1:7" x14ac:dyDescent="0.3">
      <c r="A4350" t="s">
        <v>11114</v>
      </c>
      <c r="B4350" t="s">
        <v>11115</v>
      </c>
      <c r="C4350" t="s">
        <v>8</v>
      </c>
      <c r="D4350">
        <v>2.4460000000000002</v>
      </c>
      <c r="E4350">
        <v>783</v>
      </c>
      <c r="F4350" t="str">
        <f>HYPERLINK("https://www.google.com/maps/search/?api=1&amp;query=24.60327368,46.62571168", "View Map")</f>
        <v>View Map</v>
      </c>
    </row>
    <row r="4351" spans="1:7" x14ac:dyDescent="0.3">
      <c r="A4351" t="s">
        <v>7939</v>
      </c>
      <c r="B4351" t="s">
        <v>7940</v>
      </c>
      <c r="C4351" t="s">
        <v>255</v>
      </c>
      <c r="D4351">
        <v>2.4460000000000002</v>
      </c>
      <c r="E4351">
        <v>783</v>
      </c>
      <c r="F4351" t="str">
        <f>HYPERLINK("https://www.google.com/maps/search/?api=1&amp;query=24.7146553,43.76642967", "View Map")</f>
        <v>View Map</v>
      </c>
      <c r="G4351" s="2">
        <v>0.42071294631741968</v>
      </c>
    </row>
    <row r="4352" spans="1:7" x14ac:dyDescent="0.3">
      <c r="A4352" t="s">
        <v>7454</v>
      </c>
      <c r="B4352" t="s">
        <v>7455</v>
      </c>
      <c r="C4352" t="s">
        <v>8</v>
      </c>
      <c r="D4352">
        <v>2.4460000000000002</v>
      </c>
      <c r="E4352">
        <v>783</v>
      </c>
      <c r="F4352" t="str">
        <f>HYPERLINK("https://www.google.com/maps/search/?api=1&amp;query=24.60857789,46.73029463", "View Map")</f>
        <v>View Map</v>
      </c>
    </row>
    <row r="4353" spans="1:7" x14ac:dyDescent="0.3">
      <c r="A4353" t="s">
        <v>2202</v>
      </c>
      <c r="B4353" t="s">
        <v>8087</v>
      </c>
      <c r="C4353" t="s">
        <v>8</v>
      </c>
      <c r="D4353">
        <v>2.4460000000000002</v>
      </c>
      <c r="E4353">
        <v>783</v>
      </c>
      <c r="F4353" t="str">
        <f>HYPERLINK("https://www.google.com/maps/search/?api=1&amp;query=24.69312117,46.70222154", "View Map")</f>
        <v>View Map</v>
      </c>
    </row>
    <row r="4354" spans="1:7" x14ac:dyDescent="0.3">
      <c r="A4354" t="s">
        <v>11609</v>
      </c>
      <c r="B4354" t="s">
        <v>11610</v>
      </c>
      <c r="C4354" t="s">
        <v>8</v>
      </c>
      <c r="D4354">
        <v>2.4449999999999998</v>
      </c>
      <c r="E4354">
        <v>782</v>
      </c>
      <c r="F4354" t="str">
        <f>HYPERLINK("https://www.google.com/maps/search/?api=1&amp;query=24.581297,46.59497425", "View Map")</f>
        <v>View Map</v>
      </c>
    </row>
    <row r="4355" spans="1:7" x14ac:dyDescent="0.3">
      <c r="A4355" t="s">
        <v>9608</v>
      </c>
      <c r="B4355" t="s">
        <v>9609</v>
      </c>
      <c r="C4355" t="s">
        <v>8</v>
      </c>
      <c r="D4355">
        <v>2.4449999999999998</v>
      </c>
      <c r="E4355">
        <v>782</v>
      </c>
      <c r="F4355" t="str">
        <f>HYPERLINK("https://www.google.com/maps/search/?api=1&amp;query=24.59178048,46.62750883", "View Map")</f>
        <v>View Map</v>
      </c>
    </row>
    <row r="4356" spans="1:7" x14ac:dyDescent="0.3">
      <c r="A4356" t="s">
        <v>8357</v>
      </c>
      <c r="B4356" t="s">
        <v>11611</v>
      </c>
      <c r="C4356" t="s">
        <v>8</v>
      </c>
      <c r="D4356">
        <v>2.444</v>
      </c>
      <c r="E4356">
        <v>782</v>
      </c>
      <c r="F4356" t="str">
        <f>HYPERLINK("https://www.google.com/maps/search/?api=1&amp;query=24.80001592,46.87372492", "View Map")</f>
        <v>View Map</v>
      </c>
    </row>
    <row r="4357" spans="1:7" x14ac:dyDescent="0.3">
      <c r="A4357" t="s">
        <v>3849</v>
      </c>
      <c r="B4357" t="s">
        <v>11069</v>
      </c>
      <c r="C4357" t="s">
        <v>8</v>
      </c>
      <c r="D4357">
        <v>2.444</v>
      </c>
      <c r="E4357">
        <v>782</v>
      </c>
      <c r="F4357" t="str">
        <f>HYPERLINK("https://www.google.com/maps/search/?api=1&amp;query=24.78557984,46.74086889", "View Map")</f>
        <v>View Map</v>
      </c>
      <c r="G4357" s="2">
        <v>1.306898128931109</v>
      </c>
    </row>
    <row r="4358" spans="1:7" x14ac:dyDescent="0.3">
      <c r="A4358" t="s">
        <v>46</v>
      </c>
      <c r="B4358" t="s">
        <v>11612</v>
      </c>
      <c r="C4358" t="s">
        <v>8</v>
      </c>
      <c r="D4358">
        <v>2.444</v>
      </c>
      <c r="E4358">
        <v>782</v>
      </c>
      <c r="F4358" t="str">
        <f>HYPERLINK("https://www.google.com/maps/search/?api=1&amp;query=24.80907716,46.60710124", "View Map")</f>
        <v>View Map</v>
      </c>
    </row>
    <row r="4359" spans="1:7" x14ac:dyDescent="0.3">
      <c r="A4359" t="s">
        <v>11613</v>
      </c>
      <c r="B4359" t="s">
        <v>11614</v>
      </c>
      <c r="C4359" t="s">
        <v>8</v>
      </c>
      <c r="D4359">
        <v>2.4430000000000001</v>
      </c>
      <c r="E4359">
        <v>782</v>
      </c>
      <c r="F4359" t="str">
        <f>HYPERLINK("https://www.google.com/maps/search/?api=1&amp;query=24.66575854,46.74530661", "View Map")</f>
        <v>View Map</v>
      </c>
    </row>
    <row r="4360" spans="1:7" x14ac:dyDescent="0.3">
      <c r="A4360" t="s">
        <v>9356</v>
      </c>
      <c r="B4360" t="s">
        <v>9357</v>
      </c>
      <c r="C4360" t="s">
        <v>8</v>
      </c>
      <c r="D4360">
        <v>2.4430000000000001</v>
      </c>
      <c r="E4360">
        <v>782</v>
      </c>
      <c r="F4360" t="str">
        <f>HYPERLINK("https://www.google.com/maps/search/?api=1&amp;query=24.6456,46.7156", "View Map")</f>
        <v>View Map</v>
      </c>
    </row>
    <row r="4361" spans="1:7" x14ac:dyDescent="0.3">
      <c r="A4361" t="s">
        <v>4856</v>
      </c>
      <c r="B4361" t="s">
        <v>4857</v>
      </c>
      <c r="C4361" t="s">
        <v>241</v>
      </c>
      <c r="D4361">
        <v>2.4420000000000002</v>
      </c>
      <c r="E4361">
        <v>781</v>
      </c>
      <c r="F4361" t="str">
        <f>HYPERLINK("https://www.google.com/maps/search/?api=1&amp;query=20.4728795,44.78438994", "View Map")</f>
        <v>View Map</v>
      </c>
    </row>
    <row r="4362" spans="1:7" x14ac:dyDescent="0.3">
      <c r="A4362" t="s">
        <v>3763</v>
      </c>
      <c r="B4362" t="s">
        <v>7006</v>
      </c>
      <c r="C4362" t="s">
        <v>137</v>
      </c>
      <c r="D4362">
        <v>2.4420000000000002</v>
      </c>
      <c r="E4362">
        <v>781</v>
      </c>
      <c r="F4362" t="str">
        <f>HYPERLINK("https://www.google.com/maps/search/?api=1&amp;query=23.48706965,46.87760113", "View Map")</f>
        <v>View Map</v>
      </c>
      <c r="G4362" s="2">
        <v>0.36215535836964508</v>
      </c>
    </row>
    <row r="4363" spans="1:7" x14ac:dyDescent="0.3">
      <c r="A4363" t="s">
        <v>10453</v>
      </c>
      <c r="B4363" t="s">
        <v>10454</v>
      </c>
      <c r="C4363" t="s">
        <v>8</v>
      </c>
      <c r="D4363">
        <v>2.4420000000000002</v>
      </c>
      <c r="E4363">
        <v>782</v>
      </c>
      <c r="F4363" t="str">
        <f>HYPERLINK("https://www.google.com/maps/search/?api=1&amp;query=24.63707465,46.72614532", "View Map")</f>
        <v>View Map</v>
      </c>
    </row>
    <row r="4364" spans="1:7" x14ac:dyDescent="0.3">
      <c r="A4364" t="s">
        <v>8161</v>
      </c>
      <c r="B4364" t="s">
        <v>8162</v>
      </c>
      <c r="C4364" t="s">
        <v>55</v>
      </c>
      <c r="D4364">
        <v>2.4420000000000002</v>
      </c>
      <c r="E4364">
        <v>781</v>
      </c>
      <c r="F4364" t="str">
        <f>HYPERLINK("https://www.google.com/maps/search/?api=1&amp;query=24.72909,46.57294", "View Map")</f>
        <v>View Map</v>
      </c>
      <c r="G4364" s="2">
        <v>0.50043345783120241</v>
      </c>
    </row>
    <row r="4365" spans="1:7" x14ac:dyDescent="0.3">
      <c r="A4365" t="s">
        <v>6434</v>
      </c>
      <c r="B4365" t="s">
        <v>6435</v>
      </c>
      <c r="C4365" t="s">
        <v>21</v>
      </c>
      <c r="D4365">
        <v>2.4409999999999998</v>
      </c>
      <c r="E4365">
        <v>781</v>
      </c>
      <c r="F4365" t="str">
        <f>HYPERLINK("https://www.google.com/maps/search/?api=1&amp;query=26.30942257,44.82849288", "View Map")</f>
        <v>View Map</v>
      </c>
      <c r="G4365" s="2">
        <v>0.35917720972256012</v>
      </c>
    </row>
    <row r="4366" spans="1:7" x14ac:dyDescent="0.3">
      <c r="A4366" t="s">
        <v>9333</v>
      </c>
      <c r="B4366" t="s">
        <v>9334</v>
      </c>
      <c r="C4366" t="s">
        <v>8</v>
      </c>
      <c r="D4366">
        <v>2.44</v>
      </c>
      <c r="E4366">
        <v>781</v>
      </c>
      <c r="F4366" t="str">
        <f>HYPERLINK("https://www.google.com/maps/search/?api=1&amp;query=24.63758299,46.73449272", "View Map")</f>
        <v>View Map</v>
      </c>
    </row>
    <row r="4367" spans="1:7" x14ac:dyDescent="0.3">
      <c r="A4367" t="s">
        <v>10284</v>
      </c>
      <c r="B4367" t="s">
        <v>10285</v>
      </c>
      <c r="C4367" t="s">
        <v>8</v>
      </c>
      <c r="D4367">
        <v>2.44</v>
      </c>
      <c r="E4367">
        <v>781</v>
      </c>
      <c r="F4367" t="str">
        <f>HYPERLINK("https://www.google.com/maps/search/?api=1&amp;query=24.82233523,46.79747346", "View Map")</f>
        <v>View Map</v>
      </c>
    </row>
    <row r="4368" spans="1:7" x14ac:dyDescent="0.3">
      <c r="A4368" t="s">
        <v>2166</v>
      </c>
      <c r="B4368" t="s">
        <v>2167</v>
      </c>
      <c r="C4368" t="s">
        <v>8</v>
      </c>
      <c r="D4368">
        <v>2.4390000000000001</v>
      </c>
      <c r="E4368">
        <v>780</v>
      </c>
      <c r="F4368" t="str">
        <f>HYPERLINK("https://www.google.com/maps/search/?api=1&amp;query=24.77294,46.71946", "View Map")</f>
        <v>View Map</v>
      </c>
    </row>
    <row r="4369" spans="1:7" x14ac:dyDescent="0.3">
      <c r="A4369" t="s">
        <v>1391</v>
      </c>
      <c r="B4369" t="s">
        <v>8980</v>
      </c>
      <c r="C4369" t="s">
        <v>8</v>
      </c>
      <c r="D4369">
        <v>2.4390000000000001</v>
      </c>
      <c r="E4369">
        <v>780</v>
      </c>
      <c r="F4369" t="str">
        <f>HYPERLINK("https://www.google.com/maps/search/?api=1&amp;query=24.75299174,46.83199376", "View Map")</f>
        <v>View Map</v>
      </c>
    </row>
    <row r="4370" spans="1:7" x14ac:dyDescent="0.3">
      <c r="A4370" t="s">
        <v>6315</v>
      </c>
      <c r="B4370" t="s">
        <v>6316</v>
      </c>
      <c r="C4370" t="s">
        <v>214</v>
      </c>
      <c r="D4370">
        <v>2.4390000000000001</v>
      </c>
      <c r="E4370">
        <v>780</v>
      </c>
      <c r="F4370" t="str">
        <f>HYPERLINK("https://www.google.com/maps/search/?api=1&amp;query=25.67637096,45.44857297", "View Map")</f>
        <v>View Map</v>
      </c>
      <c r="G4370" s="2">
        <v>0.61450026832425175</v>
      </c>
    </row>
    <row r="4371" spans="1:7" x14ac:dyDescent="0.3">
      <c r="A4371" t="s">
        <v>362</v>
      </c>
      <c r="B4371" t="s">
        <v>7359</v>
      </c>
      <c r="C4371" t="s">
        <v>364</v>
      </c>
      <c r="D4371">
        <v>2.4380000000000002</v>
      </c>
      <c r="E4371">
        <v>780</v>
      </c>
      <c r="F4371" t="str">
        <f>HYPERLINK("https://www.google.com/maps/search/?api=1&amp;query=25.2454998,45.87630579", "View Map")</f>
        <v>View Map</v>
      </c>
      <c r="G4371" s="2">
        <v>0.40363485459326931</v>
      </c>
    </row>
    <row r="4372" spans="1:7" x14ac:dyDescent="0.3">
      <c r="A4372" t="s">
        <v>451</v>
      </c>
      <c r="B4372" t="s">
        <v>10257</v>
      </c>
      <c r="C4372" t="s">
        <v>8</v>
      </c>
      <c r="D4372">
        <v>2.4380000000000002</v>
      </c>
      <c r="E4372">
        <v>780</v>
      </c>
      <c r="F4372" t="str">
        <f>HYPERLINK("https://www.google.com/maps/search/?api=1&amp;query=24.80514492,46.77496815", "View Map")</f>
        <v>View Map</v>
      </c>
      <c r="G4372" s="2">
        <v>0.54638559158536926</v>
      </c>
    </row>
    <row r="4373" spans="1:7" x14ac:dyDescent="0.3">
      <c r="A4373" t="s">
        <v>6519</v>
      </c>
      <c r="B4373" t="s">
        <v>6520</v>
      </c>
      <c r="C4373" t="s">
        <v>21</v>
      </c>
      <c r="D4373">
        <v>2.4380000000000002</v>
      </c>
      <c r="E4373">
        <v>780</v>
      </c>
      <c r="F4373" t="str">
        <f>HYPERLINK("https://www.google.com/maps/search/?api=1&amp;query=26.29682758,44.8256003", "View Map")</f>
        <v>View Map</v>
      </c>
    </row>
    <row r="4374" spans="1:7" x14ac:dyDescent="0.3">
      <c r="A4374" t="s">
        <v>6400</v>
      </c>
      <c r="B4374" t="s">
        <v>6401</v>
      </c>
      <c r="C4374" t="s">
        <v>8</v>
      </c>
      <c r="D4374">
        <v>2.4359999999999999</v>
      </c>
      <c r="E4374">
        <v>780</v>
      </c>
      <c r="F4374" t="str">
        <f>HYPERLINK("https://www.google.com/maps/search/?api=1&amp;query=24.77520026,46.82660059", "View Map")</f>
        <v>View Map</v>
      </c>
    </row>
    <row r="4375" spans="1:7" x14ac:dyDescent="0.3">
      <c r="A4375" t="s">
        <v>889</v>
      </c>
      <c r="B4375" t="s">
        <v>3890</v>
      </c>
      <c r="C4375" t="s">
        <v>8</v>
      </c>
      <c r="D4375">
        <v>2.4359999999999999</v>
      </c>
      <c r="E4375">
        <v>779</v>
      </c>
      <c r="F4375" t="str">
        <f>HYPERLINK("https://www.google.com/maps/search/?api=1&amp;query=24.79069356,46.62581457", "View Map")</f>
        <v>View Map</v>
      </c>
      <c r="G4375" s="2">
        <v>0.23015016680466999</v>
      </c>
    </row>
    <row r="4376" spans="1:7" x14ac:dyDescent="0.3">
      <c r="A4376" t="s">
        <v>11615</v>
      </c>
      <c r="B4376" t="s">
        <v>11616</v>
      </c>
      <c r="C4376" t="s">
        <v>8</v>
      </c>
      <c r="D4376">
        <v>2.4350000000000001</v>
      </c>
      <c r="E4376">
        <v>779</v>
      </c>
      <c r="F4376" t="str">
        <f>HYPERLINK("https://www.google.com/maps/search/?api=1&amp;query=24.68589089,46.57203168", "View Map")</f>
        <v>View Map</v>
      </c>
    </row>
    <row r="4377" spans="1:7" x14ac:dyDescent="0.3">
      <c r="A4377" t="s">
        <v>46</v>
      </c>
      <c r="B4377" t="s">
        <v>4049</v>
      </c>
      <c r="C4377" t="s">
        <v>8</v>
      </c>
      <c r="D4377">
        <v>2.4329999999999998</v>
      </c>
      <c r="E4377">
        <v>779</v>
      </c>
      <c r="F4377" t="str">
        <f>HYPERLINK("https://www.google.com/maps/search/?api=1&amp;query=24.83734147,46.83282021", "View Map")</f>
        <v>View Map</v>
      </c>
    </row>
    <row r="4378" spans="1:7" x14ac:dyDescent="0.3">
      <c r="A4378" t="s">
        <v>5232</v>
      </c>
      <c r="B4378" t="s">
        <v>5233</v>
      </c>
      <c r="C4378" t="s">
        <v>8</v>
      </c>
      <c r="D4378">
        <v>2.4329999999999998</v>
      </c>
      <c r="E4378">
        <v>778</v>
      </c>
      <c r="F4378" t="str">
        <f>HYPERLINK("https://www.google.com/maps/search/?api=1&amp;query=24.69070115,46.8532452", "View Map")</f>
        <v>View Map</v>
      </c>
    </row>
    <row r="4379" spans="1:7" x14ac:dyDescent="0.3">
      <c r="A4379" t="s">
        <v>7496</v>
      </c>
      <c r="B4379" t="s">
        <v>7497</v>
      </c>
      <c r="C4379" t="s">
        <v>8</v>
      </c>
      <c r="D4379">
        <v>2.4319999999999999</v>
      </c>
      <c r="E4379">
        <v>778</v>
      </c>
      <c r="F4379" t="str">
        <f>HYPERLINK("https://www.google.com/maps/search/?api=1&amp;query=24.62239097,46.74077855", "View Map")</f>
        <v>View Map</v>
      </c>
    </row>
    <row r="4380" spans="1:7" x14ac:dyDescent="0.3">
      <c r="A4380" t="s">
        <v>46</v>
      </c>
      <c r="B4380" t="s">
        <v>8174</v>
      </c>
      <c r="C4380" t="s">
        <v>8</v>
      </c>
      <c r="D4380">
        <v>2.431</v>
      </c>
      <c r="E4380">
        <v>778</v>
      </c>
      <c r="F4380" t="str">
        <f>HYPERLINK("https://www.google.com/maps/search/?api=1&amp;query=24.86492007,46.62385124", "View Map")</f>
        <v>View Map</v>
      </c>
    </row>
    <row r="4381" spans="1:7" x14ac:dyDescent="0.3">
      <c r="A4381" t="s">
        <v>11617</v>
      </c>
      <c r="B4381" t="s">
        <v>11618</v>
      </c>
      <c r="C4381" t="s">
        <v>4447</v>
      </c>
      <c r="D4381">
        <v>2.431</v>
      </c>
      <c r="E4381">
        <v>778</v>
      </c>
      <c r="F4381" t="str">
        <f>HYPERLINK("https://www.google.com/maps/search/?api=1&amp;query=23.93626333,42.09927833", "View Map")</f>
        <v>View Map</v>
      </c>
      <c r="G4381" s="2">
        <v>0.57999392229342028</v>
      </c>
    </row>
    <row r="4382" spans="1:7" x14ac:dyDescent="0.3">
      <c r="A4382" t="s">
        <v>4867</v>
      </c>
      <c r="B4382" t="s">
        <v>4868</v>
      </c>
      <c r="C4382" t="s">
        <v>8</v>
      </c>
      <c r="D4382">
        <v>2.431</v>
      </c>
      <c r="E4382">
        <v>778</v>
      </c>
      <c r="F4382" t="str">
        <f>HYPERLINK("https://www.google.com/maps/search/?api=1&amp;query=24.57407675,46.76710118", "View Map")</f>
        <v>View Map</v>
      </c>
    </row>
    <row r="4383" spans="1:7" x14ac:dyDescent="0.3">
      <c r="A4383" t="s">
        <v>627</v>
      </c>
      <c r="B4383" t="s">
        <v>3575</v>
      </c>
      <c r="C4383" t="s">
        <v>8</v>
      </c>
      <c r="D4383">
        <v>2.4300000000000002</v>
      </c>
      <c r="E4383">
        <v>777</v>
      </c>
      <c r="F4383" t="str">
        <f>HYPERLINK("https://www.google.com/maps/search/?api=1&amp;query=24.8239064,46.65772709", "View Map")</f>
        <v>View Map</v>
      </c>
    </row>
    <row r="4384" spans="1:7" x14ac:dyDescent="0.3">
      <c r="A4384" t="s">
        <v>6346</v>
      </c>
      <c r="B4384" t="s">
        <v>6347</v>
      </c>
      <c r="C4384" t="s">
        <v>8</v>
      </c>
      <c r="D4384">
        <v>2.4300000000000002</v>
      </c>
      <c r="E4384">
        <v>778</v>
      </c>
      <c r="F4384" t="str">
        <f>HYPERLINK("https://www.google.com/maps/search/?api=1&amp;query=24.59165387,46.7092736", "View Map")</f>
        <v>View Map</v>
      </c>
    </row>
    <row r="4385" spans="1:7" x14ac:dyDescent="0.3">
      <c r="A4385" t="s">
        <v>8899</v>
      </c>
      <c r="B4385" t="s">
        <v>8900</v>
      </c>
      <c r="C4385" t="s">
        <v>8</v>
      </c>
      <c r="D4385">
        <v>2.4289999999999998</v>
      </c>
      <c r="E4385">
        <v>777</v>
      </c>
      <c r="F4385" t="str">
        <f>HYPERLINK("https://www.google.com/maps/search/?api=1&amp;query=24.55758165,46.78406404", "View Map")</f>
        <v>View Map</v>
      </c>
    </row>
    <row r="4386" spans="1:7" x14ac:dyDescent="0.3">
      <c r="A4386" t="s">
        <v>28</v>
      </c>
      <c r="B4386" t="s">
        <v>9070</v>
      </c>
      <c r="C4386" t="s">
        <v>30</v>
      </c>
      <c r="D4386">
        <v>2.4289999999999998</v>
      </c>
      <c r="E4386">
        <v>777</v>
      </c>
      <c r="F4386" t="str">
        <f>HYPERLINK("https://www.google.com/maps/search/?api=1&amp;query=24.18479466,47.28570028", "View Map")</f>
        <v>View Map</v>
      </c>
      <c r="G4386" s="2">
        <v>0.79621886187768742</v>
      </c>
    </row>
    <row r="4387" spans="1:7" x14ac:dyDescent="0.3">
      <c r="A4387" t="s">
        <v>46</v>
      </c>
      <c r="B4387" t="s">
        <v>9220</v>
      </c>
      <c r="C4387" t="s">
        <v>8</v>
      </c>
      <c r="D4387">
        <v>2.4289999999999998</v>
      </c>
      <c r="E4387">
        <v>777</v>
      </c>
      <c r="F4387" t="str">
        <f>HYPERLINK("https://www.google.com/maps/search/?api=1&amp;query=24.78856035,46.59695867", "View Map")</f>
        <v>View Map</v>
      </c>
    </row>
    <row r="4388" spans="1:7" x14ac:dyDescent="0.3">
      <c r="A4388" t="s">
        <v>3685</v>
      </c>
      <c r="B4388" t="s">
        <v>4185</v>
      </c>
      <c r="C4388" t="s">
        <v>8</v>
      </c>
      <c r="D4388">
        <v>2.4289999999999998</v>
      </c>
      <c r="E4388">
        <v>777</v>
      </c>
      <c r="F4388" t="str">
        <f>HYPERLINK("https://www.google.com/maps/search/?api=1&amp;query=24.58654999,46.68974177", "View Map")</f>
        <v>View Map</v>
      </c>
      <c r="G4388" s="2">
        <v>0.38914812953926758</v>
      </c>
    </row>
    <row r="4389" spans="1:7" x14ac:dyDescent="0.3">
      <c r="A4389" t="s">
        <v>6034</v>
      </c>
      <c r="B4389" t="s">
        <v>6035</v>
      </c>
      <c r="C4389" t="s">
        <v>8</v>
      </c>
      <c r="D4389">
        <v>2.4279999999999999</v>
      </c>
      <c r="E4389">
        <v>777</v>
      </c>
      <c r="F4389" t="str">
        <f>HYPERLINK("https://www.google.com/maps/search/?api=1&amp;query=24.59883425,46.7789473", "View Map")</f>
        <v>View Map</v>
      </c>
    </row>
    <row r="4390" spans="1:7" x14ac:dyDescent="0.3">
      <c r="A4390" t="s">
        <v>11619</v>
      </c>
      <c r="B4390" t="s">
        <v>11620</v>
      </c>
      <c r="C4390" t="s">
        <v>291</v>
      </c>
      <c r="D4390">
        <v>2.4279999999999999</v>
      </c>
      <c r="E4390">
        <v>777</v>
      </c>
      <c r="F4390" t="str">
        <f>HYPERLINK("https://www.google.com/maps/search/?api=1&amp;query=24.35335131,45.3092263", "View Map")</f>
        <v>View Map</v>
      </c>
      <c r="G4390" s="2">
        <v>0.97336155758380105</v>
      </c>
    </row>
    <row r="4391" spans="1:7" x14ac:dyDescent="0.3">
      <c r="A4391" t="s">
        <v>7470</v>
      </c>
      <c r="B4391" t="s">
        <v>7471</v>
      </c>
      <c r="C4391" t="s">
        <v>137</v>
      </c>
      <c r="D4391">
        <v>2.4279999999999999</v>
      </c>
      <c r="E4391">
        <v>777</v>
      </c>
      <c r="F4391" t="str">
        <f>HYPERLINK("https://www.google.com/maps/search/?api=1&amp;query=23.49477475,46.88498823", "View Map")</f>
        <v>View Map</v>
      </c>
      <c r="G4391" s="2">
        <v>0.4620806852565717</v>
      </c>
    </row>
    <row r="4392" spans="1:7" x14ac:dyDescent="0.3">
      <c r="A4392" t="s">
        <v>7145</v>
      </c>
      <c r="B4392" t="s">
        <v>7146</v>
      </c>
      <c r="C4392" t="s">
        <v>241</v>
      </c>
      <c r="D4392">
        <v>2.4279999999999999</v>
      </c>
      <c r="E4392">
        <v>777</v>
      </c>
      <c r="F4392" t="str">
        <f>HYPERLINK("https://www.google.com/maps/search/?api=1&amp;query=20.44597739,44.6898883", "View Map")</f>
        <v>View Map</v>
      </c>
    </row>
    <row r="4393" spans="1:7" x14ac:dyDescent="0.3">
      <c r="A4393" t="s">
        <v>46</v>
      </c>
      <c r="B4393" t="s">
        <v>8828</v>
      </c>
      <c r="C4393" t="s">
        <v>8</v>
      </c>
      <c r="D4393">
        <v>2.4279999999999999</v>
      </c>
      <c r="E4393">
        <v>777</v>
      </c>
      <c r="F4393" t="str">
        <f>HYPERLINK("https://www.google.com/maps/search/?api=1&amp;query=24.80020658,46.75921468", "View Map")</f>
        <v>View Map</v>
      </c>
    </row>
    <row r="4394" spans="1:7" x14ac:dyDescent="0.3">
      <c r="A4394" t="s">
        <v>3484</v>
      </c>
      <c r="B4394" t="s">
        <v>3485</v>
      </c>
      <c r="C4394" t="s">
        <v>8</v>
      </c>
      <c r="D4394">
        <v>2.427</v>
      </c>
      <c r="E4394">
        <v>777</v>
      </c>
      <c r="F4394" t="str">
        <f>HYPERLINK("https://www.google.com/maps/search/?api=1&amp;query=24.75972717,46.61051843", "View Map")</f>
        <v>View Map</v>
      </c>
    </row>
    <row r="4395" spans="1:7" x14ac:dyDescent="0.3">
      <c r="A4395" t="s">
        <v>8334</v>
      </c>
      <c r="B4395" t="s">
        <v>8335</v>
      </c>
      <c r="C4395" t="s">
        <v>214</v>
      </c>
      <c r="D4395">
        <v>2.4260000000000002</v>
      </c>
      <c r="E4395">
        <v>776</v>
      </c>
      <c r="F4395" t="str">
        <f>HYPERLINK("https://www.google.com/maps/search/?api=1&amp;query=25.90056271,45.33631521", "View Map")</f>
        <v>View Map</v>
      </c>
      <c r="G4395" s="2">
        <v>0.47909439807875348</v>
      </c>
    </row>
    <row r="4396" spans="1:7" x14ac:dyDescent="0.3">
      <c r="A4396" t="s">
        <v>8521</v>
      </c>
      <c r="B4396" t="s">
        <v>8522</v>
      </c>
      <c r="C4396" t="s">
        <v>8</v>
      </c>
      <c r="D4396">
        <v>2.4249999999999998</v>
      </c>
      <c r="E4396">
        <v>776</v>
      </c>
      <c r="F4396" t="str">
        <f>HYPERLINK("https://www.google.com/maps/search/?api=1&amp;query=24.61595342,46.63684946", "View Map")</f>
        <v>View Map</v>
      </c>
    </row>
    <row r="4397" spans="1:7" x14ac:dyDescent="0.3">
      <c r="A4397" t="s">
        <v>6698</v>
      </c>
      <c r="B4397" t="s">
        <v>6699</v>
      </c>
      <c r="C4397" t="s">
        <v>21</v>
      </c>
      <c r="D4397">
        <v>2.4249999999999998</v>
      </c>
      <c r="E4397">
        <v>776</v>
      </c>
      <c r="F4397" t="str">
        <f>HYPERLINK("https://www.google.com/maps/search/?api=1&amp;query=26.2753872,44.81927616", "View Map")</f>
        <v>View Map</v>
      </c>
      <c r="G4397" s="2">
        <v>0.71210768218349019</v>
      </c>
    </row>
    <row r="4398" spans="1:7" x14ac:dyDescent="0.3">
      <c r="A4398" t="s">
        <v>73</v>
      </c>
      <c r="B4398" t="s">
        <v>8086</v>
      </c>
      <c r="C4398" t="s">
        <v>8</v>
      </c>
      <c r="D4398">
        <v>2.4239999999999999</v>
      </c>
      <c r="E4398">
        <v>776</v>
      </c>
      <c r="F4398" t="str">
        <f>HYPERLINK("https://www.google.com/maps/search/?api=1&amp;query=24.62671177,46.57259546", "View Map")</f>
        <v>View Map</v>
      </c>
    </row>
    <row r="4399" spans="1:7" x14ac:dyDescent="0.3">
      <c r="A4399" t="s">
        <v>411</v>
      </c>
      <c r="B4399" t="s">
        <v>8962</v>
      </c>
      <c r="C4399" t="s">
        <v>77</v>
      </c>
      <c r="D4399">
        <v>2.4239999999999999</v>
      </c>
      <c r="E4399">
        <v>776</v>
      </c>
      <c r="F4399" t="str">
        <f>HYPERLINK("https://www.google.com/maps/search/?api=1&amp;query=21.99632161,45.97248855", "View Map")</f>
        <v>View Map</v>
      </c>
    </row>
    <row r="4400" spans="1:7" x14ac:dyDescent="0.3">
      <c r="A4400" t="s">
        <v>11621</v>
      </c>
      <c r="B4400" t="s">
        <v>11622</v>
      </c>
      <c r="C4400" t="s">
        <v>55</v>
      </c>
      <c r="D4400">
        <v>2.4239999999999999</v>
      </c>
      <c r="E4400">
        <v>776</v>
      </c>
      <c r="F4400" t="str">
        <f>HYPERLINK("https://www.google.com/maps/search/?api=1&amp;query=24.75983606,46.56769595", "View Map")</f>
        <v>View Map</v>
      </c>
    </row>
    <row r="4401" spans="1:7" x14ac:dyDescent="0.3">
      <c r="A4401" t="s">
        <v>8679</v>
      </c>
      <c r="B4401" t="s">
        <v>8680</v>
      </c>
      <c r="C4401" t="s">
        <v>8</v>
      </c>
      <c r="D4401">
        <v>2.4239999999999999</v>
      </c>
      <c r="E4401">
        <v>776</v>
      </c>
      <c r="F4401" t="str">
        <f>HYPERLINK("https://www.google.com/maps/search/?api=1&amp;query=24.83245289,46.66595161", "View Map")</f>
        <v>View Map</v>
      </c>
    </row>
    <row r="4402" spans="1:7" x14ac:dyDescent="0.3">
      <c r="A4402" t="s">
        <v>678</v>
      </c>
      <c r="B4402" t="s">
        <v>7181</v>
      </c>
      <c r="C4402" t="s">
        <v>21</v>
      </c>
      <c r="D4402">
        <v>2.423</v>
      </c>
      <c r="E4402">
        <v>775</v>
      </c>
      <c r="F4402" t="str">
        <f>HYPERLINK("https://www.google.com/maps/search/?api=1&amp;query=26.31496264,44.87398356", "View Map")</f>
        <v>View Map</v>
      </c>
      <c r="G4402" s="2">
        <v>0.75668803988099465</v>
      </c>
    </row>
    <row r="4403" spans="1:7" x14ac:dyDescent="0.3">
      <c r="A4403" t="s">
        <v>10976</v>
      </c>
      <c r="B4403" t="s">
        <v>10977</v>
      </c>
      <c r="C4403" t="s">
        <v>77</v>
      </c>
      <c r="D4403">
        <v>2.4209999999999998</v>
      </c>
      <c r="E4403">
        <v>775</v>
      </c>
      <c r="F4403" t="str">
        <f>HYPERLINK("https://www.google.com/maps/search/?api=1&amp;query=21.37208505,46.08338573", "View Map")</f>
        <v>View Map</v>
      </c>
      <c r="G4403" s="2">
        <v>0.70430583585596895</v>
      </c>
    </row>
    <row r="4404" spans="1:7" x14ac:dyDescent="0.3">
      <c r="A4404" t="s">
        <v>146</v>
      </c>
      <c r="B4404" t="s">
        <v>9192</v>
      </c>
      <c r="C4404" t="s">
        <v>8</v>
      </c>
      <c r="D4404">
        <v>2.4209999999999998</v>
      </c>
      <c r="E4404">
        <v>775</v>
      </c>
      <c r="F4404" t="str">
        <f>HYPERLINK("https://www.google.com/maps/search/?api=1&amp;query=24.5594,46.5906", "View Map")</f>
        <v>View Map</v>
      </c>
    </row>
    <row r="4405" spans="1:7" x14ac:dyDescent="0.3">
      <c r="A4405" t="s">
        <v>8206</v>
      </c>
      <c r="B4405" t="s">
        <v>8207</v>
      </c>
      <c r="C4405" t="s">
        <v>291</v>
      </c>
      <c r="D4405">
        <v>2.42</v>
      </c>
      <c r="E4405">
        <v>775</v>
      </c>
      <c r="F4405" t="str">
        <f>HYPERLINK("https://www.google.com/maps/search/?api=1&amp;query=24.01020428,45.19748755", "View Map")</f>
        <v>View Map</v>
      </c>
      <c r="G4405" s="2">
        <v>0.96302561420874699</v>
      </c>
    </row>
    <row r="4406" spans="1:7" x14ac:dyDescent="0.3">
      <c r="A4406" t="s">
        <v>5673</v>
      </c>
      <c r="B4406" t="s">
        <v>5674</v>
      </c>
      <c r="C4406" t="s">
        <v>8</v>
      </c>
      <c r="D4406">
        <v>2.42</v>
      </c>
      <c r="E4406">
        <v>774</v>
      </c>
      <c r="F4406" t="str">
        <f>HYPERLINK("https://www.google.com/maps/search/?api=1&amp;query=24.79984265,46.80466108", "View Map")</f>
        <v>View Map</v>
      </c>
    </row>
    <row r="4407" spans="1:7" x14ac:dyDescent="0.3">
      <c r="A4407" t="s">
        <v>9992</v>
      </c>
      <c r="B4407" t="s">
        <v>9993</v>
      </c>
      <c r="C4407" t="s">
        <v>8</v>
      </c>
      <c r="D4407">
        <v>2.42</v>
      </c>
      <c r="E4407">
        <v>774</v>
      </c>
      <c r="F4407" t="str">
        <f>HYPERLINK("https://www.google.com/maps/search/?api=1&amp;query=24.64412074,46.72204792", "View Map")</f>
        <v>View Map</v>
      </c>
    </row>
    <row r="4408" spans="1:7" x14ac:dyDescent="0.3">
      <c r="A4408" t="s">
        <v>9506</v>
      </c>
      <c r="B4408" t="s">
        <v>9507</v>
      </c>
      <c r="C4408" t="s">
        <v>8</v>
      </c>
      <c r="D4408">
        <v>2.42</v>
      </c>
      <c r="E4408">
        <v>774</v>
      </c>
      <c r="F4408" t="str">
        <f>HYPERLINK("https://www.google.com/maps/search/?api=1&amp;query=24.77815541,46.69634206", "View Map")</f>
        <v>View Map</v>
      </c>
    </row>
    <row r="4409" spans="1:7" x14ac:dyDescent="0.3">
      <c r="A4409" t="s">
        <v>6460</v>
      </c>
      <c r="B4409" t="s">
        <v>6461</v>
      </c>
      <c r="C4409" t="s">
        <v>393</v>
      </c>
      <c r="D4409">
        <v>2.42</v>
      </c>
      <c r="E4409">
        <v>774</v>
      </c>
      <c r="F4409" t="str">
        <f>HYPERLINK("https://www.google.com/maps/search/?api=1&amp;query=23.56112708,45.60324459", "View Map")</f>
        <v>View Map</v>
      </c>
      <c r="G4409" s="2">
        <v>0.47168212254806979</v>
      </c>
    </row>
    <row r="4410" spans="1:7" x14ac:dyDescent="0.3">
      <c r="A4410" t="s">
        <v>150</v>
      </c>
      <c r="B4410" t="s">
        <v>9931</v>
      </c>
      <c r="C4410" t="s">
        <v>8</v>
      </c>
      <c r="D4410">
        <v>2.419</v>
      </c>
      <c r="E4410">
        <v>774</v>
      </c>
      <c r="F4410" t="str">
        <f>HYPERLINK("https://www.google.com/maps/search/?api=1&amp;query=24.84913459,46.78743306", "View Map")</f>
        <v>View Map</v>
      </c>
    </row>
    <row r="4411" spans="1:7" x14ac:dyDescent="0.3">
      <c r="A4411" t="s">
        <v>11623</v>
      </c>
      <c r="B4411" t="s">
        <v>11624</v>
      </c>
      <c r="C4411" t="s">
        <v>466</v>
      </c>
      <c r="D4411">
        <v>2.4169999999999998</v>
      </c>
      <c r="E4411">
        <v>773</v>
      </c>
      <c r="F4411" t="str">
        <f>HYPERLINK("https://www.google.com/maps/search/?api=1&amp;query=24.51482157,46.13381503", "View Map")</f>
        <v>View Map</v>
      </c>
      <c r="G4411" s="2">
        <v>0.55327711240523025</v>
      </c>
    </row>
    <row r="4412" spans="1:7" x14ac:dyDescent="0.3">
      <c r="A4412" t="s">
        <v>2719</v>
      </c>
      <c r="B4412" t="s">
        <v>2720</v>
      </c>
      <c r="C4412" t="s">
        <v>241</v>
      </c>
      <c r="D4412">
        <v>2.4169999999999998</v>
      </c>
      <c r="E4412">
        <v>773</v>
      </c>
      <c r="F4412" t="str">
        <f>HYPERLINK("https://www.google.com/maps/search/?api=1&amp;query=20.46451015,44.76095763", "View Map")</f>
        <v>View Map</v>
      </c>
      <c r="G4412" s="2">
        <v>0.22217823284946689</v>
      </c>
    </row>
    <row r="4413" spans="1:7" x14ac:dyDescent="0.3">
      <c r="A4413" t="s">
        <v>10681</v>
      </c>
      <c r="B4413" t="s">
        <v>10682</v>
      </c>
      <c r="C4413" t="s">
        <v>291</v>
      </c>
      <c r="D4413">
        <v>2.4169999999999998</v>
      </c>
      <c r="E4413">
        <v>774</v>
      </c>
      <c r="F4413" t="str">
        <f>HYPERLINK("https://www.google.com/maps/search/?api=1&amp;query=24.26456449,45.07546099", "View Map")</f>
        <v>View Map</v>
      </c>
    </row>
    <row r="4414" spans="1:7" x14ac:dyDescent="0.3">
      <c r="A4414" t="s">
        <v>146</v>
      </c>
      <c r="B4414" t="s">
        <v>10744</v>
      </c>
      <c r="C4414" t="s">
        <v>8</v>
      </c>
      <c r="D4414">
        <v>2.4159999999999999</v>
      </c>
      <c r="E4414">
        <v>773</v>
      </c>
      <c r="F4414" t="str">
        <f>HYPERLINK("https://www.google.com/maps/search/?api=1&amp;query=24.5795311,46.61115021", "View Map")</f>
        <v>View Map</v>
      </c>
    </row>
    <row r="4415" spans="1:7" x14ac:dyDescent="0.3">
      <c r="A4415" t="s">
        <v>150</v>
      </c>
      <c r="B4415" t="s">
        <v>9866</v>
      </c>
      <c r="C4415" t="s">
        <v>8</v>
      </c>
      <c r="D4415">
        <v>2.4159999999999999</v>
      </c>
      <c r="E4415">
        <v>773</v>
      </c>
      <c r="F4415" t="str">
        <f>HYPERLINK("https://www.google.com/maps/search/?api=1&amp;query=24.80696893,46.69067915", "View Map")</f>
        <v>View Map</v>
      </c>
    </row>
    <row r="4416" spans="1:7" x14ac:dyDescent="0.3">
      <c r="A4416" t="s">
        <v>5647</v>
      </c>
      <c r="B4416" t="s">
        <v>5648</v>
      </c>
      <c r="C4416" t="s">
        <v>8</v>
      </c>
      <c r="D4416">
        <v>2.415</v>
      </c>
      <c r="E4416">
        <v>773</v>
      </c>
      <c r="F4416" t="str">
        <f>HYPERLINK("https://www.google.com/maps/search/?api=1&amp;query=24.82123323,46.63923618", "View Map")</f>
        <v>View Map</v>
      </c>
      <c r="G4416" s="2">
        <v>0.42090203959077999</v>
      </c>
    </row>
    <row r="4417" spans="1:7" x14ac:dyDescent="0.3">
      <c r="A4417" t="s">
        <v>46</v>
      </c>
      <c r="B4417" t="s">
        <v>11625</v>
      </c>
      <c r="C4417" t="s">
        <v>55</v>
      </c>
      <c r="D4417">
        <v>2.415</v>
      </c>
      <c r="E4417">
        <v>773</v>
      </c>
      <c r="F4417" t="str">
        <f>HYPERLINK("https://www.google.com/maps/search/?api=1&amp;query=24.8227849,46.56191974", "View Map")</f>
        <v>View Map</v>
      </c>
    </row>
    <row r="4418" spans="1:7" x14ac:dyDescent="0.3">
      <c r="A4418" t="s">
        <v>146</v>
      </c>
      <c r="B4418" t="s">
        <v>7569</v>
      </c>
      <c r="C4418" t="s">
        <v>8</v>
      </c>
      <c r="D4418">
        <v>2.4140000000000001</v>
      </c>
      <c r="E4418">
        <v>773</v>
      </c>
      <c r="F4418" t="str">
        <f>HYPERLINK("https://www.google.com/maps/search/?api=1&amp;query=24.55363955,46.6674507", "View Map")</f>
        <v>View Map</v>
      </c>
    </row>
    <row r="4419" spans="1:7" x14ac:dyDescent="0.3">
      <c r="A4419" t="s">
        <v>6372</v>
      </c>
      <c r="B4419" t="s">
        <v>6373</v>
      </c>
      <c r="C4419" t="s">
        <v>8</v>
      </c>
      <c r="D4419">
        <v>2.4140000000000001</v>
      </c>
      <c r="E4419">
        <v>773</v>
      </c>
      <c r="F4419" t="str">
        <f>HYPERLINK("https://www.google.com/maps/search/?api=1&amp;query=24.63282665,46.71965195", "View Map")</f>
        <v>View Map</v>
      </c>
    </row>
    <row r="4420" spans="1:7" x14ac:dyDescent="0.3">
      <c r="A4420" t="s">
        <v>1313</v>
      </c>
      <c r="B4420" t="s">
        <v>1314</v>
      </c>
      <c r="C4420" t="s">
        <v>8</v>
      </c>
      <c r="D4420">
        <v>2.4129999999999998</v>
      </c>
      <c r="E4420">
        <v>772</v>
      </c>
      <c r="F4420" t="str">
        <f>HYPERLINK("https://www.google.com/maps/search/?api=1&amp;query=24.68521954,46.78836918", "View Map")</f>
        <v>View Map</v>
      </c>
      <c r="G4420" s="2">
        <v>0.1030231834104567</v>
      </c>
    </row>
    <row r="4421" spans="1:7" x14ac:dyDescent="0.3">
      <c r="A4421" t="s">
        <v>9747</v>
      </c>
      <c r="B4421" t="s">
        <v>9748</v>
      </c>
      <c r="C4421" t="s">
        <v>214</v>
      </c>
      <c r="D4421">
        <v>2.4129999999999998</v>
      </c>
      <c r="E4421">
        <v>772</v>
      </c>
      <c r="F4421" t="str">
        <f>HYPERLINK("https://www.google.com/maps/search/?api=1&amp;query=26.88393957,45.32156017", "View Map")</f>
        <v>View Map</v>
      </c>
      <c r="G4421" s="2">
        <v>0.81673910790477355</v>
      </c>
    </row>
    <row r="4422" spans="1:7" x14ac:dyDescent="0.3">
      <c r="A4422" t="s">
        <v>46</v>
      </c>
      <c r="B4422" t="s">
        <v>11626</v>
      </c>
      <c r="C4422" t="s">
        <v>8</v>
      </c>
      <c r="D4422">
        <v>2.4119999999999999</v>
      </c>
      <c r="E4422">
        <v>772</v>
      </c>
      <c r="F4422" t="str">
        <f>HYPERLINK("https://www.google.com/maps/search/?api=1&amp;query=24.90433372,46.63109805", "View Map")</f>
        <v>View Map</v>
      </c>
    </row>
    <row r="4423" spans="1:7" x14ac:dyDescent="0.3">
      <c r="A4423" t="s">
        <v>11627</v>
      </c>
      <c r="B4423" t="s">
        <v>11628</v>
      </c>
      <c r="C4423" t="s">
        <v>30</v>
      </c>
      <c r="D4423">
        <v>2.411</v>
      </c>
      <c r="E4423">
        <v>772</v>
      </c>
      <c r="F4423" t="str">
        <f>HYPERLINK("https://www.google.com/maps/search/?api=1&amp;query=24.12326834,47.26834107", "View Map")</f>
        <v>View Map</v>
      </c>
    </row>
    <row r="4424" spans="1:7" x14ac:dyDescent="0.3">
      <c r="A4424" t="s">
        <v>7673</v>
      </c>
      <c r="B4424" t="s">
        <v>7674</v>
      </c>
      <c r="C4424" t="s">
        <v>466</v>
      </c>
      <c r="D4424">
        <v>2.411</v>
      </c>
      <c r="E4424">
        <v>771</v>
      </c>
      <c r="F4424" t="str">
        <f>HYPERLINK("https://www.google.com/maps/search/?api=1&amp;query=24.51913682,46.37723334", "View Map")</f>
        <v>View Map</v>
      </c>
      <c r="G4424" s="2">
        <v>0.61852330251217102</v>
      </c>
    </row>
    <row r="4425" spans="1:7" x14ac:dyDescent="0.3">
      <c r="A4425" t="s">
        <v>46</v>
      </c>
      <c r="B4425" t="s">
        <v>9219</v>
      </c>
      <c r="C4425" t="s">
        <v>8</v>
      </c>
      <c r="D4425">
        <v>2.41</v>
      </c>
      <c r="E4425">
        <v>771</v>
      </c>
      <c r="F4425" t="str">
        <f>HYPERLINK("https://www.google.com/maps/search/?api=1&amp;query=24.8496421,46.8398153", "View Map")</f>
        <v>View Map</v>
      </c>
    </row>
    <row r="4426" spans="1:7" x14ac:dyDescent="0.3">
      <c r="A4426" t="s">
        <v>10538</v>
      </c>
      <c r="B4426" t="s">
        <v>10539</v>
      </c>
      <c r="C4426" t="s">
        <v>8</v>
      </c>
      <c r="D4426">
        <v>2.41</v>
      </c>
      <c r="E4426">
        <v>771</v>
      </c>
      <c r="F4426" t="str">
        <f>HYPERLINK("https://www.google.com/maps/search/?api=1&amp;query=24.63527663,46.61824809", "View Map")</f>
        <v>View Map</v>
      </c>
    </row>
    <row r="4427" spans="1:7" x14ac:dyDescent="0.3">
      <c r="A4427" t="s">
        <v>10023</v>
      </c>
      <c r="B4427" t="s">
        <v>10024</v>
      </c>
      <c r="C4427" t="s">
        <v>646</v>
      </c>
      <c r="D4427">
        <v>2.4089999999999998</v>
      </c>
      <c r="E4427">
        <v>771</v>
      </c>
      <c r="F4427" t="str">
        <f>HYPERLINK("https://www.google.com/maps/search/?api=1&amp;query=20.45912802,45.58403891", "View Map")</f>
        <v>View Map</v>
      </c>
      <c r="G4427" s="2">
        <v>0.72434806433961185</v>
      </c>
    </row>
    <row r="4428" spans="1:7" x14ac:dyDescent="0.3">
      <c r="A4428" t="s">
        <v>46</v>
      </c>
      <c r="B4428" t="s">
        <v>10688</v>
      </c>
      <c r="C4428" t="s">
        <v>8</v>
      </c>
      <c r="D4428">
        <v>2.4089999999999998</v>
      </c>
      <c r="E4428">
        <v>771</v>
      </c>
      <c r="F4428" t="str">
        <f>HYPERLINK("https://www.google.com/maps/search/?api=1&amp;query=24.86076763,46.63123375", "View Map")</f>
        <v>View Map</v>
      </c>
    </row>
    <row r="4429" spans="1:7" x14ac:dyDescent="0.3">
      <c r="A4429" t="s">
        <v>1700</v>
      </c>
      <c r="B4429" t="s">
        <v>1701</v>
      </c>
      <c r="C4429" t="s">
        <v>8</v>
      </c>
      <c r="D4429">
        <v>2.4089999999999998</v>
      </c>
      <c r="E4429">
        <v>771</v>
      </c>
      <c r="F4429" t="str">
        <f>HYPERLINK("https://www.google.com/maps/search/?api=1&amp;query=24.73649114,46.7762408", "View Map")</f>
        <v>View Map</v>
      </c>
      <c r="G4429" s="2">
        <v>0.18615711995114351</v>
      </c>
    </row>
    <row r="4430" spans="1:7" x14ac:dyDescent="0.3">
      <c r="A4430" t="s">
        <v>11629</v>
      </c>
      <c r="B4430" t="s">
        <v>11630</v>
      </c>
      <c r="C4430" t="s">
        <v>8</v>
      </c>
      <c r="D4430">
        <v>2.4079999999999999</v>
      </c>
      <c r="E4430">
        <v>770</v>
      </c>
      <c r="F4430" t="str">
        <f>HYPERLINK("https://www.google.com/maps/search/?api=1&amp;query=24.55796898,46.72210527", "View Map")</f>
        <v>View Map</v>
      </c>
    </row>
    <row r="4431" spans="1:7" x14ac:dyDescent="0.3">
      <c r="A4431" t="s">
        <v>6317</v>
      </c>
      <c r="B4431" t="s">
        <v>6318</v>
      </c>
      <c r="C4431" t="s">
        <v>21</v>
      </c>
      <c r="D4431">
        <v>2.4079999999999999</v>
      </c>
      <c r="E4431">
        <v>771</v>
      </c>
      <c r="F4431" t="str">
        <f>HYPERLINK("https://www.google.com/maps/search/?api=1&amp;query=26.27148895,44.82605981", "View Map")</f>
        <v>View Map</v>
      </c>
      <c r="G4431" s="2">
        <v>0.37129926909023309</v>
      </c>
    </row>
    <row r="4432" spans="1:7" x14ac:dyDescent="0.3">
      <c r="A4432" t="s">
        <v>146</v>
      </c>
      <c r="B4432" t="s">
        <v>2462</v>
      </c>
      <c r="C4432" t="s">
        <v>8</v>
      </c>
      <c r="D4432">
        <v>2.4079999999999999</v>
      </c>
      <c r="E4432">
        <v>770</v>
      </c>
      <c r="F4432" t="str">
        <f>HYPERLINK("https://www.google.com/maps/search/?api=1&amp;query=24.48765947,46.63532146", "View Map")</f>
        <v>View Map</v>
      </c>
    </row>
    <row r="4433" spans="1:7" x14ac:dyDescent="0.3">
      <c r="A4433" t="s">
        <v>146</v>
      </c>
      <c r="B4433" t="s">
        <v>11082</v>
      </c>
      <c r="C4433" t="s">
        <v>8</v>
      </c>
      <c r="D4433">
        <v>2.4079999999999999</v>
      </c>
      <c r="E4433">
        <v>771</v>
      </c>
      <c r="F4433" t="str">
        <f>HYPERLINK("https://www.google.com/maps/search/?api=1&amp;query=24.55188981,46.67147424", "View Map")</f>
        <v>View Map</v>
      </c>
    </row>
    <row r="4434" spans="1:7" x14ac:dyDescent="0.3">
      <c r="A4434" t="s">
        <v>1043</v>
      </c>
      <c r="B4434" t="s">
        <v>1044</v>
      </c>
      <c r="C4434" t="s">
        <v>8</v>
      </c>
      <c r="D4434">
        <v>2.4079999999999999</v>
      </c>
      <c r="E4434">
        <v>770</v>
      </c>
      <c r="F4434" t="str">
        <f>HYPERLINK("https://www.google.com/maps/search/?api=1&amp;query=24.77883873,46.62993097", "View Map")</f>
        <v>View Map</v>
      </c>
      <c r="G4434" s="2">
        <v>0.19100700447625921</v>
      </c>
    </row>
    <row r="4435" spans="1:7" x14ac:dyDescent="0.3">
      <c r="A4435" t="s">
        <v>7889</v>
      </c>
      <c r="B4435" t="s">
        <v>7890</v>
      </c>
      <c r="C4435" t="s">
        <v>364</v>
      </c>
      <c r="D4435">
        <v>2.4060000000000001</v>
      </c>
      <c r="E4435">
        <v>770</v>
      </c>
      <c r="F4435" t="str">
        <f>HYPERLINK("https://www.google.com/maps/search/?api=1&amp;query=25.2915635,45.78475372", "View Map")</f>
        <v>View Map</v>
      </c>
      <c r="G4435" s="2">
        <v>0.68732818695430919</v>
      </c>
    </row>
    <row r="4436" spans="1:7" x14ac:dyDescent="0.3">
      <c r="A4436" t="s">
        <v>11631</v>
      </c>
      <c r="B4436" t="s">
        <v>11632</v>
      </c>
      <c r="C4436" t="s">
        <v>8</v>
      </c>
      <c r="D4436">
        <v>2.4060000000000001</v>
      </c>
      <c r="E4436">
        <v>770</v>
      </c>
      <c r="F4436" t="str">
        <f>HYPERLINK("https://www.google.com/maps/search/?api=1&amp;query=24.63621472,46.72208789", "View Map")</f>
        <v>View Map</v>
      </c>
    </row>
    <row r="4437" spans="1:7" x14ac:dyDescent="0.3">
      <c r="A4437" t="s">
        <v>11633</v>
      </c>
      <c r="B4437" t="s">
        <v>11634</v>
      </c>
      <c r="C4437" t="s">
        <v>393</v>
      </c>
      <c r="D4437">
        <v>2.4060000000000001</v>
      </c>
      <c r="E4437">
        <v>770</v>
      </c>
      <c r="F4437" t="str">
        <f>HYPERLINK("https://www.google.com/maps/search/?api=1&amp;query=23.21597384,45.43638283", "View Map")</f>
        <v>View Map</v>
      </c>
      <c r="G4437" s="2">
        <v>0.66948192588618904</v>
      </c>
    </row>
    <row r="4438" spans="1:7" x14ac:dyDescent="0.3">
      <c r="A4438" t="s">
        <v>146</v>
      </c>
      <c r="B4438" t="s">
        <v>9412</v>
      </c>
      <c r="C4438" t="s">
        <v>8</v>
      </c>
      <c r="D4438">
        <v>2.4049999999999998</v>
      </c>
      <c r="E4438">
        <v>770</v>
      </c>
      <c r="F4438" t="str">
        <f>HYPERLINK("https://www.google.com/maps/search/?api=1&amp;query=24.6390005,46.71039808", "View Map")</f>
        <v>View Map</v>
      </c>
    </row>
    <row r="4439" spans="1:7" x14ac:dyDescent="0.3">
      <c r="A4439" t="s">
        <v>8969</v>
      </c>
      <c r="B4439" t="s">
        <v>8970</v>
      </c>
      <c r="C4439" t="s">
        <v>8</v>
      </c>
      <c r="D4439">
        <v>2.4049999999999998</v>
      </c>
      <c r="E4439">
        <v>770</v>
      </c>
      <c r="F4439" t="str">
        <f>HYPERLINK("https://www.google.com/maps/search/?api=1&amp;query=24.82615339,46.60718877", "View Map")</f>
        <v>View Map</v>
      </c>
    </row>
    <row r="4440" spans="1:7" x14ac:dyDescent="0.3">
      <c r="A4440" t="s">
        <v>46</v>
      </c>
      <c r="B4440" t="s">
        <v>8295</v>
      </c>
      <c r="C4440" t="s">
        <v>8</v>
      </c>
      <c r="D4440">
        <v>2.4049999999999998</v>
      </c>
      <c r="E4440">
        <v>769</v>
      </c>
      <c r="F4440" t="str">
        <f>HYPERLINK("https://www.google.com/maps/search/?api=1&amp;query=24.84506878,46.83515774", "View Map")</f>
        <v>View Map</v>
      </c>
    </row>
    <row r="4441" spans="1:7" x14ac:dyDescent="0.3">
      <c r="A4441" t="s">
        <v>3865</v>
      </c>
      <c r="B4441" t="s">
        <v>3866</v>
      </c>
      <c r="C4441" t="s">
        <v>8</v>
      </c>
      <c r="D4441">
        <v>2.4049999999999998</v>
      </c>
      <c r="E4441">
        <v>770</v>
      </c>
      <c r="F4441" t="str">
        <f>HYPERLINK("https://www.google.com/maps/search/?api=1&amp;query=24.54079401,46.64107926", "View Map")</f>
        <v>View Map</v>
      </c>
    </row>
    <row r="4442" spans="1:7" x14ac:dyDescent="0.3">
      <c r="A4442" t="s">
        <v>7441</v>
      </c>
      <c r="B4442" t="s">
        <v>7442</v>
      </c>
      <c r="C4442" t="s">
        <v>393</v>
      </c>
      <c r="D4442">
        <v>2.4049999999999998</v>
      </c>
      <c r="E4442">
        <v>770</v>
      </c>
      <c r="F4442" t="str">
        <f>HYPERLINK("https://www.google.com/maps/search/?api=1&amp;query=22.48739232,45.0480052", "View Map")</f>
        <v>View Map</v>
      </c>
      <c r="G4442" s="2">
        <v>0.75763542122968375</v>
      </c>
    </row>
    <row r="4443" spans="1:7" x14ac:dyDescent="0.3">
      <c r="A4443" t="s">
        <v>5675</v>
      </c>
      <c r="B4443" t="s">
        <v>5676</v>
      </c>
      <c r="C4443" t="s">
        <v>8</v>
      </c>
      <c r="D4443">
        <v>2.4049999999999998</v>
      </c>
      <c r="E4443">
        <v>770</v>
      </c>
      <c r="F4443" t="str">
        <f>HYPERLINK("https://www.google.com/maps/search/?api=1&amp;query=24.82602806,46.88518644", "View Map")</f>
        <v>View Map</v>
      </c>
    </row>
    <row r="4444" spans="1:7" x14ac:dyDescent="0.3">
      <c r="A4444" t="s">
        <v>11635</v>
      </c>
      <c r="B4444" t="s">
        <v>11636</v>
      </c>
      <c r="C4444" t="s">
        <v>8</v>
      </c>
      <c r="D4444">
        <v>2.4039999999999999</v>
      </c>
      <c r="E4444">
        <v>769</v>
      </c>
      <c r="F4444" t="str">
        <f>HYPERLINK("https://www.google.com/maps/search/?api=1&amp;query=24.63798426,46.72439465", "View Map")</f>
        <v>View Map</v>
      </c>
    </row>
    <row r="4445" spans="1:7" x14ac:dyDescent="0.3">
      <c r="A4445" t="s">
        <v>6383</v>
      </c>
      <c r="B4445" t="s">
        <v>6384</v>
      </c>
      <c r="C4445" t="s">
        <v>8</v>
      </c>
      <c r="D4445">
        <v>2.4039999999999999</v>
      </c>
      <c r="E4445">
        <v>769</v>
      </c>
      <c r="F4445" t="str">
        <f>HYPERLINK("https://www.google.com/maps/search/?api=1&amp;query=24.59061519,46.54989312", "View Map")</f>
        <v>View Map</v>
      </c>
    </row>
    <row r="4446" spans="1:7" x14ac:dyDescent="0.3">
      <c r="A4446" t="s">
        <v>11637</v>
      </c>
      <c r="B4446" t="s">
        <v>11638</v>
      </c>
      <c r="C4446" t="s">
        <v>8</v>
      </c>
      <c r="D4446">
        <v>2.4039999999999999</v>
      </c>
      <c r="E4446">
        <v>769</v>
      </c>
      <c r="F4446" t="str">
        <f>HYPERLINK("https://www.google.com/maps/search/?api=1&amp;query=24.59538606,46.76029581", "View Map")</f>
        <v>View Map</v>
      </c>
    </row>
    <row r="4447" spans="1:7" x14ac:dyDescent="0.3">
      <c r="A4447" t="s">
        <v>635</v>
      </c>
      <c r="B4447" t="s">
        <v>5633</v>
      </c>
      <c r="C4447" t="s">
        <v>8</v>
      </c>
      <c r="D4447">
        <v>2.4039999999999999</v>
      </c>
      <c r="E4447">
        <v>769</v>
      </c>
      <c r="F4447" t="str">
        <f>HYPERLINK("https://www.google.com/maps/search/?api=1&amp;query=24.80921546,46.80558422", "View Map")</f>
        <v>View Map</v>
      </c>
    </row>
    <row r="4448" spans="1:7" x14ac:dyDescent="0.3">
      <c r="A4448" t="s">
        <v>4210</v>
      </c>
      <c r="B4448" t="s">
        <v>4211</v>
      </c>
      <c r="C4448" t="s">
        <v>30</v>
      </c>
      <c r="D4448">
        <v>2.403</v>
      </c>
      <c r="E4448">
        <v>769</v>
      </c>
      <c r="F4448" t="str">
        <f>HYPERLINK("https://www.google.com/maps/search/?api=1&amp;query=24.10045,47.29874", "View Map")</f>
        <v>View Map</v>
      </c>
      <c r="G4448" s="2">
        <v>0.33798245056653808</v>
      </c>
    </row>
    <row r="4449" spans="1:7" x14ac:dyDescent="0.3">
      <c r="A4449" t="s">
        <v>46</v>
      </c>
      <c r="B4449" t="s">
        <v>11639</v>
      </c>
      <c r="C4449" t="s">
        <v>8</v>
      </c>
      <c r="D4449">
        <v>2.403</v>
      </c>
      <c r="E4449">
        <v>769</v>
      </c>
      <c r="F4449" t="str">
        <f>HYPERLINK("https://www.google.com/maps/search/?api=1&amp;query=24.82599,46.58453", "View Map")</f>
        <v>View Map</v>
      </c>
    </row>
    <row r="4450" spans="1:7" x14ac:dyDescent="0.3">
      <c r="A4450" t="s">
        <v>7861</v>
      </c>
      <c r="B4450" t="s">
        <v>7862</v>
      </c>
      <c r="C4450" t="s">
        <v>738</v>
      </c>
      <c r="D4450">
        <v>2.403</v>
      </c>
      <c r="E4450">
        <v>769</v>
      </c>
      <c r="F4450" t="str">
        <f>HYPERLINK("https://www.google.com/maps/search/?api=1&amp;query=25.11555308,46.09360325", "View Map")</f>
        <v>View Map</v>
      </c>
      <c r="G4450" s="2">
        <v>0.59684361708397604</v>
      </c>
    </row>
    <row r="4451" spans="1:7" x14ac:dyDescent="0.3">
      <c r="A4451" t="s">
        <v>7167</v>
      </c>
      <c r="B4451" t="s">
        <v>7168</v>
      </c>
      <c r="C4451" t="s">
        <v>214</v>
      </c>
      <c r="D4451">
        <v>2.403</v>
      </c>
      <c r="E4451">
        <v>769</v>
      </c>
      <c r="F4451" t="str">
        <f>HYPERLINK("https://www.google.com/maps/search/?api=1&amp;query=25.64518873,45.5580776", "View Map")</f>
        <v>View Map</v>
      </c>
      <c r="G4451" s="2">
        <v>0.76745139798863315</v>
      </c>
    </row>
    <row r="4452" spans="1:7" x14ac:dyDescent="0.3">
      <c r="A4452" t="s">
        <v>46</v>
      </c>
      <c r="B4452" t="s">
        <v>11640</v>
      </c>
      <c r="C4452" t="s">
        <v>8</v>
      </c>
      <c r="D4452">
        <v>2.403</v>
      </c>
      <c r="E4452">
        <v>769</v>
      </c>
      <c r="F4452" t="str">
        <f>HYPERLINK("https://www.google.com/maps/search/?api=1&amp;query=24.8404422,46.8758918", "View Map")</f>
        <v>View Map</v>
      </c>
    </row>
    <row r="4453" spans="1:7" x14ac:dyDescent="0.3">
      <c r="A4453" t="s">
        <v>11641</v>
      </c>
      <c r="B4453" t="s">
        <v>11642</v>
      </c>
      <c r="C4453" t="s">
        <v>8</v>
      </c>
      <c r="D4453">
        <v>2.4020000000000001</v>
      </c>
      <c r="E4453">
        <v>769</v>
      </c>
      <c r="F4453" t="str">
        <f>HYPERLINK("https://www.google.com/maps/search/?api=1&amp;query=24.52766984,46.71359801", "View Map")</f>
        <v>View Map</v>
      </c>
    </row>
    <row r="4454" spans="1:7" x14ac:dyDescent="0.3">
      <c r="A4454" t="s">
        <v>9245</v>
      </c>
      <c r="B4454" t="s">
        <v>9246</v>
      </c>
      <c r="C4454" t="s">
        <v>255</v>
      </c>
      <c r="D4454">
        <v>2.4020000000000001</v>
      </c>
      <c r="E4454">
        <v>769</v>
      </c>
      <c r="F4454" t="str">
        <f>HYPERLINK("https://www.google.com/maps/search/?api=1&amp;query=24.30310028,43.52037993", "View Map")</f>
        <v>View Map</v>
      </c>
    </row>
    <row r="4455" spans="1:7" x14ac:dyDescent="0.3">
      <c r="A4455" t="s">
        <v>11643</v>
      </c>
      <c r="B4455" t="s">
        <v>11644</v>
      </c>
      <c r="C4455" t="s">
        <v>255</v>
      </c>
      <c r="D4455">
        <v>2.4020000000000001</v>
      </c>
      <c r="E4455">
        <v>769</v>
      </c>
      <c r="F4455" t="str">
        <f>HYPERLINK("https://www.google.com/maps/search/?api=1&amp;query=24.31822505,43.71872808", "View Map")</f>
        <v>View Map</v>
      </c>
    </row>
    <row r="4456" spans="1:7" x14ac:dyDescent="0.3">
      <c r="A4456" t="s">
        <v>9383</v>
      </c>
      <c r="B4456" t="s">
        <v>9384</v>
      </c>
      <c r="C4456" t="s">
        <v>8</v>
      </c>
      <c r="D4456">
        <v>2.4020000000000001</v>
      </c>
      <c r="E4456">
        <v>769</v>
      </c>
      <c r="F4456" t="str">
        <f>HYPERLINK("https://www.google.com/maps/search/?api=1&amp;query=24.80070469,46.6994715", "View Map")</f>
        <v>View Map</v>
      </c>
    </row>
    <row r="4457" spans="1:7" x14ac:dyDescent="0.3">
      <c r="A4457" t="s">
        <v>11645</v>
      </c>
      <c r="B4457" t="s">
        <v>11646</v>
      </c>
      <c r="C4457" t="s">
        <v>286</v>
      </c>
      <c r="D4457">
        <v>2.4009999999999998</v>
      </c>
      <c r="E4457">
        <v>768</v>
      </c>
      <c r="F4457" t="str">
        <f>HYPERLINK("https://www.google.com/maps/search/?api=1&amp;query=25.21739162,45.26745464", "View Map")</f>
        <v>View Map</v>
      </c>
      <c r="G4457" s="2">
        <v>0.51118760297662558</v>
      </c>
    </row>
    <row r="4458" spans="1:7" x14ac:dyDescent="0.3">
      <c r="A4458" t="s">
        <v>4822</v>
      </c>
      <c r="B4458" t="s">
        <v>4823</v>
      </c>
      <c r="C4458" t="s">
        <v>8</v>
      </c>
      <c r="D4458">
        <v>2.4</v>
      </c>
      <c r="E4458">
        <v>768</v>
      </c>
      <c r="F4458" t="str">
        <f>HYPERLINK("https://www.google.com/maps/search/?api=1&amp;query=24.68501402,46.78269899", "View Map")</f>
        <v>View Map</v>
      </c>
    </row>
    <row r="4459" spans="1:7" x14ac:dyDescent="0.3">
      <c r="A4459" t="s">
        <v>6941</v>
      </c>
      <c r="B4459" t="s">
        <v>6942</v>
      </c>
      <c r="C4459" t="s">
        <v>8</v>
      </c>
      <c r="D4459">
        <v>2.4</v>
      </c>
      <c r="E4459">
        <v>768</v>
      </c>
      <c r="F4459" t="str">
        <f>HYPERLINK("https://www.google.com/maps/search/?api=1&amp;query=24.74972807,46.81182744", "View Map")</f>
        <v>View Map</v>
      </c>
    </row>
    <row r="4460" spans="1:7" x14ac:dyDescent="0.3">
      <c r="A4460" t="s">
        <v>1788</v>
      </c>
      <c r="B4460" t="s">
        <v>7641</v>
      </c>
      <c r="C4460" t="s">
        <v>393</v>
      </c>
      <c r="D4460">
        <v>2.4</v>
      </c>
      <c r="E4460">
        <v>768</v>
      </c>
      <c r="F4460" t="str">
        <f>HYPERLINK("https://www.google.com/maps/search/?api=1&amp;query=23.5311592,45.51496745", "View Map")</f>
        <v>View Map</v>
      </c>
      <c r="G4460" s="2">
        <v>0.55440730419354634</v>
      </c>
    </row>
    <row r="4461" spans="1:7" x14ac:dyDescent="0.3">
      <c r="A4461" t="s">
        <v>10274</v>
      </c>
      <c r="B4461" t="s">
        <v>10275</v>
      </c>
      <c r="C4461" t="s">
        <v>883</v>
      </c>
      <c r="D4461">
        <v>2.399</v>
      </c>
      <c r="E4461">
        <v>768</v>
      </c>
      <c r="F4461" t="str">
        <f>HYPERLINK("https://www.google.com/maps/search/?api=1&amp;query=25.53464809,47.17668441", "View Map")</f>
        <v>View Map</v>
      </c>
    </row>
    <row r="4462" spans="1:7" x14ac:dyDescent="0.3">
      <c r="A4462" t="s">
        <v>5125</v>
      </c>
      <c r="B4462" t="s">
        <v>5126</v>
      </c>
      <c r="C4462" t="s">
        <v>214</v>
      </c>
      <c r="D4462">
        <v>2.399</v>
      </c>
      <c r="E4462">
        <v>768</v>
      </c>
      <c r="F4462" t="str">
        <f>HYPERLINK("https://www.google.com/maps/search/?api=1&amp;query=25.91410186,45.37400514", "View Map")</f>
        <v>View Map</v>
      </c>
      <c r="G4462" s="2">
        <v>0.42801238172146377</v>
      </c>
    </row>
    <row r="4463" spans="1:7" x14ac:dyDescent="0.3">
      <c r="A4463" t="s">
        <v>8915</v>
      </c>
      <c r="B4463" t="s">
        <v>8916</v>
      </c>
      <c r="C4463" t="s">
        <v>8</v>
      </c>
      <c r="D4463">
        <v>2.399</v>
      </c>
      <c r="E4463">
        <v>768</v>
      </c>
      <c r="F4463" t="str">
        <f>HYPERLINK("https://www.google.com/maps/search/?api=1&amp;query=24.56762563,46.63359201", "View Map")</f>
        <v>View Map</v>
      </c>
    </row>
    <row r="4464" spans="1:7" x14ac:dyDescent="0.3">
      <c r="A4464" t="s">
        <v>8363</v>
      </c>
      <c r="B4464" t="s">
        <v>8364</v>
      </c>
      <c r="C4464" t="s">
        <v>8</v>
      </c>
      <c r="D4464">
        <v>2.3980000000000001</v>
      </c>
      <c r="E4464">
        <v>767</v>
      </c>
      <c r="F4464" t="str">
        <f>HYPERLINK("https://www.google.com/maps/search/?api=1&amp;query=24.71508193,46.78469468", "View Map")</f>
        <v>View Map</v>
      </c>
      <c r="G4464" s="2">
        <v>0.56618050898362438</v>
      </c>
    </row>
    <row r="4465" spans="1:7" x14ac:dyDescent="0.3">
      <c r="A4465" t="s">
        <v>717</v>
      </c>
      <c r="B4465" t="s">
        <v>11647</v>
      </c>
      <c r="C4465" t="s">
        <v>255</v>
      </c>
      <c r="D4465">
        <v>2.3980000000000001</v>
      </c>
      <c r="E4465">
        <v>767</v>
      </c>
      <c r="F4465" t="str">
        <f>HYPERLINK("https://www.google.com/maps/search/?api=1&amp;query=24.65387584,44.32462482", "View Map")</f>
        <v>View Map</v>
      </c>
      <c r="G4465" s="2">
        <v>0.56156332220382021</v>
      </c>
    </row>
    <row r="4466" spans="1:7" x14ac:dyDescent="0.3">
      <c r="A4466" t="s">
        <v>11648</v>
      </c>
      <c r="B4466" t="s">
        <v>11649</v>
      </c>
      <c r="C4466" t="s">
        <v>364</v>
      </c>
      <c r="D4466">
        <v>2.3980000000000001</v>
      </c>
      <c r="E4466">
        <v>767</v>
      </c>
      <c r="F4466" t="str">
        <f>HYPERLINK("https://www.google.com/maps/search/?api=1&amp;query=25.17233511,45.80092816", "View Map")</f>
        <v>View Map</v>
      </c>
      <c r="G4466" s="2">
        <v>0.68223855558579616</v>
      </c>
    </row>
    <row r="4467" spans="1:7" x14ac:dyDescent="0.3">
      <c r="A4467" t="s">
        <v>9002</v>
      </c>
      <c r="B4467" t="s">
        <v>9003</v>
      </c>
      <c r="C4467" t="s">
        <v>8</v>
      </c>
      <c r="D4467">
        <v>2.3980000000000001</v>
      </c>
      <c r="E4467">
        <v>767</v>
      </c>
      <c r="F4467" t="str">
        <f>HYPERLINK("https://www.google.com/maps/search/?api=1&amp;query=24.63487555,46.69858206", "View Map")</f>
        <v>View Map</v>
      </c>
    </row>
    <row r="4468" spans="1:7" x14ac:dyDescent="0.3">
      <c r="A4468" t="s">
        <v>11650</v>
      </c>
      <c r="B4468" t="s">
        <v>11651</v>
      </c>
      <c r="C4468" t="s">
        <v>8</v>
      </c>
      <c r="D4468">
        <v>2.3980000000000001</v>
      </c>
      <c r="E4468">
        <v>767</v>
      </c>
      <c r="F4468" t="str">
        <f>HYPERLINK("https://www.google.com/maps/search/?api=1&amp;query=24.64122941,46.74697919", "View Map")</f>
        <v>View Map</v>
      </c>
    </row>
    <row r="4469" spans="1:7" x14ac:dyDescent="0.3">
      <c r="A4469" t="s">
        <v>4795</v>
      </c>
      <c r="B4469" t="s">
        <v>4796</v>
      </c>
      <c r="C4469" t="s">
        <v>393</v>
      </c>
      <c r="D4469">
        <v>2.3969999999999998</v>
      </c>
      <c r="E4469">
        <v>767</v>
      </c>
      <c r="F4469" t="str">
        <f>HYPERLINK("https://www.google.com/maps/search/?api=1&amp;query=23.24768865,45.56059288", "View Map")</f>
        <v>View Map</v>
      </c>
      <c r="G4469" s="2">
        <v>0.54938900803746737</v>
      </c>
    </row>
    <row r="4470" spans="1:7" x14ac:dyDescent="0.3">
      <c r="A4470" t="s">
        <v>11652</v>
      </c>
      <c r="B4470" t="s">
        <v>11653</v>
      </c>
      <c r="C4470" t="s">
        <v>8</v>
      </c>
      <c r="D4470">
        <v>2.3969999999999998</v>
      </c>
      <c r="E4470">
        <v>767</v>
      </c>
      <c r="F4470" t="str">
        <f>HYPERLINK("https://www.google.com/maps/search/?api=1&amp;query=24.54613916,46.72204318", "View Map")</f>
        <v>View Map</v>
      </c>
    </row>
    <row r="4471" spans="1:7" x14ac:dyDescent="0.3">
      <c r="A4471" t="s">
        <v>46</v>
      </c>
      <c r="B4471" t="s">
        <v>5248</v>
      </c>
      <c r="C4471" t="s">
        <v>8</v>
      </c>
      <c r="D4471">
        <v>2.3969999999999998</v>
      </c>
      <c r="E4471">
        <v>767</v>
      </c>
      <c r="F4471" t="str">
        <f>HYPERLINK("https://www.google.com/maps/search/?api=1&amp;query=24.71896658,46.66461713", "View Map")</f>
        <v>View Map</v>
      </c>
    </row>
    <row r="4472" spans="1:7" x14ac:dyDescent="0.3">
      <c r="A4472" t="s">
        <v>7637</v>
      </c>
      <c r="B4472" t="s">
        <v>7638</v>
      </c>
      <c r="C4472" t="s">
        <v>8</v>
      </c>
      <c r="D4472">
        <v>2.3959999999999999</v>
      </c>
      <c r="E4472">
        <v>767</v>
      </c>
      <c r="F4472" t="str">
        <f>HYPERLINK("https://www.google.com/maps/search/?api=1&amp;query=24.67718239,46.85305015", "View Map")</f>
        <v>View Map</v>
      </c>
    </row>
    <row r="4473" spans="1:7" x14ac:dyDescent="0.3">
      <c r="A4473" t="s">
        <v>7678</v>
      </c>
      <c r="B4473" t="s">
        <v>7679</v>
      </c>
      <c r="C4473" t="s">
        <v>8</v>
      </c>
      <c r="D4473">
        <v>2.395</v>
      </c>
      <c r="E4473">
        <v>766</v>
      </c>
      <c r="F4473" t="str">
        <f>HYPERLINK("https://www.google.com/maps/search/?api=1&amp;query=24.76838394,46.62415635", "View Map")</f>
        <v>View Map</v>
      </c>
    </row>
    <row r="4474" spans="1:7" x14ac:dyDescent="0.3">
      <c r="A4474" t="s">
        <v>10945</v>
      </c>
      <c r="B4474" t="s">
        <v>10946</v>
      </c>
      <c r="C4474" t="s">
        <v>296</v>
      </c>
      <c r="D4474">
        <v>2.395</v>
      </c>
      <c r="E4474">
        <v>766</v>
      </c>
      <c r="F4474" t="str">
        <f>HYPERLINK("https://www.google.com/maps/search/?api=1&amp;query=24.45616384,46.26639022", "View Map")</f>
        <v>View Map</v>
      </c>
    </row>
    <row r="4475" spans="1:7" x14ac:dyDescent="0.3">
      <c r="A4475" t="s">
        <v>4972</v>
      </c>
      <c r="B4475" t="s">
        <v>4973</v>
      </c>
      <c r="C4475" t="s">
        <v>8</v>
      </c>
      <c r="D4475">
        <v>2.395</v>
      </c>
      <c r="E4475">
        <v>766</v>
      </c>
      <c r="F4475" t="str">
        <f>HYPERLINK("https://www.google.com/maps/search/?api=1&amp;query=24.6119,46.7258", "View Map")</f>
        <v>View Map</v>
      </c>
    </row>
    <row r="4476" spans="1:7" x14ac:dyDescent="0.3">
      <c r="A4476" t="s">
        <v>627</v>
      </c>
      <c r="B4476" t="s">
        <v>2745</v>
      </c>
      <c r="C4476" t="s">
        <v>8</v>
      </c>
      <c r="D4476">
        <v>2.3940000000000001</v>
      </c>
      <c r="E4476">
        <v>766</v>
      </c>
      <c r="F4476" t="str">
        <f>HYPERLINK("https://www.google.com/maps/search/?api=1&amp;query=24.83175644,46.63592022", "View Map")</f>
        <v>View Map</v>
      </c>
      <c r="G4476" s="2">
        <v>0.2176793226025511</v>
      </c>
    </row>
    <row r="4477" spans="1:7" x14ac:dyDescent="0.3">
      <c r="A4477" t="s">
        <v>5485</v>
      </c>
      <c r="B4477" t="s">
        <v>7495</v>
      </c>
      <c r="C4477" t="s">
        <v>214</v>
      </c>
      <c r="D4477">
        <v>2.3940000000000001</v>
      </c>
      <c r="E4477">
        <v>766</v>
      </c>
      <c r="F4477" t="str">
        <f>HYPERLINK("https://www.google.com/maps/search/?api=1&amp;query=25.57334388,45.64161194", "View Map")</f>
        <v>View Map</v>
      </c>
      <c r="G4477" s="2">
        <v>0.72642521718729058</v>
      </c>
    </row>
    <row r="4478" spans="1:7" x14ac:dyDescent="0.3">
      <c r="A4478" t="s">
        <v>7285</v>
      </c>
      <c r="B4478" t="s">
        <v>7286</v>
      </c>
      <c r="C4478" t="s">
        <v>77</v>
      </c>
      <c r="D4478">
        <v>2.3940000000000001</v>
      </c>
      <c r="E4478">
        <v>766</v>
      </c>
      <c r="F4478" t="str">
        <f>HYPERLINK("https://www.google.com/maps/search/?api=1&amp;query=22.29978619,46.73050899", "View Map")</f>
        <v>View Map</v>
      </c>
      <c r="G4478" s="2">
        <v>0.49516153313720229</v>
      </c>
    </row>
    <row r="4479" spans="1:7" x14ac:dyDescent="0.3">
      <c r="A4479" t="s">
        <v>7476</v>
      </c>
      <c r="B4479" t="s">
        <v>7477</v>
      </c>
      <c r="C4479" t="s">
        <v>8</v>
      </c>
      <c r="D4479">
        <v>2.3929999999999998</v>
      </c>
      <c r="E4479">
        <v>766</v>
      </c>
      <c r="F4479" t="str">
        <f>HYPERLINK("https://www.google.com/maps/search/?api=1&amp;query=24.64296183,46.78394715", "View Map")</f>
        <v>View Map</v>
      </c>
    </row>
    <row r="4480" spans="1:7" x14ac:dyDescent="0.3">
      <c r="A4480" t="s">
        <v>7204</v>
      </c>
      <c r="B4480" t="s">
        <v>7205</v>
      </c>
      <c r="C4480" t="s">
        <v>8</v>
      </c>
      <c r="D4480">
        <v>2.3929999999999998</v>
      </c>
      <c r="E4480">
        <v>766</v>
      </c>
      <c r="F4480" t="str">
        <f>HYPERLINK("https://www.google.com/maps/search/?api=1&amp;query=24.80334741,46.68383473", "View Map")</f>
        <v>View Map</v>
      </c>
    </row>
    <row r="4481" spans="1:7" x14ac:dyDescent="0.3">
      <c r="A4481" t="s">
        <v>8675</v>
      </c>
      <c r="B4481" t="s">
        <v>8676</v>
      </c>
      <c r="C4481" t="s">
        <v>255</v>
      </c>
      <c r="D4481">
        <v>2.3929999999999998</v>
      </c>
      <c r="E4481">
        <v>766</v>
      </c>
      <c r="F4481" t="str">
        <f>HYPERLINK("https://www.google.com/maps/search/?api=1&amp;query=24.67293857,43.5509934", "View Map")</f>
        <v>View Map</v>
      </c>
      <c r="G4481" s="2">
        <v>0.81992148801800657</v>
      </c>
    </row>
    <row r="4482" spans="1:7" x14ac:dyDescent="0.3">
      <c r="A4482" t="s">
        <v>11654</v>
      </c>
      <c r="B4482" t="s">
        <v>11655</v>
      </c>
      <c r="C4482" t="s">
        <v>8</v>
      </c>
      <c r="D4482">
        <v>2.3929999999999998</v>
      </c>
      <c r="E4482">
        <v>766</v>
      </c>
      <c r="F4482" t="str">
        <f>HYPERLINK("https://www.google.com/maps/search/?api=1&amp;query=24.5489,46.705", "View Map")</f>
        <v>View Map</v>
      </c>
    </row>
    <row r="4483" spans="1:7" x14ac:dyDescent="0.3">
      <c r="A4483" t="s">
        <v>7825</v>
      </c>
      <c r="B4483" t="s">
        <v>7826</v>
      </c>
      <c r="C4483" t="s">
        <v>442</v>
      </c>
      <c r="D4483">
        <v>2.3929999999999998</v>
      </c>
      <c r="E4483">
        <v>766</v>
      </c>
      <c r="F4483" t="str">
        <f>HYPERLINK("https://www.google.com/maps/search/?api=1&amp;query=23.62101772,46.52938998", "View Map")</f>
        <v>View Map</v>
      </c>
      <c r="G4483" s="2">
        <v>0.55077559982656066</v>
      </c>
    </row>
    <row r="4484" spans="1:7" x14ac:dyDescent="0.3">
      <c r="A4484" t="s">
        <v>46</v>
      </c>
      <c r="B4484" t="s">
        <v>5736</v>
      </c>
      <c r="C4484" t="s">
        <v>8</v>
      </c>
      <c r="D4484">
        <v>2.3919999999999999</v>
      </c>
      <c r="E4484">
        <v>765</v>
      </c>
      <c r="F4484" t="str">
        <f>HYPERLINK("https://www.google.com/maps/search/?api=1&amp;query=24.60634539,46.76231214", "View Map")</f>
        <v>View Map</v>
      </c>
    </row>
    <row r="4485" spans="1:7" x14ac:dyDescent="0.3">
      <c r="A4485" t="s">
        <v>8371</v>
      </c>
      <c r="B4485" t="s">
        <v>8372</v>
      </c>
      <c r="C4485" t="s">
        <v>8</v>
      </c>
      <c r="D4485">
        <v>2.391</v>
      </c>
      <c r="E4485">
        <v>765</v>
      </c>
      <c r="F4485" t="str">
        <f>HYPERLINK("https://www.google.com/maps/search/?api=1&amp;query=24.62418346,46.74383133", "View Map")</f>
        <v>View Map</v>
      </c>
    </row>
    <row r="4486" spans="1:7" x14ac:dyDescent="0.3">
      <c r="A4486" t="s">
        <v>6581</v>
      </c>
      <c r="B4486" t="s">
        <v>6582</v>
      </c>
      <c r="C4486" t="s">
        <v>241</v>
      </c>
      <c r="D4486">
        <v>2.391</v>
      </c>
      <c r="E4486">
        <v>765</v>
      </c>
      <c r="F4486" t="str">
        <f>HYPERLINK("https://www.google.com/maps/search/?api=1&amp;query=20.45253831,44.76353601", "View Map")</f>
        <v>View Map</v>
      </c>
    </row>
    <row r="4487" spans="1:7" x14ac:dyDescent="0.3">
      <c r="A4487" t="s">
        <v>11656</v>
      </c>
      <c r="B4487" t="s">
        <v>11657</v>
      </c>
      <c r="C4487" t="s">
        <v>296</v>
      </c>
      <c r="D4487">
        <v>2.39</v>
      </c>
      <c r="E4487">
        <v>765</v>
      </c>
      <c r="F4487" t="str">
        <f>HYPERLINK("https://www.google.com/maps/search/?api=1&amp;query=23.99478786,46.11261661", "View Map")</f>
        <v>View Map</v>
      </c>
      <c r="G4487" s="2">
        <v>0.48200008915611559</v>
      </c>
    </row>
    <row r="4488" spans="1:7" x14ac:dyDescent="0.3">
      <c r="A4488" t="s">
        <v>8421</v>
      </c>
      <c r="B4488" t="s">
        <v>8422</v>
      </c>
      <c r="C4488" t="s">
        <v>286</v>
      </c>
      <c r="D4488">
        <v>2.39</v>
      </c>
      <c r="E4488">
        <v>765</v>
      </c>
      <c r="F4488" t="str">
        <f>HYPERLINK("https://www.google.com/maps/search/?api=1&amp;query=25.60391299,44.94711541", "View Map")</f>
        <v>View Map</v>
      </c>
      <c r="G4488" s="2">
        <v>0.54611138201215825</v>
      </c>
    </row>
    <row r="4489" spans="1:7" x14ac:dyDescent="0.3">
      <c r="A4489" t="s">
        <v>7604</v>
      </c>
      <c r="B4489" t="s">
        <v>7605</v>
      </c>
      <c r="C4489" t="s">
        <v>393</v>
      </c>
      <c r="D4489">
        <v>2.39</v>
      </c>
      <c r="E4489">
        <v>765</v>
      </c>
      <c r="F4489" t="str">
        <f>HYPERLINK("https://www.google.com/maps/search/?api=1&amp;query=23.54912626,45.51715621", "View Map")</f>
        <v>View Map</v>
      </c>
      <c r="G4489" s="2">
        <v>0.83886765004624675</v>
      </c>
    </row>
    <row r="4490" spans="1:7" x14ac:dyDescent="0.3">
      <c r="A4490" t="s">
        <v>8003</v>
      </c>
      <c r="B4490" t="s">
        <v>8004</v>
      </c>
      <c r="C4490" t="s">
        <v>286</v>
      </c>
      <c r="D4490">
        <v>2.3879999999999999</v>
      </c>
      <c r="E4490">
        <v>764</v>
      </c>
      <c r="F4490" t="str">
        <f>HYPERLINK("https://www.google.com/maps/search/?api=1&amp;query=25.29705924,45.52116583", "View Map")</f>
        <v>View Map</v>
      </c>
    </row>
    <row r="4491" spans="1:7" x14ac:dyDescent="0.3">
      <c r="A4491" t="s">
        <v>7596</v>
      </c>
      <c r="B4491" t="s">
        <v>7597</v>
      </c>
      <c r="C4491" t="s">
        <v>77</v>
      </c>
      <c r="D4491">
        <v>2.387</v>
      </c>
      <c r="E4491">
        <v>764</v>
      </c>
      <c r="F4491" t="str">
        <f>HYPERLINK("https://www.google.com/maps/search/?api=1&amp;query=22.22274896,46.76939288", "View Map")</f>
        <v>View Map</v>
      </c>
      <c r="G4491" s="2">
        <v>0.82443235642391943</v>
      </c>
    </row>
    <row r="4492" spans="1:7" x14ac:dyDescent="0.3">
      <c r="A4492" t="s">
        <v>4396</v>
      </c>
      <c r="B4492" t="s">
        <v>4397</v>
      </c>
      <c r="C4492" t="s">
        <v>8</v>
      </c>
      <c r="D4492">
        <v>2.387</v>
      </c>
      <c r="E4492">
        <v>764</v>
      </c>
      <c r="F4492" t="str">
        <f>HYPERLINK("https://www.google.com/maps/search/?api=1&amp;query=24.71843199,46.85317115", "View Map")</f>
        <v>View Map</v>
      </c>
    </row>
    <row r="4493" spans="1:7" x14ac:dyDescent="0.3">
      <c r="A4493" t="s">
        <v>46</v>
      </c>
      <c r="B4493" t="s">
        <v>11205</v>
      </c>
      <c r="C4493" t="s">
        <v>8</v>
      </c>
      <c r="D4493">
        <v>2.3860000000000001</v>
      </c>
      <c r="E4493">
        <v>764</v>
      </c>
      <c r="F4493" t="str">
        <f>HYPERLINK("https://www.google.com/maps/search/?api=1&amp;query=24.57565674,46.75136896", "View Map")</f>
        <v>View Map</v>
      </c>
    </row>
    <row r="4494" spans="1:7" x14ac:dyDescent="0.3">
      <c r="A4494" t="s">
        <v>8464</v>
      </c>
      <c r="B4494" t="s">
        <v>8465</v>
      </c>
      <c r="C4494" t="s">
        <v>255</v>
      </c>
      <c r="D4494">
        <v>2.3849999999999998</v>
      </c>
      <c r="E4494">
        <v>763</v>
      </c>
      <c r="F4494" t="str">
        <f>HYPERLINK("https://www.google.com/maps/search/?api=1&amp;query=24.73269898,43.79220649", "View Map")</f>
        <v>View Map</v>
      </c>
      <c r="G4494" s="2">
        <v>0.45895328727133899</v>
      </c>
    </row>
    <row r="4495" spans="1:7" x14ac:dyDescent="0.3">
      <c r="A4495" t="s">
        <v>2326</v>
      </c>
      <c r="B4495" t="s">
        <v>4200</v>
      </c>
      <c r="C4495" t="s">
        <v>8</v>
      </c>
      <c r="D4495">
        <v>2.3849999999999998</v>
      </c>
      <c r="E4495">
        <v>763</v>
      </c>
      <c r="F4495" t="str">
        <f>HYPERLINK("https://www.google.com/maps/search/?api=1&amp;query=24.6457,46.66099", "View Map")</f>
        <v>View Map</v>
      </c>
    </row>
    <row r="4496" spans="1:7" x14ac:dyDescent="0.3">
      <c r="A4496" t="s">
        <v>8878</v>
      </c>
      <c r="B4496" t="s">
        <v>8879</v>
      </c>
      <c r="C4496" t="s">
        <v>16</v>
      </c>
      <c r="D4496">
        <v>2.3849999999999998</v>
      </c>
      <c r="E4496">
        <v>763</v>
      </c>
      <c r="F4496" t="str">
        <f>HYPERLINK("https://www.google.com/maps/search/?api=1&amp;query=23.87418717,42.90512872", "View Map")</f>
        <v>View Map</v>
      </c>
    </row>
    <row r="4497" spans="1:7" x14ac:dyDescent="0.3">
      <c r="A4497" t="s">
        <v>1610</v>
      </c>
      <c r="B4497" t="s">
        <v>1611</v>
      </c>
      <c r="C4497" t="s">
        <v>214</v>
      </c>
      <c r="D4497">
        <v>2.3849999999999998</v>
      </c>
      <c r="E4497">
        <v>763</v>
      </c>
      <c r="F4497" t="str">
        <f>HYPERLINK("https://www.google.com/maps/search/?api=1&amp;query=25.90511935,45.36353574", "View Map")</f>
        <v>View Map</v>
      </c>
    </row>
    <row r="4498" spans="1:7" x14ac:dyDescent="0.3">
      <c r="A4498" t="s">
        <v>7302</v>
      </c>
      <c r="B4498" t="s">
        <v>7303</v>
      </c>
      <c r="C4498" t="s">
        <v>55</v>
      </c>
      <c r="D4498">
        <v>2.3839999999999999</v>
      </c>
      <c r="E4498">
        <v>763</v>
      </c>
      <c r="F4498" t="str">
        <f>HYPERLINK("https://www.google.com/maps/search/?api=1&amp;query=24.99390048,46.20736634", "View Map")</f>
        <v>View Map</v>
      </c>
      <c r="G4498" s="2">
        <v>0.44512580830733461</v>
      </c>
    </row>
    <row r="4499" spans="1:7" x14ac:dyDescent="0.3">
      <c r="A4499" t="s">
        <v>11658</v>
      </c>
      <c r="B4499" t="s">
        <v>11659</v>
      </c>
      <c r="C4499" t="s">
        <v>55</v>
      </c>
      <c r="D4499">
        <v>2.3839999999999999</v>
      </c>
      <c r="E4499">
        <v>763</v>
      </c>
      <c r="F4499" t="str">
        <f>HYPERLINK("https://www.google.com/maps/search/?api=1&amp;query=24.89538591,46.4466874", "View Map")</f>
        <v>View Map</v>
      </c>
    </row>
    <row r="4500" spans="1:7" x14ac:dyDescent="0.3">
      <c r="A4500" t="s">
        <v>146</v>
      </c>
      <c r="B4500" t="s">
        <v>4275</v>
      </c>
      <c r="C4500" t="s">
        <v>8</v>
      </c>
      <c r="D4500">
        <v>2.383</v>
      </c>
      <c r="E4500">
        <v>763</v>
      </c>
      <c r="F4500" t="str">
        <f>HYPERLINK("https://www.google.com/maps/search/?api=1&amp;query=24.54381215,46.65745286", "View Map")</f>
        <v>View Map</v>
      </c>
    </row>
    <row r="4501" spans="1:7" x14ac:dyDescent="0.3">
      <c r="A4501" t="s">
        <v>11137</v>
      </c>
      <c r="B4501" t="s">
        <v>11138</v>
      </c>
      <c r="C4501" t="s">
        <v>8</v>
      </c>
      <c r="D4501">
        <v>2.383</v>
      </c>
      <c r="E4501">
        <v>763</v>
      </c>
      <c r="F4501" t="str">
        <f>HYPERLINK("https://www.google.com/maps/search/?api=1&amp;query=24.61597068,46.7530875", "View Map")</f>
        <v>View Map</v>
      </c>
    </row>
    <row r="4502" spans="1:7" x14ac:dyDescent="0.3">
      <c r="A4502" t="s">
        <v>46</v>
      </c>
      <c r="B4502" t="s">
        <v>2325</v>
      </c>
      <c r="C4502" t="s">
        <v>8</v>
      </c>
      <c r="D4502">
        <v>2.383</v>
      </c>
      <c r="E4502">
        <v>762</v>
      </c>
      <c r="F4502" t="str">
        <f>HYPERLINK("https://www.google.com/maps/search/?api=1&amp;query=24.93119984,46.8152622", "View Map")</f>
        <v>View Map</v>
      </c>
      <c r="G4502" s="2">
        <v>0.1635915308036292</v>
      </c>
    </row>
    <row r="4503" spans="1:7" x14ac:dyDescent="0.3">
      <c r="A4503" t="s">
        <v>6643</v>
      </c>
      <c r="B4503" t="s">
        <v>8953</v>
      </c>
      <c r="C4503" t="s">
        <v>8</v>
      </c>
      <c r="D4503">
        <v>2.3820000000000001</v>
      </c>
      <c r="E4503">
        <v>762</v>
      </c>
      <c r="F4503" t="str">
        <f>HYPERLINK("https://www.google.com/maps/search/?api=1&amp;query=24.54571948,46.73362385", "View Map")</f>
        <v>View Map</v>
      </c>
    </row>
    <row r="4504" spans="1:7" x14ac:dyDescent="0.3">
      <c r="A4504" t="s">
        <v>7613</v>
      </c>
      <c r="B4504" t="s">
        <v>7614</v>
      </c>
      <c r="C4504" t="s">
        <v>214</v>
      </c>
      <c r="D4504">
        <v>2.3820000000000001</v>
      </c>
      <c r="E4504">
        <v>762</v>
      </c>
      <c r="F4504" t="str">
        <f>HYPERLINK("https://www.google.com/maps/search/?api=1&amp;query=25.92662524,45.37010619", "View Map")</f>
        <v>View Map</v>
      </c>
      <c r="G4504" s="2">
        <v>0.85255041756459404</v>
      </c>
    </row>
    <row r="4505" spans="1:7" x14ac:dyDescent="0.3">
      <c r="A4505" t="s">
        <v>11660</v>
      </c>
      <c r="B4505" t="s">
        <v>11661</v>
      </c>
      <c r="C4505" t="s">
        <v>8</v>
      </c>
      <c r="D4505">
        <v>2.3820000000000001</v>
      </c>
      <c r="E4505">
        <v>762</v>
      </c>
      <c r="F4505" t="str">
        <f>HYPERLINK("https://www.google.com/maps/search/?api=1&amp;query=24.58634703,46.67322838", "View Map")</f>
        <v>View Map</v>
      </c>
    </row>
    <row r="4506" spans="1:7" x14ac:dyDescent="0.3">
      <c r="A4506" t="s">
        <v>11662</v>
      </c>
      <c r="B4506" t="s">
        <v>11663</v>
      </c>
      <c r="C4506" t="s">
        <v>8</v>
      </c>
      <c r="D4506">
        <v>2.3809999999999998</v>
      </c>
      <c r="E4506">
        <v>762</v>
      </c>
      <c r="F4506" t="str">
        <f>HYPERLINK("https://www.google.com/maps/search/?api=1&amp;query=24.63946649,46.72296125", "View Map")</f>
        <v>View Map</v>
      </c>
    </row>
    <row r="4507" spans="1:7" x14ac:dyDescent="0.3">
      <c r="A4507" t="s">
        <v>1273</v>
      </c>
      <c r="B4507" t="s">
        <v>9031</v>
      </c>
      <c r="C4507" t="s">
        <v>241</v>
      </c>
      <c r="D4507">
        <v>2.38</v>
      </c>
      <c r="E4507">
        <v>762</v>
      </c>
      <c r="F4507" t="str">
        <f>HYPERLINK("https://www.google.com/maps/search/?api=1&amp;query=20.42855621,44.88673964", "View Map")</f>
        <v>View Map</v>
      </c>
    </row>
    <row r="4508" spans="1:7" x14ac:dyDescent="0.3">
      <c r="A4508" t="s">
        <v>9518</v>
      </c>
      <c r="B4508" t="s">
        <v>9519</v>
      </c>
      <c r="C4508" t="s">
        <v>30</v>
      </c>
      <c r="D4508">
        <v>2.38</v>
      </c>
      <c r="E4508">
        <v>762</v>
      </c>
      <c r="F4508" t="str">
        <f>HYPERLINK("https://www.google.com/maps/search/?api=1&amp;query=24.09504013,47.25841481", "View Map")</f>
        <v>View Map</v>
      </c>
    </row>
    <row r="4509" spans="1:7" x14ac:dyDescent="0.3">
      <c r="A4509" t="s">
        <v>146</v>
      </c>
      <c r="B4509" t="s">
        <v>8563</v>
      </c>
      <c r="C4509" t="s">
        <v>8</v>
      </c>
      <c r="D4509">
        <v>2.38</v>
      </c>
      <c r="E4509">
        <v>762</v>
      </c>
      <c r="F4509" t="str">
        <f>HYPERLINK("https://www.google.com/maps/search/?api=1&amp;query=24.55363955,46.6674507", "View Map")</f>
        <v>View Map</v>
      </c>
    </row>
    <row r="4510" spans="1:7" x14ac:dyDescent="0.3">
      <c r="A4510" t="s">
        <v>9198</v>
      </c>
      <c r="B4510" t="s">
        <v>9199</v>
      </c>
      <c r="C4510" t="s">
        <v>8</v>
      </c>
      <c r="D4510">
        <v>2.38</v>
      </c>
      <c r="E4510">
        <v>762</v>
      </c>
      <c r="F4510" t="str">
        <f>HYPERLINK("https://www.google.com/maps/search/?api=1&amp;query=24.80620942,46.80617566", "View Map")</f>
        <v>View Map</v>
      </c>
    </row>
    <row r="4511" spans="1:7" x14ac:dyDescent="0.3">
      <c r="A4511" t="s">
        <v>8279</v>
      </c>
      <c r="B4511" t="s">
        <v>8280</v>
      </c>
      <c r="C4511" t="s">
        <v>214</v>
      </c>
      <c r="D4511">
        <v>2.38</v>
      </c>
      <c r="E4511">
        <v>762</v>
      </c>
      <c r="F4511" t="str">
        <f>HYPERLINK("https://www.google.com/maps/search/?api=1&amp;query=25.89795472,45.36878002", "View Map")</f>
        <v>View Map</v>
      </c>
      <c r="G4511" s="2">
        <v>0.70206762500181308</v>
      </c>
    </row>
    <row r="4512" spans="1:7" x14ac:dyDescent="0.3">
      <c r="A4512" t="s">
        <v>6092</v>
      </c>
      <c r="B4512" t="s">
        <v>6093</v>
      </c>
      <c r="C4512" t="s">
        <v>393</v>
      </c>
      <c r="D4512">
        <v>2.379</v>
      </c>
      <c r="E4512">
        <v>761</v>
      </c>
      <c r="F4512" t="str">
        <f>HYPERLINK("https://www.google.com/maps/search/?api=1&amp;query=22.61213618,45.06822492", "View Map")</f>
        <v>View Map</v>
      </c>
      <c r="G4512" s="2">
        <v>0.35657386557101789</v>
      </c>
    </row>
    <row r="4513" spans="1:7" x14ac:dyDescent="0.3">
      <c r="A4513" t="s">
        <v>6344</v>
      </c>
      <c r="B4513" t="s">
        <v>6345</v>
      </c>
      <c r="C4513" t="s">
        <v>8</v>
      </c>
      <c r="D4513">
        <v>2.3780000000000001</v>
      </c>
      <c r="E4513">
        <v>761</v>
      </c>
      <c r="F4513" t="str">
        <f>HYPERLINK("https://www.google.com/maps/search/?api=1&amp;query=24.65203114,46.73855587", "View Map")</f>
        <v>View Map</v>
      </c>
    </row>
    <row r="4514" spans="1:7" x14ac:dyDescent="0.3">
      <c r="A4514" t="s">
        <v>1286</v>
      </c>
      <c r="B4514" t="s">
        <v>1287</v>
      </c>
      <c r="C4514" t="s">
        <v>8</v>
      </c>
      <c r="D4514">
        <v>2.3780000000000001</v>
      </c>
      <c r="E4514">
        <v>761</v>
      </c>
      <c r="F4514" t="str">
        <f>HYPERLINK("https://www.google.com/maps/search/?api=1&amp;query=24.63736913,46.55090118", "View Map")</f>
        <v>View Map</v>
      </c>
    </row>
    <row r="4515" spans="1:7" x14ac:dyDescent="0.3">
      <c r="A4515" t="s">
        <v>1788</v>
      </c>
      <c r="B4515" t="s">
        <v>10174</v>
      </c>
      <c r="C4515" t="s">
        <v>393</v>
      </c>
      <c r="D4515">
        <v>2.3759999999999999</v>
      </c>
      <c r="E4515">
        <v>760</v>
      </c>
      <c r="F4515" t="str">
        <f>HYPERLINK("https://www.google.com/maps/search/?api=1&amp;query=23.27130064,45.22166751", "View Map")</f>
        <v>View Map</v>
      </c>
      <c r="G4515" s="2">
        <v>0.89368591765377703</v>
      </c>
    </row>
    <row r="4516" spans="1:7" x14ac:dyDescent="0.3">
      <c r="A4516" t="s">
        <v>4024</v>
      </c>
      <c r="B4516" t="s">
        <v>4025</v>
      </c>
      <c r="C4516" t="s">
        <v>8</v>
      </c>
      <c r="D4516">
        <v>2.3759999999999999</v>
      </c>
      <c r="E4516">
        <v>760</v>
      </c>
      <c r="F4516" t="str">
        <f>HYPERLINK("https://www.google.com/maps/search/?api=1&amp;query=24.59958837,46.72868665", "View Map")</f>
        <v>View Map</v>
      </c>
    </row>
    <row r="4517" spans="1:7" x14ac:dyDescent="0.3">
      <c r="A4517" t="s">
        <v>46</v>
      </c>
      <c r="B4517" t="s">
        <v>5697</v>
      </c>
      <c r="C4517" t="s">
        <v>8</v>
      </c>
      <c r="D4517">
        <v>2.375</v>
      </c>
      <c r="E4517">
        <v>760</v>
      </c>
      <c r="F4517" t="str">
        <f>HYPERLINK("https://www.google.com/maps/search/?api=1&amp;query=24.83323989,46.77611144", "View Map")</f>
        <v>View Map</v>
      </c>
    </row>
    <row r="4518" spans="1:7" x14ac:dyDescent="0.3">
      <c r="A4518" t="s">
        <v>3319</v>
      </c>
      <c r="B4518" t="s">
        <v>3320</v>
      </c>
      <c r="C4518" t="s">
        <v>8</v>
      </c>
      <c r="D4518">
        <v>2.375</v>
      </c>
      <c r="E4518">
        <v>760</v>
      </c>
      <c r="F4518" t="str">
        <f>HYPERLINK("https://www.google.com/maps/search/?api=1&amp;query=24.7340109,46.6118178", "View Map")</f>
        <v>View Map</v>
      </c>
    </row>
    <row r="4519" spans="1:7" x14ac:dyDescent="0.3">
      <c r="A4519" t="s">
        <v>3827</v>
      </c>
      <c r="B4519" t="s">
        <v>3828</v>
      </c>
      <c r="C4519" t="s">
        <v>296</v>
      </c>
      <c r="D4519">
        <v>2.375</v>
      </c>
      <c r="E4519">
        <v>760</v>
      </c>
      <c r="F4519" t="str">
        <f>HYPERLINK("https://www.google.com/maps/search/?api=1&amp;query=24.46633171,46.29407999", "View Map")</f>
        <v>View Map</v>
      </c>
      <c r="G4519" s="2">
        <v>0.89588466730607608</v>
      </c>
    </row>
    <row r="4520" spans="1:7" x14ac:dyDescent="0.3">
      <c r="A4520" t="s">
        <v>7464</v>
      </c>
      <c r="B4520" t="s">
        <v>7465</v>
      </c>
      <c r="C4520" t="s">
        <v>16</v>
      </c>
      <c r="D4520">
        <v>2.3740000000000001</v>
      </c>
      <c r="E4520">
        <v>760</v>
      </c>
      <c r="F4520" t="str">
        <f>HYPERLINK("https://www.google.com/maps/search/?api=1&amp;query=24.2716162,43.38823934", "View Map")</f>
        <v>View Map</v>
      </c>
      <c r="G4520" s="2">
        <v>0.41410510348872259</v>
      </c>
    </row>
    <row r="4521" spans="1:7" x14ac:dyDescent="0.3">
      <c r="A4521" t="s">
        <v>9479</v>
      </c>
      <c r="B4521" t="s">
        <v>9480</v>
      </c>
      <c r="C4521" t="s">
        <v>8</v>
      </c>
      <c r="D4521">
        <v>2.3740000000000001</v>
      </c>
      <c r="E4521">
        <v>760</v>
      </c>
      <c r="F4521" t="str">
        <f>HYPERLINK("https://www.google.com/maps/search/?api=1&amp;query=24.56736661,46.70338406", "View Map")</f>
        <v>View Map</v>
      </c>
    </row>
    <row r="4522" spans="1:7" x14ac:dyDescent="0.3">
      <c r="A4522" t="s">
        <v>46</v>
      </c>
      <c r="B4522" t="s">
        <v>10761</v>
      </c>
      <c r="C4522" t="s">
        <v>8</v>
      </c>
      <c r="D4522">
        <v>2.3740000000000001</v>
      </c>
      <c r="E4522">
        <v>760</v>
      </c>
      <c r="F4522" t="str">
        <f>HYPERLINK("https://www.google.com/maps/search/?api=1&amp;query=24.74720507,46.62626778", "View Map")</f>
        <v>View Map</v>
      </c>
    </row>
    <row r="4523" spans="1:7" x14ac:dyDescent="0.3">
      <c r="A4523" t="s">
        <v>8487</v>
      </c>
      <c r="B4523" t="s">
        <v>8488</v>
      </c>
      <c r="C4523" t="s">
        <v>738</v>
      </c>
      <c r="D4523">
        <v>2.3740000000000001</v>
      </c>
      <c r="E4523">
        <v>760</v>
      </c>
      <c r="F4523" t="str">
        <f>HYPERLINK("https://www.google.com/maps/search/?api=1&amp;query=25.14176635,46.1628676", "View Map")</f>
        <v>View Map</v>
      </c>
    </row>
    <row r="4524" spans="1:7" x14ac:dyDescent="0.3">
      <c r="A4524" t="s">
        <v>10510</v>
      </c>
      <c r="B4524" t="s">
        <v>10511</v>
      </c>
      <c r="C4524" t="s">
        <v>8</v>
      </c>
      <c r="D4524">
        <v>2.3740000000000001</v>
      </c>
      <c r="E4524">
        <v>760</v>
      </c>
      <c r="F4524" t="str">
        <f>HYPERLINK("https://www.google.com/maps/search/?api=1&amp;query=24.56508027,46.6890892", "View Map")</f>
        <v>View Map</v>
      </c>
    </row>
    <row r="4525" spans="1:7" x14ac:dyDescent="0.3">
      <c r="A4525" t="s">
        <v>5831</v>
      </c>
      <c r="B4525" t="s">
        <v>5832</v>
      </c>
      <c r="C4525" t="s">
        <v>214</v>
      </c>
      <c r="D4525">
        <v>2.3740000000000001</v>
      </c>
      <c r="E4525">
        <v>760</v>
      </c>
      <c r="F4525" t="str">
        <f>HYPERLINK("https://www.google.com/maps/search/?api=1&amp;query=25.91211118,45.39332884", "View Map")</f>
        <v>View Map</v>
      </c>
      <c r="G4525" s="2">
        <v>0.34842510545604999</v>
      </c>
    </row>
    <row r="4526" spans="1:7" x14ac:dyDescent="0.3">
      <c r="A4526" t="s">
        <v>5363</v>
      </c>
      <c r="B4526" t="s">
        <v>5364</v>
      </c>
      <c r="C4526" t="s">
        <v>8</v>
      </c>
      <c r="D4526">
        <v>2.3730000000000002</v>
      </c>
      <c r="E4526">
        <v>759</v>
      </c>
      <c r="F4526" t="str">
        <f>HYPERLINK("https://www.google.com/maps/search/?api=1&amp;query=24.5558777,46.79015483", "View Map")</f>
        <v>View Map</v>
      </c>
    </row>
    <row r="4527" spans="1:7" x14ac:dyDescent="0.3">
      <c r="A4527" t="s">
        <v>11664</v>
      </c>
      <c r="B4527" t="s">
        <v>11665</v>
      </c>
      <c r="C4527" t="s">
        <v>255</v>
      </c>
      <c r="D4527">
        <v>2.3730000000000002</v>
      </c>
      <c r="E4527">
        <v>759</v>
      </c>
      <c r="F4527" t="str">
        <f>HYPERLINK("https://www.google.com/maps/search/?api=1&amp;query=25.06485746,44.70855275", "View Map")</f>
        <v>View Map</v>
      </c>
      <c r="G4527" s="2">
        <v>0.51523456601668938</v>
      </c>
    </row>
    <row r="4528" spans="1:7" x14ac:dyDescent="0.3">
      <c r="A4528" t="s">
        <v>11666</v>
      </c>
      <c r="B4528" t="s">
        <v>11667</v>
      </c>
      <c r="C4528" t="s">
        <v>883</v>
      </c>
      <c r="D4528">
        <v>2.3719999999999999</v>
      </c>
      <c r="E4528">
        <v>759</v>
      </c>
      <c r="F4528" t="str">
        <f>HYPERLINK("https://www.google.com/maps/search/?api=1&amp;query=25.57244643,46.97292442", "View Map")</f>
        <v>View Map</v>
      </c>
    </row>
    <row r="4529" spans="1:7" x14ac:dyDescent="0.3">
      <c r="A4529" t="s">
        <v>8884</v>
      </c>
      <c r="B4529" t="s">
        <v>8885</v>
      </c>
      <c r="C4529" t="s">
        <v>291</v>
      </c>
      <c r="D4529">
        <v>2.3719999999999999</v>
      </c>
      <c r="E4529">
        <v>759</v>
      </c>
      <c r="F4529" t="str">
        <f>HYPERLINK("https://www.google.com/maps/search/?api=1&amp;query=24.26124115,44.81552931", "View Map")</f>
        <v>View Map</v>
      </c>
      <c r="G4529" s="2">
        <v>0.8264673167081642</v>
      </c>
    </row>
    <row r="4530" spans="1:7" x14ac:dyDescent="0.3">
      <c r="A4530" t="s">
        <v>11668</v>
      </c>
      <c r="B4530" t="s">
        <v>11669</v>
      </c>
      <c r="C4530" t="s">
        <v>8</v>
      </c>
      <c r="D4530">
        <v>2.3719999999999999</v>
      </c>
      <c r="E4530">
        <v>759</v>
      </c>
      <c r="F4530" t="str">
        <f>HYPERLINK("https://www.google.com/maps/search/?api=1&amp;query=24.54293969,46.72050705", "View Map")</f>
        <v>View Map</v>
      </c>
    </row>
    <row r="4531" spans="1:7" x14ac:dyDescent="0.3">
      <c r="A4531" t="s">
        <v>10085</v>
      </c>
      <c r="B4531" t="s">
        <v>10086</v>
      </c>
      <c r="C4531" t="s">
        <v>8</v>
      </c>
      <c r="D4531">
        <v>2.3719999999999999</v>
      </c>
      <c r="E4531">
        <v>759</v>
      </c>
      <c r="F4531" t="str">
        <f>HYPERLINK("https://www.google.com/maps/search/?api=1&amp;query=24.68107705,46.78706511", "View Map")</f>
        <v>View Map</v>
      </c>
    </row>
    <row r="4532" spans="1:7" x14ac:dyDescent="0.3">
      <c r="A4532" t="s">
        <v>9708</v>
      </c>
      <c r="B4532" t="s">
        <v>9709</v>
      </c>
      <c r="C4532" t="s">
        <v>214</v>
      </c>
      <c r="D4532">
        <v>2.371</v>
      </c>
      <c r="E4532">
        <v>759</v>
      </c>
      <c r="F4532" t="str">
        <f>HYPERLINK("https://www.google.com/maps/search/?api=1&amp;query=25.62337307,45.57722311", "View Map")</f>
        <v>View Map</v>
      </c>
      <c r="G4532" s="2">
        <v>0.64905776244387814</v>
      </c>
    </row>
    <row r="4533" spans="1:7" x14ac:dyDescent="0.3">
      <c r="A4533" t="s">
        <v>7799</v>
      </c>
      <c r="B4533" t="s">
        <v>7800</v>
      </c>
      <c r="C4533" t="s">
        <v>1112</v>
      </c>
      <c r="D4533">
        <v>2.371</v>
      </c>
      <c r="E4533">
        <v>759</v>
      </c>
      <c r="F4533" t="str">
        <f>HYPERLINK("https://www.google.com/maps/search/?api=1&amp;query=26.02088717,44.95291706", "View Map")</f>
        <v>View Map</v>
      </c>
      <c r="G4533" s="2">
        <v>0.629596791538647</v>
      </c>
    </row>
    <row r="4534" spans="1:7" x14ac:dyDescent="0.3">
      <c r="A4534" t="s">
        <v>7651</v>
      </c>
      <c r="B4534" t="s">
        <v>7652</v>
      </c>
      <c r="C4534" t="s">
        <v>77</v>
      </c>
      <c r="D4534">
        <v>2.371</v>
      </c>
      <c r="E4534">
        <v>759</v>
      </c>
      <c r="F4534" t="str">
        <f>HYPERLINK("https://www.google.com/maps/search/?api=1&amp;query=22.28931011,46.71558238", "View Map")</f>
        <v>View Map</v>
      </c>
    </row>
    <row r="4535" spans="1:7" x14ac:dyDescent="0.3">
      <c r="A4535" t="s">
        <v>8373</v>
      </c>
      <c r="B4535" t="s">
        <v>8374</v>
      </c>
      <c r="C4535" t="s">
        <v>77</v>
      </c>
      <c r="D4535">
        <v>2.37</v>
      </c>
      <c r="E4535">
        <v>758</v>
      </c>
      <c r="F4535" t="str">
        <f>HYPERLINK("https://www.google.com/maps/search/?api=1&amp;query=21.99171928,45.94410003", "View Map")</f>
        <v>View Map</v>
      </c>
    </row>
    <row r="4536" spans="1:7" x14ac:dyDescent="0.3">
      <c r="A4536" t="s">
        <v>11670</v>
      </c>
      <c r="B4536" t="s">
        <v>11671</v>
      </c>
      <c r="C4536" t="s">
        <v>270</v>
      </c>
      <c r="D4536">
        <v>2.37</v>
      </c>
      <c r="E4536">
        <v>758</v>
      </c>
      <c r="F4536" t="str">
        <f>HYPERLINK("https://www.google.com/maps/search/?api=1&amp;query=23.98965598,47.11856822", "View Map")</f>
        <v>View Map</v>
      </c>
    </row>
    <row r="4537" spans="1:7" x14ac:dyDescent="0.3">
      <c r="A4537" t="s">
        <v>5463</v>
      </c>
      <c r="B4537" t="s">
        <v>5464</v>
      </c>
      <c r="C4537" t="s">
        <v>8</v>
      </c>
      <c r="D4537">
        <v>2.37</v>
      </c>
      <c r="E4537">
        <v>758</v>
      </c>
      <c r="F4537" t="str">
        <f>HYPERLINK("https://www.google.com/maps/search/?api=1&amp;query=24.81176894,46.59821957", "View Map")</f>
        <v>View Map</v>
      </c>
    </row>
    <row r="4538" spans="1:7" x14ac:dyDescent="0.3">
      <c r="A4538" t="s">
        <v>46</v>
      </c>
      <c r="B4538" t="s">
        <v>9117</v>
      </c>
      <c r="C4538" t="s">
        <v>8</v>
      </c>
      <c r="D4538">
        <v>2.3690000000000002</v>
      </c>
      <c r="E4538">
        <v>758</v>
      </c>
      <c r="F4538" t="str">
        <f>HYPERLINK("https://www.google.com/maps/search/?api=1&amp;query=24.89404675,46.63021478", "View Map")</f>
        <v>View Map</v>
      </c>
    </row>
    <row r="4539" spans="1:7" x14ac:dyDescent="0.3">
      <c r="A4539" t="s">
        <v>678</v>
      </c>
      <c r="B4539" t="s">
        <v>7568</v>
      </c>
      <c r="C4539" t="s">
        <v>21</v>
      </c>
      <c r="D4539">
        <v>2.3690000000000002</v>
      </c>
      <c r="E4539">
        <v>758</v>
      </c>
      <c r="F4539" t="str">
        <f>HYPERLINK("https://www.google.com/maps/search/?api=1&amp;query=26.27988985,44.81217049", "View Map")</f>
        <v>View Map</v>
      </c>
      <c r="G4539" s="2">
        <v>0.45850121868505889</v>
      </c>
    </row>
    <row r="4540" spans="1:7" x14ac:dyDescent="0.3">
      <c r="A4540" t="s">
        <v>9807</v>
      </c>
      <c r="B4540" t="s">
        <v>9808</v>
      </c>
      <c r="C4540" t="s">
        <v>255</v>
      </c>
      <c r="D4540">
        <v>2.3679999999999999</v>
      </c>
      <c r="E4540">
        <v>758</v>
      </c>
      <c r="F4540" t="str">
        <f>HYPERLINK("https://www.google.com/maps/search/?api=1&amp;query=24.73012832,44.30650819", "View Map")</f>
        <v>View Map</v>
      </c>
      <c r="G4540" s="2">
        <v>0.54723874627705349</v>
      </c>
    </row>
    <row r="4541" spans="1:7" x14ac:dyDescent="0.3">
      <c r="A4541" t="s">
        <v>7460</v>
      </c>
      <c r="B4541" t="s">
        <v>7461</v>
      </c>
      <c r="C4541" t="s">
        <v>8</v>
      </c>
      <c r="D4541">
        <v>2.3679999999999999</v>
      </c>
      <c r="E4541">
        <v>758</v>
      </c>
      <c r="F4541" t="str">
        <f>HYPERLINK("https://www.google.com/maps/search/?api=1&amp;query=24.58412341,46.55240009", "View Map")</f>
        <v>View Map</v>
      </c>
    </row>
    <row r="4542" spans="1:7" x14ac:dyDescent="0.3">
      <c r="A4542" t="s">
        <v>10350</v>
      </c>
      <c r="B4542" t="s">
        <v>10351</v>
      </c>
      <c r="C4542" t="s">
        <v>255</v>
      </c>
      <c r="D4542">
        <v>2.3679999999999999</v>
      </c>
      <c r="E4542">
        <v>758</v>
      </c>
      <c r="F4542" t="str">
        <f>HYPERLINK("https://www.google.com/maps/search/?api=1&amp;query=24.53348459,44.40622392", "View Map")</f>
        <v>View Map</v>
      </c>
      <c r="G4542" s="2">
        <v>0.52083293376009865</v>
      </c>
    </row>
    <row r="4543" spans="1:7" x14ac:dyDescent="0.3">
      <c r="A4543" t="s">
        <v>7671</v>
      </c>
      <c r="B4543" t="s">
        <v>7672</v>
      </c>
      <c r="C4543" t="s">
        <v>21</v>
      </c>
      <c r="D4543">
        <v>2.3679999999999999</v>
      </c>
      <c r="E4543">
        <v>758</v>
      </c>
      <c r="F4543" t="str">
        <f>HYPERLINK("https://www.google.com/maps/search/?api=1&amp;query=26.30793282,44.82039906", "View Map")</f>
        <v>View Map</v>
      </c>
      <c r="G4543" s="2">
        <v>0.51199395891169486</v>
      </c>
    </row>
    <row r="4544" spans="1:7" x14ac:dyDescent="0.3">
      <c r="A4544" t="s">
        <v>3152</v>
      </c>
      <c r="B4544" t="s">
        <v>3153</v>
      </c>
      <c r="C4544" t="s">
        <v>8</v>
      </c>
      <c r="D4544">
        <v>2.3679999999999999</v>
      </c>
      <c r="E4544">
        <v>758</v>
      </c>
      <c r="F4544" t="str">
        <f>HYPERLINK("https://www.google.com/maps/search/?api=1&amp;query=24.7644474,46.67268185", "View Map")</f>
        <v>View Map</v>
      </c>
    </row>
    <row r="4545" spans="1:7" x14ac:dyDescent="0.3">
      <c r="A4545" t="s">
        <v>8839</v>
      </c>
      <c r="B4545" t="s">
        <v>8840</v>
      </c>
      <c r="C4545" t="s">
        <v>8</v>
      </c>
      <c r="D4545">
        <v>2.367</v>
      </c>
      <c r="E4545">
        <v>757</v>
      </c>
      <c r="F4545" t="str">
        <f>HYPERLINK("https://www.google.com/maps/search/?api=1&amp;query=24.86473785,46.64968371", "View Map")</f>
        <v>View Map</v>
      </c>
    </row>
    <row r="4546" spans="1:7" x14ac:dyDescent="0.3">
      <c r="A4546" t="s">
        <v>7094</v>
      </c>
      <c r="B4546" t="s">
        <v>7095</v>
      </c>
      <c r="C4546" t="s">
        <v>8</v>
      </c>
      <c r="D4546">
        <v>2.367</v>
      </c>
      <c r="E4546">
        <v>757</v>
      </c>
      <c r="F4546" t="str">
        <f>HYPERLINK("https://www.google.com/maps/search/?api=1&amp;query=24.80220353,46.64023386", "View Map")</f>
        <v>View Map</v>
      </c>
    </row>
    <row r="4547" spans="1:7" x14ac:dyDescent="0.3">
      <c r="A4547" t="s">
        <v>146</v>
      </c>
      <c r="B4547" t="s">
        <v>8815</v>
      </c>
      <c r="C4547" t="s">
        <v>8</v>
      </c>
      <c r="D4547">
        <v>2.3660000000000001</v>
      </c>
      <c r="E4547">
        <v>757</v>
      </c>
      <c r="F4547" t="str">
        <f>HYPERLINK("https://www.google.com/maps/search/?api=1&amp;query=24.55363955,46.6674507", "View Map")</f>
        <v>View Map</v>
      </c>
    </row>
    <row r="4548" spans="1:7" x14ac:dyDescent="0.3">
      <c r="A4548" t="s">
        <v>7085</v>
      </c>
      <c r="B4548" t="s">
        <v>7086</v>
      </c>
      <c r="C4548" t="s">
        <v>699</v>
      </c>
      <c r="D4548">
        <v>2.3660000000000001</v>
      </c>
      <c r="E4548">
        <v>757</v>
      </c>
      <c r="F4548" t="str">
        <f>HYPERLINK("https://www.google.com/maps/search/?api=1&amp;query=25.06817734,45.46543435", "View Map")</f>
        <v>View Map</v>
      </c>
      <c r="G4548" s="2">
        <v>0.43074785048332581</v>
      </c>
    </row>
    <row r="4549" spans="1:7" x14ac:dyDescent="0.3">
      <c r="A4549" t="s">
        <v>11672</v>
      </c>
      <c r="B4549" t="s">
        <v>11673</v>
      </c>
      <c r="C4549" t="s">
        <v>214</v>
      </c>
      <c r="D4549">
        <v>2.3650000000000002</v>
      </c>
      <c r="E4549">
        <v>757</v>
      </c>
      <c r="F4549" t="str">
        <f>HYPERLINK("https://www.google.com/maps/search/?api=1&amp;query=25.95406305,45.34984469", "View Map")</f>
        <v>View Map</v>
      </c>
      <c r="G4549" s="2">
        <v>0.42324185882767129</v>
      </c>
    </row>
    <row r="4550" spans="1:7" x14ac:dyDescent="0.3">
      <c r="A4550" t="s">
        <v>7333</v>
      </c>
      <c r="B4550" t="s">
        <v>7334</v>
      </c>
      <c r="C4550" t="s">
        <v>255</v>
      </c>
      <c r="D4550">
        <v>2.3650000000000002</v>
      </c>
      <c r="E4550">
        <v>757</v>
      </c>
      <c r="F4550" t="str">
        <f>HYPERLINK("https://www.google.com/maps/search/?api=1&amp;query=24.52523711,44.28189732", "View Map")</f>
        <v>View Map</v>
      </c>
      <c r="G4550" s="2">
        <v>0.71205448336874266</v>
      </c>
    </row>
    <row r="4551" spans="1:7" x14ac:dyDescent="0.3">
      <c r="A4551" t="s">
        <v>10943</v>
      </c>
      <c r="B4551" t="s">
        <v>10944</v>
      </c>
      <c r="C4551" t="s">
        <v>8</v>
      </c>
      <c r="D4551">
        <v>2.3650000000000002</v>
      </c>
      <c r="E4551">
        <v>757</v>
      </c>
      <c r="F4551" t="str">
        <f>HYPERLINK("https://www.google.com/maps/search/?api=1&amp;query=24.67433018,46.81185633", "View Map")</f>
        <v>View Map</v>
      </c>
    </row>
    <row r="4552" spans="1:7" x14ac:dyDescent="0.3">
      <c r="A4552" t="s">
        <v>11674</v>
      </c>
      <c r="B4552" t="s">
        <v>11675</v>
      </c>
      <c r="C4552" t="s">
        <v>466</v>
      </c>
      <c r="D4552">
        <v>2.3639999999999999</v>
      </c>
      <c r="E4552">
        <v>756</v>
      </c>
      <c r="F4552" t="str">
        <f>HYPERLINK("https://www.google.com/maps/search/?api=1&amp;query=24.48880287,46.36998394", "View Map")</f>
        <v>View Map</v>
      </c>
      <c r="G4552" s="2">
        <v>0.97685536453948274</v>
      </c>
    </row>
    <row r="4553" spans="1:7" x14ac:dyDescent="0.3">
      <c r="A4553" t="s">
        <v>2926</v>
      </c>
      <c r="B4553" t="s">
        <v>5009</v>
      </c>
      <c r="C4553" t="s">
        <v>8</v>
      </c>
      <c r="D4553">
        <v>2.3639999999999999</v>
      </c>
      <c r="E4553">
        <v>756</v>
      </c>
      <c r="F4553" t="str">
        <f>HYPERLINK("https://www.google.com/maps/search/?api=1&amp;query=24.59745902,46.63510843", "View Map")</f>
        <v>View Map</v>
      </c>
    </row>
    <row r="4554" spans="1:7" x14ac:dyDescent="0.3">
      <c r="A4554" t="s">
        <v>4564</v>
      </c>
      <c r="B4554" t="s">
        <v>11676</v>
      </c>
      <c r="C4554" t="s">
        <v>8</v>
      </c>
      <c r="D4554">
        <v>2.3639999999999999</v>
      </c>
      <c r="E4554">
        <v>756</v>
      </c>
      <c r="F4554" t="str">
        <f>HYPERLINK("https://www.google.com/maps/search/?api=1&amp;query=24.54554412,46.71511112", "View Map")</f>
        <v>View Map</v>
      </c>
    </row>
    <row r="4555" spans="1:7" x14ac:dyDescent="0.3">
      <c r="A4555" t="s">
        <v>5429</v>
      </c>
      <c r="B4555" t="s">
        <v>5430</v>
      </c>
      <c r="C4555" t="s">
        <v>8</v>
      </c>
      <c r="D4555">
        <v>2.3639999999999999</v>
      </c>
      <c r="E4555">
        <v>757</v>
      </c>
      <c r="F4555" t="str">
        <f>HYPERLINK("https://www.google.com/maps/search/?api=1&amp;query=24.80040579,46.71023779", "View Map")</f>
        <v>View Map</v>
      </c>
    </row>
    <row r="4556" spans="1:7" x14ac:dyDescent="0.3">
      <c r="A4556" t="s">
        <v>46</v>
      </c>
      <c r="B4556" t="s">
        <v>11200</v>
      </c>
      <c r="C4556" t="s">
        <v>8</v>
      </c>
      <c r="D4556">
        <v>2.363</v>
      </c>
      <c r="E4556">
        <v>756</v>
      </c>
      <c r="F4556" t="str">
        <f>HYPERLINK("https://www.google.com/maps/search/?api=1&amp;query=24.8711394,46.66222365", "View Map")</f>
        <v>View Map</v>
      </c>
    </row>
    <row r="4557" spans="1:7" x14ac:dyDescent="0.3">
      <c r="A4557" t="s">
        <v>6385</v>
      </c>
      <c r="B4557" t="s">
        <v>6386</v>
      </c>
      <c r="C4557" t="s">
        <v>8</v>
      </c>
      <c r="D4557">
        <v>2.363</v>
      </c>
      <c r="E4557">
        <v>756</v>
      </c>
      <c r="F4557" t="str">
        <f>HYPERLINK("https://www.google.com/maps/search/?api=1&amp;query=24.63142561,46.55495993", "View Map")</f>
        <v>View Map</v>
      </c>
    </row>
    <row r="4558" spans="1:7" x14ac:dyDescent="0.3">
      <c r="A4558" t="s">
        <v>6255</v>
      </c>
      <c r="B4558" t="s">
        <v>6256</v>
      </c>
      <c r="C4558" t="s">
        <v>8</v>
      </c>
      <c r="D4558">
        <v>2.363</v>
      </c>
      <c r="E4558">
        <v>756</v>
      </c>
      <c r="F4558" t="str">
        <f>HYPERLINK("https://www.google.com/maps/search/?api=1&amp;query=24.54813471,46.73042738", "View Map")</f>
        <v>View Map</v>
      </c>
    </row>
    <row r="4559" spans="1:7" x14ac:dyDescent="0.3">
      <c r="A4559" t="s">
        <v>146</v>
      </c>
      <c r="B4559" t="s">
        <v>2889</v>
      </c>
      <c r="C4559" t="s">
        <v>8</v>
      </c>
      <c r="D4559">
        <v>2.3620000000000001</v>
      </c>
      <c r="E4559">
        <v>756</v>
      </c>
      <c r="F4559" t="str">
        <f>HYPERLINK("https://www.google.com/maps/search/?api=1&amp;query=24.54522849,46.5181886", "View Map")</f>
        <v>View Map</v>
      </c>
    </row>
    <row r="4560" spans="1:7" x14ac:dyDescent="0.3">
      <c r="A4560" t="s">
        <v>7320</v>
      </c>
      <c r="B4560" t="s">
        <v>7321</v>
      </c>
      <c r="C4560" t="s">
        <v>8</v>
      </c>
      <c r="D4560">
        <v>2.3610000000000002</v>
      </c>
      <c r="E4560">
        <v>756</v>
      </c>
      <c r="F4560" t="str">
        <f>HYPERLINK("https://www.google.com/maps/search/?api=1&amp;query=24.63137116,46.71816224", "View Map")</f>
        <v>View Map</v>
      </c>
    </row>
    <row r="4561" spans="1:7" x14ac:dyDescent="0.3">
      <c r="A4561" t="s">
        <v>10400</v>
      </c>
      <c r="B4561" t="s">
        <v>10401</v>
      </c>
      <c r="C4561" t="s">
        <v>393</v>
      </c>
      <c r="D4561">
        <v>2.36</v>
      </c>
      <c r="E4561">
        <v>755</v>
      </c>
      <c r="F4561" t="str">
        <f>HYPERLINK("https://www.google.com/maps/search/?api=1&amp;query=23.56318566,45.56510243", "View Map")</f>
        <v>View Map</v>
      </c>
      <c r="G4561" s="2">
        <v>0.42624062871959312</v>
      </c>
    </row>
    <row r="4562" spans="1:7" x14ac:dyDescent="0.3">
      <c r="A4562" t="s">
        <v>8637</v>
      </c>
      <c r="B4562" t="s">
        <v>8638</v>
      </c>
      <c r="C4562" t="s">
        <v>8</v>
      </c>
      <c r="D4562">
        <v>2.36</v>
      </c>
      <c r="E4562">
        <v>755</v>
      </c>
      <c r="F4562" t="str">
        <f>HYPERLINK("https://www.google.com/maps/search/?api=1&amp;query=24.63111757,46.69551872", "View Map")</f>
        <v>View Map</v>
      </c>
    </row>
    <row r="4563" spans="1:7" x14ac:dyDescent="0.3">
      <c r="A4563" t="s">
        <v>7119</v>
      </c>
      <c r="B4563" t="s">
        <v>7120</v>
      </c>
      <c r="C4563" t="s">
        <v>393</v>
      </c>
      <c r="D4563">
        <v>2.36</v>
      </c>
      <c r="E4563">
        <v>755</v>
      </c>
      <c r="F4563" t="str">
        <f>HYPERLINK("https://www.google.com/maps/search/?api=1&amp;query=23.5529337,45.56590553", "View Map")</f>
        <v>View Map</v>
      </c>
      <c r="G4563" s="2">
        <v>0.89153642408266942</v>
      </c>
    </row>
    <row r="4564" spans="1:7" x14ac:dyDescent="0.3">
      <c r="A4564" t="s">
        <v>3898</v>
      </c>
      <c r="B4564" t="s">
        <v>3899</v>
      </c>
      <c r="C4564" t="s">
        <v>21</v>
      </c>
      <c r="D4564">
        <v>2.36</v>
      </c>
      <c r="E4564">
        <v>755</v>
      </c>
      <c r="F4564" t="str">
        <f>HYPERLINK("https://www.google.com/maps/search/?api=1&amp;query=26.31173364,44.80579245", "View Map")</f>
        <v>View Map</v>
      </c>
      <c r="G4564" s="2">
        <v>0.27517656058512369</v>
      </c>
    </row>
    <row r="4565" spans="1:7" x14ac:dyDescent="0.3">
      <c r="A4565" t="s">
        <v>9501</v>
      </c>
      <c r="B4565" t="s">
        <v>9502</v>
      </c>
      <c r="C4565" t="s">
        <v>8</v>
      </c>
      <c r="D4565">
        <v>2.3580000000000001</v>
      </c>
      <c r="E4565">
        <v>755</v>
      </c>
      <c r="F4565" t="str">
        <f>HYPERLINK("https://www.google.com/maps/search/?api=1&amp;query=24.7765541,46.7093087", "View Map")</f>
        <v>View Map</v>
      </c>
    </row>
    <row r="4566" spans="1:7" x14ac:dyDescent="0.3">
      <c r="A4566" t="s">
        <v>6128</v>
      </c>
      <c r="B4566" t="s">
        <v>6129</v>
      </c>
      <c r="C4566" t="s">
        <v>8</v>
      </c>
      <c r="D4566">
        <v>2.3580000000000001</v>
      </c>
      <c r="E4566">
        <v>755</v>
      </c>
      <c r="F4566" t="str">
        <f>HYPERLINK("https://www.google.com/maps/search/?api=1&amp;query=24.80983245,46.88281636", "View Map")</f>
        <v>View Map</v>
      </c>
    </row>
    <row r="4567" spans="1:7" x14ac:dyDescent="0.3">
      <c r="A4567" t="s">
        <v>7758</v>
      </c>
      <c r="B4567" t="s">
        <v>7759</v>
      </c>
      <c r="C4567" t="s">
        <v>214</v>
      </c>
      <c r="D4567">
        <v>2.3580000000000001</v>
      </c>
      <c r="E4567">
        <v>755</v>
      </c>
      <c r="F4567" t="str">
        <f>HYPERLINK("https://www.google.com/maps/search/?api=1&amp;query=25.70407186,45.44915608", "View Map")</f>
        <v>View Map</v>
      </c>
      <c r="G4567" s="2">
        <v>0.59543251727990598</v>
      </c>
    </row>
    <row r="4568" spans="1:7" x14ac:dyDescent="0.3">
      <c r="A4568" t="s">
        <v>11677</v>
      </c>
      <c r="B4568" t="s">
        <v>11678</v>
      </c>
      <c r="C4568" t="s">
        <v>8</v>
      </c>
      <c r="D4568">
        <v>2.3570000000000002</v>
      </c>
      <c r="E4568">
        <v>754</v>
      </c>
      <c r="F4568" t="str">
        <f>HYPERLINK("https://www.google.com/maps/search/?api=1&amp;query=24.53776775,46.71987256", "View Map")</f>
        <v>View Map</v>
      </c>
    </row>
    <row r="4569" spans="1:7" x14ac:dyDescent="0.3">
      <c r="A4569" t="s">
        <v>9010</v>
      </c>
      <c r="B4569" t="s">
        <v>9011</v>
      </c>
      <c r="C4569" t="s">
        <v>16</v>
      </c>
      <c r="D4569">
        <v>2.3570000000000002</v>
      </c>
      <c r="E4569">
        <v>754</v>
      </c>
      <c r="F4569" t="str">
        <f>HYPERLINK("https://www.google.com/maps/search/?api=1&amp;query=24.43843781,42.17207021", "View Map")</f>
        <v>View Map</v>
      </c>
      <c r="G4569" s="2">
        <v>0.66804740274061614</v>
      </c>
    </row>
    <row r="4570" spans="1:7" x14ac:dyDescent="0.3">
      <c r="A4570" t="s">
        <v>7936</v>
      </c>
      <c r="B4570" t="s">
        <v>7937</v>
      </c>
      <c r="C4570" t="s">
        <v>8</v>
      </c>
      <c r="D4570">
        <v>2.3570000000000002</v>
      </c>
      <c r="E4570">
        <v>754</v>
      </c>
      <c r="F4570" t="str">
        <f>HYPERLINK("https://www.google.com/maps/search/?api=1&amp;query=24.82670287,46.74016395", "View Map")</f>
        <v>View Map</v>
      </c>
    </row>
    <row r="4571" spans="1:7" x14ac:dyDescent="0.3">
      <c r="A4571" t="s">
        <v>46</v>
      </c>
      <c r="B4571" t="s">
        <v>3154</v>
      </c>
      <c r="C4571" t="s">
        <v>8</v>
      </c>
      <c r="D4571">
        <v>2.3559999999999999</v>
      </c>
      <c r="E4571">
        <v>754</v>
      </c>
      <c r="F4571" t="str">
        <f>HYPERLINK("https://www.google.com/maps/search/?api=1&amp;query=24.92525789,46.82341566", "View Map")</f>
        <v>View Map</v>
      </c>
    </row>
    <row r="4572" spans="1:7" x14ac:dyDescent="0.3">
      <c r="A4572" t="s">
        <v>3512</v>
      </c>
      <c r="B4572" t="s">
        <v>3513</v>
      </c>
      <c r="C4572" t="s">
        <v>8</v>
      </c>
      <c r="D4572">
        <v>2.3559999999999999</v>
      </c>
      <c r="E4572">
        <v>754</v>
      </c>
      <c r="F4572" t="str">
        <f>HYPERLINK("https://www.google.com/maps/search/?api=1&amp;query=24.68195724,46.80076332", "View Map")</f>
        <v>View Map</v>
      </c>
    </row>
    <row r="4573" spans="1:7" x14ac:dyDescent="0.3">
      <c r="A4573" t="s">
        <v>8966</v>
      </c>
      <c r="B4573" t="s">
        <v>8967</v>
      </c>
      <c r="C4573" t="s">
        <v>8</v>
      </c>
      <c r="D4573">
        <v>2.3559999999999999</v>
      </c>
      <c r="E4573">
        <v>754</v>
      </c>
      <c r="F4573" t="str">
        <f>HYPERLINK("https://www.google.com/maps/search/?api=1&amp;query=24.54896168,46.71110261", "View Map")</f>
        <v>View Map</v>
      </c>
    </row>
    <row r="4574" spans="1:7" x14ac:dyDescent="0.3">
      <c r="A4574" t="s">
        <v>46</v>
      </c>
      <c r="B4574" t="s">
        <v>7201</v>
      </c>
      <c r="C4574" t="s">
        <v>8</v>
      </c>
      <c r="D4574">
        <v>2.355</v>
      </c>
      <c r="E4574">
        <v>754</v>
      </c>
      <c r="F4574" t="str">
        <f>HYPERLINK("https://www.google.com/maps/search/?api=1&amp;query=24.83368578,46.78245431", "View Map")</f>
        <v>View Map</v>
      </c>
    </row>
    <row r="4575" spans="1:7" x14ac:dyDescent="0.3">
      <c r="A4575" t="s">
        <v>5729</v>
      </c>
      <c r="B4575" t="s">
        <v>5730</v>
      </c>
      <c r="C4575" t="s">
        <v>255</v>
      </c>
      <c r="D4575">
        <v>2.355</v>
      </c>
      <c r="E4575">
        <v>754</v>
      </c>
      <c r="F4575" t="str">
        <f>HYPERLINK("https://www.google.com/maps/search/?api=1&amp;query=25.10946853,44.68382297", "View Map")</f>
        <v>View Map</v>
      </c>
      <c r="G4575" s="2">
        <v>0.32207142108827108</v>
      </c>
    </row>
    <row r="4576" spans="1:7" x14ac:dyDescent="0.3">
      <c r="A4576" t="s">
        <v>10852</v>
      </c>
      <c r="B4576" t="s">
        <v>10853</v>
      </c>
      <c r="C4576" t="s">
        <v>21</v>
      </c>
      <c r="D4576">
        <v>2.3540000000000001</v>
      </c>
      <c r="E4576">
        <v>753</v>
      </c>
      <c r="F4576" t="str">
        <f>HYPERLINK("https://www.google.com/maps/search/?api=1&amp;query=26.30694233,44.79703388", "View Map")</f>
        <v>View Map</v>
      </c>
      <c r="G4576" s="2">
        <v>0.53958457517538638</v>
      </c>
    </row>
    <row r="4577" spans="1:7" x14ac:dyDescent="0.3">
      <c r="A4577" t="s">
        <v>9318</v>
      </c>
      <c r="B4577" t="s">
        <v>9319</v>
      </c>
      <c r="C4577" t="s">
        <v>296</v>
      </c>
      <c r="D4577">
        <v>2.3530000000000002</v>
      </c>
      <c r="E4577">
        <v>753</v>
      </c>
      <c r="F4577" t="str">
        <f>HYPERLINK("https://www.google.com/maps/search/?api=1&amp;query=24.1438262,46.20031372", "View Map")</f>
        <v>View Map</v>
      </c>
      <c r="G4577" s="2">
        <v>0.56871730253071417</v>
      </c>
    </row>
    <row r="4578" spans="1:7" x14ac:dyDescent="0.3">
      <c r="A4578" t="s">
        <v>8017</v>
      </c>
      <c r="B4578" t="s">
        <v>8018</v>
      </c>
      <c r="C4578" t="s">
        <v>393</v>
      </c>
      <c r="D4578">
        <v>2.3530000000000002</v>
      </c>
      <c r="E4578">
        <v>753</v>
      </c>
      <c r="F4578" t="str">
        <f>HYPERLINK("https://www.google.com/maps/search/?api=1&amp;query=23.51494114,45.52594087", "View Map")</f>
        <v>View Map</v>
      </c>
      <c r="G4578" s="2">
        <v>0.87538304892681806</v>
      </c>
    </row>
    <row r="4579" spans="1:7" x14ac:dyDescent="0.3">
      <c r="A4579" t="s">
        <v>73</v>
      </c>
      <c r="B4579" t="s">
        <v>5897</v>
      </c>
      <c r="C4579" t="s">
        <v>8</v>
      </c>
      <c r="D4579">
        <v>2.3519999999999999</v>
      </c>
      <c r="E4579">
        <v>753</v>
      </c>
      <c r="F4579" t="str">
        <f>HYPERLINK("https://www.google.com/maps/search/?api=1&amp;query=24.78219735,46.70454254", "View Map")</f>
        <v>View Map</v>
      </c>
    </row>
    <row r="4580" spans="1:7" x14ac:dyDescent="0.3">
      <c r="A4580" t="s">
        <v>146</v>
      </c>
      <c r="B4580" t="s">
        <v>1942</v>
      </c>
      <c r="C4580" t="s">
        <v>8</v>
      </c>
      <c r="D4580">
        <v>2.351</v>
      </c>
      <c r="E4580">
        <v>752</v>
      </c>
      <c r="F4580" t="str">
        <f>HYPERLINK("https://www.google.com/maps/search/?api=1&amp;query=24.6239875,46.8026029", "View Map")</f>
        <v>View Map</v>
      </c>
    </row>
    <row r="4581" spans="1:7" x14ac:dyDescent="0.3">
      <c r="A4581" t="s">
        <v>9697</v>
      </c>
      <c r="B4581" t="s">
        <v>9698</v>
      </c>
      <c r="C4581" t="s">
        <v>8</v>
      </c>
      <c r="D4581">
        <v>2.351</v>
      </c>
      <c r="E4581">
        <v>752</v>
      </c>
      <c r="F4581" t="str">
        <f>HYPERLINK("https://www.google.com/maps/search/?api=1&amp;query=24.73699554,46.81157946", "View Map")</f>
        <v>View Map</v>
      </c>
    </row>
    <row r="4582" spans="1:7" x14ac:dyDescent="0.3">
      <c r="A4582" t="s">
        <v>2281</v>
      </c>
      <c r="B4582" t="s">
        <v>5295</v>
      </c>
      <c r="C4582" t="s">
        <v>8</v>
      </c>
      <c r="D4582">
        <v>2.35</v>
      </c>
      <c r="E4582">
        <v>752</v>
      </c>
      <c r="F4582" t="str">
        <f>HYPERLINK("https://www.google.com/maps/search/?api=1&amp;query=24.70929126,46.81763592", "View Map")</f>
        <v>View Map</v>
      </c>
    </row>
    <row r="4583" spans="1:7" x14ac:dyDescent="0.3">
      <c r="A4583" t="s">
        <v>9209</v>
      </c>
      <c r="B4583" t="s">
        <v>9210</v>
      </c>
      <c r="C4583" t="s">
        <v>16</v>
      </c>
      <c r="D4583">
        <v>2.35</v>
      </c>
      <c r="E4583">
        <v>752</v>
      </c>
      <c r="F4583" t="str">
        <f>HYPERLINK("https://www.google.com/maps/search/?api=1&amp;query=23.90508652,42.89932751", "View Map")</f>
        <v>View Map</v>
      </c>
    </row>
    <row r="4584" spans="1:7" x14ac:dyDescent="0.3">
      <c r="A4584" t="s">
        <v>46</v>
      </c>
      <c r="B4584" t="s">
        <v>5023</v>
      </c>
      <c r="C4584" t="s">
        <v>8</v>
      </c>
      <c r="D4584">
        <v>2.35</v>
      </c>
      <c r="E4584">
        <v>752</v>
      </c>
      <c r="F4584" t="str">
        <f>HYPERLINK("https://www.google.com/maps/search/?api=1&amp;query=24.83021863,46.80539429", "View Map")</f>
        <v>View Map</v>
      </c>
    </row>
    <row r="4585" spans="1:7" x14ac:dyDescent="0.3">
      <c r="A4585" t="s">
        <v>9772</v>
      </c>
      <c r="B4585" t="s">
        <v>9773</v>
      </c>
      <c r="C4585" t="s">
        <v>8</v>
      </c>
      <c r="D4585">
        <v>2.35</v>
      </c>
      <c r="E4585">
        <v>752</v>
      </c>
      <c r="F4585" t="str">
        <f>HYPERLINK("https://www.google.com/maps/search/?api=1&amp;query=24.70717407,46.83091194", "View Map")</f>
        <v>View Map</v>
      </c>
    </row>
    <row r="4586" spans="1:7" x14ac:dyDescent="0.3">
      <c r="A4586" t="s">
        <v>881</v>
      </c>
      <c r="B4586" t="s">
        <v>11679</v>
      </c>
      <c r="C4586" t="s">
        <v>214</v>
      </c>
      <c r="D4586">
        <v>2.35</v>
      </c>
      <c r="E4586">
        <v>752</v>
      </c>
      <c r="F4586" t="str">
        <f>HYPERLINK("https://www.google.com/maps/search/?api=1&amp;query=26.05560399,45.34903847", "View Map")</f>
        <v>View Map</v>
      </c>
      <c r="G4586" s="2">
        <v>0.9194120007047637</v>
      </c>
    </row>
    <row r="4587" spans="1:7" x14ac:dyDescent="0.3">
      <c r="A4587" t="s">
        <v>5898</v>
      </c>
      <c r="B4587" t="s">
        <v>9105</v>
      </c>
      <c r="C4587" t="s">
        <v>8</v>
      </c>
      <c r="D4587">
        <v>2.35</v>
      </c>
      <c r="E4587">
        <v>752</v>
      </c>
      <c r="F4587" t="str">
        <f>HYPERLINK("https://www.google.com/maps/search/?api=1&amp;query=24.59049145,46.53907667", "View Map")</f>
        <v>View Map</v>
      </c>
    </row>
    <row r="4588" spans="1:7" x14ac:dyDescent="0.3">
      <c r="A4588" t="s">
        <v>1933</v>
      </c>
      <c r="B4588" t="s">
        <v>1934</v>
      </c>
      <c r="C4588" t="s">
        <v>77</v>
      </c>
      <c r="D4588">
        <v>2.3490000000000002</v>
      </c>
      <c r="E4588">
        <v>752</v>
      </c>
      <c r="F4588" t="str">
        <f>HYPERLINK("https://www.google.com/maps/search/?api=1&amp;query=21.99418848,45.95933308", "View Map")</f>
        <v>View Map</v>
      </c>
    </row>
    <row r="4589" spans="1:7" x14ac:dyDescent="0.3">
      <c r="A4589" t="s">
        <v>9687</v>
      </c>
      <c r="B4589" t="s">
        <v>9688</v>
      </c>
      <c r="C4589" t="s">
        <v>8</v>
      </c>
      <c r="D4589">
        <v>2.3490000000000002</v>
      </c>
      <c r="E4589">
        <v>752</v>
      </c>
      <c r="F4589" t="str">
        <f>HYPERLINK("https://www.google.com/maps/search/?api=1&amp;query=24.62014752,46.53059992", "View Map")</f>
        <v>View Map</v>
      </c>
    </row>
    <row r="4590" spans="1:7" x14ac:dyDescent="0.3">
      <c r="A4590" t="s">
        <v>11680</v>
      </c>
      <c r="B4590" t="s">
        <v>11681</v>
      </c>
      <c r="C4590" t="s">
        <v>286</v>
      </c>
      <c r="D4590">
        <v>2.3490000000000002</v>
      </c>
      <c r="E4590">
        <v>752</v>
      </c>
      <c r="F4590" t="str">
        <f>HYPERLINK("https://www.google.com/maps/search/?api=1&amp;query=25.23092126,45.25887953", "View Map")</f>
        <v>View Map</v>
      </c>
    </row>
    <row r="4591" spans="1:7" x14ac:dyDescent="0.3">
      <c r="A4591" t="s">
        <v>46</v>
      </c>
      <c r="B4591" t="s">
        <v>11682</v>
      </c>
      <c r="C4591" t="s">
        <v>8</v>
      </c>
      <c r="D4591">
        <v>2.3479999999999999</v>
      </c>
      <c r="E4591">
        <v>751</v>
      </c>
      <c r="F4591" t="str">
        <f>HYPERLINK("https://www.google.com/maps/search/?api=1&amp;query=24.81894733,46.84077115", "View Map")</f>
        <v>View Map</v>
      </c>
    </row>
    <row r="4592" spans="1:7" x14ac:dyDescent="0.3">
      <c r="A4592" t="s">
        <v>146</v>
      </c>
      <c r="B4592" t="s">
        <v>2811</v>
      </c>
      <c r="C4592" t="s">
        <v>8</v>
      </c>
      <c r="D4592">
        <v>2.3479999999999999</v>
      </c>
      <c r="E4592">
        <v>751</v>
      </c>
      <c r="F4592" t="str">
        <f>HYPERLINK("https://www.google.com/maps/search/?api=1&amp;query=24.57499557,46.57905643", "View Map")</f>
        <v>View Map</v>
      </c>
    </row>
    <row r="4593" spans="1:7" x14ac:dyDescent="0.3">
      <c r="A4593" t="s">
        <v>1726</v>
      </c>
      <c r="B4593" t="s">
        <v>1727</v>
      </c>
      <c r="C4593" t="s">
        <v>8</v>
      </c>
      <c r="D4593">
        <v>2.347</v>
      </c>
      <c r="E4593">
        <v>751</v>
      </c>
      <c r="F4593" t="str">
        <f>HYPERLINK("https://www.google.com/maps/search/?api=1&amp;query=24.73424269,46.77802372", "View Map")</f>
        <v>View Map</v>
      </c>
    </row>
    <row r="4594" spans="1:7" x14ac:dyDescent="0.3">
      <c r="A4594" t="s">
        <v>11293</v>
      </c>
      <c r="B4594" t="s">
        <v>11294</v>
      </c>
      <c r="C4594" t="s">
        <v>77</v>
      </c>
      <c r="D4594">
        <v>2.347</v>
      </c>
      <c r="E4594">
        <v>751</v>
      </c>
      <c r="F4594" t="str">
        <f>HYPERLINK("https://www.google.com/maps/search/?api=1&amp;query=22.31736012,46.72595035", "View Map")</f>
        <v>View Map</v>
      </c>
      <c r="G4594" s="2">
        <v>0.78178592666996494</v>
      </c>
    </row>
    <row r="4595" spans="1:7" x14ac:dyDescent="0.3">
      <c r="A4595" t="s">
        <v>8222</v>
      </c>
      <c r="B4595" t="s">
        <v>8223</v>
      </c>
      <c r="C4595" t="s">
        <v>8</v>
      </c>
      <c r="D4595">
        <v>2.347</v>
      </c>
      <c r="E4595">
        <v>751</v>
      </c>
      <c r="F4595" t="str">
        <f>HYPERLINK("https://www.google.com/maps/search/?api=1&amp;query=24.56410447,46.90034296", "View Map")</f>
        <v>View Map</v>
      </c>
      <c r="G4595" s="2">
        <v>0.42748123553922801</v>
      </c>
    </row>
    <row r="4596" spans="1:7" x14ac:dyDescent="0.3">
      <c r="A4596" t="s">
        <v>4873</v>
      </c>
      <c r="B4596" t="s">
        <v>4874</v>
      </c>
      <c r="C4596" t="s">
        <v>8</v>
      </c>
      <c r="D4596">
        <v>2.3460000000000001</v>
      </c>
      <c r="E4596">
        <v>751</v>
      </c>
      <c r="F4596" t="str">
        <f>HYPERLINK("https://www.google.com/maps/search/?api=1&amp;query=24.57570091,46.75938962", "View Map")</f>
        <v>View Map</v>
      </c>
    </row>
    <row r="4597" spans="1:7" x14ac:dyDescent="0.3">
      <c r="A4597" t="s">
        <v>4276</v>
      </c>
      <c r="B4597" t="s">
        <v>4277</v>
      </c>
      <c r="C4597" t="s">
        <v>8</v>
      </c>
      <c r="D4597">
        <v>2.3460000000000001</v>
      </c>
      <c r="E4597">
        <v>751</v>
      </c>
      <c r="F4597" t="str">
        <f>HYPERLINK("https://www.google.com/maps/search/?api=1&amp;query=24.61911409,46.7281169", "View Map")</f>
        <v>View Map</v>
      </c>
    </row>
    <row r="4598" spans="1:7" x14ac:dyDescent="0.3">
      <c r="A4598" t="s">
        <v>9738</v>
      </c>
      <c r="B4598" t="s">
        <v>9739</v>
      </c>
      <c r="C4598" t="s">
        <v>8</v>
      </c>
      <c r="D4598">
        <v>2.3460000000000001</v>
      </c>
      <c r="E4598">
        <v>751</v>
      </c>
      <c r="F4598" t="str">
        <f>HYPERLINK("https://www.google.com/maps/search/?api=1&amp;query=24.5608608,46.80118393", "View Map")</f>
        <v>View Map</v>
      </c>
    </row>
    <row r="4599" spans="1:7" x14ac:dyDescent="0.3">
      <c r="A4599" t="s">
        <v>146</v>
      </c>
      <c r="B4599" t="s">
        <v>10286</v>
      </c>
      <c r="C4599" t="s">
        <v>8</v>
      </c>
      <c r="D4599">
        <v>2.3460000000000001</v>
      </c>
      <c r="E4599">
        <v>751</v>
      </c>
      <c r="F4599" t="str">
        <f>HYPERLINK("https://www.google.com/maps/search/?api=1&amp;query=24.5016583,46.66427185", "View Map")</f>
        <v>View Map</v>
      </c>
    </row>
    <row r="4600" spans="1:7" x14ac:dyDescent="0.3">
      <c r="A4600" t="s">
        <v>11683</v>
      </c>
      <c r="B4600" t="s">
        <v>11684</v>
      </c>
      <c r="C4600" t="s">
        <v>8</v>
      </c>
      <c r="D4600">
        <v>2.3450000000000002</v>
      </c>
      <c r="E4600">
        <v>750</v>
      </c>
      <c r="F4600" t="str">
        <f>HYPERLINK("https://www.google.com/maps/search/?api=1&amp;query=24.64078276,46.56321264", "View Map")</f>
        <v>View Map</v>
      </c>
    </row>
    <row r="4601" spans="1:7" x14ac:dyDescent="0.3">
      <c r="A4601" t="s">
        <v>1488</v>
      </c>
      <c r="B4601" t="s">
        <v>1489</v>
      </c>
      <c r="C4601" t="s">
        <v>30</v>
      </c>
      <c r="D4601">
        <v>2.3439999999999999</v>
      </c>
      <c r="E4601">
        <v>750</v>
      </c>
      <c r="F4601" t="str">
        <f>HYPERLINK("https://www.google.com/maps/search/?api=1&amp;query=24.12441,47.27047", "View Map")</f>
        <v>View Map</v>
      </c>
      <c r="G4601" s="2">
        <v>0.23322704710776249</v>
      </c>
    </row>
    <row r="4602" spans="1:7" x14ac:dyDescent="0.3">
      <c r="A4602" t="s">
        <v>6475</v>
      </c>
      <c r="B4602" t="s">
        <v>6476</v>
      </c>
      <c r="C4602" t="s">
        <v>8</v>
      </c>
      <c r="D4602">
        <v>2.3439999999999999</v>
      </c>
      <c r="E4602">
        <v>750</v>
      </c>
      <c r="F4602" t="str">
        <f>HYPERLINK("https://www.google.com/maps/search/?api=1&amp;query=24.75784392,46.81718414", "View Map")</f>
        <v>View Map</v>
      </c>
    </row>
    <row r="4603" spans="1:7" x14ac:dyDescent="0.3">
      <c r="A4603" t="s">
        <v>798</v>
      </c>
      <c r="B4603" t="s">
        <v>799</v>
      </c>
      <c r="C4603" t="s">
        <v>8</v>
      </c>
      <c r="D4603">
        <v>2.3439999999999999</v>
      </c>
      <c r="E4603">
        <v>750</v>
      </c>
      <c r="F4603" t="str">
        <f>HYPERLINK("https://www.google.com/maps/search/?api=1&amp;query=24.71517356,46.68629492", "View Map")</f>
        <v>View Map</v>
      </c>
      <c r="G4603" s="2">
        <v>0.1390404212622941</v>
      </c>
    </row>
    <row r="4604" spans="1:7" x14ac:dyDescent="0.3">
      <c r="A4604" t="s">
        <v>9521</v>
      </c>
      <c r="B4604" t="s">
        <v>9522</v>
      </c>
      <c r="C4604" t="s">
        <v>8</v>
      </c>
      <c r="D4604">
        <v>2.343</v>
      </c>
      <c r="E4604">
        <v>750</v>
      </c>
      <c r="F4604" t="str">
        <f>HYPERLINK("https://www.google.com/maps/search/?api=1&amp;query=24.78295897,46.64679276", "View Map")</f>
        <v>View Map</v>
      </c>
    </row>
    <row r="4605" spans="1:7" x14ac:dyDescent="0.3">
      <c r="A4605" t="s">
        <v>11685</v>
      </c>
      <c r="B4605" t="s">
        <v>11686</v>
      </c>
      <c r="C4605" t="s">
        <v>255</v>
      </c>
      <c r="D4605">
        <v>2.343</v>
      </c>
      <c r="E4605">
        <v>750</v>
      </c>
      <c r="F4605" t="str">
        <f>HYPERLINK("https://www.google.com/maps/search/?api=1&amp;query=24.29648426,43.74034792", "View Map")</f>
        <v>View Map</v>
      </c>
    </row>
    <row r="4606" spans="1:7" x14ac:dyDescent="0.3">
      <c r="A4606" t="s">
        <v>2283</v>
      </c>
      <c r="B4606" t="s">
        <v>6116</v>
      </c>
      <c r="C4606" t="s">
        <v>8</v>
      </c>
      <c r="D4606">
        <v>2.3420000000000001</v>
      </c>
      <c r="E4606">
        <v>750</v>
      </c>
      <c r="F4606" t="str">
        <f>HYPERLINK("https://www.google.com/maps/search/?api=1&amp;query=24.72980791,46.76952738", "View Map")</f>
        <v>View Map</v>
      </c>
    </row>
    <row r="4607" spans="1:7" x14ac:dyDescent="0.3">
      <c r="A4607" t="s">
        <v>46</v>
      </c>
      <c r="B4607" t="s">
        <v>10471</v>
      </c>
      <c r="C4607" t="s">
        <v>8</v>
      </c>
      <c r="D4607">
        <v>2.3420000000000001</v>
      </c>
      <c r="E4607">
        <v>750</v>
      </c>
      <c r="F4607" t="str">
        <f>HYPERLINK("https://www.google.com/maps/search/?api=1&amp;query=24.89074023,46.60977969", "View Map")</f>
        <v>View Map</v>
      </c>
    </row>
    <row r="4608" spans="1:7" x14ac:dyDescent="0.3">
      <c r="A4608" t="s">
        <v>8065</v>
      </c>
      <c r="B4608" t="s">
        <v>8066</v>
      </c>
      <c r="C4608" t="s">
        <v>291</v>
      </c>
      <c r="D4608">
        <v>2.3420000000000001</v>
      </c>
      <c r="E4608">
        <v>749</v>
      </c>
      <c r="F4608" t="str">
        <f>HYPERLINK("https://www.google.com/maps/search/?api=1&amp;query=24.41826514,45.71191409", "View Map")</f>
        <v>View Map</v>
      </c>
      <c r="G4608" s="2">
        <v>0.61832186806941958</v>
      </c>
    </row>
    <row r="4609" spans="1:7" x14ac:dyDescent="0.3">
      <c r="A4609" t="s">
        <v>4961</v>
      </c>
      <c r="B4609" t="s">
        <v>6658</v>
      </c>
      <c r="C4609" t="s">
        <v>8</v>
      </c>
      <c r="D4609">
        <v>2.3420000000000001</v>
      </c>
      <c r="E4609">
        <v>749</v>
      </c>
      <c r="F4609" t="str">
        <f>HYPERLINK("https://www.google.com/maps/search/?api=1&amp;query=24.62241309,46.76196712", "View Map")</f>
        <v>View Map</v>
      </c>
    </row>
    <row r="4610" spans="1:7" x14ac:dyDescent="0.3">
      <c r="A4610" t="s">
        <v>150</v>
      </c>
      <c r="B4610" t="s">
        <v>6515</v>
      </c>
      <c r="C4610" t="s">
        <v>8</v>
      </c>
      <c r="D4610">
        <v>2.3420000000000001</v>
      </c>
      <c r="E4610">
        <v>750</v>
      </c>
      <c r="F4610" t="str">
        <f>HYPERLINK("https://www.google.com/maps/search/?api=1&amp;query=24.78536095,46.9029883", "View Map")</f>
        <v>View Map</v>
      </c>
    </row>
    <row r="4611" spans="1:7" x14ac:dyDescent="0.3">
      <c r="A4611" t="s">
        <v>11124</v>
      </c>
      <c r="B4611" t="s">
        <v>11125</v>
      </c>
      <c r="C4611" t="s">
        <v>8</v>
      </c>
      <c r="D4611">
        <v>2.3420000000000001</v>
      </c>
      <c r="E4611">
        <v>749</v>
      </c>
      <c r="F4611" t="str">
        <f>HYPERLINK("https://www.google.com/maps/search/?api=1&amp;query=24.76089488,46.72766525", "View Map")</f>
        <v>View Map</v>
      </c>
    </row>
    <row r="4612" spans="1:7" x14ac:dyDescent="0.3">
      <c r="A4612" t="s">
        <v>3127</v>
      </c>
      <c r="B4612" t="s">
        <v>7848</v>
      </c>
      <c r="C4612" t="s">
        <v>8</v>
      </c>
      <c r="D4612">
        <v>2.34</v>
      </c>
      <c r="E4612">
        <v>749</v>
      </c>
      <c r="F4612" t="str">
        <f>HYPERLINK("https://www.google.com/maps/search/?api=1&amp;query=24.57453479,46.69426006", "View Map")</f>
        <v>View Map</v>
      </c>
    </row>
    <row r="4613" spans="1:7" x14ac:dyDescent="0.3">
      <c r="A4613" t="s">
        <v>9221</v>
      </c>
      <c r="B4613" t="s">
        <v>9222</v>
      </c>
      <c r="C4613" t="s">
        <v>214</v>
      </c>
      <c r="D4613">
        <v>2.34</v>
      </c>
      <c r="E4613">
        <v>749</v>
      </c>
      <c r="F4613" t="str">
        <f>HYPERLINK("https://www.google.com/maps/search/?api=1&amp;query=25.91504696,45.361674", "View Map")</f>
        <v>View Map</v>
      </c>
    </row>
    <row r="4614" spans="1:7" x14ac:dyDescent="0.3">
      <c r="A4614" t="s">
        <v>9585</v>
      </c>
      <c r="B4614" t="s">
        <v>9586</v>
      </c>
      <c r="C4614" t="s">
        <v>8</v>
      </c>
      <c r="D4614">
        <v>2.339</v>
      </c>
      <c r="E4614">
        <v>748</v>
      </c>
      <c r="F4614" t="str">
        <f>HYPERLINK("https://www.google.com/maps/search/?api=1&amp;query=24.64143381,46.72406405", "View Map")</f>
        <v>View Map</v>
      </c>
    </row>
    <row r="4615" spans="1:7" x14ac:dyDescent="0.3">
      <c r="A4615" t="s">
        <v>242</v>
      </c>
      <c r="B4615" t="s">
        <v>6583</v>
      </c>
      <c r="C4615" t="s">
        <v>8</v>
      </c>
      <c r="D4615">
        <v>2.339</v>
      </c>
      <c r="E4615">
        <v>748</v>
      </c>
      <c r="F4615" t="str">
        <f>HYPERLINK("https://www.google.com/maps/search/?api=1&amp;query=24.78303832,46.82619822", "View Map")</f>
        <v>View Map</v>
      </c>
    </row>
    <row r="4616" spans="1:7" x14ac:dyDescent="0.3">
      <c r="A4616" t="s">
        <v>2135</v>
      </c>
      <c r="B4616" t="s">
        <v>2136</v>
      </c>
      <c r="C4616" t="s">
        <v>8</v>
      </c>
      <c r="D4616">
        <v>2.339</v>
      </c>
      <c r="E4616">
        <v>748</v>
      </c>
      <c r="F4616" t="str">
        <f>HYPERLINK("https://www.google.com/maps/search/?api=1&amp;query=24.76169202,46.65921203", "View Map")</f>
        <v>View Map</v>
      </c>
      <c r="G4616" s="2">
        <v>0.16225640845789499</v>
      </c>
    </row>
    <row r="4617" spans="1:7" x14ac:dyDescent="0.3">
      <c r="A4617" t="s">
        <v>5849</v>
      </c>
      <c r="B4617" t="s">
        <v>5850</v>
      </c>
      <c r="C4617" t="s">
        <v>8</v>
      </c>
      <c r="D4617">
        <v>2.339</v>
      </c>
      <c r="E4617">
        <v>748</v>
      </c>
      <c r="F4617" t="str">
        <f>HYPERLINK("https://www.google.com/maps/search/?api=1&amp;query=24.7059,46.70366", "View Map")</f>
        <v>View Map</v>
      </c>
    </row>
    <row r="4618" spans="1:7" x14ac:dyDescent="0.3">
      <c r="A4618" t="s">
        <v>8818</v>
      </c>
      <c r="B4618" t="s">
        <v>8819</v>
      </c>
      <c r="C4618" t="s">
        <v>4447</v>
      </c>
      <c r="D4618">
        <v>2.339</v>
      </c>
      <c r="E4618">
        <v>749</v>
      </c>
      <c r="F4618" t="str">
        <f>HYPERLINK("https://www.google.com/maps/search/?api=1&amp;query=24.31763446,42.00134245", "View Map")</f>
        <v>View Map</v>
      </c>
      <c r="G4618" s="2">
        <v>0.69791531570641752</v>
      </c>
    </row>
    <row r="4619" spans="1:7" x14ac:dyDescent="0.3">
      <c r="A4619" t="s">
        <v>7878</v>
      </c>
      <c r="B4619" t="s">
        <v>7879</v>
      </c>
      <c r="C4619" t="s">
        <v>393</v>
      </c>
      <c r="D4619">
        <v>2.3380000000000001</v>
      </c>
      <c r="E4619">
        <v>748</v>
      </c>
      <c r="F4619" t="str">
        <f>HYPERLINK("https://www.google.com/maps/search/?api=1&amp;query=23.34092367,45.25286413", "View Map")</f>
        <v>View Map</v>
      </c>
      <c r="G4619" s="2">
        <v>0.86061963473793146</v>
      </c>
    </row>
    <row r="4620" spans="1:7" x14ac:dyDescent="0.3">
      <c r="A4620" t="s">
        <v>9867</v>
      </c>
      <c r="B4620" t="s">
        <v>9868</v>
      </c>
      <c r="C4620" t="s">
        <v>883</v>
      </c>
      <c r="D4620">
        <v>2.3370000000000002</v>
      </c>
      <c r="E4620">
        <v>748</v>
      </c>
      <c r="F4620" t="str">
        <f>HYPERLINK("https://www.google.com/maps/search/?api=1&amp;query=25.57554791,47.15256028", "View Map")</f>
        <v>View Map</v>
      </c>
    </row>
    <row r="4621" spans="1:7" x14ac:dyDescent="0.3">
      <c r="A4621" t="s">
        <v>11687</v>
      </c>
      <c r="B4621" t="s">
        <v>11688</v>
      </c>
      <c r="C4621" t="s">
        <v>21</v>
      </c>
      <c r="D4621">
        <v>2.3370000000000002</v>
      </c>
      <c r="E4621">
        <v>748</v>
      </c>
      <c r="F4621" t="str">
        <f>HYPERLINK("https://www.google.com/maps/search/?api=1&amp;query=26.30284339,44.81066132", "View Map")</f>
        <v>View Map</v>
      </c>
    </row>
    <row r="4622" spans="1:7" x14ac:dyDescent="0.3">
      <c r="A4622" t="s">
        <v>10376</v>
      </c>
      <c r="B4622" t="s">
        <v>10377</v>
      </c>
      <c r="C4622" t="s">
        <v>8</v>
      </c>
      <c r="D4622">
        <v>2.3370000000000002</v>
      </c>
      <c r="E4622">
        <v>748</v>
      </c>
      <c r="F4622" t="str">
        <f>HYPERLINK("https://www.google.com/maps/search/?api=1&amp;query=24.5831,46.5647", "View Map")</f>
        <v>View Map</v>
      </c>
    </row>
    <row r="4623" spans="1:7" x14ac:dyDescent="0.3">
      <c r="A4623" t="s">
        <v>2688</v>
      </c>
      <c r="B4623" t="s">
        <v>6867</v>
      </c>
      <c r="C4623" t="s">
        <v>646</v>
      </c>
      <c r="D4623">
        <v>2.3370000000000002</v>
      </c>
      <c r="E4623">
        <v>748</v>
      </c>
      <c r="F4623" t="str">
        <f>HYPERLINK("https://www.google.com/maps/search/?api=1&amp;query=20.47767036,45.54738236", "View Map")</f>
        <v>View Map</v>
      </c>
    </row>
    <row r="4624" spans="1:7" x14ac:dyDescent="0.3">
      <c r="A4624" t="s">
        <v>661</v>
      </c>
      <c r="B4624" t="s">
        <v>5745</v>
      </c>
      <c r="C4624" t="s">
        <v>214</v>
      </c>
      <c r="D4624">
        <v>2.3370000000000002</v>
      </c>
      <c r="E4624">
        <v>748</v>
      </c>
      <c r="F4624" t="str">
        <f>HYPERLINK("https://www.google.com/maps/search/?api=1&amp;query=25.58479302,45.69087555", "View Map")</f>
        <v>View Map</v>
      </c>
      <c r="G4624" s="2">
        <v>0.55710309186081097</v>
      </c>
    </row>
    <row r="4625" spans="1:7" x14ac:dyDescent="0.3">
      <c r="A4625" t="s">
        <v>9800</v>
      </c>
      <c r="B4625" t="s">
        <v>9801</v>
      </c>
      <c r="C4625" t="s">
        <v>8</v>
      </c>
      <c r="D4625">
        <v>2.3359999999999999</v>
      </c>
      <c r="E4625">
        <v>747</v>
      </c>
      <c r="F4625" t="str">
        <f>HYPERLINK("https://www.google.com/maps/search/?api=1&amp;query=24.63290662,46.60971567", "View Map")</f>
        <v>View Map</v>
      </c>
    </row>
    <row r="4626" spans="1:7" x14ac:dyDescent="0.3">
      <c r="A4626" t="s">
        <v>6878</v>
      </c>
      <c r="B4626" t="s">
        <v>10870</v>
      </c>
      <c r="C4626" t="s">
        <v>8</v>
      </c>
      <c r="D4626">
        <v>2.3359999999999999</v>
      </c>
      <c r="E4626">
        <v>747</v>
      </c>
      <c r="F4626" t="str">
        <f>HYPERLINK("https://www.google.com/maps/search/?api=1&amp;query=24.59712241,46.68548373", "View Map")</f>
        <v>View Map</v>
      </c>
    </row>
    <row r="4627" spans="1:7" x14ac:dyDescent="0.3">
      <c r="A4627" t="s">
        <v>4381</v>
      </c>
      <c r="B4627" t="s">
        <v>4382</v>
      </c>
      <c r="C4627" t="s">
        <v>8</v>
      </c>
      <c r="D4627">
        <v>2.335</v>
      </c>
      <c r="E4627">
        <v>747</v>
      </c>
      <c r="F4627" t="str">
        <f>HYPERLINK("https://www.google.com/maps/search/?api=1&amp;query=24.80235704,46.68640744", "View Map")</f>
        <v>View Map</v>
      </c>
    </row>
    <row r="4628" spans="1:7" x14ac:dyDescent="0.3">
      <c r="A4628" t="s">
        <v>7174</v>
      </c>
      <c r="B4628" t="s">
        <v>7175</v>
      </c>
      <c r="C4628" t="s">
        <v>286</v>
      </c>
      <c r="D4628">
        <v>2.335</v>
      </c>
      <c r="E4628">
        <v>747</v>
      </c>
      <c r="F4628" t="str">
        <f>HYPERLINK("https://www.google.com/maps/search/?api=1&amp;query=25.29597092,45.53238578", "View Map")</f>
        <v>View Map</v>
      </c>
      <c r="G4628" s="2">
        <v>0.35001825358637162</v>
      </c>
    </row>
    <row r="4629" spans="1:7" x14ac:dyDescent="0.3">
      <c r="A4629" t="s">
        <v>146</v>
      </c>
      <c r="B4629" t="s">
        <v>10547</v>
      </c>
      <c r="C4629" t="s">
        <v>8</v>
      </c>
      <c r="D4629">
        <v>2.335</v>
      </c>
      <c r="E4629">
        <v>747</v>
      </c>
      <c r="F4629" t="str">
        <f>HYPERLINK("https://www.google.com/maps/search/?api=1&amp;query=24.55050256,46.56866486", "View Map")</f>
        <v>View Map</v>
      </c>
    </row>
    <row r="4630" spans="1:7" x14ac:dyDescent="0.3">
      <c r="A4630" t="s">
        <v>627</v>
      </c>
      <c r="B4630" t="s">
        <v>7282</v>
      </c>
      <c r="C4630" t="s">
        <v>8</v>
      </c>
      <c r="D4630">
        <v>2.3340000000000001</v>
      </c>
      <c r="E4630">
        <v>747</v>
      </c>
      <c r="F4630" t="str">
        <f>HYPERLINK("https://www.google.com/maps/search/?api=1&amp;query=24.64427,46.5459", "View Map")</f>
        <v>View Map</v>
      </c>
    </row>
    <row r="4631" spans="1:7" x14ac:dyDescent="0.3">
      <c r="A4631" t="s">
        <v>11689</v>
      </c>
      <c r="B4631" t="s">
        <v>11690</v>
      </c>
      <c r="C4631" t="s">
        <v>255</v>
      </c>
      <c r="D4631">
        <v>2.3340000000000001</v>
      </c>
      <c r="E4631">
        <v>747</v>
      </c>
      <c r="F4631" t="str">
        <f>HYPERLINK("https://www.google.com/maps/search/?api=1&amp;query=25.10654214,44.68033927", "View Map")</f>
        <v>View Map</v>
      </c>
      <c r="G4631" s="2">
        <v>0.73183518132545022</v>
      </c>
    </row>
    <row r="4632" spans="1:7" x14ac:dyDescent="0.3">
      <c r="A4632" t="s">
        <v>1273</v>
      </c>
      <c r="B4632" t="s">
        <v>11691</v>
      </c>
      <c r="C4632" t="s">
        <v>241</v>
      </c>
      <c r="D4632">
        <v>2.3340000000000001</v>
      </c>
      <c r="E4632">
        <v>747</v>
      </c>
      <c r="F4632" t="str">
        <f>HYPERLINK("https://www.google.com/maps/search/?api=1&amp;query=21.58024939,44.09444177", "View Map")</f>
        <v>View Map</v>
      </c>
      <c r="G4632" s="2">
        <v>1.0170981288615359</v>
      </c>
    </row>
    <row r="4633" spans="1:7" x14ac:dyDescent="0.3">
      <c r="A4633" t="s">
        <v>8314</v>
      </c>
      <c r="B4633" t="s">
        <v>8315</v>
      </c>
      <c r="C4633" t="s">
        <v>8</v>
      </c>
      <c r="D4633">
        <v>2.3330000000000002</v>
      </c>
      <c r="E4633">
        <v>747</v>
      </c>
      <c r="F4633" t="str">
        <f>HYPERLINK("https://www.google.com/maps/search/?api=1&amp;query=24.78473086,46.80780761", "View Map")</f>
        <v>View Map</v>
      </c>
    </row>
    <row r="4634" spans="1:7" x14ac:dyDescent="0.3">
      <c r="A4634" t="s">
        <v>9404</v>
      </c>
      <c r="B4634" t="s">
        <v>9405</v>
      </c>
      <c r="C4634" t="s">
        <v>255</v>
      </c>
      <c r="D4634">
        <v>2.3330000000000002</v>
      </c>
      <c r="E4634">
        <v>747</v>
      </c>
      <c r="F4634" t="str">
        <f>HYPERLINK("https://www.google.com/maps/search/?api=1&amp;query=24.537528,44.26848044", "View Map")</f>
        <v>View Map</v>
      </c>
      <c r="G4634" s="2">
        <v>0.77171734270451897</v>
      </c>
    </row>
    <row r="4635" spans="1:7" x14ac:dyDescent="0.3">
      <c r="A4635" t="s">
        <v>8994</v>
      </c>
      <c r="B4635" t="s">
        <v>8995</v>
      </c>
      <c r="C4635" t="s">
        <v>8</v>
      </c>
      <c r="D4635">
        <v>2.3330000000000002</v>
      </c>
      <c r="E4635">
        <v>747</v>
      </c>
      <c r="F4635" t="str">
        <f>HYPERLINK("https://www.google.com/maps/search/?api=1&amp;query=24.61237936,46.70818732", "View Map")</f>
        <v>View Map</v>
      </c>
    </row>
    <row r="4636" spans="1:7" x14ac:dyDescent="0.3">
      <c r="A4636" t="s">
        <v>8891</v>
      </c>
      <c r="B4636" t="s">
        <v>8892</v>
      </c>
      <c r="C4636" t="s">
        <v>30</v>
      </c>
      <c r="D4636">
        <v>2.3330000000000002</v>
      </c>
      <c r="E4636">
        <v>747</v>
      </c>
      <c r="F4636" t="str">
        <f>HYPERLINK("https://www.google.com/maps/search/?api=1&amp;query=24.22441099,47.21505509", "View Map")</f>
        <v>View Map</v>
      </c>
      <c r="G4636" s="2">
        <v>0.48391747691711068</v>
      </c>
    </row>
    <row r="4637" spans="1:7" x14ac:dyDescent="0.3">
      <c r="A4637" t="s">
        <v>7498</v>
      </c>
      <c r="B4637" t="s">
        <v>9702</v>
      </c>
      <c r="C4637" t="s">
        <v>255</v>
      </c>
      <c r="D4637">
        <v>2.3330000000000002</v>
      </c>
      <c r="E4637">
        <v>747</v>
      </c>
      <c r="F4637" t="str">
        <f>HYPERLINK("https://www.google.com/maps/search/?api=1&amp;query=24.58180627,43.63213252", "View Map")</f>
        <v>View Map</v>
      </c>
      <c r="G4637" s="2">
        <v>0.73112306054164644</v>
      </c>
    </row>
    <row r="4638" spans="1:7" x14ac:dyDescent="0.3">
      <c r="A4638" t="s">
        <v>6724</v>
      </c>
      <c r="B4638" t="s">
        <v>6725</v>
      </c>
      <c r="C4638" t="s">
        <v>8</v>
      </c>
      <c r="D4638">
        <v>2.3319999999999999</v>
      </c>
      <c r="E4638">
        <v>746</v>
      </c>
      <c r="F4638" t="str">
        <f>HYPERLINK("https://www.google.com/maps/search/?api=1&amp;query=24.57173468,46.64844388", "View Map")</f>
        <v>View Map</v>
      </c>
    </row>
    <row r="4639" spans="1:7" x14ac:dyDescent="0.3">
      <c r="A4639" t="s">
        <v>5712</v>
      </c>
      <c r="B4639" t="s">
        <v>5713</v>
      </c>
      <c r="C4639" t="s">
        <v>8</v>
      </c>
      <c r="D4639">
        <v>2.331</v>
      </c>
      <c r="E4639">
        <v>746</v>
      </c>
      <c r="F4639" t="str">
        <f>HYPERLINK("https://www.google.com/maps/search/?api=1&amp;query=24.62678108,46.69682321", "View Map")</f>
        <v>View Map</v>
      </c>
    </row>
    <row r="4640" spans="1:7" x14ac:dyDescent="0.3">
      <c r="A4640" t="s">
        <v>11692</v>
      </c>
      <c r="B4640" t="s">
        <v>11693</v>
      </c>
      <c r="C4640" t="s">
        <v>8</v>
      </c>
      <c r="D4640">
        <v>2.331</v>
      </c>
      <c r="E4640">
        <v>746</v>
      </c>
      <c r="F4640" t="str">
        <f>HYPERLINK("https://www.google.com/maps/search/?api=1&amp;query=24.53120482,46.64792446", "View Map")</f>
        <v>View Map</v>
      </c>
    </row>
    <row r="4641" spans="1:7" x14ac:dyDescent="0.3">
      <c r="A4641" t="s">
        <v>8181</v>
      </c>
      <c r="B4641" t="s">
        <v>8182</v>
      </c>
      <c r="C4641" t="s">
        <v>255</v>
      </c>
      <c r="D4641">
        <v>2.331</v>
      </c>
      <c r="E4641">
        <v>746</v>
      </c>
      <c r="F4641" t="str">
        <f>HYPERLINK("https://www.google.com/maps/search/?api=1&amp;query=25.48794205,44.40872382", "View Map")</f>
        <v>View Map</v>
      </c>
      <c r="G4641" s="2">
        <v>0.83588395187438858</v>
      </c>
    </row>
    <row r="4642" spans="1:7" x14ac:dyDescent="0.3">
      <c r="A4642" t="s">
        <v>11694</v>
      </c>
      <c r="B4642" t="s">
        <v>11695</v>
      </c>
      <c r="C4642" t="s">
        <v>8</v>
      </c>
      <c r="D4642">
        <v>2.33</v>
      </c>
      <c r="E4642">
        <v>746</v>
      </c>
      <c r="F4642" t="str">
        <f>HYPERLINK("https://www.google.com/maps/search/?api=1&amp;query=24.6758,46.7028", "View Map")</f>
        <v>View Map</v>
      </c>
    </row>
    <row r="4643" spans="1:7" x14ac:dyDescent="0.3">
      <c r="A4643" t="s">
        <v>4786</v>
      </c>
      <c r="B4643" t="s">
        <v>4787</v>
      </c>
      <c r="C4643" t="s">
        <v>8</v>
      </c>
      <c r="D4643">
        <v>2.33</v>
      </c>
      <c r="E4643">
        <v>746</v>
      </c>
      <c r="F4643" t="str">
        <f>HYPERLINK("https://www.google.com/maps/search/?api=1&amp;query=24.67615124,46.75584079", "View Map")</f>
        <v>View Map</v>
      </c>
    </row>
    <row r="4644" spans="1:7" x14ac:dyDescent="0.3">
      <c r="A4644" t="s">
        <v>9729</v>
      </c>
      <c r="B4644" t="s">
        <v>9730</v>
      </c>
      <c r="C4644" t="s">
        <v>8</v>
      </c>
      <c r="D4644">
        <v>2.33</v>
      </c>
      <c r="E4644">
        <v>745</v>
      </c>
      <c r="F4644" t="str">
        <f>HYPERLINK("https://www.google.com/maps/search/?api=1&amp;query=24.69886074,46.73569242", "View Map")</f>
        <v>View Map</v>
      </c>
    </row>
    <row r="4645" spans="1:7" x14ac:dyDescent="0.3">
      <c r="A4645" t="s">
        <v>46</v>
      </c>
      <c r="B4645" t="s">
        <v>10019</v>
      </c>
      <c r="C4645" t="s">
        <v>8</v>
      </c>
      <c r="D4645">
        <v>2.33</v>
      </c>
      <c r="E4645">
        <v>746</v>
      </c>
      <c r="F4645" t="str">
        <f>HYPERLINK("https://www.google.com/maps/search/?api=1&amp;query=24.63956849,46.48335121", "View Map")</f>
        <v>View Map</v>
      </c>
    </row>
    <row r="4646" spans="1:7" x14ac:dyDescent="0.3">
      <c r="A4646" t="s">
        <v>6667</v>
      </c>
      <c r="B4646" t="s">
        <v>6668</v>
      </c>
      <c r="C4646" t="s">
        <v>8</v>
      </c>
      <c r="D4646">
        <v>2.33</v>
      </c>
      <c r="E4646">
        <v>746</v>
      </c>
      <c r="F4646" t="str">
        <f>HYPERLINK("https://www.google.com/maps/search/?api=1&amp;query=24.67643014,46.80624134", "View Map")</f>
        <v>View Map</v>
      </c>
      <c r="G4646" s="2">
        <v>0.72184545807319334</v>
      </c>
    </row>
    <row r="4647" spans="1:7" x14ac:dyDescent="0.3">
      <c r="A4647" t="s">
        <v>8592</v>
      </c>
      <c r="B4647" t="s">
        <v>8593</v>
      </c>
      <c r="C4647" t="s">
        <v>8</v>
      </c>
      <c r="D4647">
        <v>2.33</v>
      </c>
      <c r="E4647">
        <v>746</v>
      </c>
      <c r="F4647" t="str">
        <f>HYPERLINK("https://www.google.com/maps/search/?api=1&amp;query=24.61811359,46.70279823", "View Map")</f>
        <v>View Map</v>
      </c>
    </row>
    <row r="4648" spans="1:7" x14ac:dyDescent="0.3">
      <c r="A4648" t="s">
        <v>678</v>
      </c>
      <c r="B4648" t="s">
        <v>6837</v>
      </c>
      <c r="C4648" t="s">
        <v>21</v>
      </c>
      <c r="D4648">
        <v>2.3290000000000002</v>
      </c>
      <c r="E4648">
        <v>745</v>
      </c>
      <c r="F4648" t="str">
        <f>HYPERLINK("https://www.google.com/maps/search/?api=1&amp;query=26.32287771,44.80793044", "View Map")</f>
        <v>View Map</v>
      </c>
      <c r="G4648" s="2">
        <v>0.45489538115352368</v>
      </c>
    </row>
    <row r="4649" spans="1:7" x14ac:dyDescent="0.3">
      <c r="A4649" t="s">
        <v>11696</v>
      </c>
      <c r="B4649" t="s">
        <v>11697</v>
      </c>
      <c r="C4649" t="s">
        <v>8</v>
      </c>
      <c r="D4649">
        <v>2.3290000000000002</v>
      </c>
      <c r="E4649">
        <v>745</v>
      </c>
      <c r="F4649" t="str">
        <f>HYPERLINK("https://www.google.com/maps/search/?api=1&amp;query=24.60186045,46.77227283", "View Map")</f>
        <v>View Map</v>
      </c>
      <c r="G4649" s="2">
        <v>0.41133459994936938</v>
      </c>
    </row>
    <row r="4650" spans="1:7" x14ac:dyDescent="0.3">
      <c r="A4650" t="s">
        <v>8108</v>
      </c>
      <c r="B4650" t="s">
        <v>8109</v>
      </c>
      <c r="C4650" t="s">
        <v>21</v>
      </c>
      <c r="D4650">
        <v>2.3290000000000002</v>
      </c>
      <c r="E4650">
        <v>745</v>
      </c>
      <c r="F4650" t="str">
        <f>HYPERLINK("https://www.google.com/maps/search/?api=1&amp;query=26.29039266,44.82964272", "View Map")</f>
        <v>View Map</v>
      </c>
    </row>
    <row r="4651" spans="1:7" x14ac:dyDescent="0.3">
      <c r="A4651" t="s">
        <v>10495</v>
      </c>
      <c r="B4651" t="s">
        <v>10496</v>
      </c>
      <c r="C4651" t="s">
        <v>8</v>
      </c>
      <c r="D4651">
        <v>2.3290000000000002</v>
      </c>
      <c r="E4651">
        <v>745</v>
      </c>
      <c r="F4651" t="str">
        <f>HYPERLINK("https://www.google.com/maps/search/?api=1&amp;query=24.75760229,46.77967643", "View Map")</f>
        <v>View Map</v>
      </c>
    </row>
    <row r="4652" spans="1:7" x14ac:dyDescent="0.3">
      <c r="A4652" t="s">
        <v>11698</v>
      </c>
      <c r="B4652" t="s">
        <v>11699</v>
      </c>
      <c r="C4652" t="s">
        <v>8</v>
      </c>
      <c r="D4652">
        <v>2.3279999999999998</v>
      </c>
      <c r="E4652">
        <v>745</v>
      </c>
      <c r="F4652" t="str">
        <f>HYPERLINK("https://www.google.com/maps/search/?api=1&amp;query=24.74187,46.61066", "View Map")</f>
        <v>View Map</v>
      </c>
    </row>
    <row r="4653" spans="1:7" x14ac:dyDescent="0.3">
      <c r="A4653" t="s">
        <v>331</v>
      </c>
      <c r="B4653" t="s">
        <v>10003</v>
      </c>
      <c r="C4653" t="s">
        <v>8</v>
      </c>
      <c r="D4653">
        <v>2.327</v>
      </c>
      <c r="E4653">
        <v>745</v>
      </c>
      <c r="F4653" t="str">
        <f>HYPERLINK("https://www.google.com/maps/search/?api=1&amp;query=24.69333033,46.83849449", "View Map")</f>
        <v>View Map</v>
      </c>
    </row>
    <row r="4654" spans="1:7" x14ac:dyDescent="0.3">
      <c r="A4654" t="s">
        <v>8015</v>
      </c>
      <c r="B4654" t="s">
        <v>8016</v>
      </c>
      <c r="C4654" t="s">
        <v>291</v>
      </c>
      <c r="D4654">
        <v>2.327</v>
      </c>
      <c r="E4654">
        <v>745</v>
      </c>
      <c r="F4654" t="str">
        <f>HYPERLINK("https://www.google.com/maps/search/?api=1&amp;query=24.04319253,45.25161055", "View Map")</f>
        <v>View Map</v>
      </c>
      <c r="G4654" s="2">
        <v>0.39429743343432661</v>
      </c>
    </row>
    <row r="4655" spans="1:7" x14ac:dyDescent="0.3">
      <c r="A4655" t="s">
        <v>4419</v>
      </c>
      <c r="B4655" t="s">
        <v>4420</v>
      </c>
      <c r="C4655" t="s">
        <v>8</v>
      </c>
      <c r="D4655">
        <v>2.327</v>
      </c>
      <c r="E4655">
        <v>745</v>
      </c>
      <c r="F4655" t="str">
        <f>HYPERLINK("https://www.google.com/maps/search/?api=1&amp;query=24.53110089,46.66362815", "View Map")</f>
        <v>View Map</v>
      </c>
    </row>
    <row r="4656" spans="1:7" x14ac:dyDescent="0.3">
      <c r="A4656" t="s">
        <v>2974</v>
      </c>
      <c r="B4656" t="s">
        <v>2975</v>
      </c>
      <c r="C4656" t="s">
        <v>8</v>
      </c>
      <c r="D4656">
        <v>2.327</v>
      </c>
      <c r="E4656">
        <v>745</v>
      </c>
      <c r="F4656" t="str">
        <f>HYPERLINK("https://www.google.com/maps/search/?api=1&amp;query=24.48985023,46.61884721", "View Map")</f>
        <v>View Map</v>
      </c>
    </row>
    <row r="4657" spans="1:7" x14ac:dyDescent="0.3">
      <c r="A4657" t="s">
        <v>289</v>
      </c>
      <c r="B4657" t="s">
        <v>7091</v>
      </c>
      <c r="C4657" t="s">
        <v>241</v>
      </c>
      <c r="D4657">
        <v>2.3260000000000001</v>
      </c>
      <c r="E4657">
        <v>744</v>
      </c>
      <c r="F4657" t="str">
        <f>HYPERLINK("https://www.google.com/maps/search/?api=1&amp;query=22.14068043,44.8637787", "View Map")</f>
        <v>View Map</v>
      </c>
      <c r="G4657" s="2">
        <v>0.67746697605524986</v>
      </c>
    </row>
    <row r="4658" spans="1:7" x14ac:dyDescent="0.3">
      <c r="A4658" t="s">
        <v>11700</v>
      </c>
      <c r="B4658" t="s">
        <v>11701</v>
      </c>
      <c r="C4658" t="s">
        <v>8</v>
      </c>
      <c r="D4658">
        <v>2.3260000000000001</v>
      </c>
      <c r="E4658">
        <v>744</v>
      </c>
      <c r="F4658" t="str">
        <f>HYPERLINK("https://www.google.com/maps/search/?api=1&amp;query=24.63618597,46.72810476", "View Map")</f>
        <v>View Map</v>
      </c>
    </row>
    <row r="4659" spans="1:7" x14ac:dyDescent="0.3">
      <c r="A4659" t="s">
        <v>1262</v>
      </c>
      <c r="B4659" t="s">
        <v>7132</v>
      </c>
      <c r="C4659" t="s">
        <v>8</v>
      </c>
      <c r="D4659">
        <v>2.3250000000000002</v>
      </c>
      <c r="E4659">
        <v>744</v>
      </c>
      <c r="F4659" t="str">
        <f>HYPERLINK("https://www.google.com/maps/search/?api=1&amp;query=24.76393654,46.80558081", "View Map")</f>
        <v>View Map</v>
      </c>
    </row>
    <row r="4660" spans="1:7" x14ac:dyDescent="0.3">
      <c r="A4660" t="s">
        <v>860</v>
      </c>
      <c r="B4660" t="s">
        <v>9576</v>
      </c>
      <c r="C4660" t="s">
        <v>8</v>
      </c>
      <c r="D4660">
        <v>2.3250000000000002</v>
      </c>
      <c r="E4660">
        <v>744</v>
      </c>
      <c r="F4660" t="str">
        <f>HYPERLINK("https://www.google.com/maps/search/?api=1&amp;query=24.80485001,46.85844191", "View Map")</f>
        <v>View Map</v>
      </c>
    </row>
    <row r="4661" spans="1:7" x14ac:dyDescent="0.3">
      <c r="A4661" t="s">
        <v>1705</v>
      </c>
      <c r="B4661" t="s">
        <v>1706</v>
      </c>
      <c r="C4661" t="s">
        <v>8</v>
      </c>
      <c r="D4661">
        <v>2.3239999999999998</v>
      </c>
      <c r="E4661">
        <v>744</v>
      </c>
      <c r="F4661" t="str">
        <f>HYPERLINK("https://www.google.com/maps/search/?api=1&amp;query=24.72476077,46.84399062", "View Map")</f>
        <v>View Map</v>
      </c>
    </row>
    <row r="4662" spans="1:7" x14ac:dyDescent="0.3">
      <c r="A4662" t="s">
        <v>3735</v>
      </c>
      <c r="B4662" t="s">
        <v>7521</v>
      </c>
      <c r="C4662" t="s">
        <v>255</v>
      </c>
      <c r="D4662">
        <v>2.3239999999999998</v>
      </c>
      <c r="E4662">
        <v>744</v>
      </c>
      <c r="F4662" t="str">
        <f>HYPERLINK("https://www.google.com/maps/search/?api=1&amp;query=25.38489026,44.46240998", "View Map")</f>
        <v>View Map</v>
      </c>
      <c r="G4662" s="2">
        <v>0.61785705728625773</v>
      </c>
    </row>
    <row r="4663" spans="1:7" x14ac:dyDescent="0.3">
      <c r="A4663" t="s">
        <v>627</v>
      </c>
      <c r="B4663" t="s">
        <v>9712</v>
      </c>
      <c r="C4663" t="s">
        <v>8</v>
      </c>
      <c r="D4663">
        <v>2.3239999999999998</v>
      </c>
      <c r="E4663">
        <v>744</v>
      </c>
      <c r="F4663" t="str">
        <f>HYPERLINK("https://www.google.com/maps/search/?api=1&amp;query=24.81642339,46.66552619", "View Map")</f>
        <v>View Map</v>
      </c>
    </row>
    <row r="4664" spans="1:7" x14ac:dyDescent="0.3">
      <c r="A4664" t="s">
        <v>8485</v>
      </c>
      <c r="B4664" t="s">
        <v>8486</v>
      </c>
      <c r="C4664" t="s">
        <v>21</v>
      </c>
      <c r="D4664">
        <v>2.323</v>
      </c>
      <c r="E4664">
        <v>743</v>
      </c>
      <c r="F4664" t="str">
        <f>HYPERLINK("https://www.google.com/maps/search/?api=1&amp;query=26.28193317,44.83228956", "View Map")</f>
        <v>View Map</v>
      </c>
      <c r="G4664" s="2">
        <v>0.77770427082817184</v>
      </c>
    </row>
    <row r="4665" spans="1:7" x14ac:dyDescent="0.3">
      <c r="A4665" t="s">
        <v>8510</v>
      </c>
      <c r="B4665" t="s">
        <v>8511</v>
      </c>
      <c r="C4665" t="s">
        <v>255</v>
      </c>
      <c r="D4665">
        <v>2.3220000000000001</v>
      </c>
      <c r="E4665">
        <v>743</v>
      </c>
      <c r="F4665" t="str">
        <f>HYPERLINK("https://www.google.com/maps/search/?api=1&amp;query=24.53215614,44.4175065", "View Map")</f>
        <v>View Map</v>
      </c>
      <c r="G4665" s="2">
        <v>0.46026218028434879</v>
      </c>
    </row>
    <row r="4666" spans="1:7" x14ac:dyDescent="0.3">
      <c r="A4666" t="s">
        <v>9594</v>
      </c>
      <c r="B4666" t="s">
        <v>9595</v>
      </c>
      <c r="C4666" t="s">
        <v>286</v>
      </c>
      <c r="D4666">
        <v>2.3220000000000001</v>
      </c>
      <c r="E4666">
        <v>743</v>
      </c>
      <c r="F4666" t="str">
        <f>HYPERLINK("https://www.google.com/maps/search/?api=1&amp;query=25.57061311,45.27738102", "View Map")</f>
        <v>View Map</v>
      </c>
      <c r="G4666" s="2">
        <v>0.73933533877420066</v>
      </c>
    </row>
    <row r="4667" spans="1:7" x14ac:dyDescent="0.3">
      <c r="A4667" t="s">
        <v>11702</v>
      </c>
      <c r="B4667" t="s">
        <v>11703</v>
      </c>
      <c r="C4667" t="s">
        <v>255</v>
      </c>
      <c r="D4667">
        <v>2.3210000000000002</v>
      </c>
      <c r="E4667">
        <v>743</v>
      </c>
      <c r="F4667" t="str">
        <f>HYPERLINK("https://www.google.com/maps/search/?api=1&amp;query=24.49969418,44.38803662", "View Map")</f>
        <v>View Map</v>
      </c>
    </row>
    <row r="4668" spans="1:7" x14ac:dyDescent="0.3">
      <c r="A4668" t="s">
        <v>11704</v>
      </c>
      <c r="B4668" t="s">
        <v>11705</v>
      </c>
      <c r="C4668" t="s">
        <v>393</v>
      </c>
      <c r="D4668">
        <v>2.3199999999999998</v>
      </c>
      <c r="E4668">
        <v>742</v>
      </c>
      <c r="F4668" t="str">
        <f>HYPERLINK("https://www.google.com/maps/search/?api=1&amp;query=22.84500215,44.95958403", "View Map")</f>
        <v>View Map</v>
      </c>
      <c r="G4668" s="2">
        <v>0.73583102168058079</v>
      </c>
    </row>
    <row r="4669" spans="1:7" x14ac:dyDescent="0.3">
      <c r="A4669" t="s">
        <v>627</v>
      </c>
      <c r="B4669" t="s">
        <v>6291</v>
      </c>
      <c r="C4669" t="s">
        <v>8</v>
      </c>
      <c r="D4669">
        <v>2.319</v>
      </c>
      <c r="E4669">
        <v>742</v>
      </c>
      <c r="F4669" t="str">
        <f>HYPERLINK("https://www.google.com/maps/search/?api=1&amp;query=24.7538789,46.61361161", "View Map")</f>
        <v>View Map</v>
      </c>
    </row>
    <row r="4670" spans="1:7" x14ac:dyDescent="0.3">
      <c r="A4670" t="s">
        <v>10918</v>
      </c>
      <c r="B4670" t="s">
        <v>10919</v>
      </c>
      <c r="C4670" t="s">
        <v>255</v>
      </c>
      <c r="D4670">
        <v>2.319</v>
      </c>
      <c r="E4670">
        <v>742</v>
      </c>
      <c r="F4670" t="str">
        <f>HYPERLINK("https://www.google.com/maps/search/?api=1&amp;query=24.69454404,43.6958487", "View Map")</f>
        <v>View Map</v>
      </c>
      <c r="G4670" s="2">
        <v>0.80403994622903285</v>
      </c>
    </row>
    <row r="4671" spans="1:7" x14ac:dyDescent="0.3">
      <c r="A4671" t="s">
        <v>5093</v>
      </c>
      <c r="B4671" t="s">
        <v>6659</v>
      </c>
      <c r="C4671" t="s">
        <v>255</v>
      </c>
      <c r="D4671">
        <v>2.3180000000000001</v>
      </c>
      <c r="E4671">
        <v>742</v>
      </c>
      <c r="F4671" t="str">
        <f>HYPERLINK("https://www.google.com/maps/search/?api=1&amp;query=24.30176787,43.77260116", "View Map")</f>
        <v>View Map</v>
      </c>
    </row>
    <row r="4672" spans="1:7" x14ac:dyDescent="0.3">
      <c r="A4672" t="s">
        <v>11706</v>
      </c>
      <c r="B4672" t="s">
        <v>11707</v>
      </c>
      <c r="C4672" t="s">
        <v>270</v>
      </c>
      <c r="D4672">
        <v>2.3180000000000001</v>
      </c>
      <c r="E4672">
        <v>742</v>
      </c>
      <c r="F4672" t="str">
        <f>HYPERLINK("https://www.google.com/maps/search/?api=1&amp;query=24.00250207,47.12028381", "View Map")</f>
        <v>View Map</v>
      </c>
    </row>
    <row r="4673" spans="1:7" x14ac:dyDescent="0.3">
      <c r="A4673" t="s">
        <v>46</v>
      </c>
      <c r="B4673" t="s">
        <v>8118</v>
      </c>
      <c r="C4673" t="s">
        <v>8</v>
      </c>
      <c r="D4673">
        <v>2.3180000000000001</v>
      </c>
      <c r="E4673">
        <v>742</v>
      </c>
      <c r="F4673" t="str">
        <f>HYPERLINK("https://www.google.com/maps/search/?api=1&amp;query=24.8292511,46.62597262", "View Map")</f>
        <v>View Map</v>
      </c>
    </row>
    <row r="4674" spans="1:7" x14ac:dyDescent="0.3">
      <c r="A4674" t="s">
        <v>5593</v>
      </c>
      <c r="B4674" t="s">
        <v>5594</v>
      </c>
      <c r="C4674" t="s">
        <v>8</v>
      </c>
      <c r="D4674">
        <v>2.3170000000000002</v>
      </c>
      <c r="E4674">
        <v>741</v>
      </c>
      <c r="F4674" t="str">
        <f>HYPERLINK("https://www.google.com/maps/search/?api=1&amp;query=24.73236371,46.77075358", "View Map")</f>
        <v>View Map</v>
      </c>
    </row>
    <row r="4675" spans="1:7" x14ac:dyDescent="0.3">
      <c r="A4675" t="s">
        <v>46</v>
      </c>
      <c r="B4675" t="s">
        <v>7751</v>
      </c>
      <c r="C4675" t="s">
        <v>8</v>
      </c>
      <c r="D4675">
        <v>2.3170000000000002</v>
      </c>
      <c r="E4675">
        <v>742</v>
      </c>
      <c r="F4675" t="str">
        <f>HYPERLINK("https://www.google.com/maps/search/?api=1&amp;query=24.80475097,46.88470169", "View Map")</f>
        <v>View Map</v>
      </c>
    </row>
    <row r="4676" spans="1:7" x14ac:dyDescent="0.3">
      <c r="A4676" t="s">
        <v>11708</v>
      </c>
      <c r="B4676" t="s">
        <v>11709</v>
      </c>
      <c r="C4676" t="s">
        <v>8</v>
      </c>
      <c r="D4676">
        <v>2.3159999999999998</v>
      </c>
      <c r="E4676">
        <v>741</v>
      </c>
      <c r="F4676" t="str">
        <f>HYPERLINK("https://www.google.com/maps/search/?api=1&amp;query=24.80882499,46.77159669", "View Map")</f>
        <v>View Map</v>
      </c>
    </row>
    <row r="4677" spans="1:7" x14ac:dyDescent="0.3">
      <c r="A4677" t="s">
        <v>9283</v>
      </c>
      <c r="B4677" t="s">
        <v>9284</v>
      </c>
      <c r="C4677" t="s">
        <v>137</v>
      </c>
      <c r="D4677">
        <v>2.3159999999999998</v>
      </c>
      <c r="E4677">
        <v>741</v>
      </c>
      <c r="F4677" t="str">
        <f>HYPERLINK("https://www.google.com/maps/search/?api=1&amp;query=23.47405972,46.87126977", "View Map")</f>
        <v>View Map</v>
      </c>
      <c r="G4677" s="2">
        <v>0.81805832532364053</v>
      </c>
    </row>
    <row r="4678" spans="1:7" x14ac:dyDescent="0.3">
      <c r="A4678" t="s">
        <v>7683</v>
      </c>
      <c r="B4678" t="s">
        <v>7684</v>
      </c>
      <c r="C4678" t="s">
        <v>8</v>
      </c>
      <c r="D4678">
        <v>2.3159999999999998</v>
      </c>
      <c r="E4678">
        <v>741</v>
      </c>
      <c r="F4678" t="str">
        <f>HYPERLINK("https://www.google.com/maps/search/?api=1&amp;query=24.65774061,46.6966045", "View Map")</f>
        <v>View Map</v>
      </c>
    </row>
    <row r="4679" spans="1:7" x14ac:dyDescent="0.3">
      <c r="A4679" t="s">
        <v>11710</v>
      </c>
      <c r="B4679" t="s">
        <v>11711</v>
      </c>
      <c r="C4679" t="s">
        <v>8</v>
      </c>
      <c r="D4679">
        <v>2.3149999999999999</v>
      </c>
      <c r="E4679">
        <v>741</v>
      </c>
      <c r="F4679" t="str">
        <f>HYPERLINK("https://www.google.com/maps/search/?api=1&amp;query=24.68121201,46.8168279", "View Map")</f>
        <v>View Map</v>
      </c>
    </row>
    <row r="4680" spans="1:7" x14ac:dyDescent="0.3">
      <c r="A4680" t="s">
        <v>7607</v>
      </c>
      <c r="B4680" t="s">
        <v>7608</v>
      </c>
      <c r="C4680" t="s">
        <v>8</v>
      </c>
      <c r="D4680">
        <v>2.3149999999999999</v>
      </c>
      <c r="E4680">
        <v>741</v>
      </c>
      <c r="F4680" t="str">
        <f>HYPERLINK("https://www.google.com/maps/search/?api=1&amp;query=24.6889969,46.81374669", "View Map")</f>
        <v>View Map</v>
      </c>
    </row>
    <row r="4681" spans="1:7" x14ac:dyDescent="0.3">
      <c r="A4681" t="s">
        <v>5033</v>
      </c>
      <c r="B4681" t="s">
        <v>5034</v>
      </c>
      <c r="C4681" t="s">
        <v>8</v>
      </c>
      <c r="D4681">
        <v>2.3149999999999999</v>
      </c>
      <c r="E4681">
        <v>741</v>
      </c>
      <c r="F4681" t="str">
        <f>HYPERLINK("https://www.google.com/maps/search/?api=1&amp;query=24.63603721,46.71222599", "View Map")</f>
        <v>View Map</v>
      </c>
    </row>
    <row r="4682" spans="1:7" x14ac:dyDescent="0.3">
      <c r="A4682" t="s">
        <v>11712</v>
      </c>
      <c r="B4682" t="s">
        <v>11713</v>
      </c>
      <c r="C4682" t="s">
        <v>393</v>
      </c>
      <c r="D4682">
        <v>2.3149999999999999</v>
      </c>
      <c r="E4682">
        <v>741</v>
      </c>
      <c r="F4682" t="str">
        <f>HYPERLINK("https://www.google.com/maps/search/?api=1&amp;query=22.76857842,45.27250317", "View Map")</f>
        <v>View Map</v>
      </c>
    </row>
    <row r="4683" spans="1:7" x14ac:dyDescent="0.3">
      <c r="A4683" t="s">
        <v>7774</v>
      </c>
      <c r="B4683" t="s">
        <v>7775</v>
      </c>
      <c r="C4683" t="s">
        <v>21</v>
      </c>
      <c r="D4683">
        <v>2.3140000000000001</v>
      </c>
      <c r="E4683">
        <v>740</v>
      </c>
      <c r="F4683" t="str">
        <f>HYPERLINK("https://www.google.com/maps/search/?api=1&amp;query=26.29822083,44.80265733", "View Map")</f>
        <v>View Map</v>
      </c>
      <c r="G4683" s="2">
        <v>0.39410275775209341</v>
      </c>
    </row>
    <row r="4684" spans="1:7" x14ac:dyDescent="0.3">
      <c r="A4684" t="s">
        <v>10857</v>
      </c>
      <c r="B4684" t="s">
        <v>10858</v>
      </c>
      <c r="C4684" t="s">
        <v>8</v>
      </c>
      <c r="D4684">
        <v>2.3140000000000001</v>
      </c>
      <c r="E4684">
        <v>741</v>
      </c>
      <c r="F4684" t="str">
        <f>HYPERLINK("https://www.google.com/maps/search/?api=1&amp;query=24.55422808,46.69945164", "View Map")</f>
        <v>View Map</v>
      </c>
    </row>
    <row r="4685" spans="1:7" x14ac:dyDescent="0.3">
      <c r="A4685" t="s">
        <v>11714</v>
      </c>
      <c r="B4685" t="s">
        <v>11715</v>
      </c>
      <c r="C4685" t="s">
        <v>8</v>
      </c>
      <c r="D4685">
        <v>2.3119999999999998</v>
      </c>
      <c r="E4685">
        <v>740</v>
      </c>
      <c r="F4685" t="str">
        <f>HYPERLINK("https://www.google.com/maps/search/?api=1&amp;query=24.669603,46.78822501", "View Map")</f>
        <v>View Map</v>
      </c>
    </row>
    <row r="4686" spans="1:7" x14ac:dyDescent="0.3">
      <c r="A4686" t="s">
        <v>10909</v>
      </c>
      <c r="B4686" t="s">
        <v>10910</v>
      </c>
      <c r="C4686" t="s">
        <v>8</v>
      </c>
      <c r="D4686">
        <v>2.3119999999999998</v>
      </c>
      <c r="E4686">
        <v>740</v>
      </c>
      <c r="F4686" t="str">
        <f>HYPERLINK("https://www.google.com/maps/search/?api=1&amp;query=24.79424058,46.64743725", "View Map")</f>
        <v>View Map</v>
      </c>
    </row>
    <row r="4687" spans="1:7" x14ac:dyDescent="0.3">
      <c r="A4687" t="s">
        <v>28</v>
      </c>
      <c r="B4687" t="s">
        <v>7144</v>
      </c>
      <c r="C4687" t="s">
        <v>30</v>
      </c>
      <c r="D4687">
        <v>2.3109999999999999</v>
      </c>
      <c r="E4687">
        <v>740</v>
      </c>
      <c r="F4687" t="str">
        <f>HYPERLINK("https://www.google.com/maps/search/?api=1&amp;query=24.15223722,47.29734301", "View Map")</f>
        <v>View Map</v>
      </c>
    </row>
    <row r="4688" spans="1:7" x14ac:dyDescent="0.3">
      <c r="A4688" t="s">
        <v>8932</v>
      </c>
      <c r="B4688" t="s">
        <v>8933</v>
      </c>
      <c r="C4688" t="s">
        <v>8</v>
      </c>
      <c r="D4688">
        <v>2.31</v>
      </c>
      <c r="E4688">
        <v>739</v>
      </c>
      <c r="F4688" t="str">
        <f>HYPERLINK("https://www.google.com/maps/search/?api=1&amp;query=24.57693058,46.53822944", "View Map")</f>
        <v>View Map</v>
      </c>
    </row>
    <row r="4689" spans="1:7" x14ac:dyDescent="0.3">
      <c r="A4689" t="s">
        <v>5505</v>
      </c>
      <c r="B4689" t="s">
        <v>5506</v>
      </c>
      <c r="C4689" t="s">
        <v>77</v>
      </c>
      <c r="D4689">
        <v>2.31</v>
      </c>
      <c r="E4689">
        <v>739</v>
      </c>
      <c r="F4689" t="str">
        <f>HYPERLINK("https://www.google.com/maps/search/?api=1&amp;query=22.31126363,46.69619102", "View Map")</f>
        <v>View Map</v>
      </c>
      <c r="G4689" s="2">
        <v>0.36543662588849141</v>
      </c>
    </row>
    <row r="4690" spans="1:7" x14ac:dyDescent="0.3">
      <c r="A4690" t="s">
        <v>9205</v>
      </c>
      <c r="B4690" t="s">
        <v>9206</v>
      </c>
      <c r="C4690" t="s">
        <v>255</v>
      </c>
      <c r="D4690">
        <v>2.31</v>
      </c>
      <c r="E4690">
        <v>739</v>
      </c>
      <c r="F4690" t="str">
        <f>HYPERLINK("https://www.google.com/maps/search/?api=1&amp;query=24.73908897,43.78706358", "View Map")</f>
        <v>View Map</v>
      </c>
      <c r="G4690" s="2">
        <v>0.62224917356041387</v>
      </c>
    </row>
    <row r="4691" spans="1:7" x14ac:dyDescent="0.3">
      <c r="A4691" t="s">
        <v>11716</v>
      </c>
      <c r="B4691" t="s">
        <v>11717</v>
      </c>
      <c r="C4691" t="s">
        <v>8</v>
      </c>
      <c r="D4691">
        <v>2.31</v>
      </c>
      <c r="E4691">
        <v>739</v>
      </c>
      <c r="F4691" t="str">
        <f>HYPERLINK("https://www.google.com/maps/search/?api=1&amp;query=24.61957312,46.69230611", "View Map")</f>
        <v>View Map</v>
      </c>
    </row>
    <row r="4692" spans="1:7" x14ac:dyDescent="0.3">
      <c r="A4692" t="s">
        <v>938</v>
      </c>
      <c r="B4692" t="s">
        <v>2847</v>
      </c>
      <c r="C4692" t="s">
        <v>8</v>
      </c>
      <c r="D4692">
        <v>2.31</v>
      </c>
      <c r="E4692">
        <v>739</v>
      </c>
      <c r="F4692" t="str">
        <f>HYPERLINK("https://www.google.com/maps/search/?api=1&amp;query=24.71266107,46.84090257", "View Map")</f>
        <v>View Map</v>
      </c>
    </row>
    <row r="4693" spans="1:7" x14ac:dyDescent="0.3">
      <c r="A4693" t="s">
        <v>8869</v>
      </c>
      <c r="B4693" t="s">
        <v>8870</v>
      </c>
      <c r="C4693" t="s">
        <v>393</v>
      </c>
      <c r="D4693">
        <v>2.3090000000000002</v>
      </c>
      <c r="E4693">
        <v>739</v>
      </c>
      <c r="F4693" t="str">
        <f>HYPERLINK("https://www.google.com/maps/search/?api=1&amp;query=22.97482144,45.44647989", "View Map")</f>
        <v>View Map</v>
      </c>
      <c r="G4693" s="2">
        <v>0.92510534776879472</v>
      </c>
    </row>
    <row r="4694" spans="1:7" x14ac:dyDescent="0.3">
      <c r="A4694" t="s">
        <v>8427</v>
      </c>
      <c r="B4694" t="s">
        <v>8428</v>
      </c>
      <c r="C4694" t="s">
        <v>8</v>
      </c>
      <c r="D4694">
        <v>2.3090000000000002</v>
      </c>
      <c r="E4694">
        <v>739</v>
      </c>
      <c r="F4694" t="str">
        <f>HYPERLINK("https://www.google.com/maps/search/?api=1&amp;query=24.69357492,46.81563012", "View Map")</f>
        <v>View Map</v>
      </c>
    </row>
    <row r="4695" spans="1:7" x14ac:dyDescent="0.3">
      <c r="A4695" t="s">
        <v>46</v>
      </c>
      <c r="B4695" t="s">
        <v>6433</v>
      </c>
      <c r="C4695" t="s">
        <v>8</v>
      </c>
      <c r="D4695">
        <v>2.3090000000000002</v>
      </c>
      <c r="E4695">
        <v>739</v>
      </c>
      <c r="F4695" t="str">
        <f>HYPERLINK("https://www.google.com/maps/search/?api=1&amp;query=24.92525789,46.82341566", "View Map")</f>
        <v>View Map</v>
      </c>
    </row>
    <row r="4696" spans="1:7" x14ac:dyDescent="0.3">
      <c r="A4696" t="s">
        <v>717</v>
      </c>
      <c r="B4696" t="s">
        <v>11718</v>
      </c>
      <c r="C4696" t="s">
        <v>255</v>
      </c>
      <c r="D4696">
        <v>2.3090000000000002</v>
      </c>
      <c r="E4696">
        <v>739</v>
      </c>
      <c r="F4696" t="str">
        <f>HYPERLINK("https://www.google.com/maps/search/?api=1&amp;query=24.51175657,44.37008994", "View Map")</f>
        <v>View Map</v>
      </c>
    </row>
    <row r="4697" spans="1:7" x14ac:dyDescent="0.3">
      <c r="A4697" t="s">
        <v>2579</v>
      </c>
      <c r="B4697" t="s">
        <v>2580</v>
      </c>
      <c r="C4697" t="s">
        <v>8</v>
      </c>
      <c r="D4697">
        <v>2.3090000000000002</v>
      </c>
      <c r="E4697">
        <v>739</v>
      </c>
      <c r="F4697" t="str">
        <f>HYPERLINK("https://www.google.com/maps/search/?api=1&amp;query=24.62143437,46.7524683", "View Map")</f>
        <v>View Map</v>
      </c>
    </row>
    <row r="4698" spans="1:7" x14ac:dyDescent="0.3">
      <c r="A4698" t="s">
        <v>46</v>
      </c>
      <c r="B4698" t="s">
        <v>9291</v>
      </c>
      <c r="C4698" t="s">
        <v>8</v>
      </c>
      <c r="D4698">
        <v>2.3079999999999998</v>
      </c>
      <c r="E4698">
        <v>739</v>
      </c>
      <c r="F4698" t="str">
        <f>HYPERLINK("https://www.google.com/maps/search/?api=1&amp;query=24.80633147,46.8144621", "View Map")</f>
        <v>View Map</v>
      </c>
    </row>
    <row r="4699" spans="1:7" x14ac:dyDescent="0.3">
      <c r="A4699" t="s">
        <v>7230</v>
      </c>
      <c r="B4699" t="s">
        <v>7231</v>
      </c>
      <c r="C4699" t="s">
        <v>8</v>
      </c>
      <c r="D4699">
        <v>2.3079999999999998</v>
      </c>
      <c r="E4699">
        <v>739</v>
      </c>
      <c r="F4699" t="str">
        <f>HYPERLINK("https://www.google.com/maps/search/?api=1&amp;query=24.77754758,46.75447248", "View Map")</f>
        <v>View Map</v>
      </c>
    </row>
    <row r="4700" spans="1:7" x14ac:dyDescent="0.3">
      <c r="A4700" t="s">
        <v>8826</v>
      </c>
      <c r="B4700" t="s">
        <v>8827</v>
      </c>
      <c r="C4700" t="s">
        <v>393</v>
      </c>
      <c r="D4700">
        <v>2.3069999999999999</v>
      </c>
      <c r="E4700">
        <v>738</v>
      </c>
      <c r="F4700" t="str">
        <f>HYPERLINK("https://www.google.com/maps/search/?api=1&amp;query=23.56483248,45.57760697", "View Map")</f>
        <v>View Map</v>
      </c>
      <c r="G4700" s="2">
        <v>0.59294898158879472</v>
      </c>
    </row>
    <row r="4701" spans="1:7" x14ac:dyDescent="0.3">
      <c r="A4701" t="s">
        <v>150</v>
      </c>
      <c r="B4701" t="s">
        <v>11719</v>
      </c>
      <c r="C4701" t="s">
        <v>8</v>
      </c>
      <c r="D4701">
        <v>2.3069999999999999</v>
      </c>
      <c r="E4701">
        <v>738</v>
      </c>
      <c r="F4701" t="str">
        <f>HYPERLINK("https://www.google.com/maps/search/?api=1&amp;query=24.61045493,46.50419768", "View Map")</f>
        <v>View Map</v>
      </c>
    </row>
    <row r="4702" spans="1:7" x14ac:dyDescent="0.3">
      <c r="A4702" t="s">
        <v>11720</v>
      </c>
      <c r="B4702" t="s">
        <v>11721</v>
      </c>
      <c r="C4702" t="s">
        <v>255</v>
      </c>
      <c r="D4702">
        <v>2.3069999999999999</v>
      </c>
      <c r="E4702">
        <v>738</v>
      </c>
      <c r="F4702" t="str">
        <f>HYPERLINK("https://www.google.com/maps/search/?api=1&amp;query=25.45599881,44.39350676", "View Map")</f>
        <v>View Map</v>
      </c>
      <c r="G4702" s="2">
        <v>0.42074185744623199</v>
      </c>
    </row>
    <row r="4703" spans="1:7" x14ac:dyDescent="0.3">
      <c r="A4703" t="s">
        <v>11722</v>
      </c>
      <c r="B4703" t="s">
        <v>11723</v>
      </c>
      <c r="C4703" t="s">
        <v>8</v>
      </c>
      <c r="D4703">
        <v>2.3069999999999999</v>
      </c>
      <c r="E4703">
        <v>738</v>
      </c>
      <c r="F4703" t="str">
        <f>HYPERLINK("https://www.google.com/maps/search/?api=1&amp;query=24.81102581,46.64342992", "View Map")</f>
        <v>View Map</v>
      </c>
    </row>
    <row r="4704" spans="1:7" x14ac:dyDescent="0.3">
      <c r="A4704" t="s">
        <v>7592</v>
      </c>
      <c r="B4704" t="s">
        <v>7593</v>
      </c>
      <c r="C4704" t="s">
        <v>8</v>
      </c>
      <c r="D4704">
        <v>2.306</v>
      </c>
      <c r="E4704">
        <v>738</v>
      </c>
      <c r="F4704" t="str">
        <f>HYPERLINK("https://www.google.com/maps/search/?api=1&amp;query=24.56263167,46.7726167", "View Map")</f>
        <v>View Map</v>
      </c>
    </row>
    <row r="4705" spans="1:7" x14ac:dyDescent="0.3">
      <c r="A4705" t="s">
        <v>4653</v>
      </c>
      <c r="B4705" t="s">
        <v>4654</v>
      </c>
      <c r="C4705" t="s">
        <v>8</v>
      </c>
      <c r="D4705">
        <v>2.306</v>
      </c>
      <c r="E4705">
        <v>738</v>
      </c>
      <c r="F4705" t="str">
        <f>HYPERLINK("https://www.google.com/maps/search/?api=1&amp;query=24.79055915,46.79616398", "View Map")</f>
        <v>View Map</v>
      </c>
    </row>
    <row r="4706" spans="1:7" x14ac:dyDescent="0.3">
      <c r="A4706" t="s">
        <v>459</v>
      </c>
      <c r="B4706" t="s">
        <v>8213</v>
      </c>
      <c r="C4706" t="s">
        <v>286</v>
      </c>
      <c r="D4706">
        <v>2.306</v>
      </c>
      <c r="E4706">
        <v>738</v>
      </c>
      <c r="F4706" t="str">
        <f>HYPERLINK("https://www.google.com/maps/search/?api=1&amp;query=25.21584747,45.27197317", "View Map")</f>
        <v>View Map</v>
      </c>
      <c r="G4706" s="2">
        <v>0.41437490569183971</v>
      </c>
    </row>
    <row r="4707" spans="1:7" x14ac:dyDescent="0.3">
      <c r="A4707" t="s">
        <v>11724</v>
      </c>
      <c r="B4707" t="s">
        <v>11725</v>
      </c>
      <c r="C4707" t="s">
        <v>8</v>
      </c>
      <c r="D4707">
        <v>2.3039999999999998</v>
      </c>
      <c r="E4707">
        <v>737</v>
      </c>
      <c r="F4707" t="str">
        <f>HYPERLINK("https://www.google.com/maps/search/?api=1&amp;query=24.5632643,46.72132231", "View Map")</f>
        <v>View Map</v>
      </c>
    </row>
    <row r="4708" spans="1:7" x14ac:dyDescent="0.3">
      <c r="A4708" t="s">
        <v>8263</v>
      </c>
      <c r="B4708" t="s">
        <v>8264</v>
      </c>
      <c r="C4708" t="s">
        <v>393</v>
      </c>
      <c r="D4708">
        <v>2.3039999999999998</v>
      </c>
      <c r="E4708">
        <v>737</v>
      </c>
      <c r="F4708" t="str">
        <f>HYPERLINK("https://www.google.com/maps/search/?api=1&amp;query=23.6259477,45.40687317", "View Map")</f>
        <v>View Map</v>
      </c>
      <c r="G4708" s="2">
        <v>1.0219670275225821</v>
      </c>
    </row>
    <row r="4709" spans="1:7" x14ac:dyDescent="0.3">
      <c r="A4709" t="s">
        <v>6939</v>
      </c>
      <c r="B4709" t="s">
        <v>6940</v>
      </c>
      <c r="C4709" t="s">
        <v>8</v>
      </c>
      <c r="D4709">
        <v>2.3039999999999998</v>
      </c>
      <c r="E4709">
        <v>737</v>
      </c>
      <c r="F4709" t="str">
        <f>HYPERLINK("https://www.google.com/maps/search/?api=1&amp;query=24.65898538,46.73720849", "View Map")</f>
        <v>View Map</v>
      </c>
    </row>
    <row r="4710" spans="1:7" x14ac:dyDescent="0.3">
      <c r="A4710" t="s">
        <v>10206</v>
      </c>
      <c r="B4710" t="s">
        <v>10207</v>
      </c>
      <c r="C4710" t="s">
        <v>738</v>
      </c>
      <c r="D4710">
        <v>2.3039999999999998</v>
      </c>
      <c r="E4710">
        <v>737</v>
      </c>
      <c r="F4710" t="str">
        <f>HYPERLINK("https://www.google.com/maps/search/?api=1&amp;query=25.106708,46.09482098", "View Map")</f>
        <v>View Map</v>
      </c>
      <c r="G4710" s="2">
        <v>0.57938454285693441</v>
      </c>
    </row>
    <row r="4711" spans="1:7" x14ac:dyDescent="0.3">
      <c r="A4711" t="s">
        <v>11726</v>
      </c>
      <c r="B4711" t="s">
        <v>11727</v>
      </c>
      <c r="C4711" t="s">
        <v>214</v>
      </c>
      <c r="D4711">
        <v>2.3029999999999999</v>
      </c>
      <c r="E4711">
        <v>737</v>
      </c>
      <c r="F4711" t="str">
        <f>HYPERLINK("https://www.google.com/maps/search/?api=1&amp;query=25.70082683,45.8759824", "View Map")</f>
        <v>View Map</v>
      </c>
    </row>
    <row r="4712" spans="1:7" x14ac:dyDescent="0.3">
      <c r="A4712" t="s">
        <v>8561</v>
      </c>
      <c r="B4712" t="s">
        <v>8562</v>
      </c>
      <c r="C4712" t="s">
        <v>270</v>
      </c>
      <c r="D4712">
        <v>2.3029999999999999</v>
      </c>
      <c r="E4712">
        <v>737</v>
      </c>
      <c r="F4712" t="str">
        <f>HYPERLINK("https://www.google.com/maps/search/?api=1&amp;query=23.98599482,47.11506515", "View Map")</f>
        <v>View Map</v>
      </c>
      <c r="G4712" s="2">
        <v>0.62244160639562363</v>
      </c>
    </row>
    <row r="4713" spans="1:7" x14ac:dyDescent="0.3">
      <c r="A4713" t="s">
        <v>4481</v>
      </c>
      <c r="B4713" t="s">
        <v>4482</v>
      </c>
      <c r="C4713" t="s">
        <v>8</v>
      </c>
      <c r="D4713">
        <v>2.3029999999999999</v>
      </c>
      <c r="E4713">
        <v>737</v>
      </c>
      <c r="F4713" t="str">
        <f>HYPERLINK("https://www.google.com/maps/search/?api=1&amp;query=24.80882234,46.80198243", "View Map")</f>
        <v>View Map</v>
      </c>
    </row>
    <row r="4714" spans="1:7" x14ac:dyDescent="0.3">
      <c r="A4714" t="s">
        <v>11728</v>
      </c>
      <c r="B4714" t="s">
        <v>11729</v>
      </c>
      <c r="C4714" t="s">
        <v>255</v>
      </c>
      <c r="D4714">
        <v>2.3029999999999999</v>
      </c>
      <c r="E4714">
        <v>737</v>
      </c>
      <c r="F4714" t="str">
        <f>HYPERLINK("https://www.google.com/maps/search/?api=1&amp;query=25.22087238,44.5550596", "View Map")</f>
        <v>View Map</v>
      </c>
      <c r="G4714" s="2">
        <v>0.59820572458188992</v>
      </c>
    </row>
    <row r="4715" spans="1:7" x14ac:dyDescent="0.3">
      <c r="A4715" t="s">
        <v>8957</v>
      </c>
      <c r="B4715" t="s">
        <v>8958</v>
      </c>
      <c r="C4715" t="s">
        <v>270</v>
      </c>
      <c r="D4715">
        <v>2.302</v>
      </c>
      <c r="E4715">
        <v>737</v>
      </c>
      <c r="F4715" t="str">
        <f>HYPERLINK("https://www.google.com/maps/search/?api=1&amp;query=24.09556949,47.17251186", "View Map")</f>
        <v>View Map</v>
      </c>
      <c r="G4715" s="2">
        <v>0.61313218504194944</v>
      </c>
    </row>
    <row r="4716" spans="1:7" x14ac:dyDescent="0.3">
      <c r="A4716" t="s">
        <v>6216</v>
      </c>
      <c r="B4716" t="s">
        <v>6217</v>
      </c>
      <c r="C4716" t="s">
        <v>8</v>
      </c>
      <c r="D4716">
        <v>2.3010000000000002</v>
      </c>
      <c r="E4716">
        <v>736</v>
      </c>
      <c r="F4716" t="str">
        <f>HYPERLINK("https://www.google.com/maps/search/?api=1&amp;query=24.75218874,46.81579638", "View Map")</f>
        <v>View Map</v>
      </c>
    </row>
    <row r="4717" spans="1:7" x14ac:dyDescent="0.3">
      <c r="A4717" t="s">
        <v>8627</v>
      </c>
      <c r="B4717" t="s">
        <v>8628</v>
      </c>
      <c r="C4717" t="s">
        <v>30</v>
      </c>
      <c r="D4717">
        <v>2.3010000000000002</v>
      </c>
      <c r="E4717">
        <v>736</v>
      </c>
      <c r="F4717" t="str">
        <f>HYPERLINK("https://www.google.com/maps/search/?api=1&amp;query=24.22438749,47.20591254", "View Map")</f>
        <v>View Map</v>
      </c>
    </row>
    <row r="4718" spans="1:7" x14ac:dyDescent="0.3">
      <c r="A4718" t="s">
        <v>146</v>
      </c>
      <c r="B4718" t="s">
        <v>9569</v>
      </c>
      <c r="C4718" t="s">
        <v>8</v>
      </c>
      <c r="D4718">
        <v>2.3010000000000002</v>
      </c>
      <c r="E4718">
        <v>736</v>
      </c>
      <c r="F4718" t="str">
        <f>HYPERLINK("https://www.google.com/maps/search/?api=1&amp;query=24.48516576,46.629062", "View Map")</f>
        <v>View Map</v>
      </c>
    </row>
    <row r="4719" spans="1:7" x14ac:dyDescent="0.3">
      <c r="A4719" t="s">
        <v>8114</v>
      </c>
      <c r="B4719" t="s">
        <v>8115</v>
      </c>
      <c r="C4719" t="s">
        <v>30</v>
      </c>
      <c r="D4719">
        <v>2.2999999999999998</v>
      </c>
      <c r="E4719">
        <v>736</v>
      </c>
      <c r="F4719" t="str">
        <f>HYPERLINK("https://www.google.com/maps/search/?api=1&amp;query=24.17094571,47.34012958", "View Map")</f>
        <v>View Map</v>
      </c>
    </row>
    <row r="4720" spans="1:7" x14ac:dyDescent="0.3">
      <c r="A4720" t="s">
        <v>28</v>
      </c>
      <c r="B4720" t="s">
        <v>29</v>
      </c>
      <c r="C4720" t="s">
        <v>30</v>
      </c>
      <c r="D4720">
        <v>2.2999999999999998</v>
      </c>
      <c r="E4720">
        <v>736</v>
      </c>
      <c r="F4720" t="str">
        <f>HYPERLINK("https://www.google.com/maps/search/?api=1&amp;query=24.16007137,47.23464169", "View Map")</f>
        <v>View Map</v>
      </c>
      <c r="G4720" s="2">
        <v>1.02124614896646E-2</v>
      </c>
    </row>
    <row r="4721" spans="1:7" x14ac:dyDescent="0.3">
      <c r="A4721" t="s">
        <v>1273</v>
      </c>
      <c r="B4721" t="s">
        <v>10820</v>
      </c>
      <c r="C4721" t="s">
        <v>241</v>
      </c>
      <c r="D4721">
        <v>2.2999999999999998</v>
      </c>
      <c r="E4721">
        <v>736</v>
      </c>
      <c r="F4721" t="str">
        <f>HYPERLINK("https://www.google.com/maps/search/?api=1&amp;query=20.4503241,44.8405842", "View Map")</f>
        <v>View Map</v>
      </c>
      <c r="G4721" s="2">
        <v>0.7477490341232681</v>
      </c>
    </row>
    <row r="4722" spans="1:7" x14ac:dyDescent="0.3">
      <c r="A4722" t="s">
        <v>9339</v>
      </c>
      <c r="B4722" t="s">
        <v>9340</v>
      </c>
      <c r="C4722" t="s">
        <v>255</v>
      </c>
      <c r="D4722">
        <v>2.2999999999999998</v>
      </c>
      <c r="E4722">
        <v>736</v>
      </c>
      <c r="F4722" t="str">
        <f>HYPERLINK("https://www.google.com/maps/search/?api=1&amp;query=24.55304779,43.6257283", "View Map")</f>
        <v>View Map</v>
      </c>
      <c r="G4722" s="2">
        <v>0.59680507132477012</v>
      </c>
    </row>
    <row r="4723" spans="1:7" x14ac:dyDescent="0.3">
      <c r="A4723" t="s">
        <v>8293</v>
      </c>
      <c r="B4723" t="s">
        <v>8294</v>
      </c>
      <c r="C4723" t="s">
        <v>393</v>
      </c>
      <c r="D4723">
        <v>2.2999999999999998</v>
      </c>
      <c r="E4723">
        <v>736</v>
      </c>
      <c r="F4723" t="str">
        <f>HYPERLINK("https://www.google.com/maps/search/?api=1&amp;query=23.35940114,45.56717064", "View Map")</f>
        <v>View Map</v>
      </c>
      <c r="G4723" s="2">
        <v>0.88814215599796709</v>
      </c>
    </row>
    <row r="4724" spans="1:7" x14ac:dyDescent="0.3">
      <c r="A4724" t="s">
        <v>46</v>
      </c>
      <c r="B4724" t="s">
        <v>10646</v>
      </c>
      <c r="C4724" t="s">
        <v>8</v>
      </c>
      <c r="D4724">
        <v>2.2999999999999998</v>
      </c>
      <c r="E4724">
        <v>736</v>
      </c>
      <c r="F4724" t="str">
        <f>HYPERLINK("https://www.google.com/maps/search/?api=1&amp;query=24.6424344,46.8387211", "View Map")</f>
        <v>View Map</v>
      </c>
    </row>
    <row r="4725" spans="1:7" x14ac:dyDescent="0.3">
      <c r="A4725" t="s">
        <v>46</v>
      </c>
      <c r="B4725" t="s">
        <v>9498</v>
      </c>
      <c r="C4725" t="s">
        <v>8</v>
      </c>
      <c r="D4725">
        <v>2.2999999999999998</v>
      </c>
      <c r="E4725">
        <v>736</v>
      </c>
      <c r="F4725" t="str">
        <f>HYPERLINK("https://www.google.com/maps/search/?api=1&amp;query=24.806819,46.82055937", "View Map")</f>
        <v>View Map</v>
      </c>
    </row>
    <row r="4726" spans="1:7" x14ac:dyDescent="0.3">
      <c r="A4726" t="s">
        <v>8549</v>
      </c>
      <c r="B4726" t="s">
        <v>8550</v>
      </c>
      <c r="C4726" t="s">
        <v>393</v>
      </c>
      <c r="D4726">
        <v>2.2989999999999999</v>
      </c>
      <c r="E4726">
        <v>736</v>
      </c>
      <c r="F4726" t="str">
        <f>HYPERLINK("https://www.google.com/maps/search/?api=1&amp;query=23.65669962,45.39022498", "View Map")</f>
        <v>View Map</v>
      </c>
      <c r="G4726" s="2">
        <v>0.9057095726415344</v>
      </c>
    </row>
    <row r="4727" spans="1:7" x14ac:dyDescent="0.3">
      <c r="A4727" t="s">
        <v>3859</v>
      </c>
      <c r="B4727" t="s">
        <v>3860</v>
      </c>
      <c r="C4727" t="s">
        <v>8</v>
      </c>
      <c r="D4727">
        <v>2.298</v>
      </c>
      <c r="E4727">
        <v>735</v>
      </c>
      <c r="F4727" t="str">
        <f>HYPERLINK("https://www.google.com/maps/search/?api=1&amp;query=24.59258883,46.53948231", "View Map")</f>
        <v>View Map</v>
      </c>
    </row>
    <row r="4728" spans="1:7" x14ac:dyDescent="0.3">
      <c r="A4728" t="s">
        <v>6719</v>
      </c>
      <c r="B4728" t="s">
        <v>11730</v>
      </c>
      <c r="C4728" t="s">
        <v>8</v>
      </c>
      <c r="D4728">
        <v>2.298</v>
      </c>
      <c r="E4728">
        <v>735</v>
      </c>
      <c r="F4728" t="str">
        <f>HYPERLINK("https://www.google.com/maps/search/?api=1&amp;query=24.63436151,46.56636586", "View Map")</f>
        <v>View Map</v>
      </c>
    </row>
    <row r="4729" spans="1:7" x14ac:dyDescent="0.3">
      <c r="A4729" t="s">
        <v>8611</v>
      </c>
      <c r="B4729" t="s">
        <v>8612</v>
      </c>
      <c r="C4729" t="s">
        <v>255</v>
      </c>
      <c r="D4729">
        <v>2.2970000000000002</v>
      </c>
      <c r="E4729">
        <v>735</v>
      </c>
      <c r="F4729" t="str">
        <f>HYPERLINK("https://www.google.com/maps/search/?api=1&amp;query=24.63170764,43.64359663", "View Map")</f>
        <v>View Map</v>
      </c>
      <c r="G4729" s="2">
        <v>0.87434866258649602</v>
      </c>
    </row>
    <row r="4730" spans="1:7" x14ac:dyDescent="0.3">
      <c r="A4730" t="s">
        <v>46</v>
      </c>
      <c r="B4730" t="s">
        <v>5931</v>
      </c>
      <c r="C4730" t="s">
        <v>8</v>
      </c>
      <c r="D4730">
        <v>2.2959999999999998</v>
      </c>
      <c r="E4730">
        <v>735</v>
      </c>
      <c r="F4730" t="str">
        <f>HYPERLINK("https://www.google.com/maps/search/?api=1&amp;query=24.7851743,46.90611436", "View Map")</f>
        <v>View Map</v>
      </c>
    </row>
    <row r="4731" spans="1:7" x14ac:dyDescent="0.3">
      <c r="A4731" t="s">
        <v>7187</v>
      </c>
      <c r="B4731" t="s">
        <v>7188</v>
      </c>
      <c r="C4731" t="s">
        <v>8</v>
      </c>
      <c r="D4731">
        <v>2.2949999999999999</v>
      </c>
      <c r="E4731">
        <v>734</v>
      </c>
      <c r="F4731" t="str">
        <f>HYPERLINK("https://www.google.com/maps/search/?api=1&amp;query=24.59881213,46.61439579", "View Map")</f>
        <v>View Map</v>
      </c>
    </row>
    <row r="4732" spans="1:7" x14ac:dyDescent="0.3">
      <c r="A4732" t="s">
        <v>433</v>
      </c>
      <c r="B4732" t="s">
        <v>8998</v>
      </c>
      <c r="C4732" t="s">
        <v>137</v>
      </c>
      <c r="D4732">
        <v>2.2949999999999999</v>
      </c>
      <c r="E4732">
        <v>734</v>
      </c>
      <c r="F4732" t="str">
        <f>HYPERLINK("https://www.google.com/maps/search/?api=1&amp;query=23.43246151,46.79009905", "View Map")</f>
        <v>View Map</v>
      </c>
    </row>
    <row r="4733" spans="1:7" x14ac:dyDescent="0.3">
      <c r="A4733" t="s">
        <v>7011</v>
      </c>
      <c r="B4733" t="s">
        <v>7012</v>
      </c>
      <c r="C4733" t="s">
        <v>291</v>
      </c>
      <c r="D4733">
        <v>2.2949999999999999</v>
      </c>
      <c r="E4733">
        <v>734</v>
      </c>
      <c r="F4733" t="str">
        <f>HYPERLINK("https://www.google.com/maps/search/?api=1&amp;query=23.17014983,44.83726282", "View Map")</f>
        <v>View Map</v>
      </c>
      <c r="G4733" s="2">
        <v>0.68539087711999225</v>
      </c>
    </row>
    <row r="4734" spans="1:7" x14ac:dyDescent="0.3">
      <c r="A4734" t="s">
        <v>11731</v>
      </c>
      <c r="B4734" t="s">
        <v>11732</v>
      </c>
      <c r="C4734" t="s">
        <v>255</v>
      </c>
      <c r="D4734">
        <v>2.294</v>
      </c>
      <c r="E4734">
        <v>734</v>
      </c>
      <c r="F4734" t="str">
        <f>HYPERLINK("https://www.google.com/maps/search/?api=1&amp;query=24.50197673,44.37871315", "View Map")</f>
        <v>View Map</v>
      </c>
    </row>
    <row r="4735" spans="1:7" x14ac:dyDescent="0.3">
      <c r="A4735" t="s">
        <v>9313</v>
      </c>
      <c r="B4735" t="s">
        <v>9314</v>
      </c>
      <c r="C4735" t="s">
        <v>270</v>
      </c>
      <c r="D4735">
        <v>2.2919999999999998</v>
      </c>
      <c r="E4735">
        <v>733</v>
      </c>
      <c r="F4735" t="str">
        <f>HYPERLINK("https://www.google.com/maps/search/?api=1&amp;query=23.92232841,46.95468926", "View Map")</f>
        <v>View Map</v>
      </c>
      <c r="G4735" s="2">
        <v>0.75350158836600134</v>
      </c>
    </row>
    <row r="4736" spans="1:7" x14ac:dyDescent="0.3">
      <c r="A4736" t="s">
        <v>7330</v>
      </c>
      <c r="B4736" t="s">
        <v>7331</v>
      </c>
      <c r="C4736" t="s">
        <v>241</v>
      </c>
      <c r="D4736">
        <v>2.2919999999999998</v>
      </c>
      <c r="E4736">
        <v>734</v>
      </c>
      <c r="F4736" t="str">
        <f>HYPERLINK("https://www.google.com/maps/search/?api=1&amp;query=20.47571818,45.13377983", "View Map")</f>
        <v>View Map</v>
      </c>
      <c r="G4736" s="2">
        <v>0.36884537571908421</v>
      </c>
    </row>
    <row r="4737" spans="1:7" x14ac:dyDescent="0.3">
      <c r="A4737" t="s">
        <v>7215</v>
      </c>
      <c r="B4737" t="s">
        <v>7216</v>
      </c>
      <c r="C4737" t="s">
        <v>883</v>
      </c>
      <c r="D4737">
        <v>2.2919999999999998</v>
      </c>
      <c r="E4737">
        <v>733</v>
      </c>
      <c r="F4737" t="str">
        <f>HYPERLINK("https://www.google.com/maps/search/?api=1&amp;query=25.56640742,47.15029653", "View Map")</f>
        <v>View Map</v>
      </c>
      <c r="G4737" s="2">
        <v>0.69664288265532681</v>
      </c>
    </row>
    <row r="4738" spans="1:7" x14ac:dyDescent="0.3">
      <c r="A4738" t="s">
        <v>146</v>
      </c>
      <c r="B4738" t="s">
        <v>11733</v>
      </c>
      <c r="C4738" t="s">
        <v>8</v>
      </c>
      <c r="D4738">
        <v>2.2909999999999999</v>
      </c>
      <c r="E4738">
        <v>733</v>
      </c>
      <c r="F4738" t="str">
        <f>HYPERLINK("https://www.google.com/maps/search/?api=1&amp;query=24.5697,46.5264", "View Map")</f>
        <v>View Map</v>
      </c>
    </row>
    <row r="4739" spans="1:7" x14ac:dyDescent="0.3">
      <c r="A4739" t="s">
        <v>8625</v>
      </c>
      <c r="B4739" t="s">
        <v>8626</v>
      </c>
      <c r="C4739" t="s">
        <v>8</v>
      </c>
      <c r="D4739">
        <v>2.2909999999999999</v>
      </c>
      <c r="E4739">
        <v>733</v>
      </c>
      <c r="F4739" t="str">
        <f>HYPERLINK("https://www.google.com/maps/search/?api=1&amp;query=24.72831953,46.76328176", "View Map")</f>
        <v>View Map</v>
      </c>
    </row>
    <row r="4740" spans="1:7" x14ac:dyDescent="0.3">
      <c r="A4740" t="s">
        <v>10208</v>
      </c>
      <c r="B4740" t="s">
        <v>10209</v>
      </c>
      <c r="C4740" t="s">
        <v>8</v>
      </c>
      <c r="D4740">
        <v>2.2909999999999999</v>
      </c>
      <c r="E4740">
        <v>733</v>
      </c>
      <c r="F4740" t="str">
        <f>HYPERLINK("https://www.google.com/maps/search/?api=1&amp;query=24.68707294,46.66600359", "View Map")</f>
        <v>View Map</v>
      </c>
    </row>
    <row r="4741" spans="1:7" x14ac:dyDescent="0.3">
      <c r="A4741" t="s">
        <v>5204</v>
      </c>
      <c r="B4741" t="s">
        <v>7902</v>
      </c>
      <c r="C4741" t="s">
        <v>8</v>
      </c>
      <c r="D4741">
        <v>2.2909999999999999</v>
      </c>
      <c r="E4741">
        <v>733</v>
      </c>
      <c r="F4741" t="str">
        <f>HYPERLINK("https://www.google.com/maps/search/?api=1&amp;query=24.77318492,46.74155101", "View Map")</f>
        <v>View Map</v>
      </c>
    </row>
    <row r="4742" spans="1:7" x14ac:dyDescent="0.3">
      <c r="A4742" t="s">
        <v>990</v>
      </c>
      <c r="B4742" t="s">
        <v>11734</v>
      </c>
      <c r="C4742" t="s">
        <v>8</v>
      </c>
      <c r="D4742">
        <v>2.2909999999999999</v>
      </c>
      <c r="E4742">
        <v>733</v>
      </c>
      <c r="F4742" t="str">
        <f>HYPERLINK("https://www.google.com/maps/search/?api=1&amp;query=24.69234082,46.78445698", "View Map")</f>
        <v>View Map</v>
      </c>
    </row>
    <row r="4743" spans="1:7" x14ac:dyDescent="0.3">
      <c r="A4743" t="s">
        <v>5725</v>
      </c>
      <c r="B4743" t="s">
        <v>6292</v>
      </c>
      <c r="C4743" t="s">
        <v>8</v>
      </c>
      <c r="D4743">
        <v>2.29</v>
      </c>
      <c r="E4743">
        <v>733</v>
      </c>
      <c r="F4743" t="str">
        <f>HYPERLINK("https://www.google.com/maps/search/?api=1&amp;query=24.56940534,46.84149876", "View Map")</f>
        <v>View Map</v>
      </c>
    </row>
    <row r="4744" spans="1:7" x14ac:dyDescent="0.3">
      <c r="A4744" t="s">
        <v>2597</v>
      </c>
      <c r="B4744" t="s">
        <v>9844</v>
      </c>
      <c r="C4744" t="s">
        <v>291</v>
      </c>
      <c r="D4744">
        <v>2.29</v>
      </c>
      <c r="E4744">
        <v>733</v>
      </c>
      <c r="F4744" t="str">
        <f>HYPERLINK("https://www.google.com/maps/search/?api=1&amp;query=23.70528454,44.88882774", "View Map")</f>
        <v>View Map</v>
      </c>
      <c r="G4744" s="2">
        <v>0.42732548680308369</v>
      </c>
    </row>
    <row r="4745" spans="1:7" x14ac:dyDescent="0.3">
      <c r="A4745" t="s">
        <v>11735</v>
      </c>
      <c r="B4745" t="s">
        <v>11736</v>
      </c>
      <c r="C4745" t="s">
        <v>8</v>
      </c>
      <c r="D4745">
        <v>2.29</v>
      </c>
      <c r="E4745">
        <v>733</v>
      </c>
      <c r="F4745" t="str">
        <f>HYPERLINK("https://www.google.com/maps/search/?api=1&amp;query=24.57337,46.690026", "View Map")</f>
        <v>View Map</v>
      </c>
    </row>
    <row r="4746" spans="1:7" x14ac:dyDescent="0.3">
      <c r="A4746" t="s">
        <v>11737</v>
      </c>
      <c r="B4746" t="s">
        <v>11738</v>
      </c>
      <c r="C4746" t="s">
        <v>8</v>
      </c>
      <c r="D4746">
        <v>2.29</v>
      </c>
      <c r="E4746">
        <v>733</v>
      </c>
      <c r="F4746" t="str">
        <f>HYPERLINK("https://www.google.com/maps/search/?api=1&amp;query=24.70453736,46.74207678", "View Map")</f>
        <v>View Map</v>
      </c>
      <c r="G4746" s="2">
        <v>0.45759604193207931</v>
      </c>
    </row>
    <row r="4747" spans="1:7" x14ac:dyDescent="0.3">
      <c r="A4747" t="s">
        <v>7447</v>
      </c>
      <c r="B4747" t="s">
        <v>7448</v>
      </c>
      <c r="C4747" t="s">
        <v>8</v>
      </c>
      <c r="D4747">
        <v>2.2890000000000001</v>
      </c>
      <c r="E4747">
        <v>732</v>
      </c>
      <c r="F4747" t="str">
        <f>HYPERLINK("https://www.google.com/maps/search/?api=1&amp;query=24.56315532,46.71478928", "View Map")</f>
        <v>View Map</v>
      </c>
    </row>
    <row r="4748" spans="1:7" x14ac:dyDescent="0.3">
      <c r="A4748" t="s">
        <v>11739</v>
      </c>
      <c r="B4748" t="s">
        <v>11740</v>
      </c>
      <c r="C4748" t="s">
        <v>291</v>
      </c>
      <c r="D4748">
        <v>2.2890000000000001</v>
      </c>
      <c r="E4748">
        <v>732</v>
      </c>
      <c r="F4748" t="str">
        <f>HYPERLINK("https://www.google.com/maps/search/?api=1&amp;query=23.99053746,45.38234675", "View Map")</f>
        <v>View Map</v>
      </c>
      <c r="G4748" s="2">
        <v>0.82929031930048713</v>
      </c>
    </row>
    <row r="4749" spans="1:7" x14ac:dyDescent="0.3">
      <c r="A4749" t="s">
        <v>3891</v>
      </c>
      <c r="B4749" t="s">
        <v>3892</v>
      </c>
      <c r="C4749" t="s">
        <v>8</v>
      </c>
      <c r="D4749">
        <v>2.2890000000000001</v>
      </c>
      <c r="E4749">
        <v>732</v>
      </c>
      <c r="F4749" t="str">
        <f>HYPERLINK("https://www.google.com/maps/search/?api=1&amp;query=24.76462421,46.74507395", "View Map")</f>
        <v>View Map</v>
      </c>
    </row>
    <row r="4750" spans="1:7" x14ac:dyDescent="0.3">
      <c r="A4750" t="s">
        <v>10866</v>
      </c>
      <c r="B4750" t="s">
        <v>10867</v>
      </c>
      <c r="C4750" t="s">
        <v>8</v>
      </c>
      <c r="D4750">
        <v>2.2890000000000001</v>
      </c>
      <c r="E4750">
        <v>732</v>
      </c>
      <c r="F4750" t="str">
        <f>HYPERLINK("https://www.google.com/maps/search/?api=1&amp;query=24.61658094,46.70892594", "View Map")</f>
        <v>View Map</v>
      </c>
    </row>
    <row r="4751" spans="1:7" x14ac:dyDescent="0.3">
      <c r="A4751" t="s">
        <v>621</v>
      </c>
      <c r="B4751" t="s">
        <v>6259</v>
      </c>
      <c r="C4751" t="s">
        <v>8</v>
      </c>
      <c r="D4751">
        <v>2.2890000000000001</v>
      </c>
      <c r="E4751">
        <v>733</v>
      </c>
      <c r="F4751" t="str">
        <f>HYPERLINK("https://www.google.com/maps/search/?api=1&amp;query=24.71062461,46.66700732", "View Map")</f>
        <v>View Map</v>
      </c>
    </row>
    <row r="4752" spans="1:7" x14ac:dyDescent="0.3">
      <c r="A4752" t="s">
        <v>1843</v>
      </c>
      <c r="B4752" t="s">
        <v>1844</v>
      </c>
      <c r="C4752" t="s">
        <v>8</v>
      </c>
      <c r="D4752">
        <v>2.2879999999999998</v>
      </c>
      <c r="E4752">
        <v>732</v>
      </c>
      <c r="F4752" t="str">
        <f>HYPERLINK("https://www.google.com/maps/search/?api=1&amp;query=24.78220565,46.75037573", "View Map")</f>
        <v>View Map</v>
      </c>
      <c r="G4752" s="2">
        <v>0.32695228869222459</v>
      </c>
    </row>
    <row r="4753" spans="1:7" x14ac:dyDescent="0.3">
      <c r="A4753" t="s">
        <v>530</v>
      </c>
      <c r="B4753" t="s">
        <v>9076</v>
      </c>
      <c r="C4753" t="s">
        <v>8</v>
      </c>
      <c r="D4753">
        <v>2.2879999999999998</v>
      </c>
      <c r="E4753">
        <v>732</v>
      </c>
      <c r="F4753" t="str">
        <f>HYPERLINK("https://www.google.com/maps/search/?api=1&amp;query=24.76867523,46.76528077", "View Map")</f>
        <v>View Map</v>
      </c>
      <c r="G4753" s="2">
        <v>0.61099981788380986</v>
      </c>
    </row>
    <row r="4754" spans="1:7" x14ac:dyDescent="0.3">
      <c r="A4754" t="s">
        <v>7357</v>
      </c>
      <c r="B4754" t="s">
        <v>7358</v>
      </c>
      <c r="C4754" t="s">
        <v>8</v>
      </c>
      <c r="D4754">
        <v>2.2879999999999998</v>
      </c>
      <c r="E4754">
        <v>732</v>
      </c>
      <c r="F4754" t="str">
        <f>HYPERLINK("https://www.google.com/maps/search/?api=1&amp;query=24.53028886,46.68527284", "View Map")</f>
        <v>View Map</v>
      </c>
    </row>
    <row r="4755" spans="1:7" x14ac:dyDescent="0.3">
      <c r="A4755" t="s">
        <v>10272</v>
      </c>
      <c r="B4755" t="s">
        <v>10273</v>
      </c>
      <c r="C4755" t="s">
        <v>77</v>
      </c>
      <c r="D4755">
        <v>2.2879999999999998</v>
      </c>
      <c r="E4755">
        <v>732</v>
      </c>
      <c r="F4755" t="str">
        <f>HYPERLINK("https://www.google.com/maps/search/?api=1&amp;query=22.74584708,46.30852893", "View Map")</f>
        <v>View Map</v>
      </c>
      <c r="G4755" s="2">
        <v>0.68606174309106138</v>
      </c>
    </row>
    <row r="4756" spans="1:7" x14ac:dyDescent="0.3">
      <c r="A4756" t="s">
        <v>11741</v>
      </c>
      <c r="B4756" t="s">
        <v>11742</v>
      </c>
      <c r="C4756" t="s">
        <v>8</v>
      </c>
      <c r="D4756">
        <v>2.286</v>
      </c>
      <c r="E4756">
        <v>732</v>
      </c>
      <c r="F4756" t="str">
        <f>HYPERLINK("https://www.google.com/maps/search/?api=1&amp;query=24.80724593,46.74521721", "View Map")</f>
        <v>View Map</v>
      </c>
    </row>
    <row r="4757" spans="1:7" x14ac:dyDescent="0.3">
      <c r="A4757" t="s">
        <v>11743</v>
      </c>
      <c r="B4757" t="s">
        <v>11744</v>
      </c>
      <c r="C4757" t="s">
        <v>296</v>
      </c>
      <c r="D4757">
        <v>2.286</v>
      </c>
      <c r="E4757">
        <v>731</v>
      </c>
      <c r="F4757" t="str">
        <f>HYPERLINK("https://www.google.com/maps/search/?api=1&amp;query=24.47240618,46.28943317", "View Map")</f>
        <v>View Map</v>
      </c>
    </row>
    <row r="4758" spans="1:7" x14ac:dyDescent="0.3">
      <c r="A4758" t="s">
        <v>8534</v>
      </c>
      <c r="B4758" t="s">
        <v>8535</v>
      </c>
      <c r="C4758" t="s">
        <v>21</v>
      </c>
      <c r="D4758">
        <v>2.286</v>
      </c>
      <c r="E4758">
        <v>731</v>
      </c>
      <c r="F4758" t="str">
        <f>HYPERLINK("https://www.google.com/maps/search/?api=1&amp;query=26.31464245,44.81448549", "View Map")</f>
        <v>View Map</v>
      </c>
    </row>
    <row r="4759" spans="1:7" x14ac:dyDescent="0.3">
      <c r="A4759" t="s">
        <v>2469</v>
      </c>
      <c r="B4759" t="s">
        <v>2470</v>
      </c>
      <c r="C4759" t="s">
        <v>8</v>
      </c>
      <c r="D4759">
        <v>2.2850000000000001</v>
      </c>
      <c r="E4759">
        <v>731</v>
      </c>
      <c r="F4759" t="str">
        <f>HYPERLINK("https://www.google.com/maps/search/?api=1&amp;query=24.79453383,46.65273936", "View Map")</f>
        <v>View Map</v>
      </c>
    </row>
    <row r="4760" spans="1:7" x14ac:dyDescent="0.3">
      <c r="A4760" t="s">
        <v>4879</v>
      </c>
      <c r="B4760" t="s">
        <v>4880</v>
      </c>
      <c r="C4760" t="s">
        <v>8</v>
      </c>
      <c r="D4760">
        <v>2.2839999999999998</v>
      </c>
      <c r="E4760">
        <v>731</v>
      </c>
      <c r="F4760" t="str">
        <f>HYPERLINK("https://www.google.com/maps/search/?api=1&amp;query=24.69011604,46.82454045", "View Map")</f>
        <v>View Map</v>
      </c>
    </row>
    <row r="4761" spans="1:7" x14ac:dyDescent="0.3">
      <c r="A4761" t="s">
        <v>146</v>
      </c>
      <c r="B4761" t="s">
        <v>5459</v>
      </c>
      <c r="C4761" t="s">
        <v>8</v>
      </c>
      <c r="D4761">
        <v>2.2839999999999998</v>
      </c>
      <c r="E4761">
        <v>731</v>
      </c>
      <c r="F4761" t="str">
        <f>HYPERLINK("https://www.google.com/maps/search/?api=1&amp;query=24.52690324,46.65844168", "View Map")</f>
        <v>View Map</v>
      </c>
    </row>
    <row r="4762" spans="1:7" x14ac:dyDescent="0.3">
      <c r="A4762" t="s">
        <v>6479</v>
      </c>
      <c r="B4762" t="s">
        <v>6480</v>
      </c>
      <c r="C4762" t="s">
        <v>8</v>
      </c>
      <c r="D4762">
        <v>2.2839999999999998</v>
      </c>
      <c r="E4762">
        <v>731</v>
      </c>
      <c r="F4762" t="str">
        <f>HYPERLINK("https://www.google.com/maps/search/?api=1&amp;query=24.58815505,46.78042521", "View Map")</f>
        <v>View Map</v>
      </c>
    </row>
    <row r="4763" spans="1:7" x14ac:dyDescent="0.3">
      <c r="A4763" t="s">
        <v>11745</v>
      </c>
      <c r="B4763" t="s">
        <v>11746</v>
      </c>
      <c r="C4763" t="s">
        <v>16</v>
      </c>
      <c r="D4763">
        <v>2.2839999999999998</v>
      </c>
      <c r="E4763">
        <v>731</v>
      </c>
      <c r="F4763" t="str">
        <f>HYPERLINK("https://www.google.com/maps/search/?api=1&amp;query=24.28584005,43.41741925", "View Map")</f>
        <v>View Map</v>
      </c>
    </row>
    <row r="4764" spans="1:7" x14ac:dyDescent="0.3">
      <c r="A4764" t="s">
        <v>150</v>
      </c>
      <c r="B4764" t="s">
        <v>11747</v>
      </c>
      <c r="C4764" t="s">
        <v>8</v>
      </c>
      <c r="D4764">
        <v>2.2829999999999999</v>
      </c>
      <c r="E4764">
        <v>731</v>
      </c>
      <c r="F4764" t="str">
        <f>HYPERLINK("https://www.google.com/maps/search/?api=1&amp;query=24.81306938,46.73811223", "View Map")</f>
        <v>View Map</v>
      </c>
    </row>
    <row r="4765" spans="1:7" x14ac:dyDescent="0.3">
      <c r="A4765" t="s">
        <v>2155</v>
      </c>
      <c r="B4765" t="s">
        <v>2156</v>
      </c>
      <c r="C4765" t="s">
        <v>8</v>
      </c>
      <c r="D4765">
        <v>2.282</v>
      </c>
      <c r="E4765">
        <v>730</v>
      </c>
      <c r="F4765" t="str">
        <f>HYPERLINK("https://www.google.com/maps/search/?api=1&amp;query=24.54885924,46.86622893", "View Map")</f>
        <v>View Map</v>
      </c>
    </row>
    <row r="4766" spans="1:7" x14ac:dyDescent="0.3">
      <c r="A4766" t="s">
        <v>4423</v>
      </c>
      <c r="B4766" t="s">
        <v>4424</v>
      </c>
      <c r="C4766" t="s">
        <v>8</v>
      </c>
      <c r="D4766">
        <v>2.282</v>
      </c>
      <c r="E4766">
        <v>730</v>
      </c>
      <c r="F4766" t="str">
        <f>HYPERLINK("https://www.google.com/maps/search/?api=1&amp;query=24.74903067,46.82357853", "View Map")</f>
        <v>View Map</v>
      </c>
    </row>
    <row r="4767" spans="1:7" x14ac:dyDescent="0.3">
      <c r="A4767" t="s">
        <v>10488</v>
      </c>
      <c r="B4767" t="s">
        <v>10489</v>
      </c>
      <c r="C4767" t="s">
        <v>8</v>
      </c>
      <c r="D4767">
        <v>2.282</v>
      </c>
      <c r="E4767">
        <v>730</v>
      </c>
      <c r="F4767" t="str">
        <f>HYPERLINK("https://www.google.com/maps/search/?api=1&amp;query=24.60321578,46.64297181", "View Map")</f>
        <v>View Map</v>
      </c>
    </row>
    <row r="4768" spans="1:7" x14ac:dyDescent="0.3">
      <c r="A4768" t="s">
        <v>7923</v>
      </c>
      <c r="B4768" t="s">
        <v>7924</v>
      </c>
      <c r="C4768" t="s">
        <v>8</v>
      </c>
      <c r="D4768">
        <v>2.2810000000000001</v>
      </c>
      <c r="E4768">
        <v>730</v>
      </c>
      <c r="F4768" t="str">
        <f>HYPERLINK("https://www.google.com/maps/search/?api=1&amp;query=24.59738143,46.76602763", "View Map")</f>
        <v>View Map</v>
      </c>
    </row>
    <row r="4769" spans="1:7" x14ac:dyDescent="0.3">
      <c r="A4769" t="s">
        <v>9927</v>
      </c>
      <c r="B4769" t="s">
        <v>9928</v>
      </c>
      <c r="C4769" t="s">
        <v>214</v>
      </c>
      <c r="D4769">
        <v>2.2799999999999998</v>
      </c>
      <c r="E4769">
        <v>730</v>
      </c>
      <c r="F4769" t="str">
        <f>HYPERLINK("https://www.google.com/maps/search/?api=1&amp;query=25.90609461,45.39241928", "View Map")</f>
        <v>View Map</v>
      </c>
    </row>
    <row r="4770" spans="1:7" x14ac:dyDescent="0.3">
      <c r="A4770" t="s">
        <v>6792</v>
      </c>
      <c r="B4770" t="s">
        <v>6793</v>
      </c>
      <c r="C4770" t="s">
        <v>8</v>
      </c>
      <c r="D4770">
        <v>2.2799999999999998</v>
      </c>
      <c r="E4770">
        <v>730</v>
      </c>
      <c r="F4770" t="str">
        <f>HYPERLINK("https://www.google.com/maps/search/?api=1&amp;query=24.76282314,46.77643728", "View Map")</f>
        <v>View Map</v>
      </c>
    </row>
    <row r="4771" spans="1:7" x14ac:dyDescent="0.3">
      <c r="A4771" t="s">
        <v>6599</v>
      </c>
      <c r="B4771" t="s">
        <v>6600</v>
      </c>
      <c r="C4771" t="s">
        <v>8</v>
      </c>
      <c r="D4771">
        <v>2.2799999999999998</v>
      </c>
      <c r="E4771">
        <v>730</v>
      </c>
      <c r="F4771" t="str">
        <f>HYPERLINK("https://www.google.com/maps/search/?api=1&amp;query=24.62006556,46.72786876", "View Map")</f>
        <v>View Map</v>
      </c>
    </row>
    <row r="4772" spans="1:7" x14ac:dyDescent="0.3">
      <c r="A4772" t="s">
        <v>9350</v>
      </c>
      <c r="B4772" t="s">
        <v>9351</v>
      </c>
      <c r="C4772" t="s">
        <v>8</v>
      </c>
      <c r="D4772">
        <v>2.2799999999999998</v>
      </c>
      <c r="E4772">
        <v>730</v>
      </c>
      <c r="F4772" t="str">
        <f>HYPERLINK("https://www.google.com/maps/search/?api=1&amp;query=24.68509334,46.72929062", "View Map")</f>
        <v>View Map</v>
      </c>
    </row>
    <row r="4773" spans="1:7" x14ac:dyDescent="0.3">
      <c r="A4773" t="s">
        <v>10827</v>
      </c>
      <c r="B4773" t="s">
        <v>10828</v>
      </c>
      <c r="C4773" t="s">
        <v>8</v>
      </c>
      <c r="D4773">
        <v>2.278</v>
      </c>
      <c r="E4773">
        <v>729</v>
      </c>
      <c r="F4773" t="str">
        <f>HYPERLINK("https://www.google.com/maps/search/?api=1&amp;query=24.63576123,46.70314073", "View Map")</f>
        <v>View Map</v>
      </c>
    </row>
    <row r="4774" spans="1:7" x14ac:dyDescent="0.3">
      <c r="A4774" t="s">
        <v>11748</v>
      </c>
      <c r="B4774" t="s">
        <v>11749</v>
      </c>
      <c r="C4774" t="s">
        <v>291</v>
      </c>
      <c r="D4774">
        <v>2.278</v>
      </c>
      <c r="E4774">
        <v>729</v>
      </c>
      <c r="F4774" t="str">
        <f>HYPERLINK("https://www.google.com/maps/search/?api=1&amp;query=23.76244006,45.08238373", "View Map")</f>
        <v>View Map</v>
      </c>
      <c r="G4774" s="2">
        <v>0.49767616526416197</v>
      </c>
    </row>
    <row r="4775" spans="1:7" x14ac:dyDescent="0.3">
      <c r="A4775" t="s">
        <v>46</v>
      </c>
      <c r="B4775" t="s">
        <v>11750</v>
      </c>
      <c r="C4775" t="s">
        <v>8</v>
      </c>
      <c r="D4775">
        <v>2.278</v>
      </c>
      <c r="E4775">
        <v>729</v>
      </c>
      <c r="F4775" t="str">
        <f>HYPERLINK("https://www.google.com/maps/search/?api=1&amp;query=24.81317307,46.80804608", "View Map")</f>
        <v>View Map</v>
      </c>
    </row>
    <row r="4776" spans="1:7" x14ac:dyDescent="0.3">
      <c r="A4776" t="s">
        <v>661</v>
      </c>
      <c r="B4776" t="s">
        <v>8525</v>
      </c>
      <c r="C4776" t="s">
        <v>214</v>
      </c>
      <c r="D4776">
        <v>2.2770000000000001</v>
      </c>
      <c r="E4776">
        <v>729</v>
      </c>
      <c r="F4776" t="str">
        <f>HYPERLINK("https://www.google.com/maps/search/?api=1&amp;query=25.70853351,45.4679597", "View Map")</f>
        <v>View Map</v>
      </c>
      <c r="G4776" s="2">
        <v>0.61809629265109189</v>
      </c>
    </row>
    <row r="4777" spans="1:7" x14ac:dyDescent="0.3">
      <c r="A4777" t="s">
        <v>9370</v>
      </c>
      <c r="B4777" t="s">
        <v>9371</v>
      </c>
      <c r="C4777" t="s">
        <v>30</v>
      </c>
      <c r="D4777">
        <v>2.2770000000000001</v>
      </c>
      <c r="E4777">
        <v>729</v>
      </c>
      <c r="F4777" t="str">
        <f>HYPERLINK("https://www.google.com/maps/search/?api=1&amp;query=24.18650434,47.27695", "View Map")</f>
        <v>View Map</v>
      </c>
      <c r="G4777" s="2">
        <v>0.43954456530165309</v>
      </c>
    </row>
    <row r="4778" spans="1:7" x14ac:dyDescent="0.3">
      <c r="A4778" t="s">
        <v>146</v>
      </c>
      <c r="B4778" t="s">
        <v>11751</v>
      </c>
      <c r="C4778" t="s">
        <v>8</v>
      </c>
      <c r="D4778">
        <v>2.2770000000000001</v>
      </c>
      <c r="E4778">
        <v>729</v>
      </c>
      <c r="F4778" t="str">
        <f>HYPERLINK("https://www.google.com/maps/search/?api=1&amp;query=24.52228302,46.66723426", "View Map")</f>
        <v>View Map</v>
      </c>
    </row>
    <row r="4779" spans="1:7" x14ac:dyDescent="0.3">
      <c r="A4779" t="s">
        <v>7160</v>
      </c>
      <c r="B4779" t="s">
        <v>7161</v>
      </c>
      <c r="C4779" t="s">
        <v>214</v>
      </c>
      <c r="D4779">
        <v>2.2759999999999998</v>
      </c>
      <c r="E4779">
        <v>728</v>
      </c>
      <c r="F4779" t="str">
        <f>HYPERLINK("https://www.google.com/maps/search/?api=1&amp;query=25.58933834,45.69960717", "View Map")</f>
        <v>View Map</v>
      </c>
      <c r="G4779" s="2">
        <v>0.7170970386080916</v>
      </c>
    </row>
    <row r="4780" spans="1:7" x14ac:dyDescent="0.3">
      <c r="A4780" t="s">
        <v>11192</v>
      </c>
      <c r="B4780" t="s">
        <v>11193</v>
      </c>
      <c r="C4780" t="s">
        <v>8</v>
      </c>
      <c r="D4780">
        <v>2.2759999999999998</v>
      </c>
      <c r="E4780">
        <v>728</v>
      </c>
      <c r="F4780" t="str">
        <f>HYPERLINK("https://www.google.com/maps/search/?api=1&amp;query=24.58415541,46.60684764", "View Map")</f>
        <v>View Map</v>
      </c>
    </row>
    <row r="4781" spans="1:7" x14ac:dyDescent="0.3">
      <c r="A4781" t="s">
        <v>46</v>
      </c>
      <c r="B4781" t="s">
        <v>9582</v>
      </c>
      <c r="C4781" t="s">
        <v>8</v>
      </c>
      <c r="D4781">
        <v>2.2759999999999998</v>
      </c>
      <c r="E4781">
        <v>728</v>
      </c>
      <c r="F4781" t="str">
        <f>HYPERLINK("https://www.google.com/maps/search/?api=1&amp;query=24.83784193,46.76692573", "View Map")</f>
        <v>View Map</v>
      </c>
    </row>
    <row r="4782" spans="1:7" x14ac:dyDescent="0.3">
      <c r="A4782" t="s">
        <v>8261</v>
      </c>
      <c r="B4782" t="s">
        <v>8262</v>
      </c>
      <c r="C4782" t="s">
        <v>8</v>
      </c>
      <c r="D4782">
        <v>2.2749999999999999</v>
      </c>
      <c r="E4782">
        <v>728</v>
      </c>
      <c r="F4782" t="str">
        <f>HYPERLINK("https://www.google.com/maps/search/?api=1&amp;query=24.66271757,46.62413625", "View Map")</f>
        <v>View Map</v>
      </c>
    </row>
    <row r="4783" spans="1:7" x14ac:dyDescent="0.3">
      <c r="A4783" t="s">
        <v>11752</v>
      </c>
      <c r="B4783" t="s">
        <v>11753</v>
      </c>
      <c r="C4783" t="s">
        <v>8</v>
      </c>
      <c r="D4783">
        <v>2.2749999999999999</v>
      </c>
      <c r="E4783">
        <v>728</v>
      </c>
      <c r="F4783" t="str">
        <f>HYPERLINK("https://www.google.com/maps/search/?api=1&amp;query=24.53356794,46.72070715", "View Map")</f>
        <v>View Map</v>
      </c>
    </row>
    <row r="4784" spans="1:7" x14ac:dyDescent="0.3">
      <c r="A4784" t="s">
        <v>9596</v>
      </c>
      <c r="B4784" t="s">
        <v>9597</v>
      </c>
      <c r="C4784" t="s">
        <v>30</v>
      </c>
      <c r="D4784">
        <v>2.274</v>
      </c>
      <c r="E4784">
        <v>728</v>
      </c>
      <c r="F4784" t="str">
        <f>HYPERLINK("https://www.google.com/maps/search/?api=1&amp;query=24.11664514,47.28694906", "View Map")</f>
        <v>View Map</v>
      </c>
    </row>
    <row r="4785" spans="1:7" x14ac:dyDescent="0.3">
      <c r="A4785" t="s">
        <v>146</v>
      </c>
      <c r="B4785" t="s">
        <v>5054</v>
      </c>
      <c r="C4785" t="s">
        <v>8</v>
      </c>
      <c r="D4785">
        <v>2.2730000000000001</v>
      </c>
      <c r="E4785">
        <v>727</v>
      </c>
      <c r="F4785" t="str">
        <f>HYPERLINK("https://www.google.com/maps/search/?api=1&amp;query=24.58705242,46.71247986", "View Map")</f>
        <v>View Map</v>
      </c>
    </row>
    <row r="4786" spans="1:7" x14ac:dyDescent="0.3">
      <c r="A4786" t="s">
        <v>6223</v>
      </c>
      <c r="B4786" t="s">
        <v>6224</v>
      </c>
      <c r="C4786" t="s">
        <v>8</v>
      </c>
      <c r="D4786">
        <v>2.2730000000000001</v>
      </c>
      <c r="E4786">
        <v>727</v>
      </c>
      <c r="F4786" t="str">
        <f>HYPERLINK("https://www.google.com/maps/search/?api=1&amp;query=24.80910136,46.6500693", "View Map")</f>
        <v>View Map</v>
      </c>
    </row>
    <row r="4787" spans="1:7" x14ac:dyDescent="0.3">
      <c r="A4787" t="s">
        <v>5766</v>
      </c>
      <c r="B4787" t="s">
        <v>5767</v>
      </c>
      <c r="C4787" t="s">
        <v>8</v>
      </c>
      <c r="D4787">
        <v>2.2709999999999999</v>
      </c>
      <c r="E4787">
        <v>727</v>
      </c>
      <c r="F4787" t="str">
        <f>HYPERLINK("https://www.google.com/maps/search/?api=1&amp;query=24.59448072,46.70934964", "View Map")</f>
        <v>View Map</v>
      </c>
    </row>
    <row r="4788" spans="1:7" x14ac:dyDescent="0.3">
      <c r="A4788" t="s">
        <v>6963</v>
      </c>
      <c r="B4788" t="s">
        <v>6964</v>
      </c>
      <c r="C4788" t="s">
        <v>30</v>
      </c>
      <c r="D4788">
        <v>2.2709999999999999</v>
      </c>
      <c r="E4788">
        <v>727</v>
      </c>
      <c r="F4788" t="str">
        <f>HYPERLINK("https://www.google.com/maps/search/?api=1&amp;query=24.16502351,47.36020408", "View Map")</f>
        <v>View Map</v>
      </c>
    </row>
    <row r="4789" spans="1:7" x14ac:dyDescent="0.3">
      <c r="A4789" t="s">
        <v>8653</v>
      </c>
      <c r="B4789" t="s">
        <v>8654</v>
      </c>
      <c r="C4789" t="s">
        <v>699</v>
      </c>
      <c r="D4789">
        <v>2.2709999999999999</v>
      </c>
      <c r="E4789">
        <v>727</v>
      </c>
      <c r="F4789" t="str">
        <f>HYPERLINK("https://www.google.com/maps/search/?api=1&amp;query=24.94423742,45.71328852", "View Map")</f>
        <v>View Map</v>
      </c>
      <c r="G4789" s="2">
        <v>0.67250146651829878</v>
      </c>
    </row>
    <row r="4790" spans="1:7" x14ac:dyDescent="0.3">
      <c r="A4790" t="s">
        <v>7778</v>
      </c>
      <c r="B4790" t="s">
        <v>7779</v>
      </c>
      <c r="C4790" t="s">
        <v>8</v>
      </c>
      <c r="D4790">
        <v>2.2709999999999999</v>
      </c>
      <c r="E4790">
        <v>727</v>
      </c>
      <c r="F4790" t="str">
        <f>HYPERLINK("https://www.google.com/maps/search/?api=1&amp;query=24.62460714,46.71861906", "View Map")</f>
        <v>View Map</v>
      </c>
    </row>
    <row r="4791" spans="1:7" x14ac:dyDescent="0.3">
      <c r="A4791" t="s">
        <v>10595</v>
      </c>
      <c r="B4791" t="s">
        <v>10596</v>
      </c>
      <c r="C4791" t="s">
        <v>270</v>
      </c>
      <c r="D4791">
        <v>2.27</v>
      </c>
      <c r="E4791">
        <v>727</v>
      </c>
      <c r="F4791" t="str">
        <f>HYPERLINK("https://www.google.com/maps/search/?api=1&amp;query=23.99597167,47.15871177", "View Map")</f>
        <v>View Map</v>
      </c>
    </row>
    <row r="4792" spans="1:7" x14ac:dyDescent="0.3">
      <c r="A4792" t="s">
        <v>10060</v>
      </c>
      <c r="B4792" t="s">
        <v>10061</v>
      </c>
      <c r="C4792" t="s">
        <v>8</v>
      </c>
      <c r="D4792">
        <v>2.27</v>
      </c>
      <c r="E4792">
        <v>726</v>
      </c>
      <c r="F4792" t="str">
        <f>HYPERLINK("https://www.google.com/maps/search/?api=1&amp;query=24.70471191,46.63058775", "View Map")</f>
        <v>View Map</v>
      </c>
    </row>
    <row r="4793" spans="1:7" x14ac:dyDescent="0.3">
      <c r="A4793" t="s">
        <v>6788</v>
      </c>
      <c r="B4793" t="s">
        <v>6789</v>
      </c>
      <c r="C4793" t="s">
        <v>8</v>
      </c>
      <c r="D4793">
        <v>2.27</v>
      </c>
      <c r="E4793">
        <v>726</v>
      </c>
      <c r="F4793" t="str">
        <f>HYPERLINK("https://www.google.com/maps/search/?api=1&amp;query=24.57160733,46.58764948", "View Map")</f>
        <v>View Map</v>
      </c>
    </row>
    <row r="4794" spans="1:7" x14ac:dyDescent="0.3">
      <c r="A4794" t="s">
        <v>958</v>
      </c>
      <c r="B4794" t="s">
        <v>7578</v>
      </c>
      <c r="C4794" t="s">
        <v>8</v>
      </c>
      <c r="D4794">
        <v>2.2690000000000001</v>
      </c>
      <c r="E4794">
        <v>726</v>
      </c>
      <c r="F4794" t="str">
        <f>HYPERLINK("https://www.google.com/maps/search/?api=1&amp;query=24.54831987,46.71781307", "View Map")</f>
        <v>View Map</v>
      </c>
    </row>
    <row r="4795" spans="1:7" x14ac:dyDescent="0.3">
      <c r="A4795" t="s">
        <v>8008</v>
      </c>
      <c r="B4795" t="s">
        <v>8009</v>
      </c>
      <c r="C4795" t="s">
        <v>241</v>
      </c>
      <c r="D4795">
        <v>2.2690000000000001</v>
      </c>
      <c r="E4795">
        <v>726</v>
      </c>
      <c r="F4795" t="str">
        <f>HYPERLINK("https://www.google.com/maps/search/?api=1&amp;query=20.47446224,44.79246046", "View Map")</f>
        <v>View Map</v>
      </c>
      <c r="G4795" s="2">
        <v>0.540300822629314</v>
      </c>
    </row>
    <row r="4796" spans="1:7" x14ac:dyDescent="0.3">
      <c r="A4796" t="s">
        <v>8256</v>
      </c>
      <c r="B4796" t="s">
        <v>8257</v>
      </c>
      <c r="C4796" t="s">
        <v>16</v>
      </c>
      <c r="D4796">
        <v>2.2690000000000001</v>
      </c>
      <c r="E4796">
        <v>726</v>
      </c>
      <c r="F4796" t="str">
        <f>HYPERLINK("https://www.google.com/maps/search/?api=1&amp;query=24.38125095,42.16937967", "View Map")</f>
        <v>View Map</v>
      </c>
      <c r="G4796" s="2">
        <v>0.81258089911919196</v>
      </c>
    </row>
    <row r="4797" spans="1:7" x14ac:dyDescent="0.3">
      <c r="A4797" t="s">
        <v>46</v>
      </c>
      <c r="B4797" t="s">
        <v>9682</v>
      </c>
      <c r="C4797" t="s">
        <v>8</v>
      </c>
      <c r="D4797">
        <v>2.2690000000000001</v>
      </c>
      <c r="E4797">
        <v>726</v>
      </c>
      <c r="F4797" t="str">
        <f>HYPERLINK("https://www.google.com/maps/search/?api=1&amp;query=24.67546,46.56398", "View Map")</f>
        <v>View Map</v>
      </c>
      <c r="G4797" s="2">
        <v>0.62691252247571871</v>
      </c>
    </row>
    <row r="4798" spans="1:7" x14ac:dyDescent="0.3">
      <c r="A4798" t="s">
        <v>11754</v>
      </c>
      <c r="B4798" t="s">
        <v>11755</v>
      </c>
      <c r="C4798" t="s">
        <v>393</v>
      </c>
      <c r="D4798">
        <v>2.2690000000000001</v>
      </c>
      <c r="E4798">
        <v>726</v>
      </c>
      <c r="F4798" t="str">
        <f>HYPERLINK("https://www.google.com/maps/search/?api=1&amp;query=22.6687062,44.73166938", "View Map")</f>
        <v>View Map</v>
      </c>
      <c r="G4798" s="2">
        <v>0.83297344612971902</v>
      </c>
    </row>
    <row r="4799" spans="1:7" x14ac:dyDescent="0.3">
      <c r="A4799" t="s">
        <v>1273</v>
      </c>
      <c r="B4799" t="s">
        <v>10908</v>
      </c>
      <c r="C4799" t="s">
        <v>241</v>
      </c>
      <c r="D4799">
        <v>2.2690000000000001</v>
      </c>
      <c r="E4799">
        <v>726</v>
      </c>
      <c r="F4799" t="str">
        <f>HYPERLINK("https://www.google.com/maps/search/?api=1&amp;query=20.38343937,44.78796761", "View Map")</f>
        <v>View Map</v>
      </c>
    </row>
    <row r="4800" spans="1:7" x14ac:dyDescent="0.3">
      <c r="A4800" t="s">
        <v>10098</v>
      </c>
      <c r="B4800" t="s">
        <v>10099</v>
      </c>
      <c r="C4800" t="s">
        <v>8</v>
      </c>
      <c r="D4800">
        <v>2.2690000000000001</v>
      </c>
      <c r="E4800">
        <v>726</v>
      </c>
      <c r="F4800" t="str">
        <f>HYPERLINK("https://www.google.com/maps/search/?api=1&amp;query=24.75049468,46.79014355", "View Map")</f>
        <v>View Map</v>
      </c>
    </row>
    <row r="4801" spans="1:7" x14ac:dyDescent="0.3">
      <c r="A4801" t="s">
        <v>678</v>
      </c>
      <c r="B4801" t="s">
        <v>7910</v>
      </c>
      <c r="C4801" t="s">
        <v>21</v>
      </c>
      <c r="D4801">
        <v>2.2690000000000001</v>
      </c>
      <c r="E4801">
        <v>726</v>
      </c>
      <c r="F4801" t="str">
        <f>HYPERLINK("https://www.google.com/maps/search/?api=1&amp;query=26.30638294,44.88046455", "View Map")</f>
        <v>View Map</v>
      </c>
      <c r="G4801" s="2">
        <v>0.53881920143992179</v>
      </c>
    </row>
    <row r="4802" spans="1:7" x14ac:dyDescent="0.3">
      <c r="A4802" t="s">
        <v>8357</v>
      </c>
      <c r="B4802" t="s">
        <v>11756</v>
      </c>
      <c r="C4802" t="s">
        <v>8</v>
      </c>
      <c r="D4802">
        <v>2.2679999999999998</v>
      </c>
      <c r="E4802">
        <v>726</v>
      </c>
      <c r="F4802" t="str">
        <f>HYPERLINK("https://www.google.com/maps/search/?api=1&amp;query=24.80533717,46.88850322", "View Map")</f>
        <v>View Map</v>
      </c>
    </row>
    <row r="4803" spans="1:7" x14ac:dyDescent="0.3">
      <c r="A4803" t="s">
        <v>11757</v>
      </c>
      <c r="B4803" t="s">
        <v>11758</v>
      </c>
      <c r="C4803" t="s">
        <v>214</v>
      </c>
      <c r="D4803">
        <v>2.2679999999999998</v>
      </c>
      <c r="E4803">
        <v>726</v>
      </c>
      <c r="F4803" t="str">
        <f>HYPERLINK("https://www.google.com/maps/search/?api=1&amp;query=25.59807722,45.61205716", "View Map")</f>
        <v>View Map</v>
      </c>
    </row>
    <row r="4804" spans="1:7" x14ac:dyDescent="0.3">
      <c r="A4804" t="s">
        <v>4478</v>
      </c>
      <c r="B4804" t="s">
        <v>4479</v>
      </c>
      <c r="C4804" t="s">
        <v>270</v>
      </c>
      <c r="D4804">
        <v>2.2669999999999999</v>
      </c>
      <c r="E4804">
        <v>725</v>
      </c>
      <c r="F4804" t="str">
        <f>HYPERLINK("https://www.google.com/maps/search/?api=1&amp;query=24.01605005,47.16734655", "View Map")</f>
        <v>View Map</v>
      </c>
      <c r="G4804" s="2">
        <v>0.3867418266599128</v>
      </c>
    </row>
    <row r="4805" spans="1:7" x14ac:dyDescent="0.3">
      <c r="A4805" t="s">
        <v>2357</v>
      </c>
      <c r="B4805" t="s">
        <v>2358</v>
      </c>
      <c r="C4805" t="s">
        <v>8</v>
      </c>
      <c r="D4805">
        <v>2.2669999999999999</v>
      </c>
      <c r="E4805">
        <v>725</v>
      </c>
      <c r="F4805" t="str">
        <f>HYPERLINK("https://www.google.com/maps/search/?api=1&amp;query=24.67507445,46.6926969", "View Map")</f>
        <v>View Map</v>
      </c>
    </row>
    <row r="4806" spans="1:7" x14ac:dyDescent="0.3">
      <c r="A4806" t="s">
        <v>11759</v>
      </c>
      <c r="B4806" t="s">
        <v>11760</v>
      </c>
      <c r="C4806" t="s">
        <v>8</v>
      </c>
      <c r="D4806">
        <v>2.266</v>
      </c>
      <c r="E4806">
        <v>725</v>
      </c>
      <c r="F4806" t="str">
        <f>HYPERLINK("https://www.google.com/maps/search/?api=1&amp;query=24.64373854,46.78088063", "View Map")</f>
        <v>View Map</v>
      </c>
      <c r="G4806" s="2">
        <v>0.64050734943492404</v>
      </c>
    </row>
    <row r="4807" spans="1:7" x14ac:dyDescent="0.3">
      <c r="A4807" t="s">
        <v>8271</v>
      </c>
      <c r="B4807" t="s">
        <v>8272</v>
      </c>
      <c r="C4807" t="s">
        <v>646</v>
      </c>
      <c r="D4807">
        <v>2.2639999999999998</v>
      </c>
      <c r="E4807">
        <v>725</v>
      </c>
      <c r="F4807" t="str">
        <f>HYPERLINK("https://www.google.com/maps/search/?api=1&amp;query=20.40880588,45.43848489", "View Map")</f>
        <v>View Map</v>
      </c>
      <c r="G4807" s="2">
        <v>0.52524277534240582</v>
      </c>
    </row>
    <row r="4808" spans="1:7" x14ac:dyDescent="0.3">
      <c r="A4808" t="s">
        <v>4439</v>
      </c>
      <c r="B4808" t="s">
        <v>4440</v>
      </c>
      <c r="C4808" t="s">
        <v>296</v>
      </c>
      <c r="D4808">
        <v>2.2629999999999999</v>
      </c>
      <c r="E4808">
        <v>724</v>
      </c>
      <c r="F4808" t="str">
        <f>HYPERLINK("https://www.google.com/maps/search/?api=1&amp;query=24.46597606,46.26709091", "View Map")</f>
        <v>View Map</v>
      </c>
    </row>
    <row r="4809" spans="1:7" x14ac:dyDescent="0.3">
      <c r="A4809" t="s">
        <v>8448</v>
      </c>
      <c r="B4809" t="s">
        <v>8449</v>
      </c>
      <c r="C4809" t="s">
        <v>8</v>
      </c>
      <c r="D4809">
        <v>2.262</v>
      </c>
      <c r="E4809">
        <v>724</v>
      </c>
      <c r="F4809" t="str">
        <f>HYPERLINK("https://www.google.com/maps/search/?api=1&amp;query=24.74395742,46.61963474", "View Map")</f>
        <v>View Map</v>
      </c>
    </row>
    <row r="4810" spans="1:7" x14ac:dyDescent="0.3">
      <c r="A4810" t="s">
        <v>11761</v>
      </c>
      <c r="B4810" t="s">
        <v>11762</v>
      </c>
      <c r="C4810" t="s">
        <v>8</v>
      </c>
      <c r="D4810">
        <v>2.262</v>
      </c>
      <c r="E4810">
        <v>724</v>
      </c>
      <c r="F4810" t="str">
        <f>HYPERLINK("https://www.google.com/maps/search/?api=1&amp;query=24.5416181,46.64459252", "View Map")</f>
        <v>View Map</v>
      </c>
    </row>
    <row r="4811" spans="1:7" x14ac:dyDescent="0.3">
      <c r="A4811" t="s">
        <v>10172</v>
      </c>
      <c r="B4811" t="s">
        <v>10173</v>
      </c>
      <c r="C4811" t="s">
        <v>255</v>
      </c>
      <c r="D4811">
        <v>2.262</v>
      </c>
      <c r="E4811">
        <v>724</v>
      </c>
      <c r="F4811" t="str">
        <f>HYPERLINK("https://www.google.com/maps/search/?api=1&amp;query=24.29413225,43.67441934", "View Map")</f>
        <v>View Map</v>
      </c>
    </row>
    <row r="4812" spans="1:7" x14ac:dyDescent="0.3">
      <c r="A4812" t="s">
        <v>7272</v>
      </c>
      <c r="B4812" t="s">
        <v>7273</v>
      </c>
      <c r="C4812" t="s">
        <v>270</v>
      </c>
      <c r="D4812">
        <v>2.262</v>
      </c>
      <c r="E4812">
        <v>724</v>
      </c>
      <c r="F4812" t="str">
        <f>HYPERLINK("https://www.google.com/maps/search/?api=1&amp;query=24.01221902,47.13818089", "View Map")</f>
        <v>View Map</v>
      </c>
      <c r="G4812" s="2">
        <v>0.54359064600751794</v>
      </c>
    </row>
    <row r="4813" spans="1:7" x14ac:dyDescent="0.3">
      <c r="A4813" t="s">
        <v>7718</v>
      </c>
      <c r="B4813" t="s">
        <v>7719</v>
      </c>
      <c r="C4813" t="s">
        <v>214</v>
      </c>
      <c r="D4813">
        <v>2.2610000000000001</v>
      </c>
      <c r="E4813">
        <v>724</v>
      </c>
      <c r="F4813" t="str">
        <f>HYPERLINK("https://www.google.com/maps/search/?api=1&amp;query=25.6799332,45.44756685", "View Map")</f>
        <v>View Map</v>
      </c>
      <c r="G4813" s="2">
        <v>0.76731227587255324</v>
      </c>
    </row>
    <row r="4814" spans="1:7" x14ac:dyDescent="0.3">
      <c r="A4814" t="s">
        <v>8259</v>
      </c>
      <c r="B4814" t="s">
        <v>8260</v>
      </c>
      <c r="C4814" t="s">
        <v>8</v>
      </c>
      <c r="D4814">
        <v>2.2610000000000001</v>
      </c>
      <c r="E4814">
        <v>724</v>
      </c>
      <c r="F4814" t="str">
        <f>HYPERLINK("https://www.google.com/maps/search/?api=1&amp;query=24.67897541,46.80652705", "View Map")</f>
        <v>View Map</v>
      </c>
    </row>
    <row r="4815" spans="1:7" x14ac:dyDescent="0.3">
      <c r="A4815" t="s">
        <v>7291</v>
      </c>
      <c r="B4815" t="s">
        <v>7292</v>
      </c>
      <c r="C4815" t="s">
        <v>8</v>
      </c>
      <c r="D4815">
        <v>2.2599999999999998</v>
      </c>
      <c r="E4815">
        <v>723</v>
      </c>
      <c r="F4815" t="str">
        <f>HYPERLINK("https://www.google.com/maps/search/?api=1&amp;query=24.6416418,46.73128458", "View Map")</f>
        <v>View Map</v>
      </c>
    </row>
    <row r="4816" spans="1:7" x14ac:dyDescent="0.3">
      <c r="A4816" t="s">
        <v>8688</v>
      </c>
      <c r="B4816" t="s">
        <v>8689</v>
      </c>
      <c r="C4816" t="s">
        <v>241</v>
      </c>
      <c r="D4816">
        <v>2.2599999999999998</v>
      </c>
      <c r="E4816">
        <v>723</v>
      </c>
      <c r="F4816" t="str">
        <f>HYPERLINK("https://www.google.com/maps/search/?api=1&amp;query=20.46143413,44.85935001", "View Map")</f>
        <v>View Map</v>
      </c>
    </row>
    <row r="4817" spans="1:7" x14ac:dyDescent="0.3">
      <c r="A4817" t="s">
        <v>46</v>
      </c>
      <c r="B4817" t="s">
        <v>9137</v>
      </c>
      <c r="C4817" t="s">
        <v>8</v>
      </c>
      <c r="D4817">
        <v>2.2599999999999998</v>
      </c>
      <c r="E4817">
        <v>723</v>
      </c>
      <c r="F4817" t="str">
        <f>HYPERLINK("https://www.google.com/maps/search/?api=1&amp;query=24.62084447,46.77477463", "View Map")</f>
        <v>View Map</v>
      </c>
    </row>
    <row r="4818" spans="1:7" x14ac:dyDescent="0.3">
      <c r="A4818" t="s">
        <v>1090</v>
      </c>
      <c r="B4818" t="s">
        <v>1091</v>
      </c>
      <c r="C4818" t="s">
        <v>883</v>
      </c>
      <c r="D4818">
        <v>2.2599999999999998</v>
      </c>
      <c r="E4818">
        <v>723</v>
      </c>
      <c r="F4818" t="str">
        <f>HYPERLINK("https://www.google.com/maps/search/?api=1&amp;query=25.56981422,47.1471895", "View Map")</f>
        <v>View Map</v>
      </c>
      <c r="G4818" s="2">
        <v>0.17572962286121421</v>
      </c>
    </row>
    <row r="4819" spans="1:7" x14ac:dyDescent="0.3">
      <c r="A4819" t="s">
        <v>46</v>
      </c>
      <c r="B4819" t="s">
        <v>4147</v>
      </c>
      <c r="C4819" t="s">
        <v>8</v>
      </c>
      <c r="D4819">
        <v>2.2599999999999998</v>
      </c>
      <c r="E4819">
        <v>723</v>
      </c>
      <c r="F4819" t="str">
        <f>HYPERLINK("https://www.google.com/maps/search/?api=1&amp;query=24.90174301,46.64012698", "View Map")</f>
        <v>View Map</v>
      </c>
    </row>
    <row r="4820" spans="1:7" x14ac:dyDescent="0.3">
      <c r="A4820" t="s">
        <v>11763</v>
      </c>
      <c r="B4820" t="s">
        <v>11764</v>
      </c>
      <c r="C4820" t="s">
        <v>241</v>
      </c>
      <c r="D4820">
        <v>2.2599999999999998</v>
      </c>
      <c r="E4820">
        <v>723</v>
      </c>
      <c r="F4820" t="str">
        <f>HYPERLINK("https://www.google.com/maps/search/?api=1&amp;query=20.4570323,44.83484397", "View Map")</f>
        <v>View Map</v>
      </c>
    </row>
    <row r="4821" spans="1:7" x14ac:dyDescent="0.3">
      <c r="A4821" t="s">
        <v>6993</v>
      </c>
      <c r="B4821" t="s">
        <v>6994</v>
      </c>
      <c r="C4821" t="s">
        <v>8</v>
      </c>
      <c r="D4821">
        <v>2.2589999999999999</v>
      </c>
      <c r="E4821">
        <v>723</v>
      </c>
      <c r="F4821" t="str">
        <f>HYPERLINK("https://www.google.com/maps/search/?api=1&amp;query=24.76451056,46.65835252", "View Map")</f>
        <v>View Map</v>
      </c>
    </row>
    <row r="4822" spans="1:7" x14ac:dyDescent="0.3">
      <c r="A4822" t="s">
        <v>9663</v>
      </c>
      <c r="B4822" t="s">
        <v>9664</v>
      </c>
      <c r="C4822" t="s">
        <v>8</v>
      </c>
      <c r="D4822">
        <v>2.2589999999999999</v>
      </c>
      <c r="E4822">
        <v>723</v>
      </c>
      <c r="F4822" t="str">
        <f>HYPERLINK("https://www.google.com/maps/search/?api=1&amp;query=24.7654926,46.67842436", "View Map")</f>
        <v>View Map</v>
      </c>
    </row>
    <row r="4823" spans="1:7" x14ac:dyDescent="0.3">
      <c r="A4823" t="s">
        <v>4572</v>
      </c>
      <c r="B4823" t="s">
        <v>4573</v>
      </c>
      <c r="C4823" t="s">
        <v>8</v>
      </c>
      <c r="D4823">
        <v>2.258</v>
      </c>
      <c r="E4823">
        <v>723</v>
      </c>
      <c r="F4823" t="str">
        <f>HYPERLINK("https://www.google.com/maps/search/?api=1&amp;query=24.81199178,46.79092932", "View Map")</f>
        <v>View Map</v>
      </c>
    </row>
    <row r="4824" spans="1:7" x14ac:dyDescent="0.3">
      <c r="A4824" t="s">
        <v>6440</v>
      </c>
      <c r="B4824" t="s">
        <v>6441</v>
      </c>
      <c r="C4824" t="s">
        <v>214</v>
      </c>
      <c r="D4824">
        <v>2.258</v>
      </c>
      <c r="E4824">
        <v>723</v>
      </c>
      <c r="F4824" t="str">
        <f>HYPERLINK("https://www.google.com/maps/search/?api=1&amp;query=25.92673928,45.32874667", "View Map")</f>
        <v>View Map</v>
      </c>
      <c r="G4824" s="2">
        <v>0.35636108580964088</v>
      </c>
    </row>
    <row r="4825" spans="1:7" x14ac:dyDescent="0.3">
      <c r="A4825" t="s">
        <v>479</v>
      </c>
      <c r="B4825" t="s">
        <v>9762</v>
      </c>
      <c r="C4825" t="s">
        <v>738</v>
      </c>
      <c r="D4825">
        <v>2.2570000000000001</v>
      </c>
      <c r="E4825">
        <v>722</v>
      </c>
      <c r="F4825" t="str">
        <f>HYPERLINK("https://www.google.com/maps/search/?api=1&amp;query=25.12282935,46.09716559", "View Map")</f>
        <v>View Map</v>
      </c>
      <c r="G4825" s="2">
        <v>0.65001672043422043</v>
      </c>
    </row>
    <row r="4826" spans="1:7" x14ac:dyDescent="0.3">
      <c r="A4826" t="s">
        <v>9563</v>
      </c>
      <c r="B4826" t="s">
        <v>9564</v>
      </c>
      <c r="C4826" t="s">
        <v>466</v>
      </c>
      <c r="D4826">
        <v>2.2570000000000001</v>
      </c>
      <c r="E4826">
        <v>722</v>
      </c>
      <c r="F4826" t="str">
        <f>HYPERLINK("https://www.google.com/maps/search/?api=1&amp;query=24.60997218,46.10771181", "View Map")</f>
        <v>View Map</v>
      </c>
    </row>
    <row r="4827" spans="1:7" x14ac:dyDescent="0.3">
      <c r="A4827" t="s">
        <v>1334</v>
      </c>
      <c r="B4827" t="s">
        <v>10962</v>
      </c>
      <c r="C4827" t="s">
        <v>8</v>
      </c>
      <c r="D4827">
        <v>2.2570000000000001</v>
      </c>
      <c r="E4827">
        <v>722</v>
      </c>
      <c r="F4827" t="str">
        <f>HYPERLINK("https://www.google.com/maps/search/?api=1&amp;query=24.81721596,46.6321024", "View Map")</f>
        <v>View Map</v>
      </c>
    </row>
    <row r="4828" spans="1:7" x14ac:dyDescent="0.3">
      <c r="A4828" t="s">
        <v>7899</v>
      </c>
      <c r="B4828" t="s">
        <v>7900</v>
      </c>
      <c r="C4828" t="s">
        <v>214</v>
      </c>
      <c r="D4828">
        <v>2.2570000000000001</v>
      </c>
      <c r="E4828">
        <v>722</v>
      </c>
      <c r="F4828" t="str">
        <f>HYPERLINK("https://www.google.com/maps/search/?api=1&amp;query=25.90238454,45.35256886", "View Map")</f>
        <v>View Map</v>
      </c>
      <c r="G4828" s="2">
        <v>0.51884109464055128</v>
      </c>
    </row>
    <row r="4829" spans="1:7" x14ac:dyDescent="0.3">
      <c r="A4829" t="s">
        <v>8379</v>
      </c>
      <c r="B4829" t="s">
        <v>8380</v>
      </c>
      <c r="C4829" t="s">
        <v>8</v>
      </c>
      <c r="D4829">
        <v>2.2570000000000001</v>
      </c>
      <c r="E4829">
        <v>722</v>
      </c>
      <c r="F4829" t="str">
        <f>HYPERLINK("https://www.google.com/maps/search/?api=1&amp;query=24.60722836,46.59692946", "View Map")</f>
        <v>View Map</v>
      </c>
    </row>
    <row r="4830" spans="1:7" x14ac:dyDescent="0.3">
      <c r="A4830" t="s">
        <v>8872</v>
      </c>
      <c r="B4830" t="s">
        <v>8873</v>
      </c>
      <c r="C4830" t="s">
        <v>30</v>
      </c>
      <c r="D4830">
        <v>2.2570000000000001</v>
      </c>
      <c r="E4830">
        <v>722</v>
      </c>
      <c r="F4830" t="str">
        <f>HYPERLINK("https://www.google.com/maps/search/?api=1&amp;query=24.18638962,47.29297594", "View Map")</f>
        <v>View Map</v>
      </c>
    </row>
    <row r="4831" spans="1:7" x14ac:dyDescent="0.3">
      <c r="A4831" t="s">
        <v>5938</v>
      </c>
      <c r="B4831" t="s">
        <v>5939</v>
      </c>
      <c r="C4831" t="s">
        <v>55</v>
      </c>
      <c r="D4831">
        <v>2.2570000000000001</v>
      </c>
      <c r="E4831">
        <v>722</v>
      </c>
      <c r="F4831" t="str">
        <f>HYPERLINK("https://www.google.com/maps/search/?api=1&amp;query=24.73045235,46.60210809", "View Map")</f>
        <v>View Map</v>
      </c>
    </row>
    <row r="4832" spans="1:7" x14ac:dyDescent="0.3">
      <c r="A4832" t="s">
        <v>8368</v>
      </c>
      <c r="B4832" t="s">
        <v>8369</v>
      </c>
      <c r="C4832" t="s">
        <v>21</v>
      </c>
      <c r="D4832">
        <v>2.254</v>
      </c>
      <c r="E4832">
        <v>721</v>
      </c>
      <c r="F4832" t="str">
        <f>HYPERLINK("https://www.google.com/maps/search/?api=1&amp;query=26.29659403,44.79570437", "View Map")</f>
        <v>View Map</v>
      </c>
      <c r="G4832" s="2">
        <v>0.54434852341168116</v>
      </c>
    </row>
    <row r="4833" spans="1:7" x14ac:dyDescent="0.3">
      <c r="A4833" t="s">
        <v>11765</v>
      </c>
      <c r="B4833" t="s">
        <v>11766</v>
      </c>
      <c r="C4833" t="s">
        <v>296</v>
      </c>
      <c r="D4833">
        <v>2.254</v>
      </c>
      <c r="E4833">
        <v>721</v>
      </c>
      <c r="F4833" t="str">
        <f>HYPERLINK("https://www.google.com/maps/search/?api=1&amp;query=24.01927148,46.29265285", "View Map")</f>
        <v>View Map</v>
      </c>
      <c r="G4833" s="2">
        <v>0.88619765887713053</v>
      </c>
    </row>
    <row r="4834" spans="1:7" x14ac:dyDescent="0.3">
      <c r="A4834" t="s">
        <v>8489</v>
      </c>
      <c r="B4834" t="s">
        <v>8490</v>
      </c>
      <c r="C4834" t="s">
        <v>77</v>
      </c>
      <c r="D4834">
        <v>2.2530000000000001</v>
      </c>
      <c r="E4834">
        <v>721</v>
      </c>
      <c r="F4834" t="str">
        <f>HYPERLINK("https://www.google.com/maps/search/?api=1&amp;query=21.9913553,45.96692315", "View Map")</f>
        <v>View Map</v>
      </c>
      <c r="G4834" s="2">
        <v>0.46655415276988338</v>
      </c>
    </row>
    <row r="4835" spans="1:7" x14ac:dyDescent="0.3">
      <c r="A4835" t="s">
        <v>8170</v>
      </c>
      <c r="B4835" t="s">
        <v>8171</v>
      </c>
      <c r="C4835" t="s">
        <v>8</v>
      </c>
      <c r="D4835">
        <v>2.2519999999999998</v>
      </c>
      <c r="E4835">
        <v>721</v>
      </c>
      <c r="F4835" t="str">
        <f>HYPERLINK("https://www.google.com/maps/search/?api=1&amp;query=24.74773026,46.82348913", "View Map")</f>
        <v>View Map</v>
      </c>
    </row>
    <row r="4836" spans="1:7" x14ac:dyDescent="0.3">
      <c r="A4836" t="s">
        <v>73</v>
      </c>
      <c r="B4836" t="s">
        <v>10717</v>
      </c>
      <c r="C4836" t="s">
        <v>8</v>
      </c>
      <c r="D4836">
        <v>2.2519999999999998</v>
      </c>
      <c r="E4836">
        <v>721</v>
      </c>
      <c r="F4836" t="str">
        <f>HYPERLINK("https://www.google.com/maps/search/?api=1&amp;query=24.5600512,46.5465041", "View Map")</f>
        <v>View Map</v>
      </c>
    </row>
    <row r="4837" spans="1:7" x14ac:dyDescent="0.3">
      <c r="A4837" t="s">
        <v>6584</v>
      </c>
      <c r="B4837" t="s">
        <v>6585</v>
      </c>
      <c r="C4837" t="s">
        <v>8</v>
      </c>
      <c r="D4837">
        <v>2.2519999999999998</v>
      </c>
      <c r="E4837">
        <v>721</v>
      </c>
      <c r="F4837" t="str">
        <f>HYPERLINK("https://www.google.com/maps/search/?api=1&amp;query=24.73495996,46.82072804", "View Map")</f>
        <v>View Map</v>
      </c>
    </row>
    <row r="4838" spans="1:7" x14ac:dyDescent="0.3">
      <c r="A4838" t="s">
        <v>8316</v>
      </c>
      <c r="B4838" t="s">
        <v>8317</v>
      </c>
      <c r="C4838" t="s">
        <v>8</v>
      </c>
      <c r="D4838">
        <v>2.2519999999999998</v>
      </c>
      <c r="E4838">
        <v>721</v>
      </c>
      <c r="F4838" t="str">
        <f>HYPERLINK("https://www.google.com/maps/search/?api=1&amp;query=24.69237841,46.78631576", "View Map")</f>
        <v>View Map</v>
      </c>
      <c r="G4838" s="2">
        <v>0.65155740587466726</v>
      </c>
    </row>
    <row r="4839" spans="1:7" x14ac:dyDescent="0.3">
      <c r="A4839" t="s">
        <v>2707</v>
      </c>
      <c r="B4839" t="s">
        <v>5403</v>
      </c>
      <c r="C4839" t="s">
        <v>8</v>
      </c>
      <c r="D4839">
        <v>2.2519999999999998</v>
      </c>
      <c r="E4839">
        <v>721</v>
      </c>
      <c r="F4839" t="str">
        <f>HYPERLINK("https://www.google.com/maps/search/?api=1&amp;query=24.78118915,46.81058625", "View Map")</f>
        <v>View Map</v>
      </c>
    </row>
    <row r="4840" spans="1:7" x14ac:dyDescent="0.3">
      <c r="A4840" t="s">
        <v>10314</v>
      </c>
      <c r="B4840" t="s">
        <v>10315</v>
      </c>
      <c r="C4840" t="s">
        <v>8</v>
      </c>
      <c r="D4840">
        <v>2.25</v>
      </c>
      <c r="E4840">
        <v>720</v>
      </c>
      <c r="F4840" t="str">
        <f>HYPERLINK("https://www.google.com/maps/search/?api=1&amp;query=24.67183976,46.7109325", "View Map")</f>
        <v>View Map</v>
      </c>
    </row>
    <row r="4841" spans="1:7" x14ac:dyDescent="0.3">
      <c r="A4841" t="s">
        <v>9618</v>
      </c>
      <c r="B4841" t="s">
        <v>9619</v>
      </c>
      <c r="C4841" t="s">
        <v>255</v>
      </c>
      <c r="D4841">
        <v>2.25</v>
      </c>
      <c r="E4841">
        <v>720</v>
      </c>
      <c r="F4841" t="str">
        <f>HYPERLINK("https://www.google.com/maps/search/?api=1&amp;query=25.36849672,44.1513913", "View Map")</f>
        <v>View Map</v>
      </c>
      <c r="G4841" s="2">
        <v>0.85706186549731</v>
      </c>
    </row>
    <row r="4842" spans="1:7" x14ac:dyDescent="0.3">
      <c r="A4842" t="s">
        <v>8046</v>
      </c>
      <c r="B4842" t="s">
        <v>8047</v>
      </c>
      <c r="C4842" t="s">
        <v>393</v>
      </c>
      <c r="D4842">
        <v>2.2490000000000001</v>
      </c>
      <c r="E4842">
        <v>720</v>
      </c>
      <c r="F4842" t="str">
        <f>HYPERLINK("https://www.google.com/maps/search/?api=1&amp;query=22.86815514,45.06090501", "View Map")</f>
        <v>View Map</v>
      </c>
      <c r="G4842" s="2">
        <v>0.85212010463961407</v>
      </c>
    </row>
    <row r="4843" spans="1:7" x14ac:dyDescent="0.3">
      <c r="A4843" t="s">
        <v>5980</v>
      </c>
      <c r="B4843" t="s">
        <v>5981</v>
      </c>
      <c r="C4843" t="s">
        <v>8</v>
      </c>
      <c r="D4843">
        <v>2.2480000000000002</v>
      </c>
      <c r="E4843">
        <v>719</v>
      </c>
      <c r="F4843" t="str">
        <f>HYPERLINK("https://www.google.com/maps/search/?api=1&amp;query=24.56478475,46.64908738", "View Map")</f>
        <v>View Map</v>
      </c>
    </row>
    <row r="4844" spans="1:7" x14ac:dyDescent="0.3">
      <c r="A4844" t="s">
        <v>7576</v>
      </c>
      <c r="B4844" t="s">
        <v>7577</v>
      </c>
      <c r="C4844" t="s">
        <v>21</v>
      </c>
      <c r="D4844">
        <v>2.2469999999999999</v>
      </c>
      <c r="E4844">
        <v>719</v>
      </c>
      <c r="F4844" t="str">
        <f>HYPERLINK("https://www.google.com/maps/search/?api=1&amp;query=26.28038118,44.79490487", "View Map")</f>
        <v>View Map</v>
      </c>
      <c r="G4844" s="2">
        <v>0.4645393753042798</v>
      </c>
    </row>
    <row r="4845" spans="1:7" x14ac:dyDescent="0.3">
      <c r="A4845" t="s">
        <v>10305</v>
      </c>
      <c r="B4845" t="s">
        <v>10306</v>
      </c>
      <c r="C4845" t="s">
        <v>8</v>
      </c>
      <c r="D4845">
        <v>2.2469999999999999</v>
      </c>
      <c r="E4845">
        <v>719</v>
      </c>
      <c r="F4845" t="str">
        <f>HYPERLINK("https://www.google.com/maps/search/?api=1&amp;query=24.69286185,46.76104565", "View Map")</f>
        <v>View Map</v>
      </c>
    </row>
    <row r="4846" spans="1:7" x14ac:dyDescent="0.3">
      <c r="A4846" t="s">
        <v>7849</v>
      </c>
      <c r="B4846" t="s">
        <v>7850</v>
      </c>
      <c r="C4846" t="s">
        <v>214</v>
      </c>
      <c r="D4846">
        <v>2.246</v>
      </c>
      <c r="E4846">
        <v>719</v>
      </c>
      <c r="F4846" t="str">
        <f>HYPERLINK("https://www.google.com/maps/search/?api=1&amp;query=25.59108097,45.62547194", "View Map")</f>
        <v>View Map</v>
      </c>
      <c r="G4846" s="2">
        <v>0.56303007507502234</v>
      </c>
    </row>
    <row r="4847" spans="1:7" x14ac:dyDescent="0.3">
      <c r="A4847" t="s">
        <v>1790</v>
      </c>
      <c r="B4847" t="s">
        <v>8859</v>
      </c>
      <c r="C4847" t="s">
        <v>21</v>
      </c>
      <c r="D4847">
        <v>2.246</v>
      </c>
      <c r="E4847">
        <v>719</v>
      </c>
      <c r="F4847" t="str">
        <f>HYPERLINK("https://www.google.com/maps/search/?api=1&amp;query=26.35490288,44.7808103", "View Map")</f>
        <v>View Map</v>
      </c>
    </row>
    <row r="4848" spans="1:7" x14ac:dyDescent="0.3">
      <c r="A4848" t="s">
        <v>5886</v>
      </c>
      <c r="B4848" t="s">
        <v>5887</v>
      </c>
      <c r="C4848" t="s">
        <v>8</v>
      </c>
      <c r="D4848">
        <v>2.246</v>
      </c>
      <c r="E4848">
        <v>719</v>
      </c>
      <c r="F4848" t="str">
        <f>HYPERLINK("https://www.google.com/maps/search/?api=1&amp;query=24.61547752,46.7062525", "View Map")</f>
        <v>View Map</v>
      </c>
    </row>
    <row r="4849" spans="1:7" x14ac:dyDescent="0.3">
      <c r="A4849" t="s">
        <v>3248</v>
      </c>
      <c r="B4849" t="s">
        <v>3249</v>
      </c>
      <c r="C4849" t="s">
        <v>8</v>
      </c>
      <c r="D4849">
        <v>2.246</v>
      </c>
      <c r="E4849">
        <v>719</v>
      </c>
      <c r="F4849" t="str">
        <f>HYPERLINK("https://www.google.com/maps/search/?api=1&amp;query=24.55218905,46.78653029", "View Map")</f>
        <v>View Map</v>
      </c>
    </row>
    <row r="4850" spans="1:7" x14ac:dyDescent="0.3">
      <c r="A4850" t="s">
        <v>4653</v>
      </c>
      <c r="B4850" t="s">
        <v>9847</v>
      </c>
      <c r="C4850" t="s">
        <v>8</v>
      </c>
      <c r="D4850">
        <v>2.246</v>
      </c>
      <c r="E4850">
        <v>719</v>
      </c>
      <c r="F4850" t="str">
        <f>HYPERLINK("https://www.google.com/maps/search/?api=1&amp;query=24.8064163,46.80970559", "View Map")</f>
        <v>View Map</v>
      </c>
    </row>
    <row r="4851" spans="1:7" x14ac:dyDescent="0.3">
      <c r="A4851" t="s">
        <v>9292</v>
      </c>
      <c r="B4851" t="s">
        <v>9293</v>
      </c>
      <c r="C4851" t="s">
        <v>21</v>
      </c>
      <c r="D4851">
        <v>2.2450000000000001</v>
      </c>
      <c r="E4851">
        <v>718</v>
      </c>
      <c r="F4851" t="str">
        <f>HYPERLINK("https://www.google.com/maps/search/?api=1&amp;query=26.26931636,44.81229303", "View Map")</f>
        <v>View Map</v>
      </c>
      <c r="G4851" s="2">
        <v>0.66121987136722449</v>
      </c>
    </row>
    <row r="4852" spans="1:7" x14ac:dyDescent="0.3">
      <c r="A4852" t="s">
        <v>46</v>
      </c>
      <c r="B4852" t="s">
        <v>7574</v>
      </c>
      <c r="C4852" t="s">
        <v>8</v>
      </c>
      <c r="D4852">
        <v>2.2450000000000001</v>
      </c>
      <c r="E4852">
        <v>718</v>
      </c>
      <c r="F4852" t="str">
        <f>HYPERLINK("https://www.google.com/maps/search/?api=1&amp;query=24.84077763,46.81525419", "View Map")</f>
        <v>View Map</v>
      </c>
    </row>
    <row r="4853" spans="1:7" x14ac:dyDescent="0.3">
      <c r="A4853" t="s">
        <v>9491</v>
      </c>
      <c r="B4853" t="s">
        <v>9492</v>
      </c>
      <c r="C4853" t="s">
        <v>30</v>
      </c>
      <c r="D4853">
        <v>2.2450000000000001</v>
      </c>
      <c r="E4853">
        <v>718</v>
      </c>
      <c r="F4853" t="str">
        <f>HYPERLINK("https://www.google.com/maps/search/?api=1&amp;query=24.1505061,47.31711542", "View Map")</f>
        <v>View Map</v>
      </c>
    </row>
    <row r="4854" spans="1:7" x14ac:dyDescent="0.3">
      <c r="A4854" t="s">
        <v>9706</v>
      </c>
      <c r="B4854" t="s">
        <v>9707</v>
      </c>
      <c r="C4854" t="s">
        <v>8</v>
      </c>
      <c r="D4854">
        <v>2.2450000000000001</v>
      </c>
      <c r="E4854">
        <v>718</v>
      </c>
      <c r="F4854" t="str">
        <f>HYPERLINK("https://www.google.com/maps/search/?api=1&amp;query=24.63008709,46.76001989", "View Map")</f>
        <v>View Map</v>
      </c>
    </row>
    <row r="4855" spans="1:7" x14ac:dyDescent="0.3">
      <c r="A4855" t="s">
        <v>678</v>
      </c>
      <c r="B4855" t="s">
        <v>7725</v>
      </c>
      <c r="C4855" t="s">
        <v>21</v>
      </c>
      <c r="D4855">
        <v>2.2440000000000002</v>
      </c>
      <c r="E4855">
        <v>718</v>
      </c>
      <c r="F4855" t="str">
        <f>HYPERLINK("https://www.google.com/maps/search/?api=1&amp;query=26.34799624,44.797501", "View Map")</f>
        <v>View Map</v>
      </c>
      <c r="G4855" s="2">
        <v>0.71553425519209513</v>
      </c>
    </row>
    <row r="4856" spans="1:7" x14ac:dyDescent="0.3">
      <c r="A4856" t="s">
        <v>11031</v>
      </c>
      <c r="B4856" t="s">
        <v>11032</v>
      </c>
      <c r="C4856" t="s">
        <v>8</v>
      </c>
      <c r="D4856">
        <v>2.2440000000000002</v>
      </c>
      <c r="E4856">
        <v>718</v>
      </c>
      <c r="F4856" t="str">
        <f>HYPERLINK("https://www.google.com/maps/search/?api=1&amp;query=24.67227442,46.7402632", "View Map")</f>
        <v>View Map</v>
      </c>
    </row>
    <row r="4857" spans="1:7" x14ac:dyDescent="0.3">
      <c r="A4857" t="s">
        <v>46</v>
      </c>
      <c r="B4857" t="s">
        <v>3054</v>
      </c>
      <c r="C4857" t="s">
        <v>8</v>
      </c>
      <c r="D4857">
        <v>2.2429999999999999</v>
      </c>
      <c r="E4857">
        <v>718</v>
      </c>
      <c r="F4857" t="str">
        <f>HYPERLINK("https://www.google.com/maps/search/?api=1&amp;query=24.8856,46.6236", "View Map")</f>
        <v>View Map</v>
      </c>
    </row>
    <row r="4858" spans="1:7" x14ac:dyDescent="0.3">
      <c r="A4858" t="s">
        <v>3735</v>
      </c>
      <c r="B4858" t="s">
        <v>9111</v>
      </c>
      <c r="C4858" t="s">
        <v>255</v>
      </c>
      <c r="D4858">
        <v>2.2429999999999999</v>
      </c>
      <c r="E4858">
        <v>718</v>
      </c>
      <c r="F4858" t="str">
        <f>HYPERLINK("https://www.google.com/maps/search/?api=1&amp;query=25.1022347,44.67725656", "View Map")</f>
        <v>View Map</v>
      </c>
      <c r="G4858" s="2">
        <v>0.58593213056581395</v>
      </c>
    </row>
    <row r="4859" spans="1:7" x14ac:dyDescent="0.3">
      <c r="A4859" t="s">
        <v>632</v>
      </c>
      <c r="B4859" t="s">
        <v>8756</v>
      </c>
      <c r="C4859" t="s">
        <v>8</v>
      </c>
      <c r="D4859">
        <v>2.2429999999999999</v>
      </c>
      <c r="E4859">
        <v>718</v>
      </c>
      <c r="F4859" t="str">
        <f>HYPERLINK("https://www.google.com/maps/search/?api=1&amp;query=24.58335725,46.53631517", "View Map")</f>
        <v>View Map</v>
      </c>
    </row>
    <row r="4860" spans="1:7" x14ac:dyDescent="0.3">
      <c r="A4860" t="s">
        <v>11767</v>
      </c>
      <c r="B4860" t="s">
        <v>11768</v>
      </c>
      <c r="C4860" t="s">
        <v>8</v>
      </c>
      <c r="D4860">
        <v>2.242</v>
      </c>
      <c r="E4860">
        <v>717</v>
      </c>
      <c r="F4860" t="str">
        <f>HYPERLINK("https://www.google.com/maps/search/?api=1&amp;query=24.58170893,46.59737383", "View Map")</f>
        <v>View Map</v>
      </c>
    </row>
    <row r="4861" spans="1:7" x14ac:dyDescent="0.3">
      <c r="A4861" t="s">
        <v>8515</v>
      </c>
      <c r="B4861" t="s">
        <v>8516</v>
      </c>
      <c r="C4861" t="s">
        <v>8</v>
      </c>
      <c r="D4861">
        <v>2.242</v>
      </c>
      <c r="E4861">
        <v>718</v>
      </c>
      <c r="F4861" t="str">
        <f>HYPERLINK("https://www.google.com/maps/search/?api=1&amp;query=24.58648244,46.74601097", "View Map")</f>
        <v>View Map</v>
      </c>
    </row>
    <row r="4862" spans="1:7" x14ac:dyDescent="0.3">
      <c r="A4862" t="s">
        <v>7553</v>
      </c>
      <c r="B4862" t="s">
        <v>7554</v>
      </c>
      <c r="C4862" t="s">
        <v>214</v>
      </c>
      <c r="D4862">
        <v>2.2400000000000002</v>
      </c>
      <c r="E4862">
        <v>717</v>
      </c>
      <c r="F4862" t="str">
        <f>HYPERLINK("https://www.google.com/maps/search/?api=1&amp;query=25.70010917,45.87852906", "View Map")</f>
        <v>View Map</v>
      </c>
    </row>
    <row r="4863" spans="1:7" x14ac:dyDescent="0.3">
      <c r="A4863" t="s">
        <v>11769</v>
      </c>
      <c r="B4863" t="s">
        <v>11770</v>
      </c>
      <c r="C4863" t="s">
        <v>8</v>
      </c>
      <c r="D4863">
        <v>2.2400000000000002</v>
      </c>
      <c r="E4863">
        <v>717</v>
      </c>
      <c r="F4863" t="str">
        <f>HYPERLINK("https://www.google.com/maps/search/?api=1&amp;query=24.7866427,46.70177871", "View Map")</f>
        <v>View Map</v>
      </c>
    </row>
    <row r="4864" spans="1:7" x14ac:dyDescent="0.3">
      <c r="A4864" t="s">
        <v>7054</v>
      </c>
      <c r="B4864" t="s">
        <v>7055</v>
      </c>
      <c r="C4864" t="s">
        <v>270</v>
      </c>
      <c r="D4864">
        <v>2.238</v>
      </c>
      <c r="E4864">
        <v>716</v>
      </c>
      <c r="F4864" t="str">
        <f>HYPERLINK("https://www.google.com/maps/search/?api=1&amp;query=24.07704939,46.87847575", "View Map")</f>
        <v>View Map</v>
      </c>
      <c r="G4864" s="2">
        <v>0.54737138553376197</v>
      </c>
    </row>
    <row r="4865" spans="1:7" x14ac:dyDescent="0.3">
      <c r="A4865" t="s">
        <v>46</v>
      </c>
      <c r="B4865" t="s">
        <v>11771</v>
      </c>
      <c r="C4865" t="s">
        <v>8</v>
      </c>
      <c r="D4865">
        <v>2.238</v>
      </c>
      <c r="E4865">
        <v>716</v>
      </c>
      <c r="F4865" t="str">
        <f>HYPERLINK("https://www.google.com/maps/search/?api=1&amp;query=24.64358021,46.49496995", "View Map")</f>
        <v>View Map</v>
      </c>
    </row>
    <row r="4866" spans="1:7" x14ac:dyDescent="0.3">
      <c r="A4866" t="s">
        <v>1788</v>
      </c>
      <c r="B4866" t="s">
        <v>11772</v>
      </c>
      <c r="C4866" t="s">
        <v>296</v>
      </c>
      <c r="D4866">
        <v>2.2370000000000001</v>
      </c>
      <c r="E4866">
        <v>716</v>
      </c>
      <c r="F4866" t="str">
        <f>HYPERLINK("https://www.google.com/maps/search/?api=1&amp;query=24.45073409,46.30022976", "View Map")</f>
        <v>View Map</v>
      </c>
    </row>
    <row r="4867" spans="1:7" x14ac:dyDescent="0.3">
      <c r="A4867" t="s">
        <v>7268</v>
      </c>
      <c r="B4867" t="s">
        <v>7269</v>
      </c>
      <c r="C4867" t="s">
        <v>364</v>
      </c>
      <c r="D4867">
        <v>2.2370000000000001</v>
      </c>
      <c r="E4867">
        <v>716</v>
      </c>
      <c r="F4867" t="str">
        <f>HYPERLINK("https://www.google.com/maps/search/?api=1&amp;query=25.65687391,46.36395624", "View Map")</f>
        <v>View Map</v>
      </c>
      <c r="G4867" s="2">
        <v>0.69633661382400713</v>
      </c>
    </row>
    <row r="4868" spans="1:7" x14ac:dyDescent="0.3">
      <c r="A4868" t="s">
        <v>9027</v>
      </c>
      <c r="B4868" t="s">
        <v>9028</v>
      </c>
      <c r="C4868" t="s">
        <v>214</v>
      </c>
      <c r="D4868">
        <v>2.2360000000000002</v>
      </c>
      <c r="E4868">
        <v>716</v>
      </c>
      <c r="F4868" t="str">
        <f>HYPERLINK("https://www.google.com/maps/search/?api=1&amp;query=25.63521465,45.78456372", "View Map")</f>
        <v>View Map</v>
      </c>
      <c r="G4868" s="2">
        <v>0.52032864107778576</v>
      </c>
    </row>
    <row r="4869" spans="1:7" x14ac:dyDescent="0.3">
      <c r="A4869" t="s">
        <v>46</v>
      </c>
      <c r="B4869" t="s">
        <v>5718</v>
      </c>
      <c r="C4869" t="s">
        <v>8</v>
      </c>
      <c r="D4869">
        <v>2.2360000000000002</v>
      </c>
      <c r="E4869">
        <v>715</v>
      </c>
      <c r="F4869" t="str">
        <f>HYPERLINK("https://www.google.com/maps/search/?api=1&amp;query=24.80672,46.68404", "View Map")</f>
        <v>View Map</v>
      </c>
    </row>
    <row r="4870" spans="1:7" x14ac:dyDescent="0.3">
      <c r="A4870" t="s">
        <v>11773</v>
      </c>
      <c r="B4870" t="s">
        <v>11774</v>
      </c>
      <c r="C4870" t="s">
        <v>270</v>
      </c>
      <c r="D4870">
        <v>2.2360000000000002</v>
      </c>
      <c r="E4870">
        <v>716</v>
      </c>
      <c r="F4870" t="str">
        <f>HYPERLINK("https://www.google.com/maps/search/?api=1&amp;query=24.01386176,47.13669099", "View Map")</f>
        <v>View Map</v>
      </c>
    </row>
    <row r="4871" spans="1:7" x14ac:dyDescent="0.3">
      <c r="A4871" t="s">
        <v>1788</v>
      </c>
      <c r="B4871" t="s">
        <v>2687</v>
      </c>
      <c r="C4871" t="s">
        <v>393</v>
      </c>
      <c r="D4871">
        <v>2.2349999999999999</v>
      </c>
      <c r="E4871">
        <v>715</v>
      </c>
      <c r="F4871" t="str">
        <f>HYPERLINK("https://www.google.com/maps/search/?api=1&amp;query=23.67353428,45.25538128", "View Map")</f>
        <v>View Map</v>
      </c>
      <c r="G4871" s="2">
        <v>0.246158427906497</v>
      </c>
    </row>
    <row r="4872" spans="1:7" x14ac:dyDescent="0.3">
      <c r="A4872" t="s">
        <v>9539</v>
      </c>
      <c r="B4872" t="s">
        <v>9540</v>
      </c>
      <c r="C4872" t="s">
        <v>393</v>
      </c>
      <c r="D4872">
        <v>2.2349999999999999</v>
      </c>
      <c r="E4872">
        <v>715</v>
      </c>
      <c r="F4872" t="str">
        <f>HYPERLINK("https://www.google.com/maps/search/?api=1&amp;query=22.73426532,45.03370402", "View Map")</f>
        <v>View Map</v>
      </c>
      <c r="G4872" s="2">
        <v>0.9257723255201229</v>
      </c>
    </row>
    <row r="4873" spans="1:7" x14ac:dyDescent="0.3">
      <c r="A4873" t="s">
        <v>11775</v>
      </c>
      <c r="B4873" t="s">
        <v>11776</v>
      </c>
      <c r="C4873" t="s">
        <v>738</v>
      </c>
      <c r="D4873">
        <v>2.2349999999999999</v>
      </c>
      <c r="E4873">
        <v>715</v>
      </c>
      <c r="F4873" t="str">
        <f>HYPERLINK("https://www.google.com/maps/search/?api=1&amp;query=25.10630941,46.10016596", "View Map")</f>
        <v>View Map</v>
      </c>
      <c r="G4873" s="2">
        <v>0.59981045584532844</v>
      </c>
    </row>
    <row r="4874" spans="1:7" x14ac:dyDescent="0.3">
      <c r="A4874" t="s">
        <v>11777</v>
      </c>
      <c r="B4874" t="s">
        <v>11778</v>
      </c>
      <c r="C4874" t="s">
        <v>214</v>
      </c>
      <c r="D4874">
        <v>2.2349999999999999</v>
      </c>
      <c r="E4874">
        <v>715</v>
      </c>
      <c r="F4874" t="str">
        <f>HYPERLINK("https://www.google.com/maps/search/?api=1&amp;query=25.59459644,45.79960763", "View Map")</f>
        <v>View Map</v>
      </c>
    </row>
    <row r="4875" spans="1:7" x14ac:dyDescent="0.3">
      <c r="A4875" t="s">
        <v>8409</v>
      </c>
      <c r="B4875" t="s">
        <v>8410</v>
      </c>
      <c r="C4875" t="s">
        <v>8</v>
      </c>
      <c r="D4875">
        <v>2.2349999999999999</v>
      </c>
      <c r="E4875">
        <v>715</v>
      </c>
      <c r="F4875" t="str">
        <f>HYPERLINK("https://www.google.com/maps/search/?api=1&amp;query=24.8133681,46.62850706", "View Map")</f>
        <v>View Map</v>
      </c>
    </row>
    <row r="4876" spans="1:7" x14ac:dyDescent="0.3">
      <c r="A4876" t="s">
        <v>7458</v>
      </c>
      <c r="B4876" t="s">
        <v>9806</v>
      </c>
      <c r="C4876" t="s">
        <v>8</v>
      </c>
      <c r="D4876">
        <v>2.2349999999999999</v>
      </c>
      <c r="E4876">
        <v>715</v>
      </c>
      <c r="F4876" t="str">
        <f>HYPERLINK("https://www.google.com/maps/search/?api=1&amp;query=24.58553483,46.5749258", "View Map")</f>
        <v>View Map</v>
      </c>
    </row>
    <row r="4877" spans="1:7" x14ac:dyDescent="0.3">
      <c r="A4877" t="s">
        <v>11779</v>
      </c>
      <c r="B4877" t="s">
        <v>11780</v>
      </c>
      <c r="C4877" t="s">
        <v>8</v>
      </c>
      <c r="D4877">
        <v>2.234</v>
      </c>
      <c r="E4877">
        <v>715</v>
      </c>
      <c r="F4877" t="str">
        <f>HYPERLINK("https://www.google.com/maps/search/?api=1&amp;query=24.6318401,46.54951442", "View Map")</f>
        <v>View Map</v>
      </c>
    </row>
    <row r="4878" spans="1:7" x14ac:dyDescent="0.3">
      <c r="A4878" t="s">
        <v>11781</v>
      </c>
      <c r="B4878" t="s">
        <v>11782</v>
      </c>
      <c r="C4878" t="s">
        <v>8</v>
      </c>
      <c r="D4878">
        <v>2.234</v>
      </c>
      <c r="E4878">
        <v>715</v>
      </c>
      <c r="F4878" t="str">
        <f>HYPERLINK("https://www.google.com/maps/search/?api=1&amp;query=24.55717854,46.71781796", "View Map")</f>
        <v>View Map</v>
      </c>
    </row>
    <row r="4879" spans="1:7" x14ac:dyDescent="0.3">
      <c r="A4879" t="s">
        <v>7489</v>
      </c>
      <c r="B4879" t="s">
        <v>7490</v>
      </c>
      <c r="C4879" t="s">
        <v>738</v>
      </c>
      <c r="D4879">
        <v>2.234</v>
      </c>
      <c r="E4879">
        <v>715</v>
      </c>
      <c r="F4879" t="str">
        <f>HYPERLINK("https://www.google.com/maps/search/?api=1&amp;query=25.09845129,46.10171106", "View Map")</f>
        <v>View Map</v>
      </c>
      <c r="G4879" s="2">
        <v>0.81802661507586349</v>
      </c>
    </row>
    <row r="4880" spans="1:7" x14ac:dyDescent="0.3">
      <c r="A4880" t="s">
        <v>8112</v>
      </c>
      <c r="B4880" t="s">
        <v>8113</v>
      </c>
      <c r="C4880" t="s">
        <v>291</v>
      </c>
      <c r="D4880">
        <v>2.234</v>
      </c>
      <c r="E4880">
        <v>715</v>
      </c>
      <c r="F4880" t="str">
        <f>HYPERLINK("https://www.google.com/maps/search/?api=1&amp;query=24.12490721,45.13303074", "View Map")</f>
        <v>View Map</v>
      </c>
      <c r="G4880" s="2">
        <v>0.79406251708825659</v>
      </c>
    </row>
    <row r="4881" spans="1:7" x14ac:dyDescent="0.3">
      <c r="A4881" t="s">
        <v>7126</v>
      </c>
      <c r="B4881" t="s">
        <v>7127</v>
      </c>
      <c r="C4881" t="s">
        <v>8</v>
      </c>
      <c r="D4881">
        <v>2.2330000000000001</v>
      </c>
      <c r="E4881">
        <v>714</v>
      </c>
      <c r="F4881" t="str">
        <f>HYPERLINK("https://www.google.com/maps/search/?api=1&amp;query=24.59622395,46.59430408", "View Map")</f>
        <v>View Map</v>
      </c>
    </row>
    <row r="4882" spans="1:7" x14ac:dyDescent="0.3">
      <c r="A4882" t="s">
        <v>2463</v>
      </c>
      <c r="B4882" t="s">
        <v>2464</v>
      </c>
      <c r="C4882" t="s">
        <v>8</v>
      </c>
      <c r="D4882">
        <v>2.2330000000000001</v>
      </c>
      <c r="E4882">
        <v>714</v>
      </c>
      <c r="F4882" t="str">
        <f>HYPERLINK("https://www.google.com/maps/search/?api=1&amp;query=24.69925973,46.62485364", "View Map")</f>
        <v>View Map</v>
      </c>
    </row>
    <row r="4883" spans="1:7" x14ac:dyDescent="0.3">
      <c r="A4883" t="s">
        <v>678</v>
      </c>
      <c r="B4883" t="s">
        <v>10781</v>
      </c>
      <c r="C4883" t="s">
        <v>21</v>
      </c>
      <c r="D4883">
        <v>2.2320000000000002</v>
      </c>
      <c r="E4883">
        <v>714</v>
      </c>
      <c r="F4883" t="str">
        <f>HYPERLINK("https://www.google.com/maps/search/?api=1&amp;query=26.34200694,44.78504137", "View Map")</f>
        <v>View Map</v>
      </c>
      <c r="G4883" s="2">
        <v>0.42457939470131351</v>
      </c>
    </row>
    <row r="4884" spans="1:7" x14ac:dyDescent="0.3">
      <c r="A4884" t="s">
        <v>740</v>
      </c>
      <c r="B4884" t="s">
        <v>3789</v>
      </c>
      <c r="C4884" t="s">
        <v>8</v>
      </c>
      <c r="D4884">
        <v>2.2309999999999999</v>
      </c>
      <c r="E4884">
        <v>714</v>
      </c>
      <c r="F4884" t="str">
        <f>HYPERLINK("https://www.google.com/maps/search/?api=1&amp;query=24.70944673,46.80414976", "View Map")</f>
        <v>View Map</v>
      </c>
    </row>
    <row r="4885" spans="1:7" x14ac:dyDescent="0.3">
      <c r="A4885" t="s">
        <v>6712</v>
      </c>
      <c r="B4885" t="s">
        <v>6713</v>
      </c>
      <c r="C4885" t="s">
        <v>8</v>
      </c>
      <c r="D4885">
        <v>2.23</v>
      </c>
      <c r="E4885">
        <v>714</v>
      </c>
      <c r="F4885" t="str">
        <f>HYPERLINK("https://www.google.com/maps/search/?api=1&amp;query=24.56899602,46.68132863", "View Map")</f>
        <v>View Map</v>
      </c>
    </row>
    <row r="4886" spans="1:7" x14ac:dyDescent="0.3">
      <c r="A4886" t="s">
        <v>6677</v>
      </c>
      <c r="B4886" t="s">
        <v>6678</v>
      </c>
      <c r="C4886" t="s">
        <v>21</v>
      </c>
      <c r="D4886">
        <v>2.23</v>
      </c>
      <c r="E4886">
        <v>714</v>
      </c>
      <c r="F4886" t="str">
        <f>HYPERLINK("https://www.google.com/maps/search/?api=1&amp;query=26.2917135,44.84039555", "View Map")</f>
        <v>View Map</v>
      </c>
      <c r="G4886" s="2">
        <v>0.3811243243046174</v>
      </c>
    </row>
    <row r="4887" spans="1:7" x14ac:dyDescent="0.3">
      <c r="A4887" t="s">
        <v>8392</v>
      </c>
      <c r="B4887" t="s">
        <v>8393</v>
      </c>
      <c r="C4887" t="s">
        <v>291</v>
      </c>
      <c r="D4887">
        <v>2.2290000000000001</v>
      </c>
      <c r="E4887">
        <v>713</v>
      </c>
      <c r="F4887" t="str">
        <f>HYPERLINK("https://www.google.com/maps/search/?api=1&amp;query=24.22741118,45.42607112", "View Map")</f>
        <v>View Map</v>
      </c>
      <c r="G4887" s="2">
        <v>0.89761711084926088</v>
      </c>
    </row>
    <row r="4888" spans="1:7" x14ac:dyDescent="0.3">
      <c r="A4888" t="s">
        <v>46</v>
      </c>
      <c r="B4888" t="s">
        <v>5467</v>
      </c>
      <c r="C4888" t="s">
        <v>8</v>
      </c>
      <c r="D4888">
        <v>2.2290000000000001</v>
      </c>
      <c r="E4888">
        <v>713</v>
      </c>
      <c r="F4888" t="str">
        <f>HYPERLINK("https://www.google.com/maps/search/?api=1&amp;query=24.83222163,46.88963968", "View Map")</f>
        <v>View Map</v>
      </c>
    </row>
    <row r="4889" spans="1:7" x14ac:dyDescent="0.3">
      <c r="A4889" t="s">
        <v>7142</v>
      </c>
      <c r="B4889" t="s">
        <v>7143</v>
      </c>
      <c r="C4889" t="s">
        <v>8</v>
      </c>
      <c r="D4889">
        <v>2.2290000000000001</v>
      </c>
      <c r="E4889">
        <v>713</v>
      </c>
      <c r="F4889" t="str">
        <f>HYPERLINK("https://www.google.com/maps/search/?api=1&amp;query=24.58358253,46.58996799", "View Map")</f>
        <v>View Map</v>
      </c>
    </row>
    <row r="4890" spans="1:7" x14ac:dyDescent="0.3">
      <c r="A4890" t="s">
        <v>46</v>
      </c>
      <c r="B4890" t="s">
        <v>3366</v>
      </c>
      <c r="C4890" t="s">
        <v>8</v>
      </c>
      <c r="D4890">
        <v>2.2290000000000001</v>
      </c>
      <c r="E4890">
        <v>713</v>
      </c>
      <c r="F4890" t="str">
        <f>HYPERLINK("https://www.google.com/maps/search/?api=1&amp;query=24.86278597,46.80990426", "View Map")</f>
        <v>View Map</v>
      </c>
      <c r="G4890" s="2">
        <v>0.22823835126734479</v>
      </c>
    </row>
    <row r="4891" spans="1:7" x14ac:dyDescent="0.3">
      <c r="A4891" t="s">
        <v>11783</v>
      </c>
      <c r="B4891" t="s">
        <v>11784</v>
      </c>
      <c r="C4891" t="s">
        <v>8</v>
      </c>
      <c r="D4891">
        <v>2.2280000000000002</v>
      </c>
      <c r="E4891">
        <v>713</v>
      </c>
      <c r="F4891" t="str">
        <f>HYPERLINK("https://www.google.com/maps/search/?api=1&amp;query=24.57684696,46.66930151", "View Map")</f>
        <v>View Map</v>
      </c>
    </row>
    <row r="4892" spans="1:7" x14ac:dyDescent="0.3">
      <c r="A4892" t="s">
        <v>8545</v>
      </c>
      <c r="B4892" t="s">
        <v>8546</v>
      </c>
      <c r="C4892" t="s">
        <v>255</v>
      </c>
      <c r="D4892">
        <v>2.2280000000000002</v>
      </c>
      <c r="E4892">
        <v>713</v>
      </c>
      <c r="F4892" t="str">
        <f>HYPERLINK("https://www.google.com/maps/search/?api=1&amp;query=24.98001827,43.65246534", "View Map")</f>
        <v>View Map</v>
      </c>
      <c r="G4892" s="2">
        <v>0.65712160935702968</v>
      </c>
    </row>
    <row r="4893" spans="1:7" x14ac:dyDescent="0.3">
      <c r="A4893" t="s">
        <v>385</v>
      </c>
      <c r="B4893" t="s">
        <v>10434</v>
      </c>
      <c r="C4893" t="s">
        <v>255</v>
      </c>
      <c r="D4893">
        <v>2.2280000000000002</v>
      </c>
      <c r="E4893">
        <v>713</v>
      </c>
      <c r="F4893" t="str">
        <f>HYPERLINK("https://www.google.com/maps/search/?api=1&amp;query=24.51929135,44.38986041", "View Map")</f>
        <v>View Map</v>
      </c>
      <c r="G4893" s="2">
        <v>0.72275364938535402</v>
      </c>
    </row>
    <row r="4894" spans="1:7" x14ac:dyDescent="0.3">
      <c r="A4894" t="s">
        <v>146</v>
      </c>
      <c r="B4894" t="s">
        <v>6660</v>
      </c>
      <c r="C4894" t="s">
        <v>8</v>
      </c>
      <c r="D4894">
        <v>2.2269999999999999</v>
      </c>
      <c r="E4894">
        <v>713</v>
      </c>
      <c r="F4894" t="str">
        <f>HYPERLINK("https://www.google.com/maps/search/?api=1&amp;query=24.56023287,46.74744312", "View Map")</f>
        <v>View Map</v>
      </c>
    </row>
    <row r="4895" spans="1:7" x14ac:dyDescent="0.3">
      <c r="A4895" t="s">
        <v>8645</v>
      </c>
      <c r="B4895" t="s">
        <v>8646</v>
      </c>
      <c r="C4895" t="s">
        <v>8</v>
      </c>
      <c r="D4895">
        <v>2.226</v>
      </c>
      <c r="E4895">
        <v>712</v>
      </c>
      <c r="F4895" t="str">
        <f>HYPERLINK("https://www.google.com/maps/search/?api=1&amp;query=24.69724133,46.85432507", "View Map")</f>
        <v>View Map</v>
      </c>
    </row>
    <row r="4896" spans="1:7" x14ac:dyDescent="0.3">
      <c r="A4896" t="s">
        <v>5285</v>
      </c>
      <c r="B4896" t="s">
        <v>5286</v>
      </c>
      <c r="C4896" t="s">
        <v>21</v>
      </c>
      <c r="D4896">
        <v>2.226</v>
      </c>
      <c r="E4896">
        <v>712</v>
      </c>
      <c r="F4896" t="str">
        <f>HYPERLINK("https://www.google.com/maps/search/?api=1&amp;query=26.32741072,44.81452407", "View Map")</f>
        <v>View Map</v>
      </c>
      <c r="G4896" s="2">
        <v>0.42298191302618848</v>
      </c>
    </row>
    <row r="4897" spans="1:7" x14ac:dyDescent="0.3">
      <c r="A4897" t="s">
        <v>6885</v>
      </c>
      <c r="B4897" t="s">
        <v>6886</v>
      </c>
      <c r="C4897" t="s">
        <v>8</v>
      </c>
      <c r="D4897">
        <v>2.226</v>
      </c>
      <c r="E4897">
        <v>712</v>
      </c>
      <c r="F4897" t="str">
        <f>HYPERLINK("https://www.google.com/maps/search/?api=1&amp;query=24.7315401,46.76436904", "View Map")</f>
        <v>View Map</v>
      </c>
    </row>
    <row r="4898" spans="1:7" x14ac:dyDescent="0.3">
      <c r="A4898" t="s">
        <v>975</v>
      </c>
      <c r="B4898" t="s">
        <v>8425</v>
      </c>
      <c r="C4898" t="s">
        <v>442</v>
      </c>
      <c r="D4898">
        <v>2.226</v>
      </c>
      <c r="E4898">
        <v>712</v>
      </c>
      <c r="F4898" t="str">
        <f>HYPERLINK("https://www.google.com/maps/search/?api=1&amp;query=23.63062,46.50919", "View Map")</f>
        <v>View Map</v>
      </c>
    </row>
    <row r="4899" spans="1:7" x14ac:dyDescent="0.3">
      <c r="A4899" t="s">
        <v>5343</v>
      </c>
      <c r="B4899" t="s">
        <v>6809</v>
      </c>
      <c r="C4899" t="s">
        <v>8</v>
      </c>
      <c r="D4899">
        <v>2.226</v>
      </c>
      <c r="E4899">
        <v>712</v>
      </c>
      <c r="F4899" t="str">
        <f>HYPERLINK("https://www.google.com/maps/search/?api=1&amp;query=24.84777708,46.82057679", "View Map")</f>
        <v>View Map</v>
      </c>
    </row>
    <row r="4900" spans="1:7" x14ac:dyDescent="0.3">
      <c r="A4900" t="s">
        <v>11785</v>
      </c>
      <c r="B4900" t="s">
        <v>11786</v>
      </c>
      <c r="C4900" t="s">
        <v>241</v>
      </c>
      <c r="D4900">
        <v>2.226</v>
      </c>
      <c r="E4900">
        <v>712</v>
      </c>
      <c r="F4900" t="str">
        <f>HYPERLINK("https://www.google.com/maps/search/?api=1&amp;query=20.43608919,44.89881443", "View Map")</f>
        <v>View Map</v>
      </c>
    </row>
    <row r="4901" spans="1:7" x14ac:dyDescent="0.3">
      <c r="A4901" t="s">
        <v>9661</v>
      </c>
      <c r="B4901" t="s">
        <v>9662</v>
      </c>
      <c r="C4901" t="s">
        <v>8</v>
      </c>
      <c r="D4901">
        <v>2.2250000000000001</v>
      </c>
      <c r="E4901">
        <v>712</v>
      </c>
      <c r="F4901" t="str">
        <f>HYPERLINK("https://www.google.com/maps/search/?api=1&amp;query=24.73956493,46.80968574", "View Map")</f>
        <v>View Map</v>
      </c>
    </row>
    <row r="4902" spans="1:7" x14ac:dyDescent="0.3">
      <c r="A4902" t="s">
        <v>289</v>
      </c>
      <c r="B4902" t="s">
        <v>6693</v>
      </c>
      <c r="C4902" t="s">
        <v>291</v>
      </c>
      <c r="D4902">
        <v>2.2250000000000001</v>
      </c>
      <c r="E4902">
        <v>712</v>
      </c>
      <c r="F4902" t="str">
        <f>HYPERLINK("https://www.google.com/maps/search/?api=1&amp;query=24.11082955,45.93596291", "View Map")</f>
        <v>View Map</v>
      </c>
      <c r="G4902" s="2">
        <v>0.72174603069384913</v>
      </c>
    </row>
    <row r="4903" spans="1:7" x14ac:dyDescent="0.3">
      <c r="A4903" t="s">
        <v>5587</v>
      </c>
      <c r="B4903" t="s">
        <v>5588</v>
      </c>
      <c r="C4903" t="s">
        <v>8</v>
      </c>
      <c r="D4903">
        <v>2.2250000000000001</v>
      </c>
      <c r="E4903">
        <v>712</v>
      </c>
      <c r="F4903" t="str">
        <f>HYPERLINK("https://www.google.com/maps/search/?api=1&amp;query=24.71843199,46.85317115", "View Map")</f>
        <v>View Map</v>
      </c>
    </row>
    <row r="4904" spans="1:7" x14ac:dyDescent="0.3">
      <c r="A4904" t="s">
        <v>1080</v>
      </c>
      <c r="B4904" t="s">
        <v>9543</v>
      </c>
      <c r="C4904" t="s">
        <v>8</v>
      </c>
      <c r="D4904">
        <v>2.2240000000000002</v>
      </c>
      <c r="E4904">
        <v>712</v>
      </c>
      <c r="F4904" t="str">
        <f>HYPERLINK("https://www.google.com/maps/search/?api=1&amp;query=24.78699566,46.7386955", "View Map")</f>
        <v>View Map</v>
      </c>
    </row>
    <row r="4905" spans="1:7" x14ac:dyDescent="0.3">
      <c r="A4905" t="s">
        <v>1273</v>
      </c>
      <c r="B4905" t="s">
        <v>5848</v>
      </c>
      <c r="C4905" t="s">
        <v>241</v>
      </c>
      <c r="D4905">
        <v>2.2240000000000002</v>
      </c>
      <c r="E4905">
        <v>712</v>
      </c>
      <c r="F4905" t="str">
        <f>HYPERLINK("https://www.google.com/maps/search/?api=1&amp;query=20.45935227,44.75663044", "View Map")</f>
        <v>View Map</v>
      </c>
      <c r="G4905" s="2">
        <v>0.26542829962598929</v>
      </c>
    </row>
    <row r="4906" spans="1:7" x14ac:dyDescent="0.3">
      <c r="A4906" t="s">
        <v>7972</v>
      </c>
      <c r="B4906" t="s">
        <v>7973</v>
      </c>
      <c r="C4906" t="s">
        <v>8</v>
      </c>
      <c r="D4906">
        <v>2.2240000000000002</v>
      </c>
      <c r="E4906">
        <v>712</v>
      </c>
      <c r="F4906" t="str">
        <f>HYPERLINK("https://www.google.com/maps/search/?api=1&amp;query=24.67855253,46.71086464", "View Map")</f>
        <v>View Map</v>
      </c>
    </row>
    <row r="4907" spans="1:7" x14ac:dyDescent="0.3">
      <c r="A4907" t="s">
        <v>146</v>
      </c>
      <c r="B4907" t="s">
        <v>9998</v>
      </c>
      <c r="C4907" t="s">
        <v>8</v>
      </c>
      <c r="D4907">
        <v>2.2240000000000002</v>
      </c>
      <c r="E4907">
        <v>712</v>
      </c>
      <c r="F4907" t="str">
        <f>HYPERLINK("https://www.google.com/maps/search/?api=1&amp;query=24.52129251,46.65667587", "View Map")</f>
        <v>View Map</v>
      </c>
    </row>
    <row r="4908" spans="1:7" x14ac:dyDescent="0.3">
      <c r="A4908" t="s">
        <v>11787</v>
      </c>
      <c r="B4908" t="s">
        <v>11788</v>
      </c>
      <c r="C4908" t="s">
        <v>8</v>
      </c>
      <c r="D4908">
        <v>2.2240000000000002</v>
      </c>
      <c r="E4908">
        <v>712</v>
      </c>
      <c r="F4908" t="str">
        <f>HYPERLINK("https://www.google.com/maps/search/?api=1&amp;query=24.58936801,46.72155799", "View Map")</f>
        <v>View Map</v>
      </c>
    </row>
    <row r="4909" spans="1:7" x14ac:dyDescent="0.3">
      <c r="A4909" t="s">
        <v>8990</v>
      </c>
      <c r="B4909" t="s">
        <v>8991</v>
      </c>
      <c r="C4909" t="s">
        <v>699</v>
      </c>
      <c r="D4909">
        <v>2.2240000000000002</v>
      </c>
      <c r="E4909">
        <v>712</v>
      </c>
      <c r="F4909" t="str">
        <f>HYPERLINK("https://www.google.com/maps/search/?api=1&amp;query=25.118551,45.49273564", "View Map")</f>
        <v>View Map</v>
      </c>
      <c r="G4909" s="2">
        <v>0.74504430240700004</v>
      </c>
    </row>
    <row r="4910" spans="1:7" x14ac:dyDescent="0.3">
      <c r="A4910" t="s">
        <v>9379</v>
      </c>
      <c r="B4910" t="s">
        <v>9380</v>
      </c>
      <c r="C4910" t="s">
        <v>8</v>
      </c>
      <c r="D4910">
        <v>2.2240000000000002</v>
      </c>
      <c r="E4910">
        <v>712</v>
      </c>
      <c r="F4910" t="str">
        <f>HYPERLINK("https://www.google.com/maps/search/?api=1&amp;query=24.70203218,46.70816552", "View Map")</f>
        <v>View Map</v>
      </c>
    </row>
    <row r="4911" spans="1:7" x14ac:dyDescent="0.3">
      <c r="A4911" t="s">
        <v>7712</v>
      </c>
      <c r="B4911" t="s">
        <v>7713</v>
      </c>
      <c r="C4911" t="s">
        <v>270</v>
      </c>
      <c r="D4911">
        <v>2.2229999999999999</v>
      </c>
      <c r="E4911">
        <v>711</v>
      </c>
      <c r="F4911" t="str">
        <f>HYPERLINK("https://www.google.com/maps/search/?api=1&amp;query=24.01944769,47.13761625", "View Map")</f>
        <v>View Map</v>
      </c>
      <c r="G4911" s="2">
        <v>0.44785691388635412</v>
      </c>
    </row>
    <row r="4912" spans="1:7" x14ac:dyDescent="0.3">
      <c r="A4912" t="s">
        <v>1455</v>
      </c>
      <c r="B4912" t="s">
        <v>1456</v>
      </c>
      <c r="C4912" t="s">
        <v>30</v>
      </c>
      <c r="D4912">
        <v>2.2229999999999999</v>
      </c>
      <c r="E4912">
        <v>711</v>
      </c>
      <c r="F4912" t="str">
        <f>HYPERLINK("https://www.google.com/maps/search/?api=1&amp;query=24.14423241,47.36692128", "View Map")</f>
        <v>View Map</v>
      </c>
      <c r="G4912" s="2">
        <v>0.18601040334495911</v>
      </c>
    </row>
    <row r="4913" spans="1:7" x14ac:dyDescent="0.3">
      <c r="A4913" t="s">
        <v>4095</v>
      </c>
      <c r="B4913" t="s">
        <v>4096</v>
      </c>
      <c r="C4913" t="s">
        <v>8</v>
      </c>
      <c r="D4913">
        <v>2.2229999999999999</v>
      </c>
      <c r="E4913">
        <v>711</v>
      </c>
      <c r="F4913" t="str">
        <f>HYPERLINK("https://www.google.com/maps/search/?api=1&amp;query=24.80307341,46.66421015", "View Map")</f>
        <v>View Map</v>
      </c>
    </row>
    <row r="4914" spans="1:7" x14ac:dyDescent="0.3">
      <c r="A4914" t="s">
        <v>5725</v>
      </c>
      <c r="B4914" t="s">
        <v>5726</v>
      </c>
      <c r="C4914" t="s">
        <v>8</v>
      </c>
      <c r="D4914">
        <v>2.222</v>
      </c>
      <c r="E4914">
        <v>711</v>
      </c>
      <c r="F4914" t="str">
        <f>HYPERLINK("https://www.google.com/maps/search/?api=1&amp;query=24.76033643,46.75424267", "View Map")</f>
        <v>View Map</v>
      </c>
    </row>
    <row r="4915" spans="1:7" x14ac:dyDescent="0.3">
      <c r="A4915" t="s">
        <v>8585</v>
      </c>
      <c r="B4915" t="s">
        <v>8586</v>
      </c>
      <c r="C4915" t="s">
        <v>21</v>
      </c>
      <c r="D4915">
        <v>2.2210000000000001</v>
      </c>
      <c r="E4915">
        <v>711</v>
      </c>
      <c r="F4915" t="str">
        <f>HYPERLINK("https://www.google.com/maps/search/?api=1&amp;query=26.33170606,44.78259836", "View Map")</f>
        <v>View Map</v>
      </c>
      <c r="G4915" s="2">
        <v>0.62553960697750088</v>
      </c>
    </row>
    <row r="4916" spans="1:7" x14ac:dyDescent="0.3">
      <c r="A4916" t="s">
        <v>4630</v>
      </c>
      <c r="B4916" t="s">
        <v>4631</v>
      </c>
      <c r="C4916" t="s">
        <v>8</v>
      </c>
      <c r="D4916">
        <v>2.2210000000000001</v>
      </c>
      <c r="E4916">
        <v>711</v>
      </c>
      <c r="F4916" t="str">
        <f>HYPERLINK("https://www.google.com/maps/search/?api=1&amp;query=24.780734,46.76991222", "View Map")</f>
        <v>View Map</v>
      </c>
    </row>
    <row r="4917" spans="1:7" x14ac:dyDescent="0.3">
      <c r="A4917" t="s">
        <v>661</v>
      </c>
      <c r="B4917" t="s">
        <v>7453</v>
      </c>
      <c r="C4917" t="s">
        <v>214</v>
      </c>
      <c r="D4917">
        <v>2.2210000000000001</v>
      </c>
      <c r="E4917">
        <v>711</v>
      </c>
      <c r="F4917" t="str">
        <f>HYPERLINK("https://www.google.com/maps/search/?api=1&amp;query=25.55627753,45.69258235", "View Map")</f>
        <v>View Map</v>
      </c>
      <c r="G4917" s="2">
        <v>0.5037886327420108</v>
      </c>
    </row>
    <row r="4918" spans="1:7" x14ac:dyDescent="0.3">
      <c r="A4918" t="s">
        <v>9410</v>
      </c>
      <c r="B4918" t="s">
        <v>9411</v>
      </c>
      <c r="C4918" t="s">
        <v>8</v>
      </c>
      <c r="D4918">
        <v>2.2210000000000001</v>
      </c>
      <c r="E4918">
        <v>711</v>
      </c>
      <c r="F4918" t="str">
        <f>HYPERLINK("https://www.google.com/maps/search/?api=1&amp;query=24.59556228,46.6833319", "View Map")</f>
        <v>View Map</v>
      </c>
    </row>
    <row r="4919" spans="1:7" x14ac:dyDescent="0.3">
      <c r="A4919" t="s">
        <v>1761</v>
      </c>
      <c r="B4919" t="s">
        <v>1762</v>
      </c>
      <c r="C4919" t="s">
        <v>8</v>
      </c>
      <c r="D4919">
        <v>2.2210000000000001</v>
      </c>
      <c r="E4919">
        <v>711</v>
      </c>
      <c r="F4919" t="str">
        <f>HYPERLINK("https://www.google.com/maps/search/?api=1&amp;query=24.78076385,46.72651387", "View Map")</f>
        <v>View Map</v>
      </c>
      <c r="G4919" s="2">
        <v>0.1637402523947396</v>
      </c>
    </row>
    <row r="4920" spans="1:7" x14ac:dyDescent="0.3">
      <c r="A4920" t="s">
        <v>8955</v>
      </c>
      <c r="B4920" t="s">
        <v>8956</v>
      </c>
      <c r="C4920" t="s">
        <v>241</v>
      </c>
      <c r="D4920">
        <v>2.2200000000000002</v>
      </c>
      <c r="E4920">
        <v>710</v>
      </c>
      <c r="F4920" t="str">
        <f>HYPERLINK("https://www.google.com/maps/search/?api=1&amp;query=20.46775522,44.79768128", "View Map")</f>
        <v>View Map</v>
      </c>
    </row>
    <row r="4921" spans="1:7" x14ac:dyDescent="0.3">
      <c r="A4921" t="s">
        <v>10936</v>
      </c>
      <c r="B4921" t="s">
        <v>10937</v>
      </c>
      <c r="C4921" t="s">
        <v>16</v>
      </c>
      <c r="D4921">
        <v>2.2200000000000002</v>
      </c>
      <c r="E4921">
        <v>710</v>
      </c>
      <c r="F4921" t="str">
        <f>HYPERLINK("https://www.google.com/maps/search/?api=1&amp;query=24.3521358,43.25142824", "View Map")</f>
        <v>View Map</v>
      </c>
      <c r="G4921" s="2">
        <v>0.80922221850466147</v>
      </c>
    </row>
    <row r="4922" spans="1:7" x14ac:dyDescent="0.3">
      <c r="A4922" t="s">
        <v>11789</v>
      </c>
      <c r="B4922" t="s">
        <v>11790</v>
      </c>
      <c r="C4922" t="s">
        <v>8</v>
      </c>
      <c r="D4922">
        <v>2.2200000000000002</v>
      </c>
      <c r="E4922">
        <v>710</v>
      </c>
      <c r="F4922" t="str">
        <f>HYPERLINK("https://www.google.com/maps/search/?api=1&amp;query=24.6235659,46.68718996", "View Map")</f>
        <v>View Map</v>
      </c>
    </row>
    <row r="4923" spans="1:7" x14ac:dyDescent="0.3">
      <c r="A4923" t="s">
        <v>46</v>
      </c>
      <c r="B4923" t="s">
        <v>6804</v>
      </c>
      <c r="C4923" t="s">
        <v>8</v>
      </c>
      <c r="D4923">
        <v>2.2200000000000002</v>
      </c>
      <c r="E4923">
        <v>710</v>
      </c>
      <c r="F4923" t="str">
        <f>HYPERLINK("https://www.google.com/maps/search/?api=1&amp;query=24.81402222,46.8764172", "View Map")</f>
        <v>View Map</v>
      </c>
    </row>
    <row r="4924" spans="1:7" x14ac:dyDescent="0.3">
      <c r="A4924" t="s">
        <v>7486</v>
      </c>
      <c r="B4924" t="s">
        <v>7487</v>
      </c>
      <c r="C4924" t="s">
        <v>1112</v>
      </c>
      <c r="D4924">
        <v>2.2200000000000002</v>
      </c>
      <c r="E4924">
        <v>710</v>
      </c>
      <c r="F4924" t="str">
        <f>HYPERLINK("https://www.google.com/maps/search/?api=1&amp;query=26.02372756,44.96091353", "View Map")</f>
        <v>View Map</v>
      </c>
      <c r="G4924" s="2">
        <v>0.41381156301421451</v>
      </c>
    </row>
    <row r="4925" spans="1:7" x14ac:dyDescent="0.3">
      <c r="A4925" t="s">
        <v>11791</v>
      </c>
      <c r="B4925" t="s">
        <v>11792</v>
      </c>
      <c r="C4925" t="s">
        <v>8</v>
      </c>
      <c r="D4925">
        <v>2.2189999999999999</v>
      </c>
      <c r="E4925">
        <v>710</v>
      </c>
      <c r="F4925" t="str">
        <f>HYPERLINK("https://www.google.com/maps/search/?api=1&amp;query=24.64695621,46.78288276", "View Map")</f>
        <v>View Map</v>
      </c>
    </row>
    <row r="4926" spans="1:7" x14ac:dyDescent="0.3">
      <c r="A4926" t="s">
        <v>11105</v>
      </c>
      <c r="B4926" t="s">
        <v>11106</v>
      </c>
      <c r="C4926" t="s">
        <v>393</v>
      </c>
      <c r="D4926">
        <v>2.2189999999999999</v>
      </c>
      <c r="E4926">
        <v>710</v>
      </c>
      <c r="F4926" t="str">
        <f>HYPERLINK("https://www.google.com/maps/search/?api=1&amp;query=22.80026605,45.18175536", "View Map")</f>
        <v>View Map</v>
      </c>
      <c r="G4926" s="2">
        <v>0.96827579481562298</v>
      </c>
    </row>
    <row r="4927" spans="1:7" x14ac:dyDescent="0.3">
      <c r="A4927" t="s">
        <v>11793</v>
      </c>
      <c r="B4927" t="s">
        <v>11794</v>
      </c>
      <c r="C4927" t="s">
        <v>255</v>
      </c>
      <c r="D4927">
        <v>2.2189999999999999</v>
      </c>
      <c r="E4927">
        <v>710</v>
      </c>
      <c r="F4927" t="str">
        <f>HYPERLINK("https://www.google.com/maps/search/?api=1&amp;query=24.27743723,44.1858356", "View Map")</f>
        <v>View Map</v>
      </c>
      <c r="G4927" s="2">
        <v>0.47613070432695681</v>
      </c>
    </row>
    <row r="4928" spans="1:7" x14ac:dyDescent="0.3">
      <c r="A4928" t="s">
        <v>2258</v>
      </c>
      <c r="B4928" t="s">
        <v>7236</v>
      </c>
      <c r="C4928" t="s">
        <v>8</v>
      </c>
      <c r="D4928">
        <v>2.218</v>
      </c>
      <c r="E4928">
        <v>710</v>
      </c>
      <c r="F4928" t="str">
        <f>HYPERLINK("https://www.google.com/maps/search/?api=1&amp;query=24.81079084,46.87439714", "View Map")</f>
        <v>View Map</v>
      </c>
    </row>
    <row r="4929" spans="1:7" x14ac:dyDescent="0.3">
      <c r="A4929" t="s">
        <v>8061</v>
      </c>
      <c r="B4929" t="s">
        <v>8062</v>
      </c>
      <c r="C4929" t="s">
        <v>286</v>
      </c>
      <c r="D4929">
        <v>2.2170000000000001</v>
      </c>
      <c r="E4929">
        <v>710</v>
      </c>
      <c r="F4929" t="str">
        <f>HYPERLINK("https://www.google.com/maps/search/?api=1&amp;query=25.29597092,45.53238578", "View Map")</f>
        <v>View Map</v>
      </c>
      <c r="G4929" s="2">
        <v>0.36725180730205081</v>
      </c>
    </row>
    <row r="4930" spans="1:7" x14ac:dyDescent="0.3">
      <c r="A4930" t="s">
        <v>6068</v>
      </c>
      <c r="B4930" t="s">
        <v>6069</v>
      </c>
      <c r="C4930" t="s">
        <v>21</v>
      </c>
      <c r="D4930">
        <v>2.2170000000000001</v>
      </c>
      <c r="E4930">
        <v>709</v>
      </c>
      <c r="F4930" t="str">
        <f>HYPERLINK("https://www.google.com/maps/search/?api=1&amp;query=26.34047736,44.78010962", "View Map")</f>
        <v>View Map</v>
      </c>
      <c r="G4930" s="2">
        <v>0.4705006542457365</v>
      </c>
    </row>
    <row r="4931" spans="1:7" x14ac:dyDescent="0.3">
      <c r="A4931" t="s">
        <v>10038</v>
      </c>
      <c r="B4931" t="s">
        <v>10039</v>
      </c>
      <c r="C4931" t="s">
        <v>8</v>
      </c>
      <c r="D4931">
        <v>2.2170000000000001</v>
      </c>
      <c r="E4931">
        <v>710</v>
      </c>
      <c r="F4931" t="str">
        <f>HYPERLINK("https://www.google.com/maps/search/?api=1&amp;query=24.57606074,46.55586837", "View Map")</f>
        <v>View Map</v>
      </c>
    </row>
    <row r="4932" spans="1:7" x14ac:dyDescent="0.3">
      <c r="A4932" t="s">
        <v>10700</v>
      </c>
      <c r="B4932" t="s">
        <v>10701</v>
      </c>
      <c r="C4932" t="s">
        <v>30</v>
      </c>
      <c r="D4932">
        <v>2.2160000000000002</v>
      </c>
      <c r="E4932">
        <v>709</v>
      </c>
      <c r="F4932" t="str">
        <f>HYPERLINK("https://www.google.com/maps/search/?api=1&amp;query=24.10705342,47.29107782", "View Map")</f>
        <v>View Map</v>
      </c>
    </row>
    <row r="4933" spans="1:7" x14ac:dyDescent="0.3">
      <c r="A4933" t="s">
        <v>6136</v>
      </c>
      <c r="B4933" t="s">
        <v>6137</v>
      </c>
      <c r="C4933" t="s">
        <v>214</v>
      </c>
      <c r="D4933">
        <v>2.2160000000000002</v>
      </c>
      <c r="E4933">
        <v>709</v>
      </c>
      <c r="F4933" t="str">
        <f>HYPERLINK("https://www.google.com/maps/search/?api=1&amp;query=25.59012352,45.63047197", "View Map")</f>
        <v>View Map</v>
      </c>
      <c r="G4933" s="2">
        <v>0.58961839634340796</v>
      </c>
    </row>
    <row r="4934" spans="1:7" x14ac:dyDescent="0.3">
      <c r="A4934" t="s">
        <v>11795</v>
      </c>
      <c r="B4934" t="s">
        <v>11796</v>
      </c>
      <c r="C4934" t="s">
        <v>466</v>
      </c>
      <c r="D4934">
        <v>2.2149999999999999</v>
      </c>
      <c r="E4934">
        <v>709</v>
      </c>
      <c r="F4934" t="str">
        <f>HYPERLINK("https://www.google.com/maps/search/?api=1&amp;query=24.42306649,46.54314319", "View Map")</f>
        <v>View Map</v>
      </c>
    </row>
    <row r="4935" spans="1:7" x14ac:dyDescent="0.3">
      <c r="A4935" t="s">
        <v>10184</v>
      </c>
      <c r="B4935" t="s">
        <v>10185</v>
      </c>
      <c r="C4935" t="s">
        <v>291</v>
      </c>
      <c r="D4935">
        <v>2.214</v>
      </c>
      <c r="E4935">
        <v>708</v>
      </c>
      <c r="F4935" t="str">
        <f>HYPERLINK("https://www.google.com/maps/search/?api=1&amp;query=23.82280479,45.04893285", "View Map")</f>
        <v>View Map</v>
      </c>
      <c r="G4935" s="2">
        <v>0.70187058506710964</v>
      </c>
    </row>
    <row r="4936" spans="1:7" x14ac:dyDescent="0.3">
      <c r="A4936" t="s">
        <v>4585</v>
      </c>
      <c r="B4936" t="s">
        <v>4586</v>
      </c>
      <c r="C4936" t="s">
        <v>8</v>
      </c>
      <c r="D4936">
        <v>2.214</v>
      </c>
      <c r="E4936">
        <v>708</v>
      </c>
      <c r="F4936" t="str">
        <f>HYPERLINK("https://www.google.com/maps/search/?api=1&amp;query=24.69207975,46.81154014", "View Map")</f>
        <v>View Map</v>
      </c>
    </row>
    <row r="4937" spans="1:7" x14ac:dyDescent="0.3">
      <c r="A4937" t="s">
        <v>10358</v>
      </c>
      <c r="B4937" t="s">
        <v>10359</v>
      </c>
      <c r="C4937" t="s">
        <v>8</v>
      </c>
      <c r="D4937">
        <v>2.2130000000000001</v>
      </c>
      <c r="E4937">
        <v>708</v>
      </c>
      <c r="F4937" t="str">
        <f>HYPERLINK("https://www.google.com/maps/search/?api=1&amp;query=24.78508555,46.7574838", "View Map")</f>
        <v>View Map</v>
      </c>
    </row>
    <row r="4938" spans="1:7" x14ac:dyDescent="0.3">
      <c r="A4938" t="s">
        <v>6945</v>
      </c>
      <c r="B4938" t="s">
        <v>6946</v>
      </c>
      <c r="C4938" t="s">
        <v>77</v>
      </c>
      <c r="D4938">
        <v>2.2130000000000001</v>
      </c>
      <c r="E4938">
        <v>708</v>
      </c>
      <c r="F4938" t="str">
        <f>HYPERLINK("https://www.google.com/maps/search/?api=1&amp;query=22.29261946,46.70152718", "View Map")</f>
        <v>View Map</v>
      </c>
    </row>
    <row r="4939" spans="1:7" x14ac:dyDescent="0.3">
      <c r="A4939" t="s">
        <v>11797</v>
      </c>
      <c r="B4939" t="s">
        <v>11798</v>
      </c>
      <c r="C4939" t="s">
        <v>8</v>
      </c>
      <c r="D4939">
        <v>2.2130000000000001</v>
      </c>
      <c r="E4939">
        <v>708</v>
      </c>
      <c r="F4939" t="str">
        <f>HYPERLINK("https://www.google.com/maps/search/?api=1&amp;query=24.75151009,46.60468275", "View Map")</f>
        <v>View Map</v>
      </c>
    </row>
    <row r="4940" spans="1:7" x14ac:dyDescent="0.3">
      <c r="A4940" t="s">
        <v>459</v>
      </c>
      <c r="B4940" t="s">
        <v>8707</v>
      </c>
      <c r="C4940" t="s">
        <v>286</v>
      </c>
      <c r="D4940">
        <v>2.2120000000000002</v>
      </c>
      <c r="E4940">
        <v>708</v>
      </c>
      <c r="F4940" t="str">
        <f>HYPERLINK("https://www.google.com/maps/search/?api=1&amp;query=25.21936648,45.26472376", "View Map")</f>
        <v>View Map</v>
      </c>
      <c r="G4940" s="2">
        <v>0.44311349880418449</v>
      </c>
    </row>
    <row r="4941" spans="1:7" x14ac:dyDescent="0.3">
      <c r="A4941" t="s">
        <v>9124</v>
      </c>
      <c r="B4941" t="s">
        <v>9125</v>
      </c>
      <c r="C4941" t="s">
        <v>8</v>
      </c>
      <c r="D4941">
        <v>2.2120000000000002</v>
      </c>
      <c r="E4941">
        <v>708</v>
      </c>
      <c r="F4941" t="str">
        <f>HYPERLINK("https://www.google.com/maps/search/?api=1&amp;query=24.57711254,46.63847468", "View Map")</f>
        <v>View Map</v>
      </c>
    </row>
    <row r="4942" spans="1:7" x14ac:dyDescent="0.3">
      <c r="A4942" t="s">
        <v>11799</v>
      </c>
      <c r="B4942" t="s">
        <v>11800</v>
      </c>
      <c r="C4942" t="s">
        <v>8</v>
      </c>
      <c r="D4942">
        <v>2.2109999999999999</v>
      </c>
      <c r="E4942">
        <v>708</v>
      </c>
      <c r="F4942" t="str">
        <f>HYPERLINK("https://www.google.com/maps/search/?api=1&amp;query=24.63159863,46.54288918", "View Map")</f>
        <v>View Map</v>
      </c>
    </row>
    <row r="4943" spans="1:7" x14ac:dyDescent="0.3">
      <c r="A4943" t="s">
        <v>11801</v>
      </c>
      <c r="B4943" t="s">
        <v>11802</v>
      </c>
      <c r="C4943" t="s">
        <v>8</v>
      </c>
      <c r="D4943">
        <v>2.21</v>
      </c>
      <c r="E4943">
        <v>707</v>
      </c>
      <c r="F4943" t="str">
        <f>HYPERLINK("https://www.google.com/maps/search/?api=1&amp;query=24.69113205,46.69397737", "View Map")</f>
        <v>View Map</v>
      </c>
    </row>
    <row r="4944" spans="1:7" x14ac:dyDescent="0.3">
      <c r="A4944" t="s">
        <v>10016</v>
      </c>
      <c r="B4944" t="s">
        <v>10017</v>
      </c>
      <c r="C4944" t="s">
        <v>270</v>
      </c>
      <c r="D4944">
        <v>2.21</v>
      </c>
      <c r="E4944">
        <v>707</v>
      </c>
      <c r="F4944" t="str">
        <f>HYPERLINK("https://www.google.com/maps/search/?api=1&amp;query=23.97700917,47.14186417", "View Map")</f>
        <v>View Map</v>
      </c>
      <c r="G4944" s="2">
        <v>0.86643975794390637</v>
      </c>
    </row>
    <row r="4945" spans="1:7" x14ac:dyDescent="0.3">
      <c r="A4945" t="s">
        <v>146</v>
      </c>
      <c r="B4945" t="s">
        <v>11803</v>
      </c>
      <c r="C4945" t="s">
        <v>55</v>
      </c>
      <c r="D4945">
        <v>2.2090000000000001</v>
      </c>
      <c r="E4945">
        <v>707</v>
      </c>
      <c r="F4945" t="str">
        <f>HYPERLINK("https://www.google.com/maps/search/?api=1&amp;query=24.74186,46.51133", "View Map")</f>
        <v>View Map</v>
      </c>
    </row>
    <row r="4946" spans="1:7" x14ac:dyDescent="0.3">
      <c r="A4946" t="s">
        <v>146</v>
      </c>
      <c r="B4946" t="s">
        <v>11804</v>
      </c>
      <c r="C4946" t="s">
        <v>8</v>
      </c>
      <c r="D4946">
        <v>2.2080000000000002</v>
      </c>
      <c r="E4946">
        <v>707</v>
      </c>
      <c r="F4946" t="str">
        <f>HYPERLINK("https://www.google.com/maps/search/?api=1&amp;query=24.48284751,46.62784771", "View Map")</f>
        <v>View Map</v>
      </c>
    </row>
    <row r="4947" spans="1:7" x14ac:dyDescent="0.3">
      <c r="A4947" t="s">
        <v>10953</v>
      </c>
      <c r="B4947" t="s">
        <v>10954</v>
      </c>
      <c r="C4947" t="s">
        <v>30</v>
      </c>
      <c r="D4947">
        <v>2.2069999999999999</v>
      </c>
      <c r="E4947">
        <v>706</v>
      </c>
      <c r="F4947" t="str">
        <f>HYPERLINK("https://www.google.com/maps/search/?api=1&amp;query=24.18058772,47.33462184", "View Map")</f>
        <v>View Map</v>
      </c>
      <c r="G4947" s="2">
        <v>0.69228146795043377</v>
      </c>
    </row>
    <row r="4948" spans="1:7" x14ac:dyDescent="0.3">
      <c r="A4948" t="s">
        <v>11805</v>
      </c>
      <c r="B4948" t="s">
        <v>11806</v>
      </c>
      <c r="C4948" t="s">
        <v>16</v>
      </c>
      <c r="D4948">
        <v>2.206</v>
      </c>
      <c r="E4948">
        <v>706</v>
      </c>
      <c r="F4948" t="str">
        <f>HYPERLINK("https://www.google.com/maps/search/?api=1&amp;query=23.92308943,42.90868594", "View Map")</f>
        <v>View Map</v>
      </c>
    </row>
    <row r="4949" spans="1:7" x14ac:dyDescent="0.3">
      <c r="A4949" t="s">
        <v>146</v>
      </c>
      <c r="B4949" t="s">
        <v>10644</v>
      </c>
      <c r="C4949" t="s">
        <v>8</v>
      </c>
      <c r="D4949">
        <v>2.2050000000000001</v>
      </c>
      <c r="E4949">
        <v>706</v>
      </c>
      <c r="F4949" t="str">
        <f>HYPERLINK("https://www.google.com/maps/search/?api=1&amp;query=24.55157367,46.55716947", "View Map")</f>
        <v>View Map</v>
      </c>
    </row>
    <row r="4950" spans="1:7" x14ac:dyDescent="0.3">
      <c r="A4950" t="s">
        <v>569</v>
      </c>
      <c r="B4950" t="s">
        <v>8617</v>
      </c>
      <c r="C4950" t="s">
        <v>30</v>
      </c>
      <c r="D4950">
        <v>2.2040000000000002</v>
      </c>
      <c r="E4950">
        <v>705</v>
      </c>
      <c r="F4950" t="str">
        <f>HYPERLINK("https://www.google.com/maps/search/?api=1&amp;query=24.12679044,47.27874883", "View Map")</f>
        <v>View Map</v>
      </c>
      <c r="G4950" s="2">
        <v>0.87203993783472522</v>
      </c>
    </row>
    <row r="4951" spans="1:7" x14ac:dyDescent="0.3">
      <c r="A4951" t="s">
        <v>9745</v>
      </c>
      <c r="B4951" t="s">
        <v>9746</v>
      </c>
      <c r="C4951" t="s">
        <v>77</v>
      </c>
      <c r="D4951">
        <v>2.2029999999999998</v>
      </c>
      <c r="E4951">
        <v>705</v>
      </c>
      <c r="F4951" t="str">
        <f>HYPERLINK("https://www.google.com/maps/search/?api=1&amp;query=21.373412,46.08027915", "View Map")</f>
        <v>View Map</v>
      </c>
      <c r="G4951" s="2">
        <v>0.64337061227708203</v>
      </c>
    </row>
    <row r="4952" spans="1:7" x14ac:dyDescent="0.3">
      <c r="A4952" t="s">
        <v>2779</v>
      </c>
      <c r="B4952" t="s">
        <v>2780</v>
      </c>
      <c r="C4952" t="s">
        <v>8</v>
      </c>
      <c r="D4952">
        <v>2.2029999999999998</v>
      </c>
      <c r="E4952">
        <v>705</v>
      </c>
      <c r="F4952" t="str">
        <f>HYPERLINK("https://www.google.com/maps/search/?api=1&amp;query=24.57815744,46.69922591", "View Map")</f>
        <v>View Map</v>
      </c>
    </row>
    <row r="4953" spans="1:7" x14ac:dyDescent="0.3">
      <c r="A4953" t="s">
        <v>1788</v>
      </c>
      <c r="B4953" t="s">
        <v>9444</v>
      </c>
      <c r="C4953" t="s">
        <v>291</v>
      </c>
      <c r="D4953">
        <v>2.202</v>
      </c>
      <c r="E4953">
        <v>705</v>
      </c>
      <c r="F4953" t="str">
        <f>HYPERLINK("https://www.google.com/maps/search/?api=1&amp;query=24.08258881,45.3255726", "View Map")</f>
        <v>View Map</v>
      </c>
      <c r="G4953" s="2">
        <v>0.93582431066225491</v>
      </c>
    </row>
    <row r="4954" spans="1:7" x14ac:dyDescent="0.3">
      <c r="A4954" t="s">
        <v>6807</v>
      </c>
      <c r="B4954" t="s">
        <v>6808</v>
      </c>
      <c r="C4954" t="s">
        <v>8</v>
      </c>
      <c r="D4954">
        <v>2.202</v>
      </c>
      <c r="E4954">
        <v>705</v>
      </c>
      <c r="F4954" t="str">
        <f>HYPERLINK("https://www.google.com/maps/search/?api=1&amp;query=24.7808455,46.76503782", "View Map")</f>
        <v>View Map</v>
      </c>
    </row>
    <row r="4955" spans="1:7" x14ac:dyDescent="0.3">
      <c r="A4955" t="s">
        <v>11807</v>
      </c>
      <c r="B4955" t="s">
        <v>11808</v>
      </c>
      <c r="C4955" t="s">
        <v>286</v>
      </c>
      <c r="D4955">
        <v>2.2010000000000001</v>
      </c>
      <c r="E4955">
        <v>704</v>
      </c>
      <c r="F4955" t="str">
        <f>HYPERLINK("https://www.google.com/maps/search/?api=1&amp;query=25.25820688,45.25438415", "View Map")</f>
        <v>View Map</v>
      </c>
      <c r="G4955" s="2">
        <v>0.48793766157578222</v>
      </c>
    </row>
    <row r="4956" spans="1:7" x14ac:dyDescent="0.3">
      <c r="A4956" t="s">
        <v>7963</v>
      </c>
      <c r="B4956" t="s">
        <v>7964</v>
      </c>
      <c r="C4956" t="s">
        <v>8</v>
      </c>
      <c r="D4956">
        <v>2.2010000000000001</v>
      </c>
      <c r="E4956">
        <v>704</v>
      </c>
      <c r="F4956" t="str">
        <f>HYPERLINK("https://www.google.com/maps/search/?api=1&amp;query=24.62227729,46.56980949", "View Map")</f>
        <v>View Map</v>
      </c>
    </row>
    <row r="4957" spans="1:7" x14ac:dyDescent="0.3">
      <c r="A4957" t="s">
        <v>6880</v>
      </c>
      <c r="B4957" t="s">
        <v>6881</v>
      </c>
      <c r="C4957" t="s">
        <v>291</v>
      </c>
      <c r="D4957">
        <v>2.2000000000000002</v>
      </c>
      <c r="E4957">
        <v>704</v>
      </c>
      <c r="F4957" t="str">
        <f>HYPERLINK("https://www.google.com/maps/search/?api=1&amp;query=23.98850851,45.16562836", "View Map")</f>
        <v>View Map</v>
      </c>
      <c r="G4957" s="2">
        <v>0.57459078540299557</v>
      </c>
    </row>
    <row r="4958" spans="1:7" x14ac:dyDescent="0.3">
      <c r="A4958" t="s">
        <v>8013</v>
      </c>
      <c r="B4958" t="s">
        <v>8014</v>
      </c>
      <c r="C4958" t="s">
        <v>8</v>
      </c>
      <c r="D4958">
        <v>2.2000000000000002</v>
      </c>
      <c r="E4958">
        <v>704</v>
      </c>
      <c r="F4958" t="str">
        <f>HYPERLINK("https://www.google.com/maps/search/?api=1&amp;query=24.69490864,46.68243508", "View Map")</f>
        <v>View Map</v>
      </c>
    </row>
    <row r="4959" spans="1:7" x14ac:dyDescent="0.3">
      <c r="A4959" t="s">
        <v>1180</v>
      </c>
      <c r="B4959" t="s">
        <v>1181</v>
      </c>
      <c r="C4959" t="s">
        <v>8</v>
      </c>
      <c r="D4959">
        <v>2.2000000000000002</v>
      </c>
      <c r="E4959">
        <v>704</v>
      </c>
      <c r="F4959" t="str">
        <f>HYPERLINK("https://www.google.com/maps/search/?api=1&amp;query=24.76524922,46.6271013", "View Map")</f>
        <v>View Map</v>
      </c>
    </row>
    <row r="4960" spans="1:7" x14ac:dyDescent="0.3">
      <c r="A4960" t="s">
        <v>11239</v>
      </c>
      <c r="B4960" t="s">
        <v>11240</v>
      </c>
      <c r="C4960" t="s">
        <v>8</v>
      </c>
      <c r="D4960">
        <v>2.1989999999999998</v>
      </c>
      <c r="E4960">
        <v>704</v>
      </c>
      <c r="F4960" t="str">
        <f>HYPERLINK("https://www.google.com/maps/search/?api=1&amp;query=24.5741245,46.67866138", "View Map")</f>
        <v>View Map</v>
      </c>
    </row>
    <row r="4961" spans="1:7" x14ac:dyDescent="0.3">
      <c r="A4961" t="s">
        <v>362</v>
      </c>
      <c r="B4961" t="s">
        <v>6390</v>
      </c>
      <c r="C4961" t="s">
        <v>364</v>
      </c>
      <c r="D4961">
        <v>2.1989999999999998</v>
      </c>
      <c r="E4961">
        <v>704</v>
      </c>
      <c r="F4961" t="str">
        <f>HYPERLINK("https://www.google.com/maps/search/?api=1&amp;query=25.41745454,46.09906737", "View Map")</f>
        <v>View Map</v>
      </c>
    </row>
    <row r="4962" spans="1:7" x14ac:dyDescent="0.3">
      <c r="A4962" t="s">
        <v>10751</v>
      </c>
      <c r="B4962" t="s">
        <v>10752</v>
      </c>
      <c r="C4962" t="s">
        <v>241</v>
      </c>
      <c r="D4962">
        <v>2.198</v>
      </c>
      <c r="E4962">
        <v>703</v>
      </c>
      <c r="F4962" t="str">
        <f>HYPERLINK("https://www.google.com/maps/search/?api=1&amp;query=20.4339185,44.9061702", "View Map")</f>
        <v>View Map</v>
      </c>
      <c r="G4962" s="2">
        <v>0.60050452891854855</v>
      </c>
    </row>
    <row r="4963" spans="1:7" x14ac:dyDescent="0.3">
      <c r="A4963" t="s">
        <v>4389</v>
      </c>
      <c r="B4963" t="s">
        <v>4390</v>
      </c>
      <c r="C4963" t="s">
        <v>8</v>
      </c>
      <c r="D4963">
        <v>2.198</v>
      </c>
      <c r="E4963">
        <v>703</v>
      </c>
      <c r="F4963" t="str">
        <f>HYPERLINK("https://www.google.com/maps/search/?api=1&amp;query=24.6342636,46.61424206", "View Map")</f>
        <v>View Map</v>
      </c>
    </row>
    <row r="4964" spans="1:7" x14ac:dyDescent="0.3">
      <c r="A4964" t="s">
        <v>28</v>
      </c>
      <c r="B4964" t="s">
        <v>4695</v>
      </c>
      <c r="C4964" t="s">
        <v>30</v>
      </c>
      <c r="D4964">
        <v>2.198</v>
      </c>
      <c r="E4964">
        <v>703</v>
      </c>
      <c r="F4964" t="str">
        <f>HYPERLINK("https://www.google.com/maps/search/?api=1&amp;query=24.0945035,47.27503035", "View Map")</f>
        <v>View Map</v>
      </c>
      <c r="G4964" s="2">
        <v>0.40735182123251529</v>
      </c>
    </row>
    <row r="4965" spans="1:7" x14ac:dyDescent="0.3">
      <c r="A4965" t="s">
        <v>8286</v>
      </c>
      <c r="B4965" t="s">
        <v>8287</v>
      </c>
      <c r="C4965" t="s">
        <v>286</v>
      </c>
      <c r="D4965">
        <v>2.1970000000000001</v>
      </c>
      <c r="E4965">
        <v>703</v>
      </c>
      <c r="F4965" t="str">
        <f>HYPERLINK("https://www.google.com/maps/search/?api=1&amp;query=25.23256,45.24166", "View Map")</f>
        <v>View Map</v>
      </c>
      <c r="G4965" s="2">
        <v>0.73758972339543194</v>
      </c>
    </row>
    <row r="4966" spans="1:7" x14ac:dyDescent="0.3">
      <c r="A4966" t="s">
        <v>10503</v>
      </c>
      <c r="B4966" t="s">
        <v>10504</v>
      </c>
      <c r="C4966" t="s">
        <v>8</v>
      </c>
      <c r="D4966">
        <v>2.1970000000000001</v>
      </c>
      <c r="E4966">
        <v>703</v>
      </c>
      <c r="F4966" t="str">
        <f>HYPERLINK("https://www.google.com/maps/search/?api=1&amp;query=24.61283324,46.73596205", "View Map")</f>
        <v>View Map</v>
      </c>
    </row>
    <row r="4967" spans="1:7" x14ac:dyDescent="0.3">
      <c r="A4967" t="s">
        <v>362</v>
      </c>
      <c r="B4967" t="s">
        <v>8139</v>
      </c>
      <c r="C4967" t="s">
        <v>364</v>
      </c>
      <c r="D4967">
        <v>2.1970000000000001</v>
      </c>
      <c r="E4967">
        <v>703</v>
      </c>
      <c r="F4967" t="str">
        <f>HYPERLINK("https://www.google.com/maps/search/?api=1&amp;query=25.2472467,45.87261371", "View Map")</f>
        <v>View Map</v>
      </c>
    </row>
    <row r="4968" spans="1:7" x14ac:dyDescent="0.3">
      <c r="A4968" t="s">
        <v>7065</v>
      </c>
      <c r="B4968" t="s">
        <v>7066</v>
      </c>
      <c r="C4968" t="s">
        <v>214</v>
      </c>
      <c r="D4968">
        <v>2.1970000000000001</v>
      </c>
      <c r="E4968">
        <v>703</v>
      </c>
      <c r="F4968" t="str">
        <f>HYPERLINK("https://www.google.com/maps/search/?api=1&amp;query=25.92037661,45.35834893", "View Map")</f>
        <v>View Map</v>
      </c>
    </row>
    <row r="4969" spans="1:7" x14ac:dyDescent="0.3">
      <c r="A4969" t="s">
        <v>8423</v>
      </c>
      <c r="B4969" t="s">
        <v>8424</v>
      </c>
      <c r="C4969" t="s">
        <v>21</v>
      </c>
      <c r="D4969">
        <v>2.1970000000000001</v>
      </c>
      <c r="E4969">
        <v>703</v>
      </c>
      <c r="F4969" t="str">
        <f>HYPERLINK("https://www.google.com/maps/search/?api=1&amp;query=26.28784759,44.79048516", "View Map")</f>
        <v>View Map</v>
      </c>
      <c r="G4969" s="2">
        <v>0.60935612214409685</v>
      </c>
    </row>
    <row r="4970" spans="1:7" x14ac:dyDescent="0.3">
      <c r="A4970" t="s">
        <v>11809</v>
      </c>
      <c r="B4970" t="s">
        <v>11810</v>
      </c>
      <c r="C4970" t="s">
        <v>8</v>
      </c>
      <c r="D4970">
        <v>2.1970000000000001</v>
      </c>
      <c r="E4970">
        <v>703</v>
      </c>
      <c r="F4970" t="str">
        <f>HYPERLINK("https://www.google.com/maps/search/?api=1&amp;query=24.55681254,46.70454415", "View Map")</f>
        <v>View Map</v>
      </c>
    </row>
    <row r="4971" spans="1:7" x14ac:dyDescent="0.3">
      <c r="A4971" t="s">
        <v>6863</v>
      </c>
      <c r="B4971" t="s">
        <v>6864</v>
      </c>
      <c r="C4971" t="s">
        <v>255</v>
      </c>
      <c r="D4971">
        <v>2.1960000000000002</v>
      </c>
      <c r="E4971">
        <v>703</v>
      </c>
      <c r="F4971" t="str">
        <f>HYPERLINK("https://www.google.com/maps/search/?api=1&amp;query=24.55044174,44.44018989", "View Map")</f>
        <v>View Map</v>
      </c>
      <c r="G4971" s="2">
        <v>0.54726717740582353</v>
      </c>
    </row>
    <row r="4972" spans="1:7" x14ac:dyDescent="0.3">
      <c r="A4972" t="s">
        <v>11811</v>
      </c>
      <c r="B4972" t="s">
        <v>11812</v>
      </c>
      <c r="C4972" t="s">
        <v>8</v>
      </c>
      <c r="D4972">
        <v>2.1949999999999998</v>
      </c>
      <c r="E4972">
        <v>702</v>
      </c>
      <c r="F4972" t="str">
        <f>HYPERLINK("https://www.google.com/maps/search/?api=1&amp;query=24.78816865,46.77240768", "View Map")</f>
        <v>View Map</v>
      </c>
    </row>
    <row r="4973" spans="1:7" x14ac:dyDescent="0.3">
      <c r="A4973" t="s">
        <v>7917</v>
      </c>
      <c r="B4973" t="s">
        <v>7918</v>
      </c>
      <c r="C4973" t="s">
        <v>8</v>
      </c>
      <c r="D4973">
        <v>2.194</v>
      </c>
      <c r="E4973">
        <v>702</v>
      </c>
      <c r="F4973" t="str">
        <f>HYPERLINK("https://www.google.com/maps/search/?api=1&amp;query=24.69362563,46.70914528", "View Map")</f>
        <v>View Map</v>
      </c>
      <c r="G4973" s="2">
        <v>0.78526379127192469</v>
      </c>
    </row>
    <row r="4974" spans="1:7" x14ac:dyDescent="0.3">
      <c r="A4974" t="s">
        <v>11813</v>
      </c>
      <c r="B4974" t="s">
        <v>11814</v>
      </c>
      <c r="C4974" t="s">
        <v>291</v>
      </c>
      <c r="D4974">
        <v>2.194</v>
      </c>
      <c r="E4974">
        <v>702</v>
      </c>
      <c r="F4974" t="str">
        <f>HYPERLINK("https://www.google.com/maps/search/?api=1&amp;query=23.78573111,44.75119938", "View Map")</f>
        <v>View Map</v>
      </c>
      <c r="G4974" s="2">
        <v>0.8623548725435255</v>
      </c>
    </row>
    <row r="4975" spans="1:7" x14ac:dyDescent="0.3">
      <c r="A4975" t="s">
        <v>9667</v>
      </c>
      <c r="B4975" t="s">
        <v>9668</v>
      </c>
      <c r="C4975" t="s">
        <v>8</v>
      </c>
      <c r="D4975">
        <v>2.194</v>
      </c>
      <c r="E4975">
        <v>702</v>
      </c>
      <c r="F4975" t="str">
        <f>HYPERLINK("https://www.google.com/maps/search/?api=1&amp;query=24.7168028,46.84278801", "View Map")</f>
        <v>View Map</v>
      </c>
    </row>
    <row r="4976" spans="1:7" x14ac:dyDescent="0.3">
      <c r="A4976" t="s">
        <v>8166</v>
      </c>
      <c r="B4976" t="s">
        <v>8167</v>
      </c>
      <c r="C4976" t="s">
        <v>8</v>
      </c>
      <c r="D4976">
        <v>2.1930000000000001</v>
      </c>
      <c r="E4976">
        <v>702</v>
      </c>
      <c r="F4976" t="str">
        <f>HYPERLINK("https://www.google.com/maps/search/?api=1&amp;query=24.61911986,46.71267851", "View Map")</f>
        <v>View Map</v>
      </c>
    </row>
    <row r="4977" spans="1:7" x14ac:dyDescent="0.3">
      <c r="A4977" t="s">
        <v>7907</v>
      </c>
      <c r="B4977" t="s">
        <v>7908</v>
      </c>
      <c r="C4977" t="s">
        <v>21</v>
      </c>
      <c r="D4977">
        <v>2.1930000000000001</v>
      </c>
      <c r="E4977">
        <v>702</v>
      </c>
      <c r="F4977" t="str">
        <f>HYPERLINK("https://www.google.com/maps/search/?api=1&amp;query=26.31124244,44.79561454", "View Map")</f>
        <v>View Map</v>
      </c>
    </row>
    <row r="4978" spans="1:7" x14ac:dyDescent="0.3">
      <c r="A4978" t="s">
        <v>2321</v>
      </c>
      <c r="B4978" t="s">
        <v>2322</v>
      </c>
      <c r="C4978" t="s">
        <v>291</v>
      </c>
      <c r="D4978">
        <v>2.1930000000000001</v>
      </c>
      <c r="E4978">
        <v>702</v>
      </c>
      <c r="F4978" t="str">
        <f>HYPERLINK("https://www.google.com/maps/search/?api=1&amp;query=23.71893995,44.67381371", "View Map")</f>
        <v>View Map</v>
      </c>
    </row>
    <row r="4979" spans="1:7" x14ac:dyDescent="0.3">
      <c r="A4979" t="s">
        <v>6970</v>
      </c>
      <c r="B4979" t="s">
        <v>6971</v>
      </c>
      <c r="C4979" t="s">
        <v>8</v>
      </c>
      <c r="D4979">
        <v>2.1920000000000002</v>
      </c>
      <c r="E4979">
        <v>701</v>
      </c>
      <c r="F4979" t="str">
        <f>HYPERLINK("https://www.google.com/maps/search/?api=1&amp;query=24.62721383,46.70147249", "View Map")</f>
        <v>View Map</v>
      </c>
    </row>
    <row r="4980" spans="1:7" x14ac:dyDescent="0.3">
      <c r="A4980" t="s">
        <v>9207</v>
      </c>
      <c r="B4980" t="s">
        <v>9208</v>
      </c>
      <c r="C4980" t="s">
        <v>8</v>
      </c>
      <c r="D4980">
        <v>2.1920000000000002</v>
      </c>
      <c r="E4980">
        <v>701</v>
      </c>
      <c r="F4980" t="str">
        <f>HYPERLINK("https://www.google.com/maps/search/?api=1&amp;query=24.59319263,46.65239586", "View Map")</f>
        <v>View Map</v>
      </c>
    </row>
    <row r="4981" spans="1:7" x14ac:dyDescent="0.3">
      <c r="A4981" t="s">
        <v>9818</v>
      </c>
      <c r="B4981" t="s">
        <v>9819</v>
      </c>
      <c r="C4981" t="s">
        <v>8</v>
      </c>
      <c r="D4981">
        <v>2.1909999999999998</v>
      </c>
      <c r="E4981">
        <v>701</v>
      </c>
      <c r="F4981" t="str">
        <f>HYPERLINK("https://www.google.com/maps/search/?api=1&amp;query=24.6577291,46.66700156", "View Map")</f>
        <v>View Map</v>
      </c>
    </row>
    <row r="4982" spans="1:7" x14ac:dyDescent="0.3">
      <c r="A4982" t="s">
        <v>7805</v>
      </c>
      <c r="B4982" t="s">
        <v>7806</v>
      </c>
      <c r="C4982" t="s">
        <v>255</v>
      </c>
      <c r="D4982">
        <v>2.1909999999999998</v>
      </c>
      <c r="E4982">
        <v>701</v>
      </c>
      <c r="F4982" t="str">
        <f>HYPERLINK("https://www.google.com/maps/search/?api=1&amp;query=24.53796573,44.27420281", "View Map")</f>
        <v>View Map</v>
      </c>
      <c r="G4982" s="2">
        <v>0.93794751677825672</v>
      </c>
    </row>
    <row r="4983" spans="1:7" x14ac:dyDescent="0.3">
      <c r="A4983" t="s">
        <v>28</v>
      </c>
      <c r="B4983" t="s">
        <v>10982</v>
      </c>
      <c r="C4983" t="s">
        <v>270</v>
      </c>
      <c r="D4983">
        <v>2.1909999999999998</v>
      </c>
      <c r="E4983">
        <v>701</v>
      </c>
      <c r="F4983" t="str">
        <f>HYPERLINK("https://www.google.com/maps/search/?api=1&amp;query=24.06288511,47.17094556", "View Map")</f>
        <v>View Map</v>
      </c>
    </row>
    <row r="4984" spans="1:7" x14ac:dyDescent="0.3">
      <c r="A4984" t="s">
        <v>5447</v>
      </c>
      <c r="B4984" t="s">
        <v>5655</v>
      </c>
      <c r="C4984" t="s">
        <v>8</v>
      </c>
      <c r="D4984">
        <v>2.19</v>
      </c>
      <c r="E4984">
        <v>701</v>
      </c>
      <c r="F4984" t="str">
        <f>HYPERLINK("https://www.google.com/maps/search/?api=1&amp;query=24.6098255,46.69984917", "View Map")</f>
        <v>View Map</v>
      </c>
    </row>
    <row r="4985" spans="1:7" x14ac:dyDescent="0.3">
      <c r="A4985" t="s">
        <v>8429</v>
      </c>
      <c r="B4985" t="s">
        <v>8430</v>
      </c>
      <c r="C4985" t="s">
        <v>8</v>
      </c>
      <c r="D4985">
        <v>2.19</v>
      </c>
      <c r="E4985">
        <v>701</v>
      </c>
      <c r="F4985" t="str">
        <f>HYPERLINK("https://www.google.com/maps/search/?api=1&amp;query=24.74138377,46.72232477", "View Map")</f>
        <v>View Map</v>
      </c>
    </row>
    <row r="4986" spans="1:7" x14ac:dyDescent="0.3">
      <c r="A4986" t="s">
        <v>2285</v>
      </c>
      <c r="B4986" t="s">
        <v>8258</v>
      </c>
      <c r="C4986" t="s">
        <v>8</v>
      </c>
      <c r="D4986">
        <v>2.1890000000000001</v>
      </c>
      <c r="E4986">
        <v>701</v>
      </c>
      <c r="F4986" t="str">
        <f>HYPERLINK("https://www.google.com/maps/search/?api=1&amp;query=24.74080346,46.76538628", "View Map")</f>
        <v>View Map</v>
      </c>
    </row>
    <row r="4987" spans="1:7" x14ac:dyDescent="0.3">
      <c r="A4987" t="s">
        <v>8805</v>
      </c>
      <c r="B4987" t="s">
        <v>8806</v>
      </c>
      <c r="C4987" t="s">
        <v>291</v>
      </c>
      <c r="D4987">
        <v>2.1890000000000001</v>
      </c>
      <c r="E4987">
        <v>701</v>
      </c>
      <c r="F4987" t="str">
        <f>HYPERLINK("https://www.google.com/maps/search/?api=1&amp;query=23.9803364,45.0666521", "View Map")</f>
        <v>View Map</v>
      </c>
      <c r="G4987" s="2">
        <v>0.71433591636773375</v>
      </c>
    </row>
    <row r="4988" spans="1:7" x14ac:dyDescent="0.3">
      <c r="A4988" t="s">
        <v>459</v>
      </c>
      <c r="B4988" t="s">
        <v>7602</v>
      </c>
      <c r="C4988" t="s">
        <v>286</v>
      </c>
      <c r="D4988">
        <v>2.1880000000000002</v>
      </c>
      <c r="E4988">
        <v>700</v>
      </c>
      <c r="F4988" t="str">
        <f>HYPERLINK("https://www.google.com/maps/search/?api=1&amp;query=25.23727226,45.26997706", "View Map")</f>
        <v>View Map</v>
      </c>
    </row>
    <row r="4989" spans="1:7" x14ac:dyDescent="0.3">
      <c r="A4989" t="s">
        <v>4526</v>
      </c>
      <c r="B4989" t="s">
        <v>4527</v>
      </c>
      <c r="C4989" t="s">
        <v>883</v>
      </c>
      <c r="D4989">
        <v>2.1869999999999998</v>
      </c>
      <c r="E4989">
        <v>700</v>
      </c>
      <c r="F4989" t="str">
        <f>HYPERLINK("https://www.google.com/maps/search/?api=1&amp;query=25.5751681,46.97353524", "View Map")</f>
        <v>View Map</v>
      </c>
      <c r="G4989" s="2">
        <v>0.42956696614936102</v>
      </c>
    </row>
    <row r="4990" spans="1:7" x14ac:dyDescent="0.3">
      <c r="A4990" t="s">
        <v>46</v>
      </c>
      <c r="B4990" t="s">
        <v>10987</v>
      </c>
      <c r="C4990" t="s">
        <v>8</v>
      </c>
      <c r="D4990">
        <v>2.1869999999999998</v>
      </c>
      <c r="E4990">
        <v>700</v>
      </c>
      <c r="F4990" t="str">
        <f>HYPERLINK("https://www.google.com/maps/search/?api=1&amp;query=24.81624659,46.90232508", "View Map")</f>
        <v>View Map</v>
      </c>
    </row>
    <row r="4991" spans="1:7" x14ac:dyDescent="0.3">
      <c r="A4991" t="s">
        <v>8618</v>
      </c>
      <c r="B4991" t="s">
        <v>8619</v>
      </c>
      <c r="C4991" t="s">
        <v>8</v>
      </c>
      <c r="D4991">
        <v>2.1869999999999998</v>
      </c>
      <c r="E4991">
        <v>700</v>
      </c>
      <c r="F4991" t="str">
        <f>HYPERLINK("https://www.google.com/maps/search/?api=1&amp;query=24.58050568,46.65246495", "View Map")</f>
        <v>View Map</v>
      </c>
    </row>
    <row r="4992" spans="1:7" x14ac:dyDescent="0.3">
      <c r="A4992" t="s">
        <v>9241</v>
      </c>
      <c r="B4992" t="s">
        <v>9242</v>
      </c>
      <c r="C4992" t="s">
        <v>16</v>
      </c>
      <c r="D4992">
        <v>2.1859999999999999</v>
      </c>
      <c r="E4992">
        <v>699</v>
      </c>
      <c r="F4992" t="str">
        <f>HYPERLINK("https://www.google.com/maps/search/?api=1&amp;query=23.95301571,42.85675406", "View Map")</f>
        <v>View Map</v>
      </c>
      <c r="G4992" s="2">
        <v>0.86877529660797104</v>
      </c>
    </row>
    <row r="4993" spans="1:7" x14ac:dyDescent="0.3">
      <c r="A4993" t="s">
        <v>1631</v>
      </c>
      <c r="B4993" t="s">
        <v>1632</v>
      </c>
      <c r="C4993" t="s">
        <v>286</v>
      </c>
      <c r="D4993">
        <v>2.1859999999999999</v>
      </c>
      <c r="E4993">
        <v>699</v>
      </c>
      <c r="F4993" t="str">
        <f>HYPERLINK("https://www.google.com/maps/search/?api=1&amp;query=25.21629447,45.24448472", "View Map")</f>
        <v>View Map</v>
      </c>
      <c r="G4993" s="2">
        <v>0.19474385446047959</v>
      </c>
    </row>
    <row r="4994" spans="1:7" x14ac:dyDescent="0.3">
      <c r="A4994" t="s">
        <v>11815</v>
      </c>
      <c r="B4994" t="s">
        <v>11816</v>
      </c>
      <c r="C4994" t="s">
        <v>8</v>
      </c>
      <c r="D4994">
        <v>2.1859999999999999</v>
      </c>
      <c r="E4994">
        <v>700</v>
      </c>
      <c r="F4994" t="str">
        <f>HYPERLINK("https://www.google.com/maps/search/?api=1&amp;query=24.65648401,46.75212137", "View Map")</f>
        <v>View Map</v>
      </c>
    </row>
    <row r="4995" spans="1:7" x14ac:dyDescent="0.3">
      <c r="A4995" t="s">
        <v>6575</v>
      </c>
      <c r="B4995" t="s">
        <v>6576</v>
      </c>
      <c r="C4995" t="s">
        <v>8</v>
      </c>
      <c r="D4995">
        <v>2.1859999999999999</v>
      </c>
      <c r="E4995">
        <v>699</v>
      </c>
      <c r="F4995" t="str">
        <f>HYPERLINK("https://www.google.com/maps/search/?api=1&amp;query=24.6750148,46.73600694", "View Map")</f>
        <v>View Map</v>
      </c>
    </row>
    <row r="4996" spans="1:7" x14ac:dyDescent="0.3">
      <c r="A4996" t="s">
        <v>4501</v>
      </c>
      <c r="B4996" t="s">
        <v>4502</v>
      </c>
      <c r="C4996" t="s">
        <v>8</v>
      </c>
      <c r="D4996">
        <v>2.1859999999999999</v>
      </c>
      <c r="E4996">
        <v>699</v>
      </c>
      <c r="F4996" t="str">
        <f>HYPERLINK("https://www.google.com/maps/search/?api=1&amp;query=24.62071313,46.76037453", "View Map")</f>
        <v>View Map</v>
      </c>
    </row>
    <row r="4997" spans="1:7" x14ac:dyDescent="0.3">
      <c r="A4997" t="s">
        <v>4843</v>
      </c>
      <c r="B4997" t="s">
        <v>4844</v>
      </c>
      <c r="C4997" t="s">
        <v>8</v>
      </c>
      <c r="D4997">
        <v>2.1859999999999999</v>
      </c>
      <c r="E4997">
        <v>700</v>
      </c>
      <c r="F4997" t="str">
        <f>HYPERLINK("https://www.google.com/maps/search/?api=1&amp;query=24.63183258,46.71742932", "View Map")</f>
        <v>View Map</v>
      </c>
    </row>
    <row r="4998" spans="1:7" x14ac:dyDescent="0.3">
      <c r="A4998" t="s">
        <v>46</v>
      </c>
      <c r="B4998" t="s">
        <v>10854</v>
      </c>
      <c r="C4998" t="s">
        <v>8</v>
      </c>
      <c r="D4998">
        <v>2.1850000000000001</v>
      </c>
      <c r="E4998">
        <v>699</v>
      </c>
      <c r="F4998" t="str">
        <f>HYPERLINK("https://www.google.com/maps/search/?api=1&amp;query=24.86361684,46.66602534", "View Map")</f>
        <v>View Map</v>
      </c>
      <c r="G4998" s="2">
        <v>0.46417316475855652</v>
      </c>
    </row>
    <row r="4999" spans="1:7" x14ac:dyDescent="0.3">
      <c r="A4999" t="s">
        <v>8036</v>
      </c>
      <c r="B4999" t="s">
        <v>8037</v>
      </c>
      <c r="C4999" t="s">
        <v>8</v>
      </c>
      <c r="D4999">
        <v>2.1850000000000001</v>
      </c>
      <c r="E4999">
        <v>699</v>
      </c>
      <c r="F4999" t="str">
        <f>HYPERLINK("https://www.google.com/maps/search/?api=1&amp;query=24.7992866,46.62638328", "View Map")</f>
        <v>View Map</v>
      </c>
    </row>
    <row r="5000" spans="1:7" x14ac:dyDescent="0.3">
      <c r="A5000" t="s">
        <v>46</v>
      </c>
      <c r="B5000" t="s">
        <v>11817</v>
      </c>
      <c r="C5000" t="s">
        <v>8</v>
      </c>
      <c r="D5000">
        <v>2.1840000000000002</v>
      </c>
      <c r="E5000">
        <v>699</v>
      </c>
      <c r="F5000" t="str">
        <f>HYPERLINK("https://www.google.com/maps/search/?api=1&amp;query=24.82721426,46.77267211", "View Map")</f>
        <v>View Map</v>
      </c>
    </row>
    <row r="5001" spans="1:7" x14ac:dyDescent="0.3">
      <c r="A5001" t="s">
        <v>5509</v>
      </c>
      <c r="B5001" t="s">
        <v>5510</v>
      </c>
      <c r="C5001" t="s">
        <v>214</v>
      </c>
      <c r="D5001">
        <v>2.1840000000000002</v>
      </c>
      <c r="E5001">
        <v>699</v>
      </c>
      <c r="F5001" t="str">
        <f>HYPERLINK("https://www.google.com/maps/search/?api=1&amp;query=25.90163736,45.33691919", "View Map")</f>
        <v>View Map</v>
      </c>
      <c r="G5001" s="2">
        <v>0.27920911935515652</v>
      </c>
    </row>
    <row r="5002" spans="1:7" x14ac:dyDescent="0.3">
      <c r="A5002" t="s">
        <v>3059</v>
      </c>
      <c r="B5002" t="s">
        <v>10966</v>
      </c>
      <c r="C5002" t="s">
        <v>291</v>
      </c>
      <c r="D5002">
        <v>2.1840000000000002</v>
      </c>
      <c r="E5002">
        <v>699</v>
      </c>
      <c r="F5002" t="str">
        <f>HYPERLINK("https://www.google.com/maps/search/?api=1&amp;query=24.35064893,45.30014278", "View Map")</f>
        <v>View Map</v>
      </c>
      <c r="G5002" s="2">
        <v>0.82461091400689024</v>
      </c>
    </row>
    <row r="5003" spans="1:7" x14ac:dyDescent="0.3">
      <c r="A5003" t="s">
        <v>2597</v>
      </c>
      <c r="B5003" t="s">
        <v>9520</v>
      </c>
      <c r="C5003" t="s">
        <v>291</v>
      </c>
      <c r="D5003">
        <v>2.1829999999999998</v>
      </c>
      <c r="E5003">
        <v>699</v>
      </c>
      <c r="F5003" t="str">
        <f>HYPERLINK("https://www.google.com/maps/search/?api=1&amp;query=23.76152936,44.75952636", "View Map")</f>
        <v>View Map</v>
      </c>
      <c r="G5003" s="2">
        <v>0.46412300585135319</v>
      </c>
    </row>
    <row r="5004" spans="1:7" x14ac:dyDescent="0.3">
      <c r="A5004" t="s">
        <v>7107</v>
      </c>
      <c r="B5004" t="s">
        <v>7108</v>
      </c>
      <c r="C5004" t="s">
        <v>296</v>
      </c>
      <c r="D5004">
        <v>2.1829999999999998</v>
      </c>
      <c r="E5004">
        <v>699</v>
      </c>
      <c r="F5004" t="str">
        <f>HYPERLINK("https://www.google.com/maps/search/?api=1&amp;query=24.45989258,46.29394155", "View Map")</f>
        <v>View Map</v>
      </c>
    </row>
    <row r="5005" spans="1:7" x14ac:dyDescent="0.3">
      <c r="A5005" t="s">
        <v>172</v>
      </c>
      <c r="B5005" t="s">
        <v>173</v>
      </c>
      <c r="C5005" t="s">
        <v>8</v>
      </c>
      <c r="D5005">
        <v>2.1829999999999998</v>
      </c>
      <c r="E5005">
        <v>699</v>
      </c>
      <c r="F5005" t="str">
        <f>HYPERLINK("https://www.google.com/maps/search/?api=1&amp;query=24.57064654,46.71489436", "View Map")</f>
        <v>View Map</v>
      </c>
      <c r="G5005" s="2">
        <v>5.1064470131304267E-2</v>
      </c>
    </row>
    <row r="5006" spans="1:7" x14ac:dyDescent="0.3">
      <c r="A5006" t="s">
        <v>2063</v>
      </c>
      <c r="B5006" t="s">
        <v>11818</v>
      </c>
      <c r="C5006" t="s">
        <v>255</v>
      </c>
      <c r="D5006">
        <v>2.1829999999999998</v>
      </c>
      <c r="E5006">
        <v>699</v>
      </c>
      <c r="F5006" t="str">
        <f>HYPERLINK("https://www.google.com/maps/search/?api=1&amp;query=24.50326151,44.36984799", "View Map")</f>
        <v>View Map</v>
      </c>
    </row>
    <row r="5007" spans="1:7" x14ac:dyDescent="0.3">
      <c r="A5007" t="s">
        <v>9911</v>
      </c>
      <c r="B5007" t="s">
        <v>9912</v>
      </c>
      <c r="C5007" t="s">
        <v>8</v>
      </c>
      <c r="D5007">
        <v>2.1819999999999999</v>
      </c>
      <c r="E5007">
        <v>698</v>
      </c>
      <c r="F5007" t="str">
        <f>HYPERLINK("https://www.google.com/maps/search/?api=1&amp;query=24.78271439,46.79052022", "View Map")</f>
        <v>View Map</v>
      </c>
    </row>
    <row r="5008" spans="1:7" x14ac:dyDescent="0.3">
      <c r="A5008" t="s">
        <v>5392</v>
      </c>
      <c r="B5008" t="s">
        <v>8864</v>
      </c>
      <c r="C5008" t="s">
        <v>8</v>
      </c>
      <c r="D5008">
        <v>2.1819999999999999</v>
      </c>
      <c r="E5008">
        <v>698</v>
      </c>
      <c r="F5008" t="str">
        <f>HYPERLINK("https://www.google.com/maps/search/?api=1&amp;query=24.78592525,46.68432489", "View Map")</f>
        <v>View Map</v>
      </c>
    </row>
    <row r="5009" spans="1:7" x14ac:dyDescent="0.3">
      <c r="A5009" t="s">
        <v>661</v>
      </c>
      <c r="B5009" t="s">
        <v>11819</v>
      </c>
      <c r="C5009" t="s">
        <v>214</v>
      </c>
      <c r="D5009">
        <v>2.1819999999999999</v>
      </c>
      <c r="E5009">
        <v>698</v>
      </c>
      <c r="F5009" t="str">
        <f>HYPERLINK("https://www.google.com/maps/search/?api=1&amp;query=25.70290708,45.45487016", "View Map")</f>
        <v>View Map</v>
      </c>
      <c r="G5009" s="2">
        <v>0.50498951646573587</v>
      </c>
    </row>
    <row r="5010" spans="1:7" x14ac:dyDescent="0.3">
      <c r="A5010" t="s">
        <v>11820</v>
      </c>
      <c r="B5010" t="s">
        <v>11821</v>
      </c>
      <c r="C5010" t="s">
        <v>291</v>
      </c>
      <c r="D5010">
        <v>2.1819999999999999</v>
      </c>
      <c r="E5010">
        <v>698</v>
      </c>
      <c r="F5010" t="str">
        <f>HYPERLINK("https://www.google.com/maps/search/?api=1&amp;query=24.25719351,45.01630337", "View Map")</f>
        <v>View Map</v>
      </c>
      <c r="G5010" s="2">
        <v>0.65012402311063977</v>
      </c>
    </row>
    <row r="5011" spans="1:7" x14ac:dyDescent="0.3">
      <c r="A5011" t="s">
        <v>146</v>
      </c>
      <c r="B5011" t="s">
        <v>7385</v>
      </c>
      <c r="C5011" t="s">
        <v>8</v>
      </c>
      <c r="D5011">
        <v>2.181</v>
      </c>
      <c r="E5011">
        <v>698</v>
      </c>
      <c r="F5011" t="str">
        <f>HYPERLINK("https://www.google.com/maps/search/?api=1&amp;query=24.57003182,46.55154105", "View Map")</f>
        <v>View Map</v>
      </c>
    </row>
    <row r="5012" spans="1:7" x14ac:dyDescent="0.3">
      <c r="A5012" t="s">
        <v>10574</v>
      </c>
      <c r="B5012" t="s">
        <v>10575</v>
      </c>
      <c r="C5012" t="s">
        <v>255</v>
      </c>
      <c r="D5012">
        <v>2.181</v>
      </c>
      <c r="E5012">
        <v>698</v>
      </c>
      <c r="F5012" t="str">
        <f>HYPERLINK("https://www.google.com/maps/search/?api=1&amp;query=24.35622798,44.50191406", "View Map")</f>
        <v>View Map</v>
      </c>
      <c r="G5012" s="2">
        <v>0.52978392174614497</v>
      </c>
    </row>
    <row r="5013" spans="1:7" x14ac:dyDescent="0.3">
      <c r="A5013" t="s">
        <v>11822</v>
      </c>
      <c r="B5013" t="s">
        <v>11823</v>
      </c>
      <c r="C5013" t="s">
        <v>296</v>
      </c>
      <c r="D5013">
        <v>2.181</v>
      </c>
      <c r="E5013">
        <v>698</v>
      </c>
      <c r="F5013" t="str">
        <f>HYPERLINK("https://www.google.com/maps/search/?api=1&amp;query=24.49695313,46.31127005", "View Map")</f>
        <v>View Map</v>
      </c>
      <c r="G5013" s="2">
        <v>0.44967660527203029</v>
      </c>
    </row>
    <row r="5014" spans="1:7" x14ac:dyDescent="0.3">
      <c r="A5014" t="s">
        <v>3727</v>
      </c>
      <c r="B5014" t="s">
        <v>3728</v>
      </c>
      <c r="C5014" t="s">
        <v>8</v>
      </c>
      <c r="D5014">
        <v>2.181</v>
      </c>
      <c r="E5014">
        <v>698</v>
      </c>
      <c r="F5014" t="str">
        <f>HYPERLINK("https://www.google.com/maps/search/?api=1&amp;query=24.66839484,46.72540828", "View Map")</f>
        <v>View Map</v>
      </c>
    </row>
    <row r="5015" spans="1:7" x14ac:dyDescent="0.3">
      <c r="A5015" t="s">
        <v>11824</v>
      </c>
      <c r="B5015" t="s">
        <v>11825</v>
      </c>
      <c r="C5015" t="s">
        <v>30</v>
      </c>
      <c r="D5015">
        <v>2.1800000000000002</v>
      </c>
      <c r="E5015">
        <v>697</v>
      </c>
      <c r="F5015" t="str">
        <f>HYPERLINK("https://www.google.com/maps/search/?api=1&amp;query=24.19230893,47.3798527", "View Map")</f>
        <v>View Map</v>
      </c>
    </row>
    <row r="5016" spans="1:7" x14ac:dyDescent="0.3">
      <c r="A5016" t="s">
        <v>2202</v>
      </c>
      <c r="B5016" t="s">
        <v>11826</v>
      </c>
      <c r="C5016" t="s">
        <v>8</v>
      </c>
      <c r="D5016">
        <v>2.1800000000000002</v>
      </c>
      <c r="E5016">
        <v>698</v>
      </c>
      <c r="F5016" t="str">
        <f>HYPERLINK("https://www.google.com/maps/search/?api=1&amp;query=24.6895799,46.83862633", "View Map")</f>
        <v>View Map</v>
      </c>
    </row>
    <row r="5017" spans="1:7" x14ac:dyDescent="0.3">
      <c r="A5017" t="s">
        <v>7535</v>
      </c>
      <c r="B5017" t="s">
        <v>8336</v>
      </c>
      <c r="C5017" t="s">
        <v>8</v>
      </c>
      <c r="D5017">
        <v>2.1800000000000002</v>
      </c>
      <c r="E5017">
        <v>698</v>
      </c>
      <c r="F5017" t="str">
        <f>HYPERLINK("https://www.google.com/maps/search/?api=1&amp;query=24.59827896,46.80672086", "View Map")</f>
        <v>View Map</v>
      </c>
    </row>
    <row r="5018" spans="1:7" x14ac:dyDescent="0.3">
      <c r="A5018" t="s">
        <v>9366</v>
      </c>
      <c r="B5018" t="s">
        <v>9367</v>
      </c>
      <c r="C5018" t="s">
        <v>8</v>
      </c>
      <c r="D5018">
        <v>2.1800000000000002</v>
      </c>
      <c r="E5018">
        <v>698</v>
      </c>
      <c r="F5018" t="str">
        <f>HYPERLINK("https://www.google.com/maps/search/?api=1&amp;query=24.6006,46.6403", "View Map")</f>
        <v>View Map</v>
      </c>
    </row>
    <row r="5019" spans="1:7" x14ac:dyDescent="0.3">
      <c r="A5019" t="s">
        <v>146</v>
      </c>
      <c r="B5019" t="s">
        <v>9087</v>
      </c>
      <c r="C5019" t="s">
        <v>8</v>
      </c>
      <c r="D5019">
        <v>2.1779999999999999</v>
      </c>
      <c r="E5019">
        <v>697</v>
      </c>
      <c r="F5019" t="str">
        <f>HYPERLINK("https://www.google.com/maps/search/?api=1&amp;query=24.52664682,46.65884731", "View Map")</f>
        <v>View Map</v>
      </c>
      <c r="G5019" s="2">
        <v>0.72695422147938649</v>
      </c>
    </row>
    <row r="5020" spans="1:7" x14ac:dyDescent="0.3">
      <c r="A5020" t="s">
        <v>8716</v>
      </c>
      <c r="B5020" t="s">
        <v>8717</v>
      </c>
      <c r="C5020" t="s">
        <v>8</v>
      </c>
      <c r="D5020">
        <v>2.1779999999999999</v>
      </c>
      <c r="E5020">
        <v>697</v>
      </c>
      <c r="F5020" t="str">
        <f>HYPERLINK("https://www.google.com/maps/search/?api=1&amp;query=24.6092,46.7261", "View Map")</f>
        <v>View Map</v>
      </c>
    </row>
    <row r="5021" spans="1:7" x14ac:dyDescent="0.3">
      <c r="A5021" t="s">
        <v>7466</v>
      </c>
      <c r="B5021" t="s">
        <v>7467</v>
      </c>
      <c r="C5021" t="s">
        <v>8</v>
      </c>
      <c r="D5021">
        <v>2.1779999999999999</v>
      </c>
      <c r="E5021">
        <v>697</v>
      </c>
      <c r="F5021" t="str">
        <f>HYPERLINK("https://www.google.com/maps/search/?api=1&amp;query=24.6378,46.7019", "View Map")</f>
        <v>View Map</v>
      </c>
    </row>
    <row r="5022" spans="1:7" x14ac:dyDescent="0.3">
      <c r="A5022" t="s">
        <v>8476</v>
      </c>
      <c r="B5022" t="s">
        <v>8477</v>
      </c>
      <c r="C5022" t="s">
        <v>8</v>
      </c>
      <c r="D5022">
        <v>2.177</v>
      </c>
      <c r="E5022">
        <v>697</v>
      </c>
      <c r="F5022" t="str">
        <f>HYPERLINK("https://www.google.com/maps/search/?api=1&amp;query=24.64723694,46.80699797", "View Map")</f>
        <v>View Map</v>
      </c>
    </row>
    <row r="5023" spans="1:7" x14ac:dyDescent="0.3">
      <c r="A5023" t="s">
        <v>289</v>
      </c>
      <c r="B5023" t="s">
        <v>11171</v>
      </c>
      <c r="C5023" t="s">
        <v>393</v>
      </c>
      <c r="D5023">
        <v>2.1760000000000002</v>
      </c>
      <c r="E5023">
        <v>696</v>
      </c>
      <c r="F5023" t="str">
        <f>HYPERLINK("https://www.google.com/maps/search/?api=1&amp;query=23.15581432,45.21796824", "View Map")</f>
        <v>View Map</v>
      </c>
      <c r="G5023" s="2">
        <v>0.99158715418408083</v>
      </c>
    </row>
    <row r="5024" spans="1:7" x14ac:dyDescent="0.3">
      <c r="A5024" t="s">
        <v>8703</v>
      </c>
      <c r="B5024" t="s">
        <v>8704</v>
      </c>
      <c r="C5024" t="s">
        <v>738</v>
      </c>
      <c r="D5024">
        <v>2.1749999999999998</v>
      </c>
      <c r="E5024">
        <v>696</v>
      </c>
      <c r="F5024" t="str">
        <f>HYPERLINK("https://www.google.com/maps/search/?api=1&amp;query=25.13702655,46.16158365", "View Map")</f>
        <v>View Map</v>
      </c>
      <c r="G5024" s="2">
        <v>0.71837750785140597</v>
      </c>
    </row>
    <row r="5025" spans="1:7" x14ac:dyDescent="0.3">
      <c r="A5025" t="s">
        <v>146</v>
      </c>
      <c r="B5025" t="s">
        <v>11827</v>
      </c>
      <c r="C5025" t="s">
        <v>8</v>
      </c>
      <c r="D5025">
        <v>2.1749999999999998</v>
      </c>
      <c r="E5025">
        <v>696</v>
      </c>
      <c r="F5025" t="str">
        <f>HYPERLINK("https://www.google.com/maps/search/?api=1&amp;query=24.55826716,46.56189007", "View Map")</f>
        <v>View Map</v>
      </c>
    </row>
    <row r="5026" spans="1:7" x14ac:dyDescent="0.3">
      <c r="A5026" t="s">
        <v>4078</v>
      </c>
      <c r="B5026" t="s">
        <v>4079</v>
      </c>
      <c r="C5026" t="s">
        <v>214</v>
      </c>
      <c r="D5026">
        <v>2.1739999999999999</v>
      </c>
      <c r="E5026">
        <v>696</v>
      </c>
      <c r="F5026" t="str">
        <f>HYPERLINK("https://www.google.com/maps/search/?api=1&amp;query=25.59624403,45.61288103", "View Map")</f>
        <v>View Map</v>
      </c>
    </row>
    <row r="5027" spans="1:7" x14ac:dyDescent="0.3">
      <c r="A5027" t="s">
        <v>11232</v>
      </c>
      <c r="B5027" t="s">
        <v>11233</v>
      </c>
      <c r="C5027" t="s">
        <v>1112</v>
      </c>
      <c r="D5027">
        <v>2.1739999999999999</v>
      </c>
      <c r="E5027">
        <v>696</v>
      </c>
      <c r="F5027" t="str">
        <f>HYPERLINK("https://www.google.com/maps/search/?api=1&amp;query=26.03204639,44.95451107", "View Map")</f>
        <v>View Map</v>
      </c>
    </row>
    <row r="5028" spans="1:7" x14ac:dyDescent="0.3">
      <c r="A5028" t="s">
        <v>8235</v>
      </c>
      <c r="B5028" t="s">
        <v>8236</v>
      </c>
      <c r="C5028" t="s">
        <v>8</v>
      </c>
      <c r="D5028">
        <v>2.1739999999999999</v>
      </c>
      <c r="E5028">
        <v>696</v>
      </c>
      <c r="F5028" t="str">
        <f>HYPERLINK("https://www.google.com/maps/search/?api=1&amp;query=24.66994806,46.70904892", "View Map")</f>
        <v>View Map</v>
      </c>
    </row>
    <row r="5029" spans="1:7" x14ac:dyDescent="0.3">
      <c r="A5029" t="s">
        <v>717</v>
      </c>
      <c r="B5029" t="s">
        <v>8098</v>
      </c>
      <c r="C5029" t="s">
        <v>255</v>
      </c>
      <c r="D5029">
        <v>2.1739999999999999</v>
      </c>
      <c r="E5029">
        <v>696</v>
      </c>
      <c r="F5029" t="str">
        <f>HYPERLINK("https://www.google.com/maps/search/?api=1&amp;query=24.61838167,44.07259833", "View Map")</f>
        <v>View Map</v>
      </c>
      <c r="G5029" s="2">
        <v>0.62671108738491144</v>
      </c>
    </row>
    <row r="5030" spans="1:7" x14ac:dyDescent="0.3">
      <c r="A5030" t="s">
        <v>46</v>
      </c>
      <c r="B5030" t="s">
        <v>3369</v>
      </c>
      <c r="C5030" t="s">
        <v>8</v>
      </c>
      <c r="D5030">
        <v>2.173</v>
      </c>
      <c r="E5030">
        <v>695</v>
      </c>
      <c r="F5030" t="str">
        <f>HYPERLINK("https://www.google.com/maps/search/?api=1&amp;query=24.68471957,46.57645429", "View Map")</f>
        <v>View Map</v>
      </c>
    </row>
    <row r="5031" spans="1:7" x14ac:dyDescent="0.3">
      <c r="A5031" t="s">
        <v>11828</v>
      </c>
      <c r="B5031" t="s">
        <v>11829</v>
      </c>
      <c r="C5031" t="s">
        <v>646</v>
      </c>
      <c r="D5031">
        <v>2.173</v>
      </c>
      <c r="E5031">
        <v>695</v>
      </c>
      <c r="F5031" t="str">
        <f>HYPERLINK("https://www.google.com/maps/search/?api=1&amp;query=20.51100161,45.60534941", "View Map")</f>
        <v>View Map</v>
      </c>
      <c r="G5031" s="2">
        <v>0.5037701516665597</v>
      </c>
    </row>
    <row r="5032" spans="1:7" x14ac:dyDescent="0.3">
      <c r="A5032" t="s">
        <v>11830</v>
      </c>
      <c r="B5032" t="s">
        <v>11831</v>
      </c>
      <c r="C5032" t="s">
        <v>16</v>
      </c>
      <c r="D5032">
        <v>2.1720000000000002</v>
      </c>
      <c r="E5032">
        <v>695</v>
      </c>
      <c r="F5032" t="str">
        <f>HYPERLINK("https://www.google.com/maps/search/?api=1&amp;query=24.31468712,43.41646465", "View Map")</f>
        <v>View Map</v>
      </c>
      <c r="G5032" s="2">
        <v>0.65247189619911405</v>
      </c>
    </row>
    <row r="5033" spans="1:7" x14ac:dyDescent="0.3">
      <c r="A5033" t="s">
        <v>11832</v>
      </c>
      <c r="B5033" t="s">
        <v>11833</v>
      </c>
      <c r="C5033" t="s">
        <v>8</v>
      </c>
      <c r="D5033">
        <v>2.1720000000000002</v>
      </c>
      <c r="E5033">
        <v>695</v>
      </c>
      <c r="F5033" t="str">
        <f>HYPERLINK("https://www.google.com/maps/search/?api=1&amp;query=24.67635145,46.57864108", "View Map")</f>
        <v>View Map</v>
      </c>
    </row>
    <row r="5034" spans="1:7" x14ac:dyDescent="0.3">
      <c r="A5034" t="s">
        <v>7765</v>
      </c>
      <c r="B5034" t="s">
        <v>9822</v>
      </c>
      <c r="C5034" t="s">
        <v>8</v>
      </c>
      <c r="D5034">
        <v>2.1709999999999998</v>
      </c>
      <c r="E5034">
        <v>695</v>
      </c>
      <c r="F5034" t="str">
        <f>HYPERLINK("https://www.google.com/maps/search/?api=1&amp;query=24.59284777,46.58336105", "View Map")</f>
        <v>View Map</v>
      </c>
    </row>
    <row r="5035" spans="1:7" x14ac:dyDescent="0.3">
      <c r="A5035" t="s">
        <v>2696</v>
      </c>
      <c r="B5035" t="s">
        <v>2697</v>
      </c>
      <c r="C5035" t="s">
        <v>8</v>
      </c>
      <c r="D5035">
        <v>2.17</v>
      </c>
      <c r="E5035">
        <v>694</v>
      </c>
      <c r="F5035" t="str">
        <f>HYPERLINK("https://www.google.com/maps/search/?api=1&amp;query=24.76836736,46.68432541", "View Map")</f>
        <v>View Map</v>
      </c>
    </row>
    <row r="5036" spans="1:7" x14ac:dyDescent="0.3">
      <c r="A5036" t="s">
        <v>146</v>
      </c>
      <c r="B5036" t="s">
        <v>11834</v>
      </c>
      <c r="C5036" t="s">
        <v>8</v>
      </c>
      <c r="D5036">
        <v>2.17</v>
      </c>
      <c r="E5036">
        <v>694</v>
      </c>
      <c r="F5036" t="str">
        <f>HYPERLINK("https://www.google.com/maps/search/?api=1&amp;query=24.6715883,46.5505835", "View Map")</f>
        <v>View Map</v>
      </c>
    </row>
    <row r="5037" spans="1:7" x14ac:dyDescent="0.3">
      <c r="A5037" t="s">
        <v>146</v>
      </c>
      <c r="B5037" t="s">
        <v>11835</v>
      </c>
      <c r="C5037" t="s">
        <v>8</v>
      </c>
      <c r="D5037">
        <v>2.169</v>
      </c>
      <c r="E5037">
        <v>694</v>
      </c>
      <c r="F5037" t="str">
        <f>HYPERLINK("https://www.google.com/maps/search/?api=1&amp;query=24.55103678,46.61466801", "View Map")</f>
        <v>View Map</v>
      </c>
    </row>
    <row r="5038" spans="1:7" x14ac:dyDescent="0.3">
      <c r="A5038" t="s">
        <v>5372</v>
      </c>
      <c r="B5038" t="s">
        <v>5373</v>
      </c>
      <c r="C5038" t="s">
        <v>8</v>
      </c>
      <c r="D5038">
        <v>2.169</v>
      </c>
      <c r="E5038">
        <v>694</v>
      </c>
      <c r="F5038" t="str">
        <f>HYPERLINK("https://www.google.com/maps/search/?api=1&amp;query=24.68299597,46.81687795", "View Map")</f>
        <v>View Map</v>
      </c>
    </row>
    <row r="5039" spans="1:7" x14ac:dyDescent="0.3">
      <c r="A5039" t="s">
        <v>11836</v>
      </c>
      <c r="B5039" t="s">
        <v>11837</v>
      </c>
      <c r="C5039" t="s">
        <v>255</v>
      </c>
      <c r="D5039">
        <v>2.1680000000000001</v>
      </c>
      <c r="E5039">
        <v>694</v>
      </c>
      <c r="F5039" t="str">
        <f>HYPERLINK("https://www.google.com/maps/search/?api=1&amp;query=25.13072014,43.65808396", "View Map")</f>
        <v>View Map</v>
      </c>
      <c r="G5039" s="2">
        <v>0.95277601145518698</v>
      </c>
    </row>
    <row r="5040" spans="1:7" x14ac:dyDescent="0.3">
      <c r="A5040" t="s">
        <v>8647</v>
      </c>
      <c r="B5040" t="s">
        <v>8648</v>
      </c>
      <c r="C5040" t="s">
        <v>30</v>
      </c>
      <c r="D5040">
        <v>2.1680000000000001</v>
      </c>
      <c r="E5040">
        <v>694</v>
      </c>
      <c r="F5040" t="str">
        <f>HYPERLINK("https://www.google.com/maps/search/?api=1&amp;query=24.15109138,47.36192047", "View Map")</f>
        <v>View Map</v>
      </c>
      <c r="G5040" s="2">
        <v>0.45682996199157277</v>
      </c>
    </row>
    <row r="5041" spans="1:7" x14ac:dyDescent="0.3">
      <c r="A5041" t="s">
        <v>10577</v>
      </c>
      <c r="B5041" t="s">
        <v>10578</v>
      </c>
      <c r="C5041" t="s">
        <v>8</v>
      </c>
      <c r="D5041">
        <v>2.1680000000000001</v>
      </c>
      <c r="E5041">
        <v>694</v>
      </c>
      <c r="F5041" t="str">
        <f>HYPERLINK("https://www.google.com/maps/search/?api=1&amp;query=24.58327794,46.56908346", "View Map")</f>
        <v>View Map</v>
      </c>
    </row>
    <row r="5042" spans="1:7" x14ac:dyDescent="0.3">
      <c r="A5042" t="s">
        <v>11838</v>
      </c>
      <c r="B5042" t="s">
        <v>11839</v>
      </c>
      <c r="C5042" t="s">
        <v>77</v>
      </c>
      <c r="D5042">
        <v>2.1669999999999998</v>
      </c>
      <c r="E5042">
        <v>694</v>
      </c>
      <c r="F5042" t="str">
        <f>HYPERLINK("https://www.google.com/maps/search/?api=1&amp;query=22.23534697,46.77885214", "View Map")</f>
        <v>View Map</v>
      </c>
      <c r="G5042" s="2">
        <v>0.63126374745337555</v>
      </c>
    </row>
    <row r="5043" spans="1:7" x14ac:dyDescent="0.3">
      <c r="A5043" t="s">
        <v>146</v>
      </c>
      <c r="B5043" t="s">
        <v>6368</v>
      </c>
      <c r="C5043" t="s">
        <v>8</v>
      </c>
      <c r="D5043">
        <v>2.1669999999999998</v>
      </c>
      <c r="E5043">
        <v>693</v>
      </c>
      <c r="F5043" t="str">
        <f>HYPERLINK("https://www.google.com/maps/search/?api=1&amp;query=24.69662473,46.836358", "View Map")</f>
        <v>View Map</v>
      </c>
    </row>
    <row r="5044" spans="1:7" x14ac:dyDescent="0.3">
      <c r="A5044" t="s">
        <v>5603</v>
      </c>
      <c r="B5044" t="s">
        <v>8558</v>
      </c>
      <c r="C5044" t="s">
        <v>8</v>
      </c>
      <c r="D5044">
        <v>2.1659999999999999</v>
      </c>
      <c r="E5044">
        <v>693</v>
      </c>
      <c r="F5044" t="str">
        <f>HYPERLINK("https://www.google.com/maps/search/?api=1&amp;query=24.5931513,46.61558166", "View Map")</f>
        <v>View Map</v>
      </c>
    </row>
    <row r="5045" spans="1:7" x14ac:dyDescent="0.3">
      <c r="A5045" t="s">
        <v>9671</v>
      </c>
      <c r="B5045" t="s">
        <v>9672</v>
      </c>
      <c r="C5045" t="s">
        <v>8</v>
      </c>
      <c r="D5045">
        <v>2.1659999999999999</v>
      </c>
      <c r="E5045">
        <v>693</v>
      </c>
      <c r="F5045" t="str">
        <f>HYPERLINK("https://www.google.com/maps/search/?api=1&amp;query=24.53798407,46.64989771", "View Map")</f>
        <v>View Map</v>
      </c>
    </row>
    <row r="5046" spans="1:7" x14ac:dyDescent="0.3">
      <c r="A5046" t="s">
        <v>7765</v>
      </c>
      <c r="B5046" t="s">
        <v>9467</v>
      </c>
      <c r="C5046" t="s">
        <v>8</v>
      </c>
      <c r="D5046">
        <v>2.165</v>
      </c>
      <c r="E5046">
        <v>693</v>
      </c>
      <c r="F5046" t="str">
        <f>HYPERLINK("https://www.google.com/maps/search/?api=1&amp;query=24.61595918,46.6418531", "View Map")</f>
        <v>View Map</v>
      </c>
    </row>
    <row r="5047" spans="1:7" x14ac:dyDescent="0.3">
      <c r="A5047" t="s">
        <v>11840</v>
      </c>
      <c r="B5047" t="s">
        <v>11841</v>
      </c>
      <c r="C5047" t="s">
        <v>8</v>
      </c>
      <c r="D5047">
        <v>2.165</v>
      </c>
      <c r="E5047">
        <v>693</v>
      </c>
      <c r="F5047" t="str">
        <f>HYPERLINK("https://www.google.com/maps/search/?api=1&amp;query=24.57863745,46.54393858", "View Map")</f>
        <v>View Map</v>
      </c>
    </row>
    <row r="5048" spans="1:7" x14ac:dyDescent="0.3">
      <c r="A5048" t="s">
        <v>5991</v>
      </c>
      <c r="B5048" t="s">
        <v>5992</v>
      </c>
      <c r="C5048" t="s">
        <v>77</v>
      </c>
      <c r="D5048">
        <v>2.1640000000000001</v>
      </c>
      <c r="E5048">
        <v>692</v>
      </c>
      <c r="F5048" t="str">
        <f>HYPERLINK("https://www.google.com/maps/search/?api=1&amp;query=22.02968794,46.56459496", "View Map")</f>
        <v>View Map</v>
      </c>
      <c r="G5048" s="2">
        <v>0.40143679832822748</v>
      </c>
    </row>
    <row r="5049" spans="1:7" x14ac:dyDescent="0.3">
      <c r="A5049" t="s">
        <v>10372</v>
      </c>
      <c r="B5049" t="s">
        <v>10373</v>
      </c>
      <c r="C5049" t="s">
        <v>8</v>
      </c>
      <c r="D5049">
        <v>2.1619999999999999</v>
      </c>
      <c r="E5049">
        <v>692</v>
      </c>
      <c r="F5049" t="str">
        <f>HYPERLINK("https://www.google.com/maps/search/?api=1&amp;query=24.60027854,46.7803692", "View Map")</f>
        <v>View Map</v>
      </c>
    </row>
    <row r="5050" spans="1:7" x14ac:dyDescent="0.3">
      <c r="A5050" t="s">
        <v>6148</v>
      </c>
      <c r="B5050" t="s">
        <v>6149</v>
      </c>
      <c r="C5050" t="s">
        <v>8</v>
      </c>
      <c r="D5050">
        <v>2.1619999999999999</v>
      </c>
      <c r="E5050">
        <v>692</v>
      </c>
      <c r="F5050" t="str">
        <f>HYPERLINK("https://www.google.com/maps/search/?api=1&amp;query=24.62684156,46.69399564", "View Map")</f>
        <v>View Map</v>
      </c>
    </row>
    <row r="5051" spans="1:7" x14ac:dyDescent="0.3">
      <c r="A5051" t="s">
        <v>5156</v>
      </c>
      <c r="B5051" t="s">
        <v>5157</v>
      </c>
      <c r="C5051" t="s">
        <v>8</v>
      </c>
      <c r="D5051">
        <v>2.161</v>
      </c>
      <c r="E5051">
        <v>692</v>
      </c>
      <c r="F5051" t="str">
        <f>HYPERLINK("https://www.google.com/maps/search/?api=1&amp;query=24.75022578,46.77365846", "View Map")</f>
        <v>View Map</v>
      </c>
    </row>
    <row r="5052" spans="1:7" x14ac:dyDescent="0.3">
      <c r="A5052" t="s">
        <v>11842</v>
      </c>
      <c r="B5052" t="s">
        <v>11843</v>
      </c>
      <c r="C5052" t="s">
        <v>8</v>
      </c>
      <c r="D5052">
        <v>2.161</v>
      </c>
      <c r="E5052">
        <v>692</v>
      </c>
      <c r="F5052" t="str">
        <f>HYPERLINK("https://www.google.com/maps/search/?api=1&amp;query=24.62016415,46.69966025", "View Map")</f>
        <v>View Map</v>
      </c>
    </row>
    <row r="5053" spans="1:7" x14ac:dyDescent="0.3">
      <c r="A5053" t="s">
        <v>8179</v>
      </c>
      <c r="B5053" t="s">
        <v>8180</v>
      </c>
      <c r="C5053" t="s">
        <v>30</v>
      </c>
      <c r="D5053">
        <v>2.161</v>
      </c>
      <c r="E5053">
        <v>692</v>
      </c>
      <c r="F5053" t="str">
        <f>HYPERLINK("https://www.google.com/maps/search/?api=1&amp;query=24.20491586,47.26169567", "View Map")</f>
        <v>View Map</v>
      </c>
    </row>
    <row r="5054" spans="1:7" x14ac:dyDescent="0.3">
      <c r="A5054" t="s">
        <v>3426</v>
      </c>
      <c r="B5054" t="s">
        <v>3427</v>
      </c>
      <c r="C5054" t="s">
        <v>8</v>
      </c>
      <c r="D5054">
        <v>2.161</v>
      </c>
      <c r="E5054">
        <v>692</v>
      </c>
      <c r="F5054" t="str">
        <f>HYPERLINK("https://www.google.com/maps/search/?api=1&amp;query=24.66047004,46.6948098", "View Map")</f>
        <v>View Map</v>
      </c>
    </row>
    <row r="5055" spans="1:7" x14ac:dyDescent="0.3">
      <c r="A5055" t="s">
        <v>11844</v>
      </c>
      <c r="B5055" t="s">
        <v>11845</v>
      </c>
      <c r="C5055" t="s">
        <v>291</v>
      </c>
      <c r="D5055">
        <v>2.16</v>
      </c>
      <c r="E5055">
        <v>691</v>
      </c>
      <c r="F5055" t="str">
        <f>HYPERLINK("https://www.google.com/maps/search/?api=1&amp;query=23.95047145,45.53092153", "View Map")</f>
        <v>View Map</v>
      </c>
      <c r="G5055" s="2">
        <v>0.70860782345475026</v>
      </c>
    </row>
    <row r="5056" spans="1:7" x14ac:dyDescent="0.3">
      <c r="A5056" t="s">
        <v>6210</v>
      </c>
      <c r="B5056" t="s">
        <v>6211</v>
      </c>
      <c r="C5056" t="s">
        <v>8</v>
      </c>
      <c r="D5056">
        <v>2.16</v>
      </c>
      <c r="E5056">
        <v>691</v>
      </c>
      <c r="F5056" t="str">
        <f>HYPERLINK("https://www.google.com/maps/search/?api=1&amp;query=24.72040999,46.76083426", "View Map")</f>
        <v>View Map</v>
      </c>
    </row>
    <row r="5057" spans="1:7" x14ac:dyDescent="0.3">
      <c r="A5057" t="s">
        <v>5693</v>
      </c>
      <c r="B5057" t="s">
        <v>5694</v>
      </c>
      <c r="C5057" t="s">
        <v>8</v>
      </c>
      <c r="D5057">
        <v>2.1589999999999998</v>
      </c>
      <c r="E5057">
        <v>691</v>
      </c>
      <c r="F5057" t="str">
        <f>HYPERLINK("https://www.google.com/maps/search/?api=1&amp;query=24.63484656,46.73278558", "View Map")</f>
        <v>View Map</v>
      </c>
    </row>
    <row r="5058" spans="1:7" x14ac:dyDescent="0.3">
      <c r="A5058" t="s">
        <v>146</v>
      </c>
      <c r="B5058" t="s">
        <v>11846</v>
      </c>
      <c r="C5058" t="s">
        <v>8</v>
      </c>
      <c r="D5058">
        <v>2.1579999999999999</v>
      </c>
      <c r="E5058">
        <v>691</v>
      </c>
      <c r="F5058" t="str">
        <f>HYPERLINK("https://www.google.com/maps/search/?api=1&amp;query=24.55918816,46.53067916", "View Map")</f>
        <v>View Map</v>
      </c>
    </row>
    <row r="5059" spans="1:7" x14ac:dyDescent="0.3">
      <c r="A5059" t="s">
        <v>530</v>
      </c>
      <c r="B5059" t="s">
        <v>8121</v>
      </c>
      <c r="C5059" t="s">
        <v>8</v>
      </c>
      <c r="D5059">
        <v>2.1579999999999999</v>
      </c>
      <c r="E5059">
        <v>691</v>
      </c>
      <c r="F5059" t="str">
        <f>HYPERLINK("https://www.google.com/maps/search/?api=1&amp;query=24.75799411,46.74248121", "View Map")</f>
        <v>View Map</v>
      </c>
    </row>
    <row r="5060" spans="1:7" x14ac:dyDescent="0.3">
      <c r="A5060" t="s">
        <v>932</v>
      </c>
      <c r="B5060" t="s">
        <v>7503</v>
      </c>
      <c r="C5060" t="s">
        <v>8</v>
      </c>
      <c r="D5060">
        <v>2.1579999999999999</v>
      </c>
      <c r="E5060">
        <v>691</v>
      </c>
      <c r="F5060" t="str">
        <f>HYPERLINK("https://www.google.com/maps/search/?api=1&amp;query=24.74777031,46.83822862", "View Map")</f>
        <v>View Map</v>
      </c>
    </row>
    <row r="5061" spans="1:7" x14ac:dyDescent="0.3">
      <c r="A5061" t="s">
        <v>8104</v>
      </c>
      <c r="B5061" t="s">
        <v>8105</v>
      </c>
      <c r="C5061" t="s">
        <v>442</v>
      </c>
      <c r="D5061">
        <v>2.157</v>
      </c>
      <c r="E5061">
        <v>690</v>
      </c>
      <c r="F5061" t="str">
        <f>HYPERLINK("https://www.google.com/maps/search/?api=1&amp;query=23.60807872,46.55580045", "View Map")</f>
        <v>View Map</v>
      </c>
      <c r="G5061" s="2">
        <v>0.73273515077310303</v>
      </c>
    </row>
    <row r="5062" spans="1:7" x14ac:dyDescent="0.3">
      <c r="A5062" t="s">
        <v>46</v>
      </c>
      <c r="B5062" t="s">
        <v>9751</v>
      </c>
      <c r="C5062" t="s">
        <v>8</v>
      </c>
      <c r="D5062">
        <v>2.157</v>
      </c>
      <c r="E5062">
        <v>690</v>
      </c>
      <c r="F5062" t="str">
        <f>HYPERLINK("https://www.google.com/maps/search/?api=1&amp;query=24.88061854,46.60326453", "View Map")</f>
        <v>View Map</v>
      </c>
      <c r="G5062" s="2">
        <v>0.50962925456440211</v>
      </c>
    </row>
    <row r="5063" spans="1:7" x14ac:dyDescent="0.3">
      <c r="A5063" t="s">
        <v>3735</v>
      </c>
      <c r="B5063" t="s">
        <v>5203</v>
      </c>
      <c r="C5063" t="s">
        <v>255</v>
      </c>
      <c r="D5063">
        <v>2.157</v>
      </c>
      <c r="E5063">
        <v>690</v>
      </c>
      <c r="F5063" t="str">
        <f>HYPERLINK("https://www.google.com/maps/search/?api=1&amp;query=25.20501397,44.59849397", "View Map")</f>
        <v>View Map</v>
      </c>
      <c r="G5063" s="2">
        <v>0.4262940555087697</v>
      </c>
    </row>
    <row r="5064" spans="1:7" x14ac:dyDescent="0.3">
      <c r="A5064" t="s">
        <v>11847</v>
      </c>
      <c r="B5064" t="s">
        <v>11848</v>
      </c>
      <c r="C5064" t="s">
        <v>8</v>
      </c>
      <c r="D5064">
        <v>2.1549999999999998</v>
      </c>
      <c r="E5064">
        <v>690</v>
      </c>
      <c r="F5064" t="str">
        <f>HYPERLINK("https://www.google.com/maps/search/?api=1&amp;query=24.57430126,46.60961395", "View Map")</f>
        <v>View Map</v>
      </c>
    </row>
    <row r="5065" spans="1:7" x14ac:dyDescent="0.3">
      <c r="A5065" t="s">
        <v>10873</v>
      </c>
      <c r="B5065" t="s">
        <v>10874</v>
      </c>
      <c r="C5065" t="s">
        <v>8</v>
      </c>
      <c r="D5065">
        <v>2.1549999999999998</v>
      </c>
      <c r="E5065">
        <v>690</v>
      </c>
      <c r="F5065" t="str">
        <f>HYPERLINK("https://www.google.com/maps/search/?api=1&amp;query=24.71392961,46.66438471", "View Map")</f>
        <v>View Map</v>
      </c>
      <c r="G5065" s="2">
        <v>0.85668225746672177</v>
      </c>
    </row>
    <row r="5066" spans="1:7" x14ac:dyDescent="0.3">
      <c r="A5066" t="s">
        <v>11849</v>
      </c>
      <c r="B5066" t="s">
        <v>11850</v>
      </c>
      <c r="C5066" t="s">
        <v>8</v>
      </c>
      <c r="D5066">
        <v>2.1549999999999998</v>
      </c>
      <c r="E5066">
        <v>689</v>
      </c>
      <c r="F5066" t="str">
        <f>HYPERLINK("https://www.google.com/maps/search/?api=1&amp;query=24.73936673,46.77634728", "View Map")</f>
        <v>View Map</v>
      </c>
    </row>
    <row r="5067" spans="1:7" x14ac:dyDescent="0.3">
      <c r="A5067" t="s">
        <v>46</v>
      </c>
      <c r="B5067" t="s">
        <v>11851</v>
      </c>
      <c r="C5067" t="s">
        <v>820</v>
      </c>
      <c r="D5067">
        <v>2.153</v>
      </c>
      <c r="E5067">
        <v>689</v>
      </c>
      <c r="F5067" t="str">
        <f>HYPERLINK("https://www.google.com/maps/search/?api=1&amp;query=0.0,0.0", "View Map")</f>
        <v>View Map</v>
      </c>
    </row>
    <row r="5068" spans="1:7" x14ac:dyDescent="0.3">
      <c r="A5068" t="s">
        <v>11852</v>
      </c>
      <c r="B5068" t="s">
        <v>11853</v>
      </c>
      <c r="C5068" t="s">
        <v>255</v>
      </c>
      <c r="D5068">
        <v>2.1520000000000001</v>
      </c>
      <c r="E5068">
        <v>689</v>
      </c>
      <c r="F5068" t="str">
        <f>HYPERLINK("https://www.google.com/maps/search/?api=1&amp;query=24.55850465,43.31053283", "View Map")</f>
        <v>View Map</v>
      </c>
      <c r="G5068" s="2">
        <v>0.90090271680232259</v>
      </c>
    </row>
    <row r="5069" spans="1:7" x14ac:dyDescent="0.3">
      <c r="A5069" t="s">
        <v>8297</v>
      </c>
      <c r="B5069" t="s">
        <v>8298</v>
      </c>
      <c r="C5069" t="s">
        <v>8</v>
      </c>
      <c r="D5069">
        <v>2.1520000000000001</v>
      </c>
      <c r="E5069">
        <v>689</v>
      </c>
      <c r="F5069" t="str">
        <f>HYPERLINK("https://www.google.com/maps/search/?api=1&amp;query=24.76146996,46.7665743", "View Map")</f>
        <v>View Map</v>
      </c>
      <c r="G5069" s="2">
        <v>0.73136047278899252</v>
      </c>
    </row>
    <row r="5070" spans="1:7" x14ac:dyDescent="0.3">
      <c r="A5070" t="s">
        <v>881</v>
      </c>
      <c r="B5070" t="s">
        <v>5269</v>
      </c>
      <c r="C5070" t="s">
        <v>214</v>
      </c>
      <c r="D5070">
        <v>2.1520000000000001</v>
      </c>
      <c r="E5070">
        <v>689</v>
      </c>
      <c r="F5070" t="str">
        <f>HYPERLINK("https://www.google.com/maps/search/?api=1&amp;query=26.05560399,45.34903847", "View Map")</f>
        <v>View Map</v>
      </c>
    </row>
    <row r="5071" spans="1:7" x14ac:dyDescent="0.3">
      <c r="A5071" t="s">
        <v>9159</v>
      </c>
      <c r="B5071" t="s">
        <v>9160</v>
      </c>
      <c r="C5071" t="s">
        <v>214</v>
      </c>
      <c r="D5071">
        <v>2.1520000000000001</v>
      </c>
      <c r="E5071">
        <v>689</v>
      </c>
      <c r="F5071" t="str">
        <f>HYPERLINK("https://www.google.com/maps/search/?api=1&amp;query=25.8988695,45.36611075", "View Map")</f>
        <v>View Map</v>
      </c>
      <c r="G5071" s="2">
        <v>0.54964451126283553</v>
      </c>
    </row>
    <row r="5072" spans="1:7" x14ac:dyDescent="0.3">
      <c r="A5072" t="s">
        <v>5195</v>
      </c>
      <c r="B5072" t="s">
        <v>5196</v>
      </c>
      <c r="C5072" t="s">
        <v>270</v>
      </c>
      <c r="D5072">
        <v>2.1509999999999998</v>
      </c>
      <c r="E5072">
        <v>688</v>
      </c>
      <c r="F5072" t="str">
        <f>HYPERLINK("https://www.google.com/maps/search/?api=1&amp;query=23.99106189,47.12034669", "View Map")</f>
        <v>View Map</v>
      </c>
      <c r="G5072" s="2">
        <v>0.34761678225635517</v>
      </c>
    </row>
    <row r="5073" spans="1:7" x14ac:dyDescent="0.3">
      <c r="A5073" t="s">
        <v>6528</v>
      </c>
      <c r="B5073" t="s">
        <v>6529</v>
      </c>
      <c r="C5073" t="s">
        <v>8</v>
      </c>
      <c r="D5073">
        <v>2.1509999999999998</v>
      </c>
      <c r="E5073">
        <v>688</v>
      </c>
      <c r="F5073" t="str">
        <f>HYPERLINK("https://www.google.com/maps/search/?api=1&amp;query=24.48668451,46.61682834", "View Map")</f>
        <v>View Map</v>
      </c>
    </row>
    <row r="5074" spans="1:7" x14ac:dyDescent="0.3">
      <c r="A5074" t="s">
        <v>2260</v>
      </c>
      <c r="B5074" t="s">
        <v>9009</v>
      </c>
      <c r="C5074" t="s">
        <v>8</v>
      </c>
      <c r="D5074">
        <v>2.1509999999999998</v>
      </c>
      <c r="E5074">
        <v>688</v>
      </c>
      <c r="F5074" t="str">
        <f>HYPERLINK("https://www.google.com/maps/search/?api=1&amp;query=24.63726448,46.53877949", "View Map")</f>
        <v>View Map</v>
      </c>
    </row>
    <row r="5075" spans="1:7" x14ac:dyDescent="0.3">
      <c r="A5075" t="s">
        <v>46</v>
      </c>
      <c r="B5075" t="s">
        <v>11854</v>
      </c>
      <c r="C5075" t="s">
        <v>55</v>
      </c>
      <c r="D5075">
        <v>2.15</v>
      </c>
      <c r="E5075">
        <v>688</v>
      </c>
      <c r="F5075" t="str">
        <f>HYPERLINK("https://www.google.com/maps/search/?api=1&amp;query=24.90794455,46.43028429", "View Map")</f>
        <v>View Map</v>
      </c>
    </row>
    <row r="5076" spans="1:7" x14ac:dyDescent="0.3">
      <c r="A5076" t="s">
        <v>5320</v>
      </c>
      <c r="B5076" t="s">
        <v>5321</v>
      </c>
      <c r="C5076" t="s">
        <v>8</v>
      </c>
      <c r="D5076">
        <v>2.15</v>
      </c>
      <c r="E5076">
        <v>688</v>
      </c>
      <c r="F5076" t="str">
        <f>HYPERLINK("https://www.google.com/maps/search/?api=1&amp;query=24.60225149,46.68457105", "View Map")</f>
        <v>View Map</v>
      </c>
    </row>
    <row r="5077" spans="1:7" x14ac:dyDescent="0.3">
      <c r="A5077" t="s">
        <v>2478</v>
      </c>
      <c r="B5077" t="s">
        <v>8325</v>
      </c>
      <c r="C5077" t="s">
        <v>8</v>
      </c>
      <c r="D5077">
        <v>2.15</v>
      </c>
      <c r="E5077">
        <v>688</v>
      </c>
      <c r="F5077" t="str">
        <f>HYPERLINK("https://www.google.com/maps/search/?api=1&amp;query=24.79511782,46.90296469", "View Map")</f>
        <v>View Map</v>
      </c>
    </row>
    <row r="5078" spans="1:7" x14ac:dyDescent="0.3">
      <c r="A5078" t="s">
        <v>6805</v>
      </c>
      <c r="B5078" t="s">
        <v>6806</v>
      </c>
      <c r="C5078" t="s">
        <v>8</v>
      </c>
      <c r="D5078">
        <v>2.15</v>
      </c>
      <c r="E5078">
        <v>688</v>
      </c>
      <c r="F5078" t="str">
        <f>HYPERLINK("https://www.google.com/maps/search/?api=1&amp;query=24.64191241,46.69718301", "View Map")</f>
        <v>View Map</v>
      </c>
    </row>
    <row r="5079" spans="1:7" x14ac:dyDescent="0.3">
      <c r="A5079" t="s">
        <v>28</v>
      </c>
      <c r="B5079" t="s">
        <v>9809</v>
      </c>
      <c r="C5079" t="s">
        <v>30</v>
      </c>
      <c r="D5079">
        <v>2.149</v>
      </c>
      <c r="E5079">
        <v>688</v>
      </c>
      <c r="F5079" t="str">
        <f>HYPERLINK("https://www.google.com/maps/search/?api=1&amp;query=23.99141281,47.33102664", "View Map")</f>
        <v>View Map</v>
      </c>
      <c r="G5079" s="2">
        <v>0.50779827968819824</v>
      </c>
    </row>
    <row r="5080" spans="1:7" x14ac:dyDescent="0.3">
      <c r="A5080" t="s">
        <v>11855</v>
      </c>
      <c r="B5080" t="s">
        <v>11856</v>
      </c>
      <c r="C5080" t="s">
        <v>8</v>
      </c>
      <c r="D5080">
        <v>2.149</v>
      </c>
      <c r="E5080">
        <v>688</v>
      </c>
      <c r="F5080" t="str">
        <f>HYPERLINK("https://www.google.com/maps/search/?api=1&amp;query=24.69318501,46.79096506", "View Map")</f>
        <v>View Map</v>
      </c>
    </row>
    <row r="5081" spans="1:7" x14ac:dyDescent="0.3">
      <c r="A5081" t="s">
        <v>10451</v>
      </c>
      <c r="B5081" t="s">
        <v>10452</v>
      </c>
      <c r="C5081" t="s">
        <v>8</v>
      </c>
      <c r="D5081">
        <v>2.1480000000000001</v>
      </c>
      <c r="E5081">
        <v>687</v>
      </c>
      <c r="F5081" t="str">
        <f>HYPERLINK("https://www.google.com/maps/search/?api=1&amp;query=24.76625567,46.75047061", "View Map")</f>
        <v>View Map</v>
      </c>
    </row>
    <row r="5082" spans="1:7" x14ac:dyDescent="0.3">
      <c r="A5082" t="s">
        <v>433</v>
      </c>
      <c r="B5082" t="s">
        <v>6018</v>
      </c>
      <c r="C5082" t="s">
        <v>137</v>
      </c>
      <c r="D5082">
        <v>2.1480000000000001</v>
      </c>
      <c r="E5082">
        <v>687</v>
      </c>
      <c r="F5082" t="str">
        <f>HYPERLINK("https://www.google.com/maps/search/?api=1&amp;query=23.26836693,46.66897558", "View Map")</f>
        <v>View Map</v>
      </c>
      <c r="G5082" s="2">
        <v>0.58167450780075702</v>
      </c>
    </row>
    <row r="5083" spans="1:7" x14ac:dyDescent="0.3">
      <c r="A5083" t="s">
        <v>7851</v>
      </c>
      <c r="B5083" t="s">
        <v>7852</v>
      </c>
      <c r="C5083" t="s">
        <v>77</v>
      </c>
      <c r="D5083">
        <v>2.1469999999999998</v>
      </c>
      <c r="E5083">
        <v>687</v>
      </c>
      <c r="F5083" t="str">
        <f>HYPERLINK("https://www.google.com/maps/search/?api=1&amp;query=22.00665238,46.60878821", "View Map")</f>
        <v>View Map</v>
      </c>
      <c r="G5083" s="2">
        <v>0.60210522202339001</v>
      </c>
    </row>
    <row r="5084" spans="1:7" x14ac:dyDescent="0.3">
      <c r="A5084" t="s">
        <v>146</v>
      </c>
      <c r="B5084" t="s">
        <v>10865</v>
      </c>
      <c r="C5084" t="s">
        <v>8</v>
      </c>
      <c r="D5084">
        <v>2.1469999999999998</v>
      </c>
      <c r="E5084">
        <v>687</v>
      </c>
      <c r="F5084" t="str">
        <f>HYPERLINK("https://www.google.com/maps/search/?api=1&amp;query=24.55414887,46.62646314", "View Map")</f>
        <v>View Map</v>
      </c>
    </row>
    <row r="5085" spans="1:7" x14ac:dyDescent="0.3">
      <c r="A5085" t="s">
        <v>11857</v>
      </c>
      <c r="B5085" t="s">
        <v>11858</v>
      </c>
      <c r="C5085" t="s">
        <v>137</v>
      </c>
      <c r="D5085">
        <v>2.1459999999999999</v>
      </c>
      <c r="E5085">
        <v>687</v>
      </c>
      <c r="F5085" t="str">
        <f>HYPERLINK("https://www.google.com/maps/search/?api=1&amp;query=23.4983842,46.83149301", "View Map")</f>
        <v>View Map</v>
      </c>
      <c r="G5085" s="2">
        <v>0.61808275282220404</v>
      </c>
    </row>
    <row r="5086" spans="1:7" x14ac:dyDescent="0.3">
      <c r="A5086" t="s">
        <v>46</v>
      </c>
      <c r="B5086" t="s">
        <v>11859</v>
      </c>
      <c r="C5086" t="s">
        <v>8</v>
      </c>
      <c r="D5086">
        <v>2.1459999999999999</v>
      </c>
      <c r="E5086">
        <v>687</v>
      </c>
      <c r="F5086" t="str">
        <f>HYPERLINK("https://www.google.com/maps/search/?api=1&amp;query=24.83275164,46.74648465", "View Map")</f>
        <v>View Map</v>
      </c>
    </row>
    <row r="5087" spans="1:7" x14ac:dyDescent="0.3">
      <c r="A5087" t="s">
        <v>1002</v>
      </c>
      <c r="B5087" t="s">
        <v>9627</v>
      </c>
      <c r="C5087" t="s">
        <v>820</v>
      </c>
      <c r="D5087">
        <v>2.145</v>
      </c>
      <c r="E5087">
        <v>686</v>
      </c>
      <c r="F5087" t="str">
        <f>HYPERLINK("https://www.google.com/maps/search/?api=1&amp;query=0.0,0.0", "View Map")</f>
        <v>View Map</v>
      </c>
    </row>
    <row r="5088" spans="1:7" x14ac:dyDescent="0.3">
      <c r="A5088" t="s">
        <v>11860</v>
      </c>
      <c r="B5088" t="s">
        <v>11861</v>
      </c>
      <c r="C5088" t="s">
        <v>393</v>
      </c>
      <c r="D5088">
        <v>2.145</v>
      </c>
      <c r="E5088">
        <v>686</v>
      </c>
      <c r="F5088" t="str">
        <f>HYPERLINK("https://www.google.com/maps/search/?api=1&amp;query=23.61098766,45.43640809", "View Map")</f>
        <v>View Map</v>
      </c>
      <c r="G5088" s="2">
        <v>0.87235315317093221</v>
      </c>
    </row>
    <row r="5089" spans="1:7" x14ac:dyDescent="0.3">
      <c r="A5089" t="s">
        <v>10010</v>
      </c>
      <c r="B5089" t="s">
        <v>10011</v>
      </c>
      <c r="C5089" t="s">
        <v>291</v>
      </c>
      <c r="D5089">
        <v>2.145</v>
      </c>
      <c r="E5089">
        <v>686</v>
      </c>
      <c r="F5089" t="str">
        <f>HYPERLINK("https://www.google.com/maps/search/?api=1&amp;query=24.08258881,45.3255726", "View Map")</f>
        <v>View Map</v>
      </c>
    </row>
    <row r="5090" spans="1:7" x14ac:dyDescent="0.3">
      <c r="A5090" t="s">
        <v>11862</v>
      </c>
      <c r="B5090" t="s">
        <v>11863</v>
      </c>
      <c r="C5090" t="s">
        <v>30</v>
      </c>
      <c r="D5090">
        <v>2.145</v>
      </c>
      <c r="E5090">
        <v>686</v>
      </c>
      <c r="F5090" t="str">
        <f>HYPERLINK("https://www.google.com/maps/search/?api=1&amp;query=24.13643662,47.36255456", "View Map")</f>
        <v>View Map</v>
      </c>
    </row>
    <row r="5091" spans="1:7" x14ac:dyDescent="0.3">
      <c r="A5091" t="s">
        <v>7067</v>
      </c>
      <c r="B5091" t="s">
        <v>7068</v>
      </c>
      <c r="C5091" t="s">
        <v>8</v>
      </c>
      <c r="D5091">
        <v>2.1440000000000001</v>
      </c>
      <c r="E5091">
        <v>686</v>
      </c>
      <c r="F5091" t="str">
        <f>HYPERLINK("https://www.google.com/maps/search/?api=1&amp;query=24.636778,46.701024", "View Map")</f>
        <v>View Map</v>
      </c>
    </row>
    <row r="5092" spans="1:7" x14ac:dyDescent="0.3">
      <c r="A5092" t="s">
        <v>11864</v>
      </c>
      <c r="B5092" t="s">
        <v>11865</v>
      </c>
      <c r="C5092" t="s">
        <v>255</v>
      </c>
      <c r="D5092">
        <v>2.1440000000000001</v>
      </c>
      <c r="E5092">
        <v>686</v>
      </c>
      <c r="F5092" t="str">
        <f>HYPERLINK("https://www.google.com/maps/search/?api=1&amp;query=24.3788611,43.63188566", "View Map")</f>
        <v>View Map</v>
      </c>
      <c r="G5092" s="2">
        <v>0.92843536873918842</v>
      </c>
    </row>
    <row r="5093" spans="1:7" x14ac:dyDescent="0.3">
      <c r="A5093" t="s">
        <v>146</v>
      </c>
      <c r="B5093" t="s">
        <v>10729</v>
      </c>
      <c r="C5093" t="s">
        <v>8</v>
      </c>
      <c r="D5093">
        <v>2.1440000000000001</v>
      </c>
      <c r="E5093">
        <v>686</v>
      </c>
      <c r="F5093" t="str">
        <f>HYPERLINK("https://www.google.com/maps/search/?api=1&amp;query=24.54548054,46.51972044", "View Map")</f>
        <v>View Map</v>
      </c>
    </row>
    <row r="5094" spans="1:7" x14ac:dyDescent="0.3">
      <c r="A5094" t="s">
        <v>1594</v>
      </c>
      <c r="B5094" t="s">
        <v>8400</v>
      </c>
      <c r="C5094" t="s">
        <v>296</v>
      </c>
      <c r="D5094">
        <v>2.1440000000000001</v>
      </c>
      <c r="E5094">
        <v>686</v>
      </c>
      <c r="F5094" t="str">
        <f>HYPERLINK("https://www.google.com/maps/search/?api=1&amp;query=24.46187138,46.25674231", "View Map")</f>
        <v>View Map</v>
      </c>
    </row>
    <row r="5095" spans="1:7" x14ac:dyDescent="0.3">
      <c r="A5095" t="s">
        <v>73</v>
      </c>
      <c r="B5095" t="s">
        <v>11866</v>
      </c>
      <c r="C5095" t="s">
        <v>8</v>
      </c>
      <c r="D5095">
        <v>2.1429999999999998</v>
      </c>
      <c r="E5095">
        <v>686</v>
      </c>
      <c r="F5095" t="str">
        <f>HYPERLINK("https://www.google.com/maps/search/?api=1&amp;query=24.80023158,46.6833755", "View Map")</f>
        <v>View Map</v>
      </c>
    </row>
    <row r="5096" spans="1:7" x14ac:dyDescent="0.3">
      <c r="A5096" t="s">
        <v>9857</v>
      </c>
      <c r="B5096" t="s">
        <v>9858</v>
      </c>
      <c r="C5096" t="s">
        <v>8</v>
      </c>
      <c r="D5096">
        <v>2.1419999999999999</v>
      </c>
      <c r="E5096">
        <v>686</v>
      </c>
      <c r="F5096" t="str">
        <f>HYPERLINK("https://www.google.com/maps/search/?api=1&amp;query=24.600182,46.57826003", "View Map")</f>
        <v>View Map</v>
      </c>
    </row>
    <row r="5097" spans="1:7" x14ac:dyDescent="0.3">
      <c r="A5097" t="s">
        <v>9088</v>
      </c>
      <c r="B5097" t="s">
        <v>9089</v>
      </c>
      <c r="C5097" t="s">
        <v>8</v>
      </c>
      <c r="D5097">
        <v>2.141</v>
      </c>
      <c r="E5097">
        <v>685</v>
      </c>
      <c r="F5097" t="str">
        <f>HYPERLINK("https://www.google.com/maps/search/?api=1&amp;query=24.62667488,46.72991488", "View Map")</f>
        <v>View Map</v>
      </c>
    </row>
    <row r="5098" spans="1:7" x14ac:dyDescent="0.3">
      <c r="A5098" t="s">
        <v>11074</v>
      </c>
      <c r="B5098" t="s">
        <v>11075</v>
      </c>
      <c r="C5098" t="s">
        <v>16</v>
      </c>
      <c r="D5098">
        <v>2.141</v>
      </c>
      <c r="E5098">
        <v>685</v>
      </c>
      <c r="F5098" t="str">
        <f>HYPERLINK("https://www.google.com/maps/search/?api=1&amp;query=23.92613614,42.91262371", "View Map")</f>
        <v>View Map</v>
      </c>
      <c r="G5098" s="2">
        <v>0.53082710861586591</v>
      </c>
    </row>
    <row r="5099" spans="1:7" x14ac:dyDescent="0.3">
      <c r="A5099" t="s">
        <v>433</v>
      </c>
      <c r="B5099" t="s">
        <v>7723</v>
      </c>
      <c r="C5099" t="s">
        <v>137</v>
      </c>
      <c r="D5099">
        <v>2.141</v>
      </c>
      <c r="E5099">
        <v>685</v>
      </c>
      <c r="F5099" t="str">
        <f>HYPERLINK("https://www.google.com/maps/search/?api=1&amp;query=23.4580667,46.86437699", "View Map")</f>
        <v>View Map</v>
      </c>
      <c r="G5099" s="2">
        <v>0.40195941818240688</v>
      </c>
    </row>
    <row r="5100" spans="1:7" x14ac:dyDescent="0.3">
      <c r="A5100" t="s">
        <v>10632</v>
      </c>
      <c r="B5100" t="s">
        <v>10633</v>
      </c>
      <c r="C5100" t="s">
        <v>137</v>
      </c>
      <c r="D5100">
        <v>2.141</v>
      </c>
      <c r="E5100">
        <v>685</v>
      </c>
      <c r="F5100" t="str">
        <f>HYPERLINK("https://www.google.com/maps/search/?api=1&amp;query=23.49691436,46.80542875", "View Map")</f>
        <v>View Map</v>
      </c>
      <c r="G5100" s="2">
        <v>0.66070851790633611</v>
      </c>
    </row>
    <row r="5101" spans="1:7" x14ac:dyDescent="0.3">
      <c r="A5101" t="s">
        <v>10481</v>
      </c>
      <c r="B5101" t="s">
        <v>10482</v>
      </c>
      <c r="C5101" t="s">
        <v>8</v>
      </c>
      <c r="D5101">
        <v>2.141</v>
      </c>
      <c r="E5101">
        <v>685</v>
      </c>
      <c r="F5101" t="str">
        <f>HYPERLINK("https://www.google.com/maps/search/?api=1&amp;query=24.58809406,46.55910426", "View Map")</f>
        <v>View Map</v>
      </c>
    </row>
    <row r="5102" spans="1:7" x14ac:dyDescent="0.3">
      <c r="A5102" t="s">
        <v>9329</v>
      </c>
      <c r="B5102" t="s">
        <v>9330</v>
      </c>
      <c r="C5102" t="s">
        <v>8</v>
      </c>
      <c r="D5102">
        <v>2.141</v>
      </c>
      <c r="E5102">
        <v>685</v>
      </c>
      <c r="F5102" t="str">
        <f>HYPERLINK("https://www.google.com/maps/search/?api=1&amp;query=24.77119305,46.79640625", "View Map")</f>
        <v>View Map</v>
      </c>
    </row>
    <row r="5103" spans="1:7" x14ac:dyDescent="0.3">
      <c r="A5103" t="s">
        <v>637</v>
      </c>
      <c r="B5103" t="s">
        <v>9850</v>
      </c>
      <c r="C5103" t="s">
        <v>8</v>
      </c>
      <c r="D5103">
        <v>2.14</v>
      </c>
      <c r="E5103">
        <v>685</v>
      </c>
      <c r="F5103" t="str">
        <f>HYPERLINK("https://www.google.com/maps/search/?api=1&amp;query=24.61836314,46.54493916", "View Map")</f>
        <v>View Map</v>
      </c>
    </row>
    <row r="5104" spans="1:7" x14ac:dyDescent="0.3">
      <c r="A5104" t="s">
        <v>706</v>
      </c>
      <c r="B5104" t="s">
        <v>11867</v>
      </c>
      <c r="C5104" t="s">
        <v>8</v>
      </c>
      <c r="D5104">
        <v>2.14</v>
      </c>
      <c r="E5104">
        <v>685</v>
      </c>
      <c r="F5104" t="str">
        <f>HYPERLINK("https://www.google.com/maps/search/?api=1&amp;query=24.5622063,46.54122953", "View Map")</f>
        <v>View Map</v>
      </c>
    </row>
    <row r="5105" spans="1:7" x14ac:dyDescent="0.3">
      <c r="A5105" t="s">
        <v>22</v>
      </c>
      <c r="B5105" t="s">
        <v>6866</v>
      </c>
      <c r="C5105" t="s">
        <v>8</v>
      </c>
      <c r="D5105">
        <v>2.1389999999999998</v>
      </c>
      <c r="E5105">
        <v>684</v>
      </c>
      <c r="F5105" t="str">
        <f>HYPERLINK("https://www.google.com/maps/search/?api=1&amp;query=24.7639438,46.8178028", "View Map")</f>
        <v>View Map</v>
      </c>
    </row>
    <row r="5106" spans="1:7" x14ac:dyDescent="0.3">
      <c r="A5106" t="s">
        <v>4167</v>
      </c>
      <c r="B5106" t="s">
        <v>4168</v>
      </c>
      <c r="C5106" t="s">
        <v>8</v>
      </c>
      <c r="D5106">
        <v>2.1379999999999999</v>
      </c>
      <c r="E5106">
        <v>684</v>
      </c>
      <c r="F5106" t="str">
        <f>HYPERLINK("https://www.google.com/maps/search/?api=1&amp;query=24.58316662,46.55490265", "View Map")</f>
        <v>View Map</v>
      </c>
      <c r="G5106" s="2">
        <v>0.2130005977286312</v>
      </c>
    </row>
    <row r="5107" spans="1:7" x14ac:dyDescent="0.3">
      <c r="A5107" t="s">
        <v>678</v>
      </c>
      <c r="B5107" t="s">
        <v>7399</v>
      </c>
      <c r="C5107" t="s">
        <v>21</v>
      </c>
      <c r="D5107">
        <v>2.1379999999999999</v>
      </c>
      <c r="E5107">
        <v>684</v>
      </c>
      <c r="F5107" t="str">
        <f>HYPERLINK("https://www.google.com/maps/search/?api=1&amp;query=26.32490228,44.81931053", "View Map")</f>
        <v>View Map</v>
      </c>
      <c r="G5107" s="2">
        <v>0.41245856272771531</v>
      </c>
    </row>
    <row r="5108" spans="1:7" x14ac:dyDescent="0.3">
      <c r="A5108" t="s">
        <v>46</v>
      </c>
      <c r="B5108" t="s">
        <v>11868</v>
      </c>
      <c r="C5108" t="s">
        <v>55</v>
      </c>
      <c r="D5108">
        <v>2.1379999999999999</v>
      </c>
      <c r="E5108">
        <v>684</v>
      </c>
      <c r="F5108" t="str">
        <f>HYPERLINK("https://www.google.com/maps/search/?api=1&amp;query=24.74007,46.51733", "View Map")</f>
        <v>View Map</v>
      </c>
    </row>
    <row r="5109" spans="1:7" x14ac:dyDescent="0.3">
      <c r="A5109" t="s">
        <v>999</v>
      </c>
      <c r="B5109" t="s">
        <v>11214</v>
      </c>
      <c r="C5109" t="s">
        <v>8</v>
      </c>
      <c r="D5109">
        <v>2.1379999999999999</v>
      </c>
      <c r="E5109">
        <v>684</v>
      </c>
      <c r="F5109" t="str">
        <f>HYPERLINK("https://www.google.com/maps/search/?api=1&amp;query=24.58107035,46.7845072", "View Map")</f>
        <v>View Map</v>
      </c>
    </row>
    <row r="5110" spans="1:7" x14ac:dyDescent="0.3">
      <c r="A5110" t="s">
        <v>7176</v>
      </c>
      <c r="B5110" t="s">
        <v>9061</v>
      </c>
      <c r="C5110" t="s">
        <v>255</v>
      </c>
      <c r="D5110">
        <v>2.1379999999999999</v>
      </c>
      <c r="E5110">
        <v>684</v>
      </c>
      <c r="F5110" t="str">
        <f>HYPERLINK("https://www.google.com/maps/search/?api=1&amp;query=24.56569688,44.44488161", "View Map")</f>
        <v>View Map</v>
      </c>
    </row>
    <row r="5111" spans="1:7" x14ac:dyDescent="0.3">
      <c r="A5111" t="s">
        <v>8231</v>
      </c>
      <c r="B5111" t="s">
        <v>8232</v>
      </c>
      <c r="C5111" t="s">
        <v>291</v>
      </c>
      <c r="D5111">
        <v>2.1360000000000001</v>
      </c>
      <c r="E5111">
        <v>683</v>
      </c>
      <c r="F5111" t="str">
        <f>HYPERLINK("https://www.google.com/maps/search/?api=1&amp;query=23.99269509,45.11236051", "View Map")</f>
        <v>View Map</v>
      </c>
      <c r="G5111" s="2">
        <v>0.47773683815289197</v>
      </c>
    </row>
    <row r="5112" spans="1:7" x14ac:dyDescent="0.3">
      <c r="A5112" t="s">
        <v>3929</v>
      </c>
      <c r="B5112" t="s">
        <v>3930</v>
      </c>
      <c r="C5112" t="s">
        <v>8</v>
      </c>
      <c r="D5112">
        <v>2.1360000000000001</v>
      </c>
      <c r="E5112">
        <v>683</v>
      </c>
      <c r="F5112" t="str">
        <f>HYPERLINK("https://www.google.com/maps/search/?api=1&amp;query=24.59485371,46.65533906", "View Map")</f>
        <v>View Map</v>
      </c>
    </row>
    <row r="5113" spans="1:7" x14ac:dyDescent="0.3">
      <c r="A5113" t="s">
        <v>2795</v>
      </c>
      <c r="B5113" t="s">
        <v>2796</v>
      </c>
      <c r="C5113" t="s">
        <v>8</v>
      </c>
      <c r="D5113">
        <v>2.1349999999999998</v>
      </c>
      <c r="E5113">
        <v>683</v>
      </c>
      <c r="F5113" t="str">
        <f>HYPERLINK("https://www.google.com/maps/search/?api=1&amp;query=24.60949749,46.71273225", "View Map")</f>
        <v>View Map</v>
      </c>
      <c r="G5113" s="2">
        <v>0.15895573700807239</v>
      </c>
    </row>
    <row r="5114" spans="1:7" x14ac:dyDescent="0.3">
      <c r="A5114" t="s">
        <v>3218</v>
      </c>
      <c r="B5114" t="s">
        <v>3219</v>
      </c>
      <c r="C5114" t="s">
        <v>30</v>
      </c>
      <c r="D5114">
        <v>2.1349999999999998</v>
      </c>
      <c r="E5114">
        <v>683</v>
      </c>
      <c r="F5114" t="str">
        <f>HYPERLINK("https://www.google.com/maps/search/?api=1&amp;query=24.20124108,47.27116904", "View Map")</f>
        <v>View Map</v>
      </c>
    </row>
    <row r="5115" spans="1:7" x14ac:dyDescent="0.3">
      <c r="A5115" t="s">
        <v>11869</v>
      </c>
      <c r="B5115" t="s">
        <v>11870</v>
      </c>
      <c r="C5115" t="s">
        <v>393</v>
      </c>
      <c r="D5115">
        <v>2.1349999999999998</v>
      </c>
      <c r="E5115">
        <v>683</v>
      </c>
      <c r="F5115" t="str">
        <f>HYPERLINK("https://www.google.com/maps/search/?api=1&amp;query=23.56085538,45.56080848", "View Map")</f>
        <v>View Map</v>
      </c>
      <c r="G5115" s="2">
        <v>0.44331039795108029</v>
      </c>
    </row>
    <row r="5116" spans="1:7" x14ac:dyDescent="0.3">
      <c r="A5116" t="s">
        <v>8744</v>
      </c>
      <c r="B5116" t="s">
        <v>8745</v>
      </c>
      <c r="C5116" t="s">
        <v>214</v>
      </c>
      <c r="D5116">
        <v>2.1349999999999998</v>
      </c>
      <c r="E5116">
        <v>683</v>
      </c>
      <c r="F5116" t="str">
        <f>HYPERLINK("https://www.google.com/maps/search/?api=1&amp;query=25.59821,45.60727", "View Map")</f>
        <v>View Map</v>
      </c>
      <c r="G5116" s="2">
        <v>0.76620749905136731</v>
      </c>
    </row>
    <row r="5117" spans="1:7" x14ac:dyDescent="0.3">
      <c r="A5117" t="s">
        <v>9851</v>
      </c>
      <c r="B5117" t="s">
        <v>9852</v>
      </c>
      <c r="C5117" t="s">
        <v>393</v>
      </c>
      <c r="D5117">
        <v>2.1349999999999998</v>
      </c>
      <c r="E5117">
        <v>683</v>
      </c>
      <c r="F5117" t="str">
        <f>HYPERLINK("https://www.google.com/maps/search/?api=1&amp;query=22.6656814,44.73859422", "View Map")</f>
        <v>View Map</v>
      </c>
      <c r="G5117" s="2">
        <v>0.86370969625232863</v>
      </c>
    </row>
    <row r="5118" spans="1:7" x14ac:dyDescent="0.3">
      <c r="A5118" t="s">
        <v>5892</v>
      </c>
      <c r="B5118" t="s">
        <v>5893</v>
      </c>
      <c r="C5118" t="s">
        <v>8</v>
      </c>
      <c r="D5118">
        <v>2.1349999999999998</v>
      </c>
      <c r="E5118">
        <v>683</v>
      </c>
      <c r="F5118" t="str">
        <f>HYPERLINK("https://www.google.com/maps/search/?api=1&amp;query=24.80239001,46.85367524", "View Map")</f>
        <v>View Map</v>
      </c>
    </row>
    <row r="5119" spans="1:7" x14ac:dyDescent="0.3">
      <c r="A5119" t="s">
        <v>7981</v>
      </c>
      <c r="B5119" t="s">
        <v>7982</v>
      </c>
      <c r="C5119" t="s">
        <v>8</v>
      </c>
      <c r="D5119">
        <v>2.1349999999999998</v>
      </c>
      <c r="E5119">
        <v>683</v>
      </c>
      <c r="F5119" t="str">
        <f>HYPERLINK("https://www.google.com/maps/search/?api=1&amp;query=24.54393524,46.70151236", "View Map")</f>
        <v>View Map</v>
      </c>
    </row>
    <row r="5120" spans="1:7" x14ac:dyDescent="0.3">
      <c r="A5120" t="s">
        <v>1443</v>
      </c>
      <c r="B5120" t="s">
        <v>1444</v>
      </c>
      <c r="C5120" t="s">
        <v>8</v>
      </c>
      <c r="D5120">
        <v>2.1349999999999998</v>
      </c>
      <c r="E5120">
        <v>683</v>
      </c>
      <c r="F5120" t="str">
        <f>HYPERLINK("https://www.google.com/maps/search/?api=1&amp;query=24.68752605,46.83081952", "View Map")</f>
        <v>View Map</v>
      </c>
      <c r="G5120" s="2">
        <v>0.11032940700368719</v>
      </c>
    </row>
    <row r="5121" spans="1:7" x14ac:dyDescent="0.3">
      <c r="A5121" t="s">
        <v>9068</v>
      </c>
      <c r="B5121" t="s">
        <v>9069</v>
      </c>
      <c r="C5121" t="s">
        <v>466</v>
      </c>
      <c r="D5121">
        <v>2.1339999999999999</v>
      </c>
      <c r="E5121">
        <v>683</v>
      </c>
      <c r="F5121" t="str">
        <f>HYPERLINK("https://www.google.com/maps/search/?api=1&amp;query=24.50356081,46.36316656", "View Map")</f>
        <v>View Map</v>
      </c>
      <c r="G5121" s="2">
        <v>0.43798223126845343</v>
      </c>
    </row>
    <row r="5122" spans="1:7" x14ac:dyDescent="0.3">
      <c r="A5122" t="s">
        <v>11871</v>
      </c>
      <c r="B5122" t="s">
        <v>11872</v>
      </c>
      <c r="C5122" t="s">
        <v>8</v>
      </c>
      <c r="D5122">
        <v>2.1339999999999999</v>
      </c>
      <c r="E5122">
        <v>683</v>
      </c>
      <c r="F5122" t="str">
        <f>HYPERLINK("https://www.google.com/maps/search/?api=1&amp;query=24.64776816,46.78095185", "View Map")</f>
        <v>View Map</v>
      </c>
    </row>
    <row r="5123" spans="1:7" x14ac:dyDescent="0.3">
      <c r="A5123" t="s">
        <v>884</v>
      </c>
      <c r="B5123" t="s">
        <v>885</v>
      </c>
      <c r="C5123" t="s">
        <v>8</v>
      </c>
      <c r="D5123">
        <v>2.1339999999999999</v>
      </c>
      <c r="E5123">
        <v>683</v>
      </c>
      <c r="F5123" t="str">
        <f>HYPERLINK("https://www.google.com/maps/search/?api=1&amp;query=24.69615548,46.64198336", "View Map")</f>
        <v>View Map</v>
      </c>
      <c r="G5123" s="2">
        <v>0.108117989791121</v>
      </c>
    </row>
    <row r="5124" spans="1:7" x14ac:dyDescent="0.3">
      <c r="A5124" t="s">
        <v>4858</v>
      </c>
      <c r="B5124" t="s">
        <v>4859</v>
      </c>
      <c r="C5124" t="s">
        <v>241</v>
      </c>
      <c r="D5124">
        <v>2.1339999999999999</v>
      </c>
      <c r="E5124">
        <v>683</v>
      </c>
      <c r="F5124" t="str">
        <f>HYPERLINK("https://www.google.com/maps/search/?api=1&amp;query=20.50575494,44.73383038", "View Map")</f>
        <v>View Map</v>
      </c>
    </row>
    <row r="5125" spans="1:7" x14ac:dyDescent="0.3">
      <c r="A5125" t="s">
        <v>11873</v>
      </c>
      <c r="B5125" t="s">
        <v>11874</v>
      </c>
      <c r="C5125" t="s">
        <v>55</v>
      </c>
      <c r="D5125">
        <v>2.133</v>
      </c>
      <c r="E5125">
        <v>682</v>
      </c>
      <c r="F5125" t="str">
        <f>HYPERLINK("https://www.google.com/maps/search/?api=1&amp;query=24.80324767,46.42316543", "View Map")</f>
        <v>View Map</v>
      </c>
    </row>
    <row r="5126" spans="1:7" x14ac:dyDescent="0.3">
      <c r="A5126" t="s">
        <v>46</v>
      </c>
      <c r="B5126" t="s">
        <v>7491</v>
      </c>
      <c r="C5126" t="s">
        <v>8</v>
      </c>
      <c r="D5126">
        <v>2.1320000000000001</v>
      </c>
      <c r="E5126">
        <v>682</v>
      </c>
      <c r="F5126" t="str">
        <f>HYPERLINK("https://www.google.com/maps/search/?api=1&amp;query=24.82549,46.62724", "View Map")</f>
        <v>View Map</v>
      </c>
    </row>
    <row r="5127" spans="1:7" x14ac:dyDescent="0.3">
      <c r="A5127" t="s">
        <v>7028</v>
      </c>
      <c r="B5127" t="s">
        <v>8208</v>
      </c>
      <c r="C5127" t="s">
        <v>8</v>
      </c>
      <c r="D5127">
        <v>2.1320000000000001</v>
      </c>
      <c r="E5127">
        <v>682</v>
      </c>
      <c r="F5127" t="str">
        <f>HYPERLINK("https://www.google.com/maps/search/?api=1&amp;query=24.69424791,46.59730099", "View Map")</f>
        <v>View Map</v>
      </c>
    </row>
    <row r="5128" spans="1:7" x14ac:dyDescent="0.3">
      <c r="A5128" t="s">
        <v>3056</v>
      </c>
      <c r="B5128" t="s">
        <v>3057</v>
      </c>
      <c r="C5128" t="s">
        <v>30</v>
      </c>
      <c r="D5128">
        <v>2.1309999999999998</v>
      </c>
      <c r="E5128">
        <v>682</v>
      </c>
      <c r="F5128" t="str">
        <f>HYPERLINK("https://www.google.com/maps/search/?api=1&amp;query=24.13346,47.24654", "View Map")</f>
        <v>View Map</v>
      </c>
    </row>
    <row r="5129" spans="1:7" x14ac:dyDescent="0.3">
      <c r="A5129" t="s">
        <v>9966</v>
      </c>
      <c r="B5129" t="s">
        <v>9967</v>
      </c>
      <c r="C5129" t="s">
        <v>291</v>
      </c>
      <c r="D5129">
        <v>2.1309999999999998</v>
      </c>
      <c r="E5129">
        <v>682</v>
      </c>
      <c r="F5129" t="str">
        <f>HYPERLINK("https://www.google.com/maps/search/?api=1&amp;query=24.1811198,44.9535089", "View Map")</f>
        <v>View Map</v>
      </c>
      <c r="G5129" s="2">
        <v>0.83142078975101086</v>
      </c>
    </row>
    <row r="5130" spans="1:7" x14ac:dyDescent="0.3">
      <c r="A5130" t="s">
        <v>9759</v>
      </c>
      <c r="B5130" t="s">
        <v>9760</v>
      </c>
      <c r="C5130" t="s">
        <v>8</v>
      </c>
      <c r="D5130">
        <v>2.13</v>
      </c>
      <c r="E5130">
        <v>682</v>
      </c>
      <c r="F5130" t="str">
        <f>HYPERLINK("https://www.google.com/maps/search/?api=1&amp;query=24.5448554,46.66719189", "View Map")</f>
        <v>View Map</v>
      </c>
    </row>
    <row r="5131" spans="1:7" x14ac:dyDescent="0.3">
      <c r="A5131" t="s">
        <v>146</v>
      </c>
      <c r="B5131" t="s">
        <v>11875</v>
      </c>
      <c r="C5131" t="s">
        <v>8</v>
      </c>
      <c r="D5131">
        <v>2.13</v>
      </c>
      <c r="E5131">
        <v>682</v>
      </c>
      <c r="F5131" t="str">
        <f>HYPERLINK("https://www.google.com/maps/search/?api=1&amp;query=24.52131839,46.65888569", "View Map")</f>
        <v>View Map</v>
      </c>
    </row>
    <row r="5132" spans="1:7" x14ac:dyDescent="0.3">
      <c r="A5132" t="s">
        <v>11876</v>
      </c>
      <c r="B5132" t="s">
        <v>11877</v>
      </c>
      <c r="C5132" t="s">
        <v>8</v>
      </c>
      <c r="D5132">
        <v>2.13</v>
      </c>
      <c r="E5132">
        <v>682</v>
      </c>
      <c r="F5132" t="str">
        <f>HYPERLINK("https://www.google.com/maps/search/?api=1&amp;query=24.64131627,46.72210545", "View Map")</f>
        <v>View Map</v>
      </c>
    </row>
    <row r="5133" spans="1:7" x14ac:dyDescent="0.3">
      <c r="A5133" t="s">
        <v>6943</v>
      </c>
      <c r="B5133" t="s">
        <v>6944</v>
      </c>
      <c r="C5133" t="s">
        <v>738</v>
      </c>
      <c r="D5133">
        <v>2.13</v>
      </c>
      <c r="E5133">
        <v>682</v>
      </c>
      <c r="F5133" t="str">
        <f>HYPERLINK("https://www.google.com/maps/search/?api=1&amp;query=25.11710558,46.10316985", "View Map")</f>
        <v>View Map</v>
      </c>
      <c r="G5133" s="2">
        <v>0.47192429119364038</v>
      </c>
    </row>
    <row r="5134" spans="1:7" x14ac:dyDescent="0.3">
      <c r="A5134" t="s">
        <v>150</v>
      </c>
      <c r="B5134" t="s">
        <v>7962</v>
      </c>
      <c r="C5134" t="s">
        <v>8</v>
      </c>
      <c r="D5134">
        <v>2.13</v>
      </c>
      <c r="E5134">
        <v>681</v>
      </c>
      <c r="F5134" t="str">
        <f>HYPERLINK("https://www.google.com/maps/search/?api=1&amp;query=24.73413149,46.60833084", "View Map")</f>
        <v>View Map</v>
      </c>
    </row>
    <row r="5135" spans="1:7" x14ac:dyDescent="0.3">
      <c r="A5135" t="s">
        <v>150</v>
      </c>
      <c r="B5135" t="s">
        <v>6637</v>
      </c>
      <c r="C5135" t="s">
        <v>8</v>
      </c>
      <c r="D5135">
        <v>2.129</v>
      </c>
      <c r="E5135">
        <v>681</v>
      </c>
      <c r="F5135" t="str">
        <f>HYPERLINK("https://www.google.com/maps/search/?api=1&amp;query=24.76576978,46.80191706", "View Map")</f>
        <v>View Map</v>
      </c>
    </row>
    <row r="5136" spans="1:7" x14ac:dyDescent="0.3">
      <c r="A5136" t="s">
        <v>150</v>
      </c>
      <c r="B5136" t="s">
        <v>5721</v>
      </c>
      <c r="C5136" t="s">
        <v>8</v>
      </c>
      <c r="D5136">
        <v>2.129</v>
      </c>
      <c r="E5136">
        <v>681</v>
      </c>
      <c r="F5136" t="str">
        <f>HYPERLINK("https://www.google.com/maps/search/?api=1&amp;query=24.82987639,46.75374211", "View Map")</f>
        <v>View Map</v>
      </c>
    </row>
    <row r="5137" spans="1:7" x14ac:dyDescent="0.3">
      <c r="A5137" t="s">
        <v>8119</v>
      </c>
      <c r="B5137" t="s">
        <v>8120</v>
      </c>
      <c r="C5137" t="s">
        <v>466</v>
      </c>
      <c r="D5137">
        <v>2.129</v>
      </c>
      <c r="E5137">
        <v>681</v>
      </c>
      <c r="F5137" t="str">
        <f>HYPERLINK("https://www.google.com/maps/search/?api=1&amp;query=24.61059289,46.10492703", "View Map")</f>
        <v>View Map</v>
      </c>
      <c r="G5137" s="2">
        <v>0.44333397847553019</v>
      </c>
    </row>
    <row r="5138" spans="1:7" x14ac:dyDescent="0.3">
      <c r="A5138" t="s">
        <v>8239</v>
      </c>
      <c r="B5138" t="s">
        <v>8240</v>
      </c>
      <c r="C5138" t="s">
        <v>8</v>
      </c>
      <c r="D5138">
        <v>2.129</v>
      </c>
      <c r="E5138">
        <v>681</v>
      </c>
      <c r="F5138" t="str">
        <f>HYPERLINK("https://www.google.com/maps/search/?api=1&amp;query=24.57693748,46.6578586", "View Map")</f>
        <v>View Map</v>
      </c>
    </row>
    <row r="5139" spans="1:7" x14ac:dyDescent="0.3">
      <c r="A5139" t="s">
        <v>2867</v>
      </c>
      <c r="B5139" t="s">
        <v>9051</v>
      </c>
      <c r="C5139" t="s">
        <v>8</v>
      </c>
      <c r="D5139">
        <v>2.129</v>
      </c>
      <c r="E5139">
        <v>681</v>
      </c>
      <c r="F5139" t="str">
        <f>HYPERLINK("https://www.google.com/maps/search/?api=1&amp;query=24.75773081,46.71722487", "View Map")</f>
        <v>View Map</v>
      </c>
    </row>
    <row r="5140" spans="1:7" x14ac:dyDescent="0.3">
      <c r="A5140" t="s">
        <v>7403</v>
      </c>
      <c r="B5140" t="s">
        <v>7404</v>
      </c>
      <c r="C5140" t="s">
        <v>21</v>
      </c>
      <c r="D5140">
        <v>2.1280000000000001</v>
      </c>
      <c r="E5140">
        <v>681</v>
      </c>
      <c r="F5140" t="str">
        <f>HYPERLINK("https://www.google.com/maps/search/?api=1&amp;query=26.25151732,44.80696679", "View Map")</f>
        <v>View Map</v>
      </c>
      <c r="G5140" s="2">
        <v>0.40559204224971529</v>
      </c>
    </row>
    <row r="5141" spans="1:7" x14ac:dyDescent="0.3">
      <c r="A5141" t="s">
        <v>10311</v>
      </c>
      <c r="B5141" t="s">
        <v>10312</v>
      </c>
      <c r="C5141" t="s">
        <v>137</v>
      </c>
      <c r="D5141">
        <v>2.1280000000000001</v>
      </c>
      <c r="E5141">
        <v>681</v>
      </c>
      <c r="F5141" t="str">
        <f>HYPERLINK("https://www.google.com/maps/search/?api=1&amp;query=23.43296608,46.78970342", "View Map")</f>
        <v>View Map</v>
      </c>
    </row>
    <row r="5142" spans="1:7" x14ac:dyDescent="0.3">
      <c r="A5142" t="s">
        <v>146</v>
      </c>
      <c r="B5142" t="s">
        <v>11878</v>
      </c>
      <c r="C5142" t="s">
        <v>8</v>
      </c>
      <c r="D5142">
        <v>2.1269999999999998</v>
      </c>
      <c r="E5142">
        <v>680</v>
      </c>
      <c r="F5142" t="str">
        <f>HYPERLINK("https://www.google.com/maps/search/?api=1&amp;query=24.54871884,46.57095762", "View Map")</f>
        <v>View Map</v>
      </c>
    </row>
    <row r="5143" spans="1:7" x14ac:dyDescent="0.3">
      <c r="A5143" t="s">
        <v>8874</v>
      </c>
      <c r="B5143" t="s">
        <v>8875</v>
      </c>
      <c r="C5143" t="s">
        <v>393</v>
      </c>
      <c r="D5143">
        <v>2.1269999999999998</v>
      </c>
      <c r="E5143">
        <v>681</v>
      </c>
      <c r="F5143" t="str">
        <f>HYPERLINK("https://www.google.com/maps/search/?api=1&amp;query=22.75556498,44.92774773", "View Map")</f>
        <v>View Map</v>
      </c>
      <c r="G5143" s="2">
        <v>0.82416381841568465</v>
      </c>
    </row>
    <row r="5144" spans="1:7" x14ac:dyDescent="0.3">
      <c r="A5144" t="s">
        <v>10118</v>
      </c>
      <c r="B5144" t="s">
        <v>10119</v>
      </c>
      <c r="C5144" t="s">
        <v>241</v>
      </c>
      <c r="D5144">
        <v>2.1269999999999998</v>
      </c>
      <c r="E5144">
        <v>681</v>
      </c>
      <c r="F5144" t="str">
        <f>HYPERLINK("https://www.google.com/maps/search/?api=1&amp;query=20.43206224,44.89612837", "View Map")</f>
        <v>View Map</v>
      </c>
      <c r="G5144" s="2">
        <v>0.93409404704128884</v>
      </c>
    </row>
    <row r="5145" spans="1:7" x14ac:dyDescent="0.3">
      <c r="A5145" t="s">
        <v>11879</v>
      </c>
      <c r="B5145" t="s">
        <v>11880</v>
      </c>
      <c r="C5145" t="s">
        <v>255</v>
      </c>
      <c r="D5145">
        <v>2.1269999999999998</v>
      </c>
      <c r="E5145">
        <v>681</v>
      </c>
      <c r="F5145" t="str">
        <f>HYPERLINK("https://www.google.com/maps/search/?api=1&amp;query=24.01000729,43.61691693", "View Map")</f>
        <v>View Map</v>
      </c>
      <c r="G5145" s="2">
        <v>0.7633908894485828</v>
      </c>
    </row>
    <row r="5146" spans="1:7" x14ac:dyDescent="0.3">
      <c r="A5146" t="s">
        <v>10160</v>
      </c>
      <c r="B5146" t="s">
        <v>10161</v>
      </c>
      <c r="C5146" t="s">
        <v>255</v>
      </c>
      <c r="D5146">
        <v>2.1259999999999999</v>
      </c>
      <c r="E5146">
        <v>680</v>
      </c>
      <c r="F5146" t="str">
        <f>HYPERLINK("https://www.google.com/maps/search/?api=1&amp;query=25.01688057,43.83679136", "View Map")</f>
        <v>View Map</v>
      </c>
      <c r="G5146" s="2">
        <v>0.7464046611119719</v>
      </c>
    </row>
    <row r="5147" spans="1:7" x14ac:dyDescent="0.3">
      <c r="A5147" t="s">
        <v>9268</v>
      </c>
      <c r="B5147" t="s">
        <v>9269</v>
      </c>
      <c r="C5147" t="s">
        <v>8</v>
      </c>
      <c r="D5147">
        <v>2.1259999999999999</v>
      </c>
      <c r="E5147">
        <v>680</v>
      </c>
      <c r="F5147" t="str">
        <f>HYPERLINK("https://www.google.com/maps/search/?api=1&amp;query=24.66317475,46.74798688", "View Map")</f>
        <v>View Map</v>
      </c>
    </row>
    <row r="5148" spans="1:7" x14ac:dyDescent="0.3">
      <c r="A5148" t="s">
        <v>8332</v>
      </c>
      <c r="B5148" t="s">
        <v>8333</v>
      </c>
      <c r="C5148" t="s">
        <v>8</v>
      </c>
      <c r="D5148">
        <v>2.1259999999999999</v>
      </c>
      <c r="E5148">
        <v>680</v>
      </c>
      <c r="F5148" t="str">
        <f>HYPERLINK("https://www.google.com/maps/search/?api=1&amp;query=24.60674023,46.71569212", "View Map")</f>
        <v>View Map</v>
      </c>
    </row>
    <row r="5149" spans="1:7" x14ac:dyDescent="0.3">
      <c r="A5149" t="s">
        <v>10534</v>
      </c>
      <c r="B5149" t="s">
        <v>10535</v>
      </c>
      <c r="C5149" t="s">
        <v>241</v>
      </c>
      <c r="D5149">
        <v>2.1259999999999999</v>
      </c>
      <c r="E5149">
        <v>680</v>
      </c>
      <c r="F5149" t="str">
        <f>HYPERLINK("https://www.google.com/maps/search/?api=1&amp;query=20.4369,44.8533", "View Map")</f>
        <v>View Map</v>
      </c>
      <c r="G5149" s="2">
        <v>0.59329481209077006</v>
      </c>
    </row>
    <row r="5150" spans="1:7" x14ac:dyDescent="0.3">
      <c r="A5150" t="s">
        <v>46</v>
      </c>
      <c r="B5150" t="s">
        <v>8886</v>
      </c>
      <c r="C5150" t="s">
        <v>8</v>
      </c>
      <c r="D5150">
        <v>2.1259999999999999</v>
      </c>
      <c r="E5150">
        <v>680</v>
      </c>
      <c r="F5150" t="str">
        <f>HYPERLINK("https://www.google.com/maps/search/?api=1&amp;query=24.74941284,46.75568755", "View Map")</f>
        <v>View Map</v>
      </c>
    </row>
    <row r="5151" spans="1:7" x14ac:dyDescent="0.3">
      <c r="A5151" t="s">
        <v>4514</v>
      </c>
      <c r="B5151" t="s">
        <v>4515</v>
      </c>
      <c r="C5151" t="s">
        <v>8</v>
      </c>
      <c r="D5151">
        <v>2.1240000000000001</v>
      </c>
      <c r="E5151">
        <v>680</v>
      </c>
      <c r="F5151" t="str">
        <f>HYPERLINK("https://www.google.com/maps/search/?api=1&amp;query=24.55931226,46.70118497", "View Map")</f>
        <v>View Map</v>
      </c>
    </row>
    <row r="5152" spans="1:7" x14ac:dyDescent="0.3">
      <c r="A5152" t="s">
        <v>8390</v>
      </c>
      <c r="B5152" t="s">
        <v>8391</v>
      </c>
      <c r="C5152" t="s">
        <v>270</v>
      </c>
      <c r="D5152">
        <v>2.1230000000000002</v>
      </c>
      <c r="E5152">
        <v>679</v>
      </c>
      <c r="F5152" t="str">
        <f>HYPERLINK("https://www.google.com/maps/search/?api=1&amp;query=23.96402408,47.11624809", "View Map")</f>
        <v>View Map</v>
      </c>
      <c r="G5152" s="2">
        <v>0.3829031958956744</v>
      </c>
    </row>
    <row r="5153" spans="1:7" x14ac:dyDescent="0.3">
      <c r="A5153" t="s">
        <v>11881</v>
      </c>
      <c r="B5153" t="s">
        <v>11882</v>
      </c>
      <c r="C5153" t="s">
        <v>8</v>
      </c>
      <c r="D5153">
        <v>2.1219999999999999</v>
      </c>
      <c r="E5153">
        <v>679</v>
      </c>
      <c r="F5153" t="str">
        <f>HYPERLINK("https://www.google.com/maps/search/?api=1&amp;query=24.57072287,46.68936209", "View Map")</f>
        <v>View Map</v>
      </c>
    </row>
    <row r="5154" spans="1:7" x14ac:dyDescent="0.3">
      <c r="A5154" t="s">
        <v>5634</v>
      </c>
      <c r="B5154" t="s">
        <v>5635</v>
      </c>
      <c r="C5154" t="s">
        <v>255</v>
      </c>
      <c r="D5154">
        <v>2.121</v>
      </c>
      <c r="E5154">
        <v>679</v>
      </c>
      <c r="F5154" t="str">
        <f>HYPERLINK("https://www.google.com/maps/search/?api=1&amp;query=24.50703751,44.39278844", "View Map")</f>
        <v>View Map</v>
      </c>
    </row>
    <row r="5155" spans="1:7" x14ac:dyDescent="0.3">
      <c r="A5155" t="s">
        <v>9213</v>
      </c>
      <c r="B5155" t="s">
        <v>9214</v>
      </c>
      <c r="C5155" t="s">
        <v>8</v>
      </c>
      <c r="D5155">
        <v>2.121</v>
      </c>
      <c r="E5155">
        <v>679</v>
      </c>
      <c r="F5155" t="str">
        <f>HYPERLINK("https://www.google.com/maps/search/?api=1&amp;query=24.65797704,46.73843886", "View Map")</f>
        <v>View Map</v>
      </c>
    </row>
    <row r="5156" spans="1:7" x14ac:dyDescent="0.3">
      <c r="A5156" t="s">
        <v>2028</v>
      </c>
      <c r="B5156" t="s">
        <v>2029</v>
      </c>
      <c r="C5156" t="s">
        <v>8</v>
      </c>
      <c r="D5156">
        <v>2.121</v>
      </c>
      <c r="E5156">
        <v>679</v>
      </c>
      <c r="F5156" t="str">
        <f>HYPERLINK("https://www.google.com/maps/search/?api=1&amp;query=24.61708804,46.82126102", "View Map")</f>
        <v>View Map</v>
      </c>
    </row>
    <row r="5157" spans="1:7" x14ac:dyDescent="0.3">
      <c r="A5157" t="s">
        <v>10792</v>
      </c>
      <c r="B5157" t="s">
        <v>10793</v>
      </c>
      <c r="C5157" t="s">
        <v>442</v>
      </c>
      <c r="D5157">
        <v>2.121</v>
      </c>
      <c r="E5157">
        <v>679</v>
      </c>
      <c r="F5157" t="str">
        <f>HYPERLINK("https://www.google.com/maps/search/?api=1&amp;query=23.61621101,46.63609187", "View Map")</f>
        <v>View Map</v>
      </c>
      <c r="G5157" s="2">
        <v>0.45440143444710618</v>
      </c>
    </row>
    <row r="5158" spans="1:7" x14ac:dyDescent="0.3">
      <c r="A5158" t="s">
        <v>6786</v>
      </c>
      <c r="B5158" t="s">
        <v>6787</v>
      </c>
      <c r="C5158" t="s">
        <v>8</v>
      </c>
      <c r="D5158">
        <v>2.121</v>
      </c>
      <c r="E5158">
        <v>679</v>
      </c>
      <c r="F5158" t="str">
        <f>HYPERLINK("https://www.google.com/maps/search/?api=1&amp;query=24.63398037,46.70505504", "View Map")</f>
        <v>View Map</v>
      </c>
    </row>
    <row r="5159" spans="1:7" x14ac:dyDescent="0.3">
      <c r="A5159" t="s">
        <v>2763</v>
      </c>
      <c r="B5159" t="s">
        <v>2764</v>
      </c>
      <c r="C5159" t="s">
        <v>8</v>
      </c>
      <c r="D5159">
        <v>2.121</v>
      </c>
      <c r="E5159">
        <v>679</v>
      </c>
      <c r="F5159" t="str">
        <f>HYPERLINK("https://www.google.com/maps/search/?api=1&amp;query=24.57384886,46.71337917", "View Map")</f>
        <v>View Map</v>
      </c>
    </row>
    <row r="5160" spans="1:7" x14ac:dyDescent="0.3">
      <c r="A5160" t="s">
        <v>1883</v>
      </c>
      <c r="B5160" t="s">
        <v>1884</v>
      </c>
      <c r="C5160" t="s">
        <v>30</v>
      </c>
      <c r="D5160">
        <v>2.121</v>
      </c>
      <c r="E5160">
        <v>679</v>
      </c>
      <c r="F5160" t="str">
        <f>HYPERLINK("https://www.google.com/maps/search/?api=1&amp;query=24.15955528,47.31240072", "View Map")</f>
        <v>View Map</v>
      </c>
    </row>
    <row r="5161" spans="1:7" x14ac:dyDescent="0.3">
      <c r="A5161" t="s">
        <v>5985</v>
      </c>
      <c r="B5161" t="s">
        <v>5986</v>
      </c>
      <c r="C5161" t="s">
        <v>8</v>
      </c>
      <c r="D5161">
        <v>2.1190000000000002</v>
      </c>
      <c r="E5161">
        <v>678</v>
      </c>
      <c r="F5161" t="str">
        <f>HYPERLINK("https://www.google.com/maps/search/?api=1&amp;query=24.75719664,46.80775008", "View Map")</f>
        <v>View Map</v>
      </c>
    </row>
    <row r="5162" spans="1:7" x14ac:dyDescent="0.3">
      <c r="A5162" t="s">
        <v>7585</v>
      </c>
      <c r="B5162" t="s">
        <v>7586</v>
      </c>
      <c r="C5162" t="s">
        <v>8</v>
      </c>
      <c r="D5162">
        <v>2.1190000000000002</v>
      </c>
      <c r="E5162">
        <v>678</v>
      </c>
      <c r="F5162" t="str">
        <f>HYPERLINK("https://www.google.com/maps/search/?api=1&amp;query=24.80691605,46.64255231", "View Map")</f>
        <v>View Map</v>
      </c>
    </row>
    <row r="5163" spans="1:7" x14ac:dyDescent="0.3">
      <c r="A5163" t="s">
        <v>8371</v>
      </c>
      <c r="B5163" t="s">
        <v>11883</v>
      </c>
      <c r="C5163" t="s">
        <v>8</v>
      </c>
      <c r="D5163">
        <v>2.1190000000000002</v>
      </c>
      <c r="E5163">
        <v>678</v>
      </c>
      <c r="F5163" t="str">
        <f>HYPERLINK("https://www.google.com/maps/search/?api=1&amp;query=24.59762345,46.75904314", "View Map")</f>
        <v>View Map</v>
      </c>
    </row>
    <row r="5164" spans="1:7" x14ac:dyDescent="0.3">
      <c r="A5164" t="s">
        <v>146</v>
      </c>
      <c r="B5164" t="s">
        <v>10440</v>
      </c>
      <c r="C5164" t="s">
        <v>8</v>
      </c>
      <c r="D5164">
        <v>2.1190000000000002</v>
      </c>
      <c r="E5164">
        <v>678</v>
      </c>
      <c r="F5164" t="str">
        <f>HYPERLINK("https://www.google.com/maps/search/?api=1&amp;query=24.5056,46.7317", "View Map")</f>
        <v>View Map</v>
      </c>
    </row>
    <row r="5165" spans="1:7" x14ac:dyDescent="0.3">
      <c r="A5165" t="s">
        <v>8321</v>
      </c>
      <c r="B5165" t="s">
        <v>8322</v>
      </c>
      <c r="C5165" t="s">
        <v>286</v>
      </c>
      <c r="D5165">
        <v>2.1190000000000002</v>
      </c>
      <c r="E5165">
        <v>678</v>
      </c>
      <c r="F5165" t="str">
        <f>HYPERLINK("https://www.google.com/maps/search/?api=1&amp;query=25.44599274,45.40142938", "View Map")</f>
        <v>View Map</v>
      </c>
      <c r="G5165" s="2">
        <v>0.44809984482098048</v>
      </c>
    </row>
    <row r="5166" spans="1:7" x14ac:dyDescent="0.3">
      <c r="A5166" t="s">
        <v>7813</v>
      </c>
      <c r="B5166" t="s">
        <v>7814</v>
      </c>
      <c r="C5166" t="s">
        <v>8</v>
      </c>
      <c r="D5166">
        <v>2.1190000000000002</v>
      </c>
      <c r="E5166">
        <v>678</v>
      </c>
      <c r="F5166" t="str">
        <f>HYPERLINK("https://www.google.com/maps/search/?api=1&amp;query=24.74263424,46.82524651", "View Map")</f>
        <v>View Map</v>
      </c>
    </row>
    <row r="5167" spans="1:7" x14ac:dyDescent="0.3">
      <c r="A5167" t="s">
        <v>9413</v>
      </c>
      <c r="B5167" t="s">
        <v>9414</v>
      </c>
      <c r="C5167" t="s">
        <v>21</v>
      </c>
      <c r="D5167">
        <v>2.1179999999999999</v>
      </c>
      <c r="E5167">
        <v>678</v>
      </c>
      <c r="F5167" t="str">
        <f>HYPERLINK("https://www.google.com/maps/search/?api=1&amp;query=26.32543007,44.79288366", "View Map")</f>
        <v>View Map</v>
      </c>
    </row>
    <row r="5168" spans="1:7" x14ac:dyDescent="0.3">
      <c r="A5168" t="s">
        <v>2256</v>
      </c>
      <c r="B5168" t="s">
        <v>8345</v>
      </c>
      <c r="C5168" t="s">
        <v>8</v>
      </c>
      <c r="D5168">
        <v>2.1179999999999999</v>
      </c>
      <c r="E5168">
        <v>678</v>
      </c>
      <c r="F5168" t="str">
        <f>HYPERLINK("https://www.google.com/maps/search/?api=1&amp;query=24.82060625,46.88149569", "View Map")</f>
        <v>View Map</v>
      </c>
    </row>
    <row r="5169" spans="1:7" x14ac:dyDescent="0.3">
      <c r="A5169" t="s">
        <v>28</v>
      </c>
      <c r="B5169" t="s">
        <v>8103</v>
      </c>
      <c r="C5169" t="s">
        <v>30</v>
      </c>
      <c r="D5169">
        <v>2.117</v>
      </c>
      <c r="E5169">
        <v>677</v>
      </c>
      <c r="F5169" t="str">
        <f>HYPERLINK("https://www.google.com/maps/search/?api=1&amp;query=24.09418362,47.29642547", "View Map")</f>
        <v>View Map</v>
      </c>
    </row>
    <row r="5170" spans="1:7" x14ac:dyDescent="0.3">
      <c r="A5170" t="s">
        <v>5612</v>
      </c>
      <c r="B5170" t="s">
        <v>5613</v>
      </c>
      <c r="C5170" t="s">
        <v>4447</v>
      </c>
      <c r="D5170">
        <v>2.1160000000000001</v>
      </c>
      <c r="E5170">
        <v>677</v>
      </c>
      <c r="F5170" t="str">
        <f>HYPERLINK("https://www.google.com/maps/search/?api=1&amp;query=24.23117298,41.73661888", "View Map")</f>
        <v>View Map</v>
      </c>
    </row>
    <row r="5171" spans="1:7" x14ac:dyDescent="0.3">
      <c r="A5171" t="s">
        <v>7375</v>
      </c>
      <c r="B5171" t="s">
        <v>7376</v>
      </c>
      <c r="C5171" t="s">
        <v>8</v>
      </c>
      <c r="D5171">
        <v>2.1160000000000001</v>
      </c>
      <c r="E5171">
        <v>677</v>
      </c>
      <c r="F5171" t="str">
        <f>HYPERLINK("https://www.google.com/maps/search/?api=1&amp;query=24.61205914,46.73509434", "View Map")</f>
        <v>View Map</v>
      </c>
    </row>
    <row r="5172" spans="1:7" x14ac:dyDescent="0.3">
      <c r="A5172" t="s">
        <v>8044</v>
      </c>
      <c r="B5172" t="s">
        <v>8045</v>
      </c>
      <c r="C5172" t="s">
        <v>8</v>
      </c>
      <c r="D5172">
        <v>2.1160000000000001</v>
      </c>
      <c r="E5172">
        <v>677</v>
      </c>
      <c r="F5172" t="str">
        <f>HYPERLINK("https://www.google.com/maps/search/?api=1&amp;query=24.56541635,46.6667779", "View Map")</f>
        <v>View Map</v>
      </c>
    </row>
    <row r="5173" spans="1:7" x14ac:dyDescent="0.3">
      <c r="A5173" t="s">
        <v>11021</v>
      </c>
      <c r="B5173" t="s">
        <v>11022</v>
      </c>
      <c r="C5173" t="s">
        <v>255</v>
      </c>
      <c r="D5173">
        <v>2.1160000000000001</v>
      </c>
      <c r="E5173">
        <v>677</v>
      </c>
      <c r="F5173" t="str">
        <f>HYPERLINK("https://www.google.com/maps/search/?api=1&amp;query=23.9083372,44.6317067", "View Map")</f>
        <v>View Map</v>
      </c>
    </row>
    <row r="5174" spans="1:7" x14ac:dyDescent="0.3">
      <c r="A5174" t="s">
        <v>1143</v>
      </c>
      <c r="B5174" t="s">
        <v>3834</v>
      </c>
      <c r="C5174" t="s">
        <v>296</v>
      </c>
      <c r="D5174">
        <v>2.1150000000000002</v>
      </c>
      <c r="E5174">
        <v>677</v>
      </c>
      <c r="F5174" t="str">
        <f>HYPERLINK("https://www.google.com/maps/search/?api=1&amp;query=24.46629556,46.30265167", "View Map")</f>
        <v>View Map</v>
      </c>
      <c r="G5174" s="2">
        <v>0.2084350765325827</v>
      </c>
    </row>
    <row r="5175" spans="1:7" x14ac:dyDescent="0.3">
      <c r="A5175" t="s">
        <v>8084</v>
      </c>
      <c r="B5175" t="s">
        <v>8085</v>
      </c>
      <c r="C5175" t="s">
        <v>8</v>
      </c>
      <c r="D5175">
        <v>2.1139999999999999</v>
      </c>
      <c r="E5175">
        <v>676</v>
      </c>
      <c r="F5175" t="str">
        <f>HYPERLINK("https://www.google.com/maps/search/?api=1&amp;query=24.50055693,46.64093651", "View Map")</f>
        <v>View Map</v>
      </c>
      <c r="G5175" s="2">
        <v>0.37442159526349239</v>
      </c>
    </row>
    <row r="5176" spans="1:7" x14ac:dyDescent="0.3">
      <c r="A5176" t="s">
        <v>1307</v>
      </c>
      <c r="B5176" t="s">
        <v>1308</v>
      </c>
      <c r="C5176" t="s">
        <v>8</v>
      </c>
      <c r="D5176">
        <v>2.1120000000000001</v>
      </c>
      <c r="E5176">
        <v>676</v>
      </c>
      <c r="F5176" t="str">
        <f>HYPERLINK("https://www.google.com/maps/search/?api=1&amp;query=24.7111442,46.84666224", "View Map")</f>
        <v>View Map</v>
      </c>
      <c r="G5176" s="2">
        <v>0.1022241846709932</v>
      </c>
    </row>
    <row r="5177" spans="1:7" x14ac:dyDescent="0.3">
      <c r="A5177" t="s">
        <v>9548</v>
      </c>
      <c r="B5177" t="s">
        <v>9549</v>
      </c>
      <c r="C5177" t="s">
        <v>8</v>
      </c>
      <c r="D5177">
        <v>2.1120000000000001</v>
      </c>
      <c r="E5177">
        <v>676</v>
      </c>
      <c r="F5177" t="str">
        <f>HYPERLINK("https://www.google.com/maps/search/?api=1&amp;query=24.72586502,46.81782594", "View Map")</f>
        <v>View Map</v>
      </c>
    </row>
    <row r="5178" spans="1:7" x14ac:dyDescent="0.3">
      <c r="A5178" t="s">
        <v>2867</v>
      </c>
      <c r="B5178" t="s">
        <v>8771</v>
      </c>
      <c r="C5178" t="s">
        <v>8</v>
      </c>
      <c r="D5178">
        <v>2.1120000000000001</v>
      </c>
      <c r="E5178">
        <v>676</v>
      </c>
      <c r="F5178" t="str">
        <f>HYPERLINK("https://www.google.com/maps/search/?api=1&amp;query=24.69353957,46.65582085", "View Map")</f>
        <v>View Map</v>
      </c>
    </row>
    <row r="5179" spans="1:7" x14ac:dyDescent="0.3">
      <c r="A5179" t="s">
        <v>10334</v>
      </c>
      <c r="B5179" t="s">
        <v>10335</v>
      </c>
      <c r="C5179" t="s">
        <v>55</v>
      </c>
      <c r="D5179">
        <v>2.1120000000000001</v>
      </c>
      <c r="E5179">
        <v>676</v>
      </c>
      <c r="F5179" t="str">
        <f>HYPERLINK("https://www.google.com/maps/search/?api=1&amp;query=24.75448262,46.56772563", "View Map")</f>
        <v>View Map</v>
      </c>
    </row>
    <row r="5180" spans="1:7" x14ac:dyDescent="0.3">
      <c r="A5180" t="s">
        <v>8757</v>
      </c>
      <c r="B5180" t="s">
        <v>8758</v>
      </c>
      <c r="C5180" t="s">
        <v>8</v>
      </c>
      <c r="D5180">
        <v>2.1120000000000001</v>
      </c>
      <c r="E5180">
        <v>676</v>
      </c>
      <c r="F5180" t="str">
        <f>HYPERLINK("https://www.google.com/maps/search/?api=1&amp;query=24.74114359,46.83374039", "View Map")</f>
        <v>View Map</v>
      </c>
    </row>
    <row r="5181" spans="1:7" x14ac:dyDescent="0.3">
      <c r="A5181" t="s">
        <v>7794</v>
      </c>
      <c r="B5181" t="s">
        <v>7795</v>
      </c>
      <c r="C5181" t="s">
        <v>21</v>
      </c>
      <c r="D5181">
        <v>2.1110000000000002</v>
      </c>
      <c r="E5181">
        <v>676</v>
      </c>
      <c r="F5181" t="str">
        <f>HYPERLINK("https://www.google.com/maps/search/?api=1&amp;query=26.29597391,44.83617347", "View Map")</f>
        <v>View Map</v>
      </c>
    </row>
    <row r="5182" spans="1:7" x14ac:dyDescent="0.3">
      <c r="A5182" t="s">
        <v>8762</v>
      </c>
      <c r="B5182" t="s">
        <v>8763</v>
      </c>
      <c r="C5182" t="s">
        <v>393</v>
      </c>
      <c r="D5182">
        <v>2.1110000000000002</v>
      </c>
      <c r="E5182">
        <v>676</v>
      </c>
      <c r="F5182" t="str">
        <f>HYPERLINK("https://www.google.com/maps/search/?api=1&amp;query=23.670903,45.39047607", "View Map")</f>
        <v>View Map</v>
      </c>
      <c r="G5182" s="2">
        <v>0.61297256903170183</v>
      </c>
    </row>
    <row r="5183" spans="1:7" x14ac:dyDescent="0.3">
      <c r="A5183" t="s">
        <v>5313</v>
      </c>
      <c r="B5183" t="s">
        <v>5314</v>
      </c>
      <c r="C5183" t="s">
        <v>30</v>
      </c>
      <c r="D5183">
        <v>2.1110000000000002</v>
      </c>
      <c r="E5183">
        <v>676</v>
      </c>
      <c r="F5183" t="str">
        <f>HYPERLINK("https://www.google.com/maps/search/?api=1&amp;query=24.13782953,47.29136503", "View Map")</f>
        <v>View Map</v>
      </c>
    </row>
    <row r="5184" spans="1:7" x14ac:dyDescent="0.3">
      <c r="A5184" t="s">
        <v>2140</v>
      </c>
      <c r="B5184" t="s">
        <v>2141</v>
      </c>
      <c r="C5184" t="s">
        <v>241</v>
      </c>
      <c r="D5184">
        <v>2.11</v>
      </c>
      <c r="E5184">
        <v>675</v>
      </c>
      <c r="F5184" t="str">
        <f>HYPERLINK("https://www.google.com/maps/search/?api=1&amp;query=20.47127647,44.79374548", "View Map")</f>
        <v>View Map</v>
      </c>
      <c r="G5184" s="2">
        <v>0.1151085587559891</v>
      </c>
    </row>
    <row r="5185" spans="1:7" x14ac:dyDescent="0.3">
      <c r="A5185" t="s">
        <v>1002</v>
      </c>
      <c r="B5185" t="s">
        <v>7184</v>
      </c>
      <c r="C5185" t="s">
        <v>214</v>
      </c>
      <c r="D5185">
        <v>2.11</v>
      </c>
      <c r="E5185">
        <v>675</v>
      </c>
      <c r="F5185" t="str">
        <f>HYPERLINK("https://www.google.com/maps/search/?api=1&amp;query=25.91948315,45.40002801", "View Map")</f>
        <v>View Map</v>
      </c>
      <c r="G5185" s="2">
        <v>0.31752362948552171</v>
      </c>
    </row>
    <row r="5186" spans="1:7" x14ac:dyDescent="0.3">
      <c r="A5186" t="s">
        <v>11884</v>
      </c>
      <c r="B5186" t="s">
        <v>11885</v>
      </c>
      <c r="C5186" t="s">
        <v>393</v>
      </c>
      <c r="D5186">
        <v>2.11</v>
      </c>
      <c r="E5186">
        <v>675</v>
      </c>
      <c r="F5186" t="str">
        <f>HYPERLINK("https://www.google.com/maps/search/?api=1&amp;query=23.59269361,45.43421135", "View Map")</f>
        <v>View Map</v>
      </c>
      <c r="G5186" s="2">
        <v>0.65242710552276451</v>
      </c>
    </row>
    <row r="5187" spans="1:7" x14ac:dyDescent="0.3">
      <c r="A5187" t="s">
        <v>11886</v>
      </c>
      <c r="B5187" t="s">
        <v>11887</v>
      </c>
      <c r="C5187" t="s">
        <v>8</v>
      </c>
      <c r="D5187">
        <v>2.11</v>
      </c>
      <c r="E5187">
        <v>675</v>
      </c>
      <c r="F5187" t="str">
        <f>HYPERLINK("https://www.google.com/maps/search/?api=1&amp;query=24.58764209,46.54654715", "View Map")</f>
        <v>View Map</v>
      </c>
    </row>
    <row r="5188" spans="1:7" x14ac:dyDescent="0.3">
      <c r="A5188" t="s">
        <v>2168</v>
      </c>
      <c r="B5188" t="s">
        <v>10625</v>
      </c>
      <c r="C5188" t="s">
        <v>393</v>
      </c>
      <c r="D5188">
        <v>2.109</v>
      </c>
      <c r="E5188">
        <v>675</v>
      </c>
      <c r="F5188" t="str">
        <f>HYPERLINK("https://www.google.com/maps/search/?api=1&amp;query=23.2494467,45.56749194", "View Map")</f>
        <v>View Map</v>
      </c>
      <c r="G5188" s="2">
        <v>0.56234401194524186</v>
      </c>
    </row>
    <row r="5189" spans="1:7" x14ac:dyDescent="0.3">
      <c r="A5189" t="s">
        <v>11888</v>
      </c>
      <c r="B5189" t="s">
        <v>11889</v>
      </c>
      <c r="C5189" t="s">
        <v>393</v>
      </c>
      <c r="D5189">
        <v>2.1080000000000001</v>
      </c>
      <c r="E5189">
        <v>675</v>
      </c>
      <c r="F5189" t="str">
        <f>HYPERLINK("https://www.google.com/maps/search/?api=1&amp;query=22.67433345,44.855622", "View Map")</f>
        <v>View Map</v>
      </c>
      <c r="G5189" s="2">
        <v>0.7913171444088859</v>
      </c>
    </row>
    <row r="5190" spans="1:7" x14ac:dyDescent="0.3">
      <c r="A5190" t="s">
        <v>5989</v>
      </c>
      <c r="B5190" t="s">
        <v>5990</v>
      </c>
      <c r="C5190" t="s">
        <v>8</v>
      </c>
      <c r="D5190">
        <v>2.1080000000000001</v>
      </c>
      <c r="E5190">
        <v>675</v>
      </c>
      <c r="F5190" t="str">
        <f>HYPERLINK("https://www.google.com/maps/search/?api=1&amp;query=24.58693637,46.76576371", "View Map")</f>
        <v>View Map</v>
      </c>
    </row>
    <row r="5191" spans="1:7" x14ac:dyDescent="0.3">
      <c r="A5191" t="s">
        <v>1349</v>
      </c>
      <c r="B5191" t="s">
        <v>9694</v>
      </c>
      <c r="C5191" t="s">
        <v>270</v>
      </c>
      <c r="D5191">
        <v>2.1070000000000002</v>
      </c>
      <c r="E5191">
        <v>674</v>
      </c>
      <c r="F5191" t="str">
        <f>HYPERLINK("https://www.google.com/maps/search/?api=1&amp;query=23.99331,47.16564", "View Map")</f>
        <v>View Map</v>
      </c>
      <c r="G5191" s="2">
        <v>0.540784710426227</v>
      </c>
    </row>
    <row r="5192" spans="1:7" x14ac:dyDescent="0.3">
      <c r="A5192" t="s">
        <v>146</v>
      </c>
      <c r="B5192" t="s">
        <v>9743</v>
      </c>
      <c r="C5192" t="s">
        <v>8</v>
      </c>
      <c r="D5192">
        <v>2.1070000000000002</v>
      </c>
      <c r="E5192">
        <v>674</v>
      </c>
      <c r="F5192" t="str">
        <f>HYPERLINK("https://www.google.com/maps/search/?api=1&amp;query=24.55294949,46.60694872", "View Map")</f>
        <v>View Map</v>
      </c>
    </row>
    <row r="5193" spans="1:7" x14ac:dyDescent="0.3">
      <c r="A5193" t="s">
        <v>8242</v>
      </c>
      <c r="B5193" t="s">
        <v>8243</v>
      </c>
      <c r="C5193" t="s">
        <v>30</v>
      </c>
      <c r="D5193">
        <v>2.1070000000000002</v>
      </c>
      <c r="E5193">
        <v>674</v>
      </c>
      <c r="F5193" t="str">
        <f>HYPERLINK("https://www.google.com/maps/search/?api=1&amp;query=24.17338817,47.34686633", "View Map")</f>
        <v>View Map</v>
      </c>
      <c r="G5193" s="2">
        <v>0.41662163677260861</v>
      </c>
    </row>
    <row r="5194" spans="1:7" x14ac:dyDescent="0.3">
      <c r="A5194" t="s">
        <v>7615</v>
      </c>
      <c r="B5194" t="s">
        <v>7616</v>
      </c>
      <c r="C5194" t="s">
        <v>137</v>
      </c>
      <c r="D5194">
        <v>2.105</v>
      </c>
      <c r="E5194">
        <v>674</v>
      </c>
      <c r="F5194" t="str">
        <f>HYPERLINK("https://www.google.com/maps/search/?api=1&amp;query=23.43075733,46.78867726", "View Map")</f>
        <v>View Map</v>
      </c>
      <c r="G5194" s="2">
        <v>0.32208414415652897</v>
      </c>
    </row>
    <row r="5195" spans="1:7" x14ac:dyDescent="0.3">
      <c r="A5195" t="s">
        <v>9814</v>
      </c>
      <c r="B5195" t="s">
        <v>9815</v>
      </c>
      <c r="C5195" t="s">
        <v>291</v>
      </c>
      <c r="D5195">
        <v>2.105</v>
      </c>
      <c r="E5195">
        <v>674</v>
      </c>
      <c r="F5195" t="str">
        <f>HYPERLINK("https://www.google.com/maps/search/?api=1&amp;query=23.7320364,45.15953822", "View Map")</f>
        <v>View Map</v>
      </c>
      <c r="G5195" s="2">
        <v>0.84057829720398192</v>
      </c>
    </row>
    <row r="5196" spans="1:7" x14ac:dyDescent="0.3">
      <c r="A5196" t="s">
        <v>8860</v>
      </c>
      <c r="B5196" t="s">
        <v>8861</v>
      </c>
      <c r="C5196" t="s">
        <v>8</v>
      </c>
      <c r="D5196">
        <v>2.1040000000000001</v>
      </c>
      <c r="E5196">
        <v>673</v>
      </c>
      <c r="F5196" t="str">
        <f>HYPERLINK("https://www.google.com/maps/search/?api=1&amp;query=24.55726415,46.70992968", "View Map")</f>
        <v>View Map</v>
      </c>
    </row>
    <row r="5197" spans="1:7" x14ac:dyDescent="0.3">
      <c r="A5197" t="s">
        <v>9054</v>
      </c>
      <c r="B5197" t="s">
        <v>9055</v>
      </c>
      <c r="C5197" t="s">
        <v>393</v>
      </c>
      <c r="D5197">
        <v>2.1040000000000001</v>
      </c>
      <c r="E5197">
        <v>673</v>
      </c>
      <c r="F5197" t="str">
        <f>HYPERLINK("https://www.google.com/maps/search/?api=1&amp;query=22.79998449,45.16158818", "View Map")</f>
        <v>View Map</v>
      </c>
      <c r="G5197" s="2">
        <v>0.74476039481209322</v>
      </c>
    </row>
    <row r="5198" spans="1:7" x14ac:dyDescent="0.3">
      <c r="A5198" t="s">
        <v>5093</v>
      </c>
      <c r="B5198" t="s">
        <v>11890</v>
      </c>
      <c r="C5198" t="s">
        <v>255</v>
      </c>
      <c r="D5198">
        <v>2.1040000000000001</v>
      </c>
      <c r="E5198">
        <v>673</v>
      </c>
      <c r="F5198" t="str">
        <f>HYPERLINK("https://www.google.com/maps/search/?api=1&amp;query=24.28399902,43.7268151", "View Map")</f>
        <v>View Map</v>
      </c>
      <c r="G5198" s="2">
        <v>0.48783419175387072</v>
      </c>
    </row>
    <row r="5199" spans="1:7" x14ac:dyDescent="0.3">
      <c r="A5199" t="s">
        <v>289</v>
      </c>
      <c r="B5199" t="s">
        <v>10040</v>
      </c>
      <c r="C5199" t="s">
        <v>291</v>
      </c>
      <c r="D5199">
        <v>2.1040000000000001</v>
      </c>
      <c r="E5199">
        <v>673</v>
      </c>
      <c r="F5199" t="str">
        <f>HYPERLINK("https://www.google.com/maps/search/?api=1&amp;query=24.36746763,45.31252312", "View Map")</f>
        <v>View Map</v>
      </c>
      <c r="G5199" s="2">
        <v>0.81761868763452972</v>
      </c>
    </row>
    <row r="5200" spans="1:7" x14ac:dyDescent="0.3">
      <c r="A5200" t="s">
        <v>678</v>
      </c>
      <c r="B5200" t="s">
        <v>11891</v>
      </c>
      <c r="C5200" t="s">
        <v>21</v>
      </c>
      <c r="D5200">
        <v>2.1040000000000001</v>
      </c>
      <c r="E5200">
        <v>673</v>
      </c>
      <c r="F5200" t="str">
        <f>HYPERLINK("https://www.google.com/maps/search/?api=1&amp;query=26.30585516,44.81860246", "View Map")</f>
        <v>View Map</v>
      </c>
    </row>
    <row r="5201" spans="1:7" x14ac:dyDescent="0.3">
      <c r="A5201" t="s">
        <v>9587</v>
      </c>
      <c r="B5201" t="s">
        <v>9588</v>
      </c>
      <c r="C5201" t="s">
        <v>21</v>
      </c>
      <c r="D5201">
        <v>2.1030000000000002</v>
      </c>
      <c r="E5201">
        <v>673</v>
      </c>
      <c r="F5201" t="str">
        <f>HYPERLINK("https://www.google.com/maps/search/?api=1&amp;query=26.30842404,44.88709897", "View Map")</f>
        <v>View Map</v>
      </c>
      <c r="G5201" s="2">
        <v>0.65699911576773329</v>
      </c>
    </row>
    <row r="5202" spans="1:7" x14ac:dyDescent="0.3">
      <c r="A5202" t="s">
        <v>150</v>
      </c>
      <c r="B5202" t="s">
        <v>9514</v>
      </c>
      <c r="C5202" t="s">
        <v>8</v>
      </c>
      <c r="D5202">
        <v>2.1030000000000002</v>
      </c>
      <c r="E5202">
        <v>673</v>
      </c>
      <c r="F5202" t="str">
        <f>HYPERLINK("https://www.google.com/maps/search/?api=1&amp;query=24.81633837,46.80256587", "View Map")</f>
        <v>View Map</v>
      </c>
    </row>
    <row r="5203" spans="1:7" x14ac:dyDescent="0.3">
      <c r="A5203" t="s">
        <v>11892</v>
      </c>
      <c r="B5203" t="s">
        <v>11893</v>
      </c>
      <c r="C5203" t="s">
        <v>255</v>
      </c>
      <c r="D5203">
        <v>2.1030000000000002</v>
      </c>
      <c r="E5203">
        <v>673</v>
      </c>
      <c r="F5203" t="str">
        <f>HYPERLINK("https://www.google.com/maps/search/?api=1&amp;query=24.54857599,43.92962647", "View Map")</f>
        <v>View Map</v>
      </c>
    </row>
    <row r="5204" spans="1:7" x14ac:dyDescent="0.3">
      <c r="A5204" t="s">
        <v>7185</v>
      </c>
      <c r="B5204" t="s">
        <v>7186</v>
      </c>
      <c r="C5204" t="s">
        <v>8</v>
      </c>
      <c r="D5204">
        <v>2.1019999999999999</v>
      </c>
      <c r="E5204">
        <v>672</v>
      </c>
      <c r="F5204" t="str">
        <f>HYPERLINK("https://www.google.com/maps/search/?api=1&amp;query=24.82343883,46.76047918", "View Map")</f>
        <v>View Map</v>
      </c>
    </row>
    <row r="5205" spans="1:7" x14ac:dyDescent="0.3">
      <c r="A5205" t="s">
        <v>46</v>
      </c>
      <c r="B5205" t="s">
        <v>11894</v>
      </c>
      <c r="C5205" t="s">
        <v>8</v>
      </c>
      <c r="D5205">
        <v>2.1019999999999999</v>
      </c>
      <c r="E5205">
        <v>673</v>
      </c>
      <c r="F5205" t="str">
        <f>HYPERLINK("https://www.google.com/maps/search/?api=1&amp;query=24.66899204,46.71227694", "View Map")</f>
        <v>View Map</v>
      </c>
    </row>
    <row r="5206" spans="1:7" x14ac:dyDescent="0.3">
      <c r="A5206" t="s">
        <v>7714</v>
      </c>
      <c r="B5206" t="s">
        <v>7715</v>
      </c>
      <c r="C5206" t="s">
        <v>8</v>
      </c>
      <c r="D5206">
        <v>2.1019999999999999</v>
      </c>
      <c r="E5206">
        <v>673</v>
      </c>
      <c r="F5206" t="str">
        <f>HYPERLINK("https://www.google.com/maps/search/?api=1&amp;query=24.78675189,46.81888122", "View Map")</f>
        <v>View Map</v>
      </c>
    </row>
    <row r="5207" spans="1:7" x14ac:dyDescent="0.3">
      <c r="A5207" t="s">
        <v>7468</v>
      </c>
      <c r="B5207" t="s">
        <v>7469</v>
      </c>
      <c r="C5207" t="s">
        <v>8</v>
      </c>
      <c r="D5207">
        <v>2.1019999999999999</v>
      </c>
      <c r="E5207">
        <v>673</v>
      </c>
      <c r="F5207" t="str">
        <f>HYPERLINK("https://www.google.com/maps/search/?api=1&amp;query=24.80205412,46.70658444", "View Map")</f>
        <v>View Map</v>
      </c>
    </row>
    <row r="5208" spans="1:7" x14ac:dyDescent="0.3">
      <c r="A5208" t="s">
        <v>10983</v>
      </c>
      <c r="B5208" t="s">
        <v>10984</v>
      </c>
      <c r="C5208" t="s">
        <v>255</v>
      </c>
      <c r="D5208">
        <v>2.101</v>
      </c>
      <c r="E5208">
        <v>672</v>
      </c>
      <c r="F5208" t="str">
        <f>HYPERLINK("https://www.google.com/maps/search/?api=1&amp;query=24.72128834,44.30772929", "View Map")</f>
        <v>View Map</v>
      </c>
      <c r="G5208" s="2">
        <v>0.79373185325053386</v>
      </c>
    </row>
    <row r="5209" spans="1:7" x14ac:dyDescent="0.3">
      <c r="A5209" t="s">
        <v>7753</v>
      </c>
      <c r="B5209" t="s">
        <v>7754</v>
      </c>
      <c r="C5209" t="s">
        <v>8</v>
      </c>
      <c r="D5209">
        <v>2.101</v>
      </c>
      <c r="E5209">
        <v>672</v>
      </c>
      <c r="F5209" t="str">
        <f>HYPERLINK("https://www.google.com/maps/search/?api=1&amp;query=24.57774947,46.70604046", "View Map")</f>
        <v>View Map</v>
      </c>
    </row>
    <row r="5210" spans="1:7" x14ac:dyDescent="0.3">
      <c r="A5210" t="s">
        <v>10996</v>
      </c>
      <c r="B5210" t="s">
        <v>10997</v>
      </c>
      <c r="C5210" t="s">
        <v>8</v>
      </c>
      <c r="D5210">
        <v>2.101</v>
      </c>
      <c r="E5210">
        <v>672</v>
      </c>
      <c r="F5210" t="str">
        <f>HYPERLINK("https://www.google.com/maps/search/?api=1&amp;query=24.56857133,46.54446935", "View Map")</f>
        <v>View Map</v>
      </c>
    </row>
    <row r="5211" spans="1:7" x14ac:dyDescent="0.3">
      <c r="A5211" t="s">
        <v>7373</v>
      </c>
      <c r="B5211" t="s">
        <v>7374</v>
      </c>
      <c r="C5211" t="s">
        <v>270</v>
      </c>
      <c r="D5211">
        <v>2.101</v>
      </c>
      <c r="E5211">
        <v>672</v>
      </c>
      <c r="F5211" t="str">
        <f>HYPERLINK("https://www.google.com/maps/search/?api=1&amp;query=23.99319,47.16886", "View Map")</f>
        <v>View Map</v>
      </c>
    </row>
    <row r="5212" spans="1:7" x14ac:dyDescent="0.3">
      <c r="A5212" t="s">
        <v>4171</v>
      </c>
      <c r="B5212" t="s">
        <v>4172</v>
      </c>
      <c r="C5212" t="s">
        <v>137</v>
      </c>
      <c r="D5212">
        <v>2.101</v>
      </c>
      <c r="E5212">
        <v>672</v>
      </c>
      <c r="F5212" t="str">
        <f>HYPERLINK("https://www.google.com/maps/search/?api=1&amp;query=23.49176337,46.86072997", "View Map")</f>
        <v>View Map</v>
      </c>
      <c r="G5212" s="2">
        <v>0.32905170409442958</v>
      </c>
    </row>
    <row r="5213" spans="1:7" x14ac:dyDescent="0.3">
      <c r="A5213" t="s">
        <v>9074</v>
      </c>
      <c r="B5213" t="s">
        <v>9075</v>
      </c>
      <c r="C5213" t="s">
        <v>296</v>
      </c>
      <c r="D5213">
        <v>2.1</v>
      </c>
      <c r="E5213">
        <v>672</v>
      </c>
      <c r="F5213" t="str">
        <f>HYPERLINK("https://www.google.com/maps/search/?api=1&amp;query=24.48340722,46.05758581", "View Map")</f>
        <v>View Map</v>
      </c>
      <c r="G5213" s="2">
        <v>0.81830542884306823</v>
      </c>
    </row>
    <row r="5214" spans="1:7" x14ac:dyDescent="0.3">
      <c r="A5214" t="s">
        <v>11895</v>
      </c>
      <c r="B5214" t="s">
        <v>11896</v>
      </c>
      <c r="C5214" t="s">
        <v>255</v>
      </c>
      <c r="D5214">
        <v>2.1</v>
      </c>
      <c r="E5214">
        <v>672</v>
      </c>
      <c r="F5214" t="str">
        <f>HYPERLINK("https://www.google.com/maps/search/?api=1&amp;query=24.50967112,44.33581487", "View Map")</f>
        <v>View Map</v>
      </c>
    </row>
    <row r="5215" spans="1:7" x14ac:dyDescent="0.3">
      <c r="A5215" t="s">
        <v>11897</v>
      </c>
      <c r="B5215" t="s">
        <v>11898</v>
      </c>
      <c r="C5215" t="s">
        <v>8</v>
      </c>
      <c r="D5215">
        <v>2.1</v>
      </c>
      <c r="E5215">
        <v>672</v>
      </c>
      <c r="F5215" t="str">
        <f>HYPERLINK("https://www.google.com/maps/search/?api=1&amp;query=24.76011026,46.73411931", "View Map")</f>
        <v>View Map</v>
      </c>
    </row>
    <row r="5216" spans="1:7" x14ac:dyDescent="0.3">
      <c r="A5216" t="s">
        <v>28</v>
      </c>
      <c r="B5216" t="s">
        <v>11210</v>
      </c>
      <c r="C5216" t="s">
        <v>820</v>
      </c>
      <c r="D5216">
        <v>2.0990000000000002</v>
      </c>
      <c r="E5216">
        <v>672</v>
      </c>
      <c r="F5216" t="str">
        <f>HYPERLINK("https://www.google.com/maps/search/?api=1&amp;query=0.0,0.0", "View Map")</f>
        <v>View Map</v>
      </c>
    </row>
    <row r="5217" spans="1:7" x14ac:dyDescent="0.3">
      <c r="A5217" t="s">
        <v>6036</v>
      </c>
      <c r="B5217" t="s">
        <v>6037</v>
      </c>
      <c r="C5217" t="s">
        <v>8</v>
      </c>
      <c r="D5217">
        <v>2.0979999999999999</v>
      </c>
      <c r="E5217">
        <v>671</v>
      </c>
      <c r="F5217" t="str">
        <f>HYPERLINK("https://www.google.com/maps/search/?api=1&amp;query=24.7024078,46.84533026", "View Map")</f>
        <v>View Map</v>
      </c>
    </row>
    <row r="5218" spans="1:7" x14ac:dyDescent="0.3">
      <c r="A5218" t="s">
        <v>11899</v>
      </c>
      <c r="B5218" t="s">
        <v>11900</v>
      </c>
      <c r="C5218" t="s">
        <v>8</v>
      </c>
      <c r="D5218">
        <v>2.0979999999999999</v>
      </c>
      <c r="E5218">
        <v>671</v>
      </c>
      <c r="F5218" t="str">
        <f>HYPERLINK("https://www.google.com/maps/search/?api=1&amp;query=24.58192621,46.74366794", "View Map")</f>
        <v>View Map</v>
      </c>
    </row>
    <row r="5219" spans="1:7" x14ac:dyDescent="0.3">
      <c r="A5219" t="s">
        <v>4176</v>
      </c>
      <c r="B5219" t="s">
        <v>4177</v>
      </c>
      <c r="C5219" t="s">
        <v>8</v>
      </c>
      <c r="D5219">
        <v>2.097</v>
      </c>
      <c r="E5219">
        <v>671</v>
      </c>
      <c r="F5219" t="str">
        <f>HYPERLINK("https://www.google.com/maps/search/?api=1&amp;query=24.59767698,46.58657051", "View Map")</f>
        <v>View Map</v>
      </c>
    </row>
    <row r="5220" spans="1:7" x14ac:dyDescent="0.3">
      <c r="A5220" t="s">
        <v>3595</v>
      </c>
      <c r="B5220" t="s">
        <v>11901</v>
      </c>
      <c r="C5220" t="s">
        <v>241</v>
      </c>
      <c r="D5220">
        <v>2.0960000000000001</v>
      </c>
      <c r="E5220">
        <v>671</v>
      </c>
      <c r="F5220" t="str">
        <f>HYPERLINK("https://www.google.com/maps/search/?api=1&amp;query=20.46895612,44.76784465", "View Map")</f>
        <v>View Map</v>
      </c>
      <c r="G5220" s="2">
        <v>1.1146997689948639</v>
      </c>
    </row>
    <row r="5221" spans="1:7" x14ac:dyDescent="0.3">
      <c r="A5221" t="s">
        <v>1057</v>
      </c>
      <c r="B5221" t="s">
        <v>1058</v>
      </c>
      <c r="C5221" t="s">
        <v>8</v>
      </c>
      <c r="D5221">
        <v>2.0960000000000001</v>
      </c>
      <c r="E5221">
        <v>671</v>
      </c>
      <c r="F5221" t="str">
        <f>HYPERLINK("https://www.google.com/maps/search/?api=1&amp;query=24.66241953,46.70152815", "View Map")</f>
        <v>View Map</v>
      </c>
      <c r="G5221" s="2">
        <v>0.1387242131032389</v>
      </c>
    </row>
    <row r="5222" spans="1:7" x14ac:dyDescent="0.3">
      <c r="A5222" t="s">
        <v>10443</v>
      </c>
      <c r="B5222" t="s">
        <v>10444</v>
      </c>
      <c r="C5222" t="s">
        <v>21</v>
      </c>
      <c r="D5222">
        <v>2.0960000000000001</v>
      </c>
      <c r="E5222">
        <v>671</v>
      </c>
      <c r="F5222" t="str">
        <f>HYPERLINK("https://www.google.com/maps/search/?api=1&amp;query=26.60250872,44.63659438", "View Map")</f>
        <v>View Map</v>
      </c>
      <c r="G5222" s="2">
        <v>0.63300308893099366</v>
      </c>
    </row>
    <row r="5223" spans="1:7" x14ac:dyDescent="0.3">
      <c r="A5223" t="s">
        <v>8190</v>
      </c>
      <c r="B5223" t="s">
        <v>8191</v>
      </c>
      <c r="C5223" t="s">
        <v>1112</v>
      </c>
      <c r="D5223">
        <v>2.0960000000000001</v>
      </c>
      <c r="E5223">
        <v>671</v>
      </c>
      <c r="F5223" t="str">
        <f>HYPERLINK("https://www.google.com/maps/search/?api=1&amp;query=26.03669914,44.94076432", "View Map")</f>
        <v>View Map</v>
      </c>
      <c r="G5223" s="2">
        <v>0.53000060012834538</v>
      </c>
    </row>
    <row r="5224" spans="1:7" x14ac:dyDescent="0.3">
      <c r="A5224" t="s">
        <v>11902</v>
      </c>
      <c r="B5224" t="s">
        <v>11903</v>
      </c>
      <c r="C5224" t="s">
        <v>466</v>
      </c>
      <c r="D5224">
        <v>2.0950000000000002</v>
      </c>
      <c r="E5224">
        <v>670</v>
      </c>
      <c r="F5224" t="str">
        <f>HYPERLINK("https://www.google.com/maps/search/?api=1&amp;query=24.6048959,46.12251237", "View Map")</f>
        <v>View Map</v>
      </c>
    </row>
    <row r="5225" spans="1:7" x14ac:dyDescent="0.3">
      <c r="A5225" t="s">
        <v>8810</v>
      </c>
      <c r="B5225" t="s">
        <v>8811</v>
      </c>
      <c r="C5225" t="s">
        <v>1112</v>
      </c>
      <c r="D5225">
        <v>2.0950000000000002</v>
      </c>
      <c r="E5225">
        <v>671</v>
      </c>
      <c r="F5225" t="str">
        <f>HYPERLINK("https://www.google.com/maps/search/?api=1&amp;query=26.041492,44.9381749", "View Map")</f>
        <v>View Map</v>
      </c>
      <c r="G5225" s="2">
        <v>0.4821818948024944</v>
      </c>
    </row>
    <row r="5226" spans="1:7" x14ac:dyDescent="0.3">
      <c r="A5226" t="s">
        <v>11904</v>
      </c>
      <c r="B5226" t="s">
        <v>11905</v>
      </c>
      <c r="C5226" t="s">
        <v>21</v>
      </c>
      <c r="D5226">
        <v>2.0950000000000002</v>
      </c>
      <c r="E5226">
        <v>670</v>
      </c>
      <c r="F5226" t="str">
        <f>HYPERLINK("https://www.google.com/maps/search/?api=1&amp;query=26.30466337,44.80606194", "View Map")</f>
        <v>View Map</v>
      </c>
    </row>
    <row r="5227" spans="1:7" x14ac:dyDescent="0.3">
      <c r="A5227" t="s">
        <v>7287</v>
      </c>
      <c r="B5227" t="s">
        <v>7288</v>
      </c>
      <c r="C5227" t="s">
        <v>8</v>
      </c>
      <c r="D5227">
        <v>2.0939999999999999</v>
      </c>
      <c r="E5227">
        <v>670</v>
      </c>
      <c r="F5227" t="str">
        <f>HYPERLINK("https://www.google.com/maps/search/?api=1&amp;query=24.59052494,46.68066397", "View Map")</f>
        <v>View Map</v>
      </c>
    </row>
    <row r="5228" spans="1:7" x14ac:dyDescent="0.3">
      <c r="A5228" t="s">
        <v>464</v>
      </c>
      <c r="B5228" t="s">
        <v>4383</v>
      </c>
      <c r="C5228" t="s">
        <v>466</v>
      </c>
      <c r="D5228">
        <v>2.0939999999999999</v>
      </c>
      <c r="E5228">
        <v>670</v>
      </c>
      <c r="F5228" t="str">
        <f>HYPERLINK("https://www.google.com/maps/search/?api=1&amp;query=24.58132669,46.15331029", "View Map")</f>
        <v>View Map</v>
      </c>
      <c r="G5228" s="2">
        <v>0.33982334153316252</v>
      </c>
    </row>
    <row r="5229" spans="1:7" x14ac:dyDescent="0.3">
      <c r="A5229" t="s">
        <v>8508</v>
      </c>
      <c r="B5229" t="s">
        <v>8509</v>
      </c>
      <c r="C5229" t="s">
        <v>296</v>
      </c>
      <c r="D5229">
        <v>2.0939999999999999</v>
      </c>
      <c r="E5229">
        <v>670</v>
      </c>
      <c r="F5229" t="str">
        <f>HYPERLINK("https://www.google.com/maps/search/?api=1&amp;query=24.46402186,46.27714305", "View Map")</f>
        <v>View Map</v>
      </c>
      <c r="G5229" s="2">
        <v>0.47620971557699032</v>
      </c>
    </row>
    <row r="5230" spans="1:7" x14ac:dyDescent="0.3">
      <c r="A5230" t="s">
        <v>9628</v>
      </c>
      <c r="B5230" t="s">
        <v>9629</v>
      </c>
      <c r="C5230" t="s">
        <v>364</v>
      </c>
      <c r="D5230">
        <v>2.0939999999999999</v>
      </c>
      <c r="E5230">
        <v>670</v>
      </c>
      <c r="F5230" t="str">
        <f>HYPERLINK("https://www.google.com/maps/search/?api=1&amp;query=25.2922735,45.78647235", "View Map")</f>
        <v>View Map</v>
      </c>
      <c r="G5230" s="2">
        <v>0.75225836788173028</v>
      </c>
    </row>
    <row r="5231" spans="1:7" x14ac:dyDescent="0.3">
      <c r="A5231" t="s">
        <v>11085</v>
      </c>
      <c r="B5231" t="s">
        <v>11086</v>
      </c>
      <c r="C5231" t="s">
        <v>8</v>
      </c>
      <c r="D5231">
        <v>2.0939999999999999</v>
      </c>
      <c r="E5231">
        <v>670</v>
      </c>
      <c r="F5231" t="str">
        <f>HYPERLINK("https://www.google.com/maps/search/?api=1&amp;query=24.58138724,46.75595096", "View Map")</f>
        <v>View Map</v>
      </c>
    </row>
    <row r="5232" spans="1:7" x14ac:dyDescent="0.3">
      <c r="A5232" t="s">
        <v>6990</v>
      </c>
      <c r="B5232" t="s">
        <v>6991</v>
      </c>
      <c r="C5232" t="s">
        <v>8</v>
      </c>
      <c r="D5232">
        <v>2.093</v>
      </c>
      <c r="E5232">
        <v>670</v>
      </c>
      <c r="F5232" t="str">
        <f>HYPERLINK("https://www.google.com/maps/search/?api=1&amp;query=24.71284546,46.82683447", "View Map")</f>
        <v>View Map</v>
      </c>
    </row>
    <row r="5233" spans="1:7" x14ac:dyDescent="0.3">
      <c r="A5233" t="s">
        <v>1629</v>
      </c>
      <c r="B5233" t="s">
        <v>1630</v>
      </c>
      <c r="C5233" t="s">
        <v>296</v>
      </c>
      <c r="D5233">
        <v>2.093</v>
      </c>
      <c r="E5233">
        <v>670</v>
      </c>
      <c r="F5233" t="str">
        <f>HYPERLINK("https://www.google.com/maps/search/?api=1&amp;query=24.45541891,46.29122671", "View Map")</f>
        <v>View Map</v>
      </c>
      <c r="G5233" s="2">
        <v>0.1493964155763654</v>
      </c>
    </row>
    <row r="5234" spans="1:7" x14ac:dyDescent="0.3">
      <c r="A5234" t="s">
        <v>46</v>
      </c>
      <c r="B5234" t="s">
        <v>8961</v>
      </c>
      <c r="C5234" t="s">
        <v>8</v>
      </c>
      <c r="D5234">
        <v>2.0920000000000001</v>
      </c>
      <c r="E5234">
        <v>669</v>
      </c>
      <c r="F5234" t="str">
        <f>HYPERLINK("https://www.google.com/maps/search/?api=1&amp;query=24.54706779,46.77594952", "View Map")</f>
        <v>View Map</v>
      </c>
    </row>
    <row r="5235" spans="1:7" x14ac:dyDescent="0.3">
      <c r="A5235" t="s">
        <v>2926</v>
      </c>
      <c r="B5235" t="s">
        <v>2927</v>
      </c>
      <c r="C5235" t="s">
        <v>8</v>
      </c>
      <c r="D5235">
        <v>2.0920000000000001</v>
      </c>
      <c r="E5235">
        <v>670</v>
      </c>
      <c r="F5235" t="str">
        <f>HYPERLINK("https://www.google.com/maps/search/?api=1&amp;query=24.59856951,46.65122219", "View Map")</f>
        <v>View Map</v>
      </c>
      <c r="G5235" s="2">
        <v>0.17287784948284751</v>
      </c>
    </row>
    <row r="5236" spans="1:7" x14ac:dyDescent="0.3">
      <c r="A5236" t="s">
        <v>10322</v>
      </c>
      <c r="B5236" t="s">
        <v>10323</v>
      </c>
      <c r="C5236" t="s">
        <v>8</v>
      </c>
      <c r="D5236">
        <v>2.0920000000000001</v>
      </c>
      <c r="E5236">
        <v>669</v>
      </c>
      <c r="F5236" t="str">
        <f>HYPERLINK("https://www.google.com/maps/search/?api=1&amp;query=24.6759383,46.5872309", "View Map")</f>
        <v>View Map</v>
      </c>
    </row>
    <row r="5237" spans="1:7" x14ac:dyDescent="0.3">
      <c r="A5237" t="s">
        <v>7957</v>
      </c>
      <c r="B5237" t="s">
        <v>7958</v>
      </c>
      <c r="C5237" t="s">
        <v>291</v>
      </c>
      <c r="D5237">
        <v>2.09</v>
      </c>
      <c r="E5237">
        <v>669</v>
      </c>
      <c r="F5237" t="str">
        <f>HYPERLINK("https://www.google.com/maps/search/?api=1&amp;query=24.07177566,45.28813596", "View Map")</f>
        <v>View Map</v>
      </c>
      <c r="G5237" s="2">
        <v>0.41283044788321399</v>
      </c>
    </row>
    <row r="5238" spans="1:7" x14ac:dyDescent="0.3">
      <c r="A5238" t="s">
        <v>10642</v>
      </c>
      <c r="B5238" t="s">
        <v>10643</v>
      </c>
      <c r="C5238" t="s">
        <v>8</v>
      </c>
      <c r="D5238">
        <v>2.09</v>
      </c>
      <c r="E5238">
        <v>669</v>
      </c>
      <c r="F5238" t="str">
        <f>HYPERLINK("https://www.google.com/maps/search/?api=1&amp;query=24.63073141,46.75456359", "View Map")</f>
        <v>View Map</v>
      </c>
    </row>
    <row r="5239" spans="1:7" x14ac:dyDescent="0.3">
      <c r="A5239" t="s">
        <v>11906</v>
      </c>
      <c r="B5239" t="s">
        <v>11907</v>
      </c>
      <c r="C5239" t="s">
        <v>21</v>
      </c>
      <c r="D5239">
        <v>2.09</v>
      </c>
      <c r="E5239">
        <v>669</v>
      </c>
      <c r="F5239" t="str">
        <f>HYPERLINK("https://www.google.com/maps/search/?api=1&amp;query=26.31279657,44.88957832", "View Map")</f>
        <v>View Map</v>
      </c>
    </row>
    <row r="5240" spans="1:7" x14ac:dyDescent="0.3">
      <c r="A5240" t="s">
        <v>9634</v>
      </c>
      <c r="B5240" t="s">
        <v>9635</v>
      </c>
      <c r="C5240" t="s">
        <v>393</v>
      </c>
      <c r="D5240">
        <v>2.09</v>
      </c>
      <c r="E5240">
        <v>669</v>
      </c>
      <c r="F5240" t="str">
        <f>HYPERLINK("https://www.google.com/maps/search/?api=1&amp;query=23.34978772,45.40143882", "View Map")</f>
        <v>View Map</v>
      </c>
      <c r="G5240" s="2">
        <v>0.81172486684635681</v>
      </c>
    </row>
    <row r="5241" spans="1:7" x14ac:dyDescent="0.3">
      <c r="A5241" t="s">
        <v>8375</v>
      </c>
      <c r="B5241" t="s">
        <v>8376</v>
      </c>
      <c r="C5241" t="s">
        <v>738</v>
      </c>
      <c r="D5241">
        <v>2.0880000000000001</v>
      </c>
      <c r="E5241">
        <v>668</v>
      </c>
      <c r="F5241" t="str">
        <f>HYPERLINK("https://www.google.com/maps/search/?api=1&amp;query=25.11618423,46.10690332", "View Map")</f>
        <v>View Map</v>
      </c>
      <c r="G5241" s="2">
        <v>0.51403603499449879</v>
      </c>
    </row>
    <row r="5242" spans="1:7" x14ac:dyDescent="0.3">
      <c r="A5242" t="s">
        <v>9816</v>
      </c>
      <c r="B5242" t="s">
        <v>9817</v>
      </c>
      <c r="C5242" t="s">
        <v>8</v>
      </c>
      <c r="D5242">
        <v>2.0880000000000001</v>
      </c>
      <c r="E5242">
        <v>668</v>
      </c>
      <c r="F5242" t="str">
        <f>HYPERLINK("https://www.google.com/maps/search/?api=1&amp;query=24.59341368,46.64813716", "View Map")</f>
        <v>View Map</v>
      </c>
    </row>
    <row r="5243" spans="1:7" x14ac:dyDescent="0.3">
      <c r="A5243" t="s">
        <v>717</v>
      </c>
      <c r="B5243" t="s">
        <v>11908</v>
      </c>
      <c r="C5243" t="s">
        <v>255</v>
      </c>
      <c r="D5243">
        <v>2.0880000000000001</v>
      </c>
      <c r="E5243">
        <v>668</v>
      </c>
      <c r="F5243" t="str">
        <f>HYPERLINK("https://www.google.com/maps/search/?api=1&amp;query=24.55147967,44.4183243", "View Map")</f>
        <v>View Map</v>
      </c>
    </row>
    <row r="5244" spans="1:7" x14ac:dyDescent="0.3">
      <c r="A5244" t="s">
        <v>8500</v>
      </c>
      <c r="B5244" t="s">
        <v>8501</v>
      </c>
      <c r="C5244" t="s">
        <v>255</v>
      </c>
      <c r="D5244">
        <v>2.0859999999999999</v>
      </c>
      <c r="E5244">
        <v>668</v>
      </c>
      <c r="F5244" t="str">
        <f>HYPERLINK("https://www.google.com/maps/search/?api=1&amp;query=25.1667258,44.57622133", "View Map")</f>
        <v>View Map</v>
      </c>
      <c r="G5244" s="2">
        <v>0.37249386106439181</v>
      </c>
    </row>
    <row r="5245" spans="1:7" x14ac:dyDescent="0.3">
      <c r="A5245" t="s">
        <v>8159</v>
      </c>
      <c r="B5245" t="s">
        <v>8160</v>
      </c>
      <c r="C5245" t="s">
        <v>241</v>
      </c>
      <c r="D5245">
        <v>2.085</v>
      </c>
      <c r="E5245">
        <v>667</v>
      </c>
      <c r="F5245" t="str">
        <f>HYPERLINK("https://www.google.com/maps/search/?api=1&amp;query=20.45943944,44.83862587", "View Map")</f>
        <v>View Map</v>
      </c>
      <c r="G5245" s="2">
        <v>0.63491610862469283</v>
      </c>
    </row>
    <row r="5246" spans="1:7" x14ac:dyDescent="0.3">
      <c r="A5246" t="s">
        <v>11221</v>
      </c>
      <c r="B5246" t="s">
        <v>11222</v>
      </c>
      <c r="C5246" t="s">
        <v>8</v>
      </c>
      <c r="D5246">
        <v>2.085</v>
      </c>
      <c r="E5246">
        <v>667</v>
      </c>
      <c r="F5246" t="str">
        <f>HYPERLINK("https://www.google.com/maps/search/?api=1&amp;query=24.61005496,46.72750178", "View Map")</f>
        <v>View Map</v>
      </c>
    </row>
    <row r="5247" spans="1:7" x14ac:dyDescent="0.3">
      <c r="A5247" t="s">
        <v>3804</v>
      </c>
      <c r="B5247" t="s">
        <v>3805</v>
      </c>
      <c r="C5247" t="s">
        <v>8</v>
      </c>
      <c r="D5247">
        <v>2.085</v>
      </c>
      <c r="E5247">
        <v>667</v>
      </c>
      <c r="F5247" t="str">
        <f>HYPERLINK("https://www.google.com/maps/search/?api=1&amp;query=24.81886849,46.62444331", "View Map")</f>
        <v>View Map</v>
      </c>
    </row>
    <row r="5248" spans="1:7" x14ac:dyDescent="0.3">
      <c r="A5248" t="s">
        <v>9307</v>
      </c>
      <c r="B5248" t="s">
        <v>9308</v>
      </c>
      <c r="C5248" t="s">
        <v>393</v>
      </c>
      <c r="D5248">
        <v>2.085</v>
      </c>
      <c r="E5248">
        <v>667</v>
      </c>
      <c r="F5248" t="str">
        <f>HYPERLINK("https://www.google.com/maps/search/?api=1&amp;query=22.92526333,45.46919829", "View Map")</f>
        <v>View Map</v>
      </c>
      <c r="G5248" s="2">
        <v>0.60464891327962178</v>
      </c>
    </row>
    <row r="5249" spans="1:7" x14ac:dyDescent="0.3">
      <c r="A5249" t="s">
        <v>11909</v>
      </c>
      <c r="B5249" t="s">
        <v>11910</v>
      </c>
      <c r="C5249" t="s">
        <v>738</v>
      </c>
      <c r="D5249">
        <v>2.0840000000000001</v>
      </c>
      <c r="E5249">
        <v>667</v>
      </c>
      <c r="F5249" t="str">
        <f>HYPERLINK("https://www.google.com/maps/search/?api=1&amp;query=24.91292332,45.86267835", "View Map")</f>
        <v>View Map</v>
      </c>
    </row>
    <row r="5250" spans="1:7" x14ac:dyDescent="0.3">
      <c r="A5250" t="s">
        <v>3589</v>
      </c>
      <c r="B5250" t="s">
        <v>3590</v>
      </c>
      <c r="C5250" t="s">
        <v>393</v>
      </c>
      <c r="D5250">
        <v>2.0840000000000001</v>
      </c>
      <c r="E5250">
        <v>667</v>
      </c>
      <c r="F5250" t="str">
        <f>HYPERLINK("https://www.google.com/maps/search/?api=1&amp;query=22.84031669,44.95784718", "View Map")</f>
        <v>View Map</v>
      </c>
    </row>
    <row r="5251" spans="1:7" x14ac:dyDescent="0.3">
      <c r="A5251" t="s">
        <v>3098</v>
      </c>
      <c r="B5251" t="s">
        <v>3099</v>
      </c>
      <c r="C5251" t="s">
        <v>8</v>
      </c>
      <c r="D5251">
        <v>2.0840000000000001</v>
      </c>
      <c r="E5251">
        <v>667</v>
      </c>
      <c r="F5251" t="str">
        <f>HYPERLINK("https://www.google.com/maps/search/?api=1&amp;query=24.71654173,46.79855543", "View Map")</f>
        <v>View Map</v>
      </c>
      <c r="G5251" s="2">
        <v>0.21599509891004101</v>
      </c>
    </row>
    <row r="5252" spans="1:7" x14ac:dyDescent="0.3">
      <c r="A5252" t="s">
        <v>9477</v>
      </c>
      <c r="B5252" t="s">
        <v>9478</v>
      </c>
      <c r="C5252" t="s">
        <v>270</v>
      </c>
      <c r="D5252">
        <v>2.0830000000000002</v>
      </c>
      <c r="E5252">
        <v>666</v>
      </c>
      <c r="F5252" t="str">
        <f>HYPERLINK("https://www.google.com/maps/search/?api=1&amp;query=24.07880036,47.14894328", "View Map")</f>
        <v>View Map</v>
      </c>
      <c r="G5252" s="2">
        <v>0.85676043370767885</v>
      </c>
    </row>
    <row r="5253" spans="1:7" x14ac:dyDescent="0.3">
      <c r="A5253" t="s">
        <v>11911</v>
      </c>
      <c r="B5253" t="s">
        <v>11912</v>
      </c>
      <c r="C5253" t="s">
        <v>8</v>
      </c>
      <c r="D5253">
        <v>2.0830000000000002</v>
      </c>
      <c r="E5253">
        <v>666</v>
      </c>
      <c r="F5253" t="str">
        <f>HYPERLINK("https://www.google.com/maps/search/?api=1&amp;query=24.54550841,46.70579374", "View Map")</f>
        <v>View Map</v>
      </c>
    </row>
    <row r="5254" spans="1:7" x14ac:dyDescent="0.3">
      <c r="A5254" t="s">
        <v>11913</v>
      </c>
      <c r="B5254" t="s">
        <v>11914</v>
      </c>
      <c r="C5254" t="s">
        <v>270</v>
      </c>
      <c r="D5254">
        <v>2.0830000000000002</v>
      </c>
      <c r="E5254">
        <v>667</v>
      </c>
      <c r="F5254" t="str">
        <f>HYPERLINK("https://www.google.com/maps/search/?api=1&amp;query=24.01716573,47.13844193", "View Map")</f>
        <v>View Map</v>
      </c>
    </row>
    <row r="5255" spans="1:7" x14ac:dyDescent="0.3">
      <c r="A5255" t="s">
        <v>2281</v>
      </c>
      <c r="B5255" t="s">
        <v>9044</v>
      </c>
      <c r="C5255" t="s">
        <v>8</v>
      </c>
      <c r="D5255">
        <v>2.0830000000000002</v>
      </c>
      <c r="E5255">
        <v>666</v>
      </c>
      <c r="F5255" t="str">
        <f>HYPERLINK("https://www.google.com/maps/search/?api=1&amp;query=24.6949262,46.80986961", "View Map")</f>
        <v>View Map</v>
      </c>
    </row>
    <row r="5256" spans="1:7" x14ac:dyDescent="0.3">
      <c r="A5256" t="s">
        <v>9062</v>
      </c>
      <c r="B5256" t="s">
        <v>9063</v>
      </c>
      <c r="C5256" t="s">
        <v>393</v>
      </c>
      <c r="D5256">
        <v>2.081</v>
      </c>
      <c r="E5256">
        <v>666</v>
      </c>
      <c r="F5256" t="str">
        <f>HYPERLINK("https://www.google.com/maps/search/?api=1&amp;query=23.56534479,45.45148692", "View Map")</f>
        <v>View Map</v>
      </c>
      <c r="G5256" s="2">
        <v>0.57649300802926484</v>
      </c>
    </row>
    <row r="5257" spans="1:7" x14ac:dyDescent="0.3">
      <c r="A5257" t="s">
        <v>8887</v>
      </c>
      <c r="B5257" t="s">
        <v>8888</v>
      </c>
      <c r="C5257" t="s">
        <v>214</v>
      </c>
      <c r="D5257">
        <v>2.081</v>
      </c>
      <c r="E5257">
        <v>666</v>
      </c>
      <c r="F5257" t="str">
        <f>HYPERLINK("https://www.google.com/maps/search/?api=1&amp;query=25.69824467,45.88051889", "View Map")</f>
        <v>View Map</v>
      </c>
      <c r="G5257" s="2">
        <v>0.48113188865542178</v>
      </c>
    </row>
    <row r="5258" spans="1:7" x14ac:dyDescent="0.3">
      <c r="A5258" t="s">
        <v>750</v>
      </c>
      <c r="B5258" t="s">
        <v>751</v>
      </c>
      <c r="C5258" t="s">
        <v>8</v>
      </c>
      <c r="D5258">
        <v>2.08</v>
      </c>
      <c r="E5258">
        <v>666</v>
      </c>
      <c r="F5258" t="str">
        <f>HYPERLINK("https://www.google.com/maps/search/?api=1&amp;query=24.61552342,46.69592561", "View Map")</f>
        <v>View Map</v>
      </c>
      <c r="G5258" s="2">
        <v>6.8545789545077507E-2</v>
      </c>
    </row>
    <row r="5259" spans="1:7" x14ac:dyDescent="0.3">
      <c r="A5259" t="s">
        <v>289</v>
      </c>
      <c r="B5259" t="s">
        <v>10124</v>
      </c>
      <c r="C5259" t="s">
        <v>291</v>
      </c>
      <c r="D5259">
        <v>2.08</v>
      </c>
      <c r="E5259">
        <v>666</v>
      </c>
      <c r="F5259" t="str">
        <f>HYPERLINK("https://www.google.com/maps/search/?api=1&amp;query=24.19918893,45.87847073", "View Map")</f>
        <v>View Map</v>
      </c>
      <c r="G5259" s="2">
        <v>0.95228915021691474</v>
      </c>
    </row>
    <row r="5260" spans="1:7" x14ac:dyDescent="0.3">
      <c r="A5260" t="s">
        <v>881</v>
      </c>
      <c r="B5260" t="s">
        <v>9082</v>
      </c>
      <c r="C5260" t="s">
        <v>738</v>
      </c>
      <c r="D5260">
        <v>2.08</v>
      </c>
      <c r="E5260">
        <v>666</v>
      </c>
      <c r="F5260" t="str">
        <f>HYPERLINK("https://www.google.com/maps/search/?api=1&amp;query=24.91152198,45.86290293", "View Map")</f>
        <v>View Map</v>
      </c>
    </row>
    <row r="5261" spans="1:7" x14ac:dyDescent="0.3">
      <c r="A5261" t="s">
        <v>6500</v>
      </c>
      <c r="B5261" t="s">
        <v>6501</v>
      </c>
      <c r="C5261" t="s">
        <v>8</v>
      </c>
      <c r="D5261">
        <v>2.08</v>
      </c>
      <c r="E5261">
        <v>666</v>
      </c>
      <c r="F5261" t="str">
        <f>HYPERLINK("https://www.google.com/maps/search/?api=1&amp;query=24.78113336,46.74491589", "View Map")</f>
        <v>View Map</v>
      </c>
    </row>
    <row r="5262" spans="1:7" x14ac:dyDescent="0.3">
      <c r="A5262" t="s">
        <v>9398</v>
      </c>
      <c r="B5262" t="s">
        <v>9399</v>
      </c>
      <c r="C5262" t="s">
        <v>8</v>
      </c>
      <c r="D5262">
        <v>2.08</v>
      </c>
      <c r="E5262">
        <v>666</v>
      </c>
      <c r="F5262" t="str">
        <f>HYPERLINK("https://www.google.com/maps/search/?api=1&amp;query=24.6788625,46.75155327", "View Map")</f>
        <v>View Map</v>
      </c>
      <c r="G5262" s="2">
        <v>0.77919551348623073</v>
      </c>
    </row>
    <row r="5263" spans="1:7" x14ac:dyDescent="0.3">
      <c r="A5263" t="s">
        <v>6639</v>
      </c>
      <c r="B5263" t="s">
        <v>11915</v>
      </c>
      <c r="C5263" t="s">
        <v>8</v>
      </c>
      <c r="D5263">
        <v>2.08</v>
      </c>
      <c r="E5263">
        <v>666</v>
      </c>
      <c r="F5263" t="str">
        <f>HYPERLINK("https://www.google.com/maps/search/?api=1&amp;query=24.71694969,46.81369685", "View Map")</f>
        <v>View Map</v>
      </c>
    </row>
    <row r="5264" spans="1:7" x14ac:dyDescent="0.3">
      <c r="A5264" t="s">
        <v>9917</v>
      </c>
      <c r="B5264" t="s">
        <v>9918</v>
      </c>
      <c r="C5264" t="s">
        <v>8</v>
      </c>
      <c r="D5264">
        <v>2.08</v>
      </c>
      <c r="E5264">
        <v>665</v>
      </c>
      <c r="F5264" t="str">
        <f>HYPERLINK("https://www.google.com/maps/search/?api=1&amp;query=24.56940234,46.63376082", "View Map")</f>
        <v>View Map</v>
      </c>
    </row>
    <row r="5265" spans="1:7" x14ac:dyDescent="0.3">
      <c r="A5265" t="s">
        <v>150</v>
      </c>
      <c r="B5265" t="s">
        <v>9940</v>
      </c>
      <c r="C5265" t="s">
        <v>8</v>
      </c>
      <c r="D5265">
        <v>2.08</v>
      </c>
      <c r="E5265">
        <v>666</v>
      </c>
      <c r="F5265" t="str">
        <f>HYPERLINK("https://www.google.com/maps/search/?api=1&amp;query=24.85586175,46.81746251", "View Map")</f>
        <v>View Map</v>
      </c>
    </row>
    <row r="5266" spans="1:7" x14ac:dyDescent="0.3">
      <c r="A5266" t="s">
        <v>1273</v>
      </c>
      <c r="B5266" t="s">
        <v>7508</v>
      </c>
      <c r="C5266" t="s">
        <v>241</v>
      </c>
      <c r="D5266">
        <v>2.0790000000000002</v>
      </c>
      <c r="E5266">
        <v>665</v>
      </c>
      <c r="F5266" t="str">
        <f>HYPERLINK("https://www.google.com/maps/search/?api=1&amp;query=20.4503241,44.8405842", "View Map")</f>
        <v>View Map</v>
      </c>
    </row>
    <row r="5267" spans="1:7" x14ac:dyDescent="0.3">
      <c r="A5267" t="s">
        <v>6139</v>
      </c>
      <c r="B5267" t="s">
        <v>6140</v>
      </c>
      <c r="C5267" t="s">
        <v>8</v>
      </c>
      <c r="D5267">
        <v>2.0790000000000002</v>
      </c>
      <c r="E5267">
        <v>665</v>
      </c>
      <c r="F5267" t="str">
        <f>HYPERLINK("https://www.google.com/maps/search/?api=1&amp;query=24.61648111,46.74269671", "View Map")</f>
        <v>View Map</v>
      </c>
    </row>
    <row r="5268" spans="1:7" x14ac:dyDescent="0.3">
      <c r="A5268" t="s">
        <v>11916</v>
      </c>
      <c r="B5268" t="s">
        <v>11917</v>
      </c>
      <c r="C5268" t="s">
        <v>8</v>
      </c>
      <c r="D5268">
        <v>2.0790000000000002</v>
      </c>
      <c r="E5268">
        <v>665</v>
      </c>
      <c r="F5268" t="str">
        <f>HYPERLINK("https://www.google.com/maps/search/?api=1&amp;query=24.69231568,46.84669711", "View Map")</f>
        <v>View Map</v>
      </c>
    </row>
    <row r="5269" spans="1:7" x14ac:dyDescent="0.3">
      <c r="A5269" t="s">
        <v>11918</v>
      </c>
      <c r="B5269" t="s">
        <v>11919</v>
      </c>
      <c r="C5269" t="s">
        <v>255</v>
      </c>
      <c r="D5269">
        <v>2.0790000000000002</v>
      </c>
      <c r="E5269">
        <v>665</v>
      </c>
      <c r="F5269" t="str">
        <f>HYPERLINK("https://www.google.com/maps/search/?api=1&amp;query=24.56983232,43.74511661", "View Map")</f>
        <v>View Map</v>
      </c>
      <c r="G5269" s="2">
        <v>0.68320957898674661</v>
      </c>
    </row>
    <row r="5270" spans="1:7" x14ac:dyDescent="0.3">
      <c r="A5270" t="s">
        <v>5794</v>
      </c>
      <c r="B5270" t="s">
        <v>5795</v>
      </c>
      <c r="C5270" t="s">
        <v>21</v>
      </c>
      <c r="D5270">
        <v>2.0779999999999998</v>
      </c>
      <c r="E5270">
        <v>665</v>
      </c>
      <c r="F5270" t="str">
        <f>HYPERLINK("https://www.google.com/maps/search/?api=1&amp;query=26.30724029,44.79918085", "View Map")</f>
        <v>View Map</v>
      </c>
      <c r="G5270" s="2">
        <v>0.33906631942426319</v>
      </c>
    </row>
    <row r="5271" spans="1:7" x14ac:dyDescent="0.3">
      <c r="A5271" t="s">
        <v>4315</v>
      </c>
      <c r="B5271" t="s">
        <v>4316</v>
      </c>
      <c r="C5271" t="s">
        <v>8</v>
      </c>
      <c r="D5271">
        <v>2.077</v>
      </c>
      <c r="E5271">
        <v>665</v>
      </c>
      <c r="F5271" t="str">
        <f>HYPERLINK("https://www.google.com/maps/search/?api=1&amp;query=24.81960235,46.87716607", "View Map")</f>
        <v>View Map</v>
      </c>
    </row>
    <row r="5272" spans="1:7" x14ac:dyDescent="0.3">
      <c r="A5272" t="s">
        <v>10988</v>
      </c>
      <c r="B5272" t="s">
        <v>10989</v>
      </c>
      <c r="C5272" t="s">
        <v>255</v>
      </c>
      <c r="D5272">
        <v>2.077</v>
      </c>
      <c r="E5272">
        <v>665</v>
      </c>
      <c r="F5272" t="str">
        <f>HYPERLINK("https://www.google.com/maps/search/?api=1&amp;query=24.6574503,43.66109669", "View Map")</f>
        <v>View Map</v>
      </c>
    </row>
    <row r="5273" spans="1:7" x14ac:dyDescent="0.3">
      <c r="A5273" t="s">
        <v>7456</v>
      </c>
      <c r="B5273" t="s">
        <v>7457</v>
      </c>
      <c r="C5273" t="s">
        <v>8</v>
      </c>
      <c r="D5273">
        <v>2.0760000000000001</v>
      </c>
      <c r="E5273">
        <v>664</v>
      </c>
      <c r="F5273" t="str">
        <f>HYPERLINK("https://www.google.com/maps/search/?api=1&amp;query=24.67583465,46.82624978", "View Map")</f>
        <v>View Map</v>
      </c>
    </row>
    <row r="5274" spans="1:7" x14ac:dyDescent="0.3">
      <c r="A5274" t="s">
        <v>8019</v>
      </c>
      <c r="B5274" t="s">
        <v>8020</v>
      </c>
      <c r="C5274" t="s">
        <v>214</v>
      </c>
      <c r="D5274">
        <v>2.0760000000000001</v>
      </c>
      <c r="E5274">
        <v>664</v>
      </c>
      <c r="F5274" t="str">
        <f>HYPERLINK("https://www.google.com/maps/search/?api=1&amp;query=25.5918234,45.62538937", "View Map")</f>
        <v>View Map</v>
      </c>
      <c r="G5274" s="2">
        <v>0.45207376155337059</v>
      </c>
    </row>
    <row r="5275" spans="1:7" x14ac:dyDescent="0.3">
      <c r="A5275" t="s">
        <v>10617</v>
      </c>
      <c r="B5275" t="s">
        <v>10618</v>
      </c>
      <c r="C5275" t="s">
        <v>8</v>
      </c>
      <c r="D5275">
        <v>2.0750000000000002</v>
      </c>
      <c r="E5275">
        <v>664</v>
      </c>
      <c r="F5275" t="str">
        <f>HYPERLINK("https://www.google.com/maps/search/?api=1&amp;query=24.7050915,46.83255916", "View Map")</f>
        <v>View Map</v>
      </c>
    </row>
    <row r="5276" spans="1:7" x14ac:dyDescent="0.3">
      <c r="A5276" t="s">
        <v>122</v>
      </c>
      <c r="B5276" t="s">
        <v>11920</v>
      </c>
      <c r="C5276" t="s">
        <v>442</v>
      </c>
      <c r="D5276">
        <v>2.0750000000000002</v>
      </c>
      <c r="E5276">
        <v>664</v>
      </c>
      <c r="F5276" t="str">
        <f>HYPERLINK("https://www.google.com/maps/search/?api=1&amp;query=23.64378132,46.50082356", "View Map")</f>
        <v>View Map</v>
      </c>
      <c r="G5276" s="2">
        <v>0.62271354485786556</v>
      </c>
    </row>
    <row r="5277" spans="1:7" x14ac:dyDescent="0.3">
      <c r="A5277" t="s">
        <v>22</v>
      </c>
      <c r="B5277" t="s">
        <v>10067</v>
      </c>
      <c r="C5277" t="s">
        <v>8</v>
      </c>
      <c r="D5277">
        <v>2.0750000000000002</v>
      </c>
      <c r="E5277">
        <v>664</v>
      </c>
      <c r="F5277" t="str">
        <f>HYPERLINK("https://www.google.com/maps/search/?api=1&amp;query=24.60079956,46.74184377", "View Map")</f>
        <v>View Map</v>
      </c>
    </row>
    <row r="5278" spans="1:7" x14ac:dyDescent="0.3">
      <c r="A5278" t="s">
        <v>46</v>
      </c>
      <c r="B5278" t="s">
        <v>6194</v>
      </c>
      <c r="C5278" t="s">
        <v>8</v>
      </c>
      <c r="D5278">
        <v>2.0750000000000002</v>
      </c>
      <c r="E5278">
        <v>664</v>
      </c>
      <c r="F5278" t="str">
        <f>HYPERLINK("https://www.google.com/maps/search/?api=1&amp;query=24.67050962,46.57164983", "View Map")</f>
        <v>View Map</v>
      </c>
    </row>
    <row r="5279" spans="1:7" x14ac:dyDescent="0.3">
      <c r="A5279" t="s">
        <v>6593</v>
      </c>
      <c r="B5279" t="s">
        <v>6594</v>
      </c>
      <c r="C5279" t="s">
        <v>8</v>
      </c>
      <c r="D5279">
        <v>2.0739999999999998</v>
      </c>
      <c r="E5279">
        <v>664</v>
      </c>
      <c r="F5279" t="str">
        <f>HYPERLINK("https://www.google.com/maps/search/?api=1&amp;query=24.69974256,46.81331548", "View Map")</f>
        <v>View Map</v>
      </c>
      <c r="G5279" s="2">
        <v>0.35483024016293929</v>
      </c>
    </row>
    <row r="5280" spans="1:7" x14ac:dyDescent="0.3">
      <c r="A5280" t="s">
        <v>1788</v>
      </c>
      <c r="B5280" t="s">
        <v>7026</v>
      </c>
      <c r="C5280" t="s">
        <v>393</v>
      </c>
      <c r="D5280">
        <v>2.073</v>
      </c>
      <c r="E5280">
        <v>663</v>
      </c>
      <c r="F5280" t="str">
        <f>HYPERLINK("https://www.google.com/maps/search/?api=1&amp;query=23.53573018,45.50690058", "View Map")</f>
        <v>View Map</v>
      </c>
      <c r="G5280" s="2">
        <v>0.29899052869770543</v>
      </c>
    </row>
    <row r="5281" spans="1:7" x14ac:dyDescent="0.3">
      <c r="A5281" t="s">
        <v>9289</v>
      </c>
      <c r="B5281" t="s">
        <v>9290</v>
      </c>
      <c r="C5281" t="s">
        <v>255</v>
      </c>
      <c r="D5281">
        <v>2.0720000000000001</v>
      </c>
      <c r="E5281">
        <v>663</v>
      </c>
      <c r="F5281" t="str">
        <f>HYPERLINK("https://www.google.com/maps/search/?api=1&amp;query=24.53024357,44.27976637", "View Map")</f>
        <v>View Map</v>
      </c>
      <c r="G5281" s="2">
        <v>0.85362564826081366</v>
      </c>
    </row>
    <row r="5282" spans="1:7" x14ac:dyDescent="0.3">
      <c r="A5282" t="s">
        <v>5739</v>
      </c>
      <c r="B5282" t="s">
        <v>5740</v>
      </c>
      <c r="C5282" t="s">
        <v>214</v>
      </c>
      <c r="D5282">
        <v>2.0710000000000002</v>
      </c>
      <c r="E5282">
        <v>663</v>
      </c>
      <c r="F5282" t="str">
        <f>HYPERLINK("https://www.google.com/maps/search/?api=1&amp;query=26.59463987,45.12177485", "View Map")</f>
        <v>View Map</v>
      </c>
      <c r="G5282" s="2">
        <v>0.41229866586363312</v>
      </c>
    </row>
    <row r="5283" spans="1:7" x14ac:dyDescent="0.3">
      <c r="A5283" t="s">
        <v>6605</v>
      </c>
      <c r="B5283" t="s">
        <v>6606</v>
      </c>
      <c r="C5283" t="s">
        <v>255</v>
      </c>
      <c r="D5283">
        <v>2.0710000000000002</v>
      </c>
      <c r="E5283">
        <v>663</v>
      </c>
      <c r="F5283" t="str">
        <f>HYPERLINK("https://www.google.com/maps/search/?api=1&amp;query=24.46623982,44.35806758", "View Map")</f>
        <v>View Map</v>
      </c>
      <c r="G5283" s="2">
        <v>0.57876947073664631</v>
      </c>
    </row>
    <row r="5284" spans="1:7" x14ac:dyDescent="0.3">
      <c r="A5284" t="s">
        <v>9836</v>
      </c>
      <c r="B5284" t="s">
        <v>9837</v>
      </c>
      <c r="C5284" t="s">
        <v>8</v>
      </c>
      <c r="D5284">
        <v>2.0710000000000002</v>
      </c>
      <c r="E5284">
        <v>663</v>
      </c>
      <c r="F5284" t="str">
        <f>HYPERLINK("https://www.google.com/maps/search/?api=1&amp;query=24.58976297,46.55213702", "View Map")</f>
        <v>View Map</v>
      </c>
    </row>
    <row r="5285" spans="1:7" x14ac:dyDescent="0.3">
      <c r="A5285" t="s">
        <v>8607</v>
      </c>
      <c r="B5285" t="s">
        <v>8608</v>
      </c>
      <c r="C5285" t="s">
        <v>8</v>
      </c>
      <c r="D5285">
        <v>2.0699999999999998</v>
      </c>
      <c r="E5285">
        <v>662</v>
      </c>
      <c r="F5285" t="str">
        <f>HYPERLINK("https://www.google.com/maps/search/?api=1&amp;query=24.58184648,46.54618173", "View Map")</f>
        <v>View Map</v>
      </c>
    </row>
    <row r="5286" spans="1:7" x14ac:dyDescent="0.3">
      <c r="A5286" t="s">
        <v>9496</v>
      </c>
      <c r="B5286" t="s">
        <v>9497</v>
      </c>
      <c r="C5286" t="s">
        <v>8</v>
      </c>
      <c r="D5286">
        <v>2.0699999999999998</v>
      </c>
      <c r="E5286">
        <v>662</v>
      </c>
      <c r="F5286" t="str">
        <f>HYPERLINK("https://www.google.com/maps/search/?api=1&amp;query=24.58354982,46.79117141", "View Map")</f>
        <v>View Map</v>
      </c>
    </row>
    <row r="5287" spans="1:7" x14ac:dyDescent="0.3">
      <c r="A5287" t="s">
        <v>6568</v>
      </c>
      <c r="B5287" t="s">
        <v>6569</v>
      </c>
      <c r="C5287" t="s">
        <v>241</v>
      </c>
      <c r="D5287">
        <v>2.069</v>
      </c>
      <c r="E5287">
        <v>662</v>
      </c>
      <c r="F5287" t="str">
        <f>HYPERLINK("https://www.google.com/maps/search/?api=1&amp;query=20.46356177,44.78095887", "View Map")</f>
        <v>View Map</v>
      </c>
    </row>
    <row r="5288" spans="1:7" x14ac:dyDescent="0.3">
      <c r="A5288" t="s">
        <v>10204</v>
      </c>
      <c r="B5288" t="s">
        <v>10205</v>
      </c>
      <c r="C5288" t="s">
        <v>699</v>
      </c>
      <c r="D5288">
        <v>2.069</v>
      </c>
      <c r="E5288">
        <v>662</v>
      </c>
      <c r="F5288" t="str">
        <f>HYPERLINK("https://www.google.com/maps/search/?api=1&amp;query=25.12273988,45.48894326", "View Map")</f>
        <v>View Map</v>
      </c>
      <c r="G5288" s="2">
        <v>0.45871570705179709</v>
      </c>
    </row>
    <row r="5289" spans="1:7" x14ac:dyDescent="0.3">
      <c r="A5289" t="s">
        <v>6878</v>
      </c>
      <c r="B5289" t="s">
        <v>9182</v>
      </c>
      <c r="C5289" t="s">
        <v>8</v>
      </c>
      <c r="D5289">
        <v>2.069</v>
      </c>
      <c r="E5289">
        <v>662</v>
      </c>
      <c r="F5289" t="str">
        <f>HYPERLINK("https://www.google.com/maps/search/?api=1&amp;query=24.59251674,46.66826536", "View Map")</f>
        <v>View Map</v>
      </c>
    </row>
    <row r="5290" spans="1:7" x14ac:dyDescent="0.3">
      <c r="A5290" t="s">
        <v>8865</v>
      </c>
      <c r="B5290" t="s">
        <v>8866</v>
      </c>
      <c r="C5290" t="s">
        <v>255</v>
      </c>
      <c r="D5290">
        <v>2.069</v>
      </c>
      <c r="E5290">
        <v>662</v>
      </c>
      <c r="F5290" t="str">
        <f>HYPERLINK("https://www.google.com/maps/search/?api=1&amp;query=24.53020189,44.27831826", "View Map")</f>
        <v>View Map</v>
      </c>
      <c r="G5290" s="2">
        <v>0.86554453740132653</v>
      </c>
    </row>
    <row r="5291" spans="1:7" x14ac:dyDescent="0.3">
      <c r="A5291" t="s">
        <v>9178</v>
      </c>
      <c r="B5291" t="s">
        <v>9179</v>
      </c>
      <c r="C5291" t="s">
        <v>8</v>
      </c>
      <c r="D5291">
        <v>2.0680000000000001</v>
      </c>
      <c r="E5291">
        <v>662</v>
      </c>
      <c r="F5291" t="str">
        <f>HYPERLINK("https://www.google.com/maps/search/?api=1&amp;query=24.79738643,46.64707458", "View Map")</f>
        <v>View Map</v>
      </c>
    </row>
    <row r="5292" spans="1:7" x14ac:dyDescent="0.3">
      <c r="A5292" t="s">
        <v>46</v>
      </c>
      <c r="B5292" t="s">
        <v>6561</v>
      </c>
      <c r="C5292" t="s">
        <v>8</v>
      </c>
      <c r="D5292">
        <v>2.0670000000000002</v>
      </c>
      <c r="E5292">
        <v>661</v>
      </c>
      <c r="F5292" t="str">
        <f>HYPERLINK("https://www.google.com/maps/search/?api=1&amp;query=24.83594,46.65362", "View Map")</f>
        <v>View Map</v>
      </c>
    </row>
    <row r="5293" spans="1:7" x14ac:dyDescent="0.3">
      <c r="A5293" t="s">
        <v>11921</v>
      </c>
      <c r="B5293" t="s">
        <v>11922</v>
      </c>
      <c r="C5293" t="s">
        <v>8</v>
      </c>
      <c r="D5293">
        <v>2.0670000000000002</v>
      </c>
      <c r="E5293">
        <v>661</v>
      </c>
      <c r="F5293" t="str">
        <f>HYPERLINK("https://www.google.com/maps/search/?api=1&amp;query=24.65565522,46.6690319", "View Map")</f>
        <v>View Map</v>
      </c>
    </row>
    <row r="5294" spans="1:7" x14ac:dyDescent="0.3">
      <c r="A5294" t="s">
        <v>8851</v>
      </c>
      <c r="B5294" t="s">
        <v>8852</v>
      </c>
      <c r="C5294" t="s">
        <v>214</v>
      </c>
      <c r="D5294">
        <v>2.0670000000000002</v>
      </c>
      <c r="E5294">
        <v>661</v>
      </c>
      <c r="F5294" t="str">
        <f>HYPERLINK("https://www.google.com/maps/search/?api=1&amp;query=25.58244467,45.61083001", "View Map")</f>
        <v>View Map</v>
      </c>
      <c r="G5294" s="2">
        <v>0.53929593466109849</v>
      </c>
    </row>
    <row r="5295" spans="1:7" x14ac:dyDescent="0.3">
      <c r="A5295" t="s">
        <v>11923</v>
      </c>
      <c r="B5295" t="s">
        <v>11924</v>
      </c>
      <c r="C5295" t="s">
        <v>255</v>
      </c>
      <c r="D5295">
        <v>2.0659999999999998</v>
      </c>
      <c r="E5295">
        <v>661</v>
      </c>
      <c r="F5295" t="str">
        <f>HYPERLINK("https://www.google.com/maps/search/?api=1&amp;query=24.71758362,44.75222567", "View Map")</f>
        <v>View Map</v>
      </c>
    </row>
    <row r="5296" spans="1:7" x14ac:dyDescent="0.3">
      <c r="A5296" t="s">
        <v>46</v>
      </c>
      <c r="B5296" t="s">
        <v>3252</v>
      </c>
      <c r="C5296" t="s">
        <v>8</v>
      </c>
      <c r="D5296">
        <v>2.0659999999999998</v>
      </c>
      <c r="E5296">
        <v>661</v>
      </c>
      <c r="F5296" t="str">
        <f>HYPERLINK("https://www.google.com/maps/search/?api=1&amp;query=24.8292,46.7397", "View Map")</f>
        <v>View Map</v>
      </c>
      <c r="G5296" s="2">
        <v>0.17802768905784791</v>
      </c>
    </row>
    <row r="5297" spans="1:7" x14ac:dyDescent="0.3">
      <c r="A5297" t="s">
        <v>11925</v>
      </c>
      <c r="B5297" t="s">
        <v>11926</v>
      </c>
      <c r="C5297" t="s">
        <v>8</v>
      </c>
      <c r="D5297">
        <v>2.0659999999999998</v>
      </c>
      <c r="E5297">
        <v>661</v>
      </c>
      <c r="F5297" t="str">
        <f>HYPERLINK("https://www.google.com/maps/search/?api=1&amp;query=24.74515969,46.75285959", "View Map")</f>
        <v>View Map</v>
      </c>
    </row>
    <row r="5298" spans="1:7" x14ac:dyDescent="0.3">
      <c r="A5298" t="s">
        <v>8373</v>
      </c>
      <c r="B5298" t="s">
        <v>9899</v>
      </c>
      <c r="C5298" t="s">
        <v>820</v>
      </c>
      <c r="D5298">
        <v>2.0649999999999999</v>
      </c>
      <c r="E5298">
        <v>661</v>
      </c>
      <c r="F5298" t="str">
        <f>HYPERLINK("https://www.google.com/maps/search/?api=1&amp;query=0.0,0.0", "View Map")</f>
        <v>View Map</v>
      </c>
    </row>
    <row r="5299" spans="1:7" x14ac:dyDescent="0.3">
      <c r="A5299" t="s">
        <v>11927</v>
      </c>
      <c r="B5299" t="s">
        <v>11928</v>
      </c>
      <c r="C5299" t="s">
        <v>291</v>
      </c>
      <c r="D5299">
        <v>2.0649999999999999</v>
      </c>
      <c r="E5299">
        <v>661</v>
      </c>
      <c r="F5299" t="str">
        <f>HYPERLINK("https://www.google.com/maps/search/?api=1&amp;query=23.68218636,44.88669807", "View Map")</f>
        <v>View Map</v>
      </c>
    </row>
    <row r="5300" spans="1:7" x14ac:dyDescent="0.3">
      <c r="A5300" t="s">
        <v>46</v>
      </c>
      <c r="B5300" t="s">
        <v>3961</v>
      </c>
      <c r="C5300" t="s">
        <v>8</v>
      </c>
      <c r="D5300">
        <v>2.0649999999999999</v>
      </c>
      <c r="E5300">
        <v>661</v>
      </c>
      <c r="F5300" t="str">
        <f>HYPERLINK("https://www.google.com/maps/search/?api=1&amp;query=24.83559,46.67634", "View Map")</f>
        <v>View Map</v>
      </c>
    </row>
    <row r="5301" spans="1:7" x14ac:dyDescent="0.3">
      <c r="A5301" t="s">
        <v>11929</v>
      </c>
      <c r="B5301" t="s">
        <v>11930</v>
      </c>
      <c r="C5301" t="s">
        <v>8</v>
      </c>
      <c r="D5301">
        <v>2.0640000000000001</v>
      </c>
      <c r="E5301">
        <v>661</v>
      </c>
      <c r="F5301" t="str">
        <f>HYPERLINK("https://www.google.com/maps/search/?api=1&amp;query=24.81965619,46.64000431", "View Map")</f>
        <v>View Map</v>
      </c>
    </row>
    <row r="5302" spans="1:7" x14ac:dyDescent="0.3">
      <c r="A5302" t="s">
        <v>9281</v>
      </c>
      <c r="B5302" t="s">
        <v>10008</v>
      </c>
      <c r="C5302" t="s">
        <v>393</v>
      </c>
      <c r="D5302">
        <v>2.0640000000000001</v>
      </c>
      <c r="E5302">
        <v>660</v>
      </c>
      <c r="F5302" t="str">
        <f>HYPERLINK("https://www.google.com/maps/search/?api=1&amp;query=23.57149364,45.57081571", "View Map")</f>
        <v>View Map</v>
      </c>
      <c r="G5302" s="2">
        <v>0.78357630877139894</v>
      </c>
    </row>
    <row r="5303" spans="1:7" x14ac:dyDescent="0.3">
      <c r="A5303" t="s">
        <v>11931</v>
      </c>
      <c r="B5303" t="s">
        <v>11932</v>
      </c>
      <c r="C5303" t="s">
        <v>55</v>
      </c>
      <c r="D5303">
        <v>2.0640000000000001</v>
      </c>
      <c r="E5303">
        <v>661</v>
      </c>
      <c r="F5303" t="str">
        <f>HYPERLINK("https://www.google.com/maps/search/?api=1&amp;query=24.75831558,46.57840631", "View Map")</f>
        <v>View Map</v>
      </c>
    </row>
    <row r="5304" spans="1:7" x14ac:dyDescent="0.3">
      <c r="A5304" t="s">
        <v>10579</v>
      </c>
      <c r="B5304" t="s">
        <v>10580</v>
      </c>
      <c r="C5304" t="s">
        <v>291</v>
      </c>
      <c r="D5304">
        <v>2.0640000000000001</v>
      </c>
      <c r="E5304">
        <v>660</v>
      </c>
      <c r="F5304" t="str">
        <f>HYPERLINK("https://www.google.com/maps/search/?api=1&amp;query=24.39459389,45.82929202", "View Map")</f>
        <v>View Map</v>
      </c>
      <c r="G5304" s="2">
        <v>0.52758412933003862</v>
      </c>
    </row>
    <row r="5305" spans="1:7" x14ac:dyDescent="0.3">
      <c r="A5305" t="s">
        <v>3490</v>
      </c>
      <c r="B5305" t="s">
        <v>3491</v>
      </c>
      <c r="C5305" t="s">
        <v>214</v>
      </c>
      <c r="D5305">
        <v>2.0640000000000001</v>
      </c>
      <c r="E5305">
        <v>660</v>
      </c>
      <c r="F5305" t="str">
        <f>HYPERLINK("https://www.google.com/maps/search/?api=1&amp;query=26.64095507,45.2431103", "View Map")</f>
        <v>View Map</v>
      </c>
      <c r="G5305" s="2">
        <v>0.27000402484078201</v>
      </c>
    </row>
    <row r="5306" spans="1:7" x14ac:dyDescent="0.3">
      <c r="A5306" t="s">
        <v>2168</v>
      </c>
      <c r="B5306" t="s">
        <v>9693</v>
      </c>
      <c r="C5306" t="s">
        <v>393</v>
      </c>
      <c r="D5306">
        <v>2.0640000000000001</v>
      </c>
      <c r="E5306">
        <v>660</v>
      </c>
      <c r="F5306" t="str">
        <f>HYPERLINK("https://www.google.com/maps/search/?api=1&amp;query=23.4350743,45.2040246", "View Map")</f>
        <v>View Map</v>
      </c>
      <c r="G5306" s="2">
        <v>0.81343027164126158</v>
      </c>
    </row>
    <row r="5307" spans="1:7" x14ac:dyDescent="0.3">
      <c r="A5307" t="s">
        <v>8328</v>
      </c>
      <c r="B5307" t="s">
        <v>8329</v>
      </c>
      <c r="C5307" t="s">
        <v>8</v>
      </c>
      <c r="D5307">
        <v>2.0630000000000002</v>
      </c>
      <c r="E5307">
        <v>660</v>
      </c>
      <c r="F5307" t="str">
        <f>HYPERLINK("https://www.google.com/maps/search/?api=1&amp;query=24.59929334,46.60025905", "View Map")</f>
        <v>View Map</v>
      </c>
    </row>
    <row r="5308" spans="1:7" x14ac:dyDescent="0.3">
      <c r="A5308" t="s">
        <v>9234</v>
      </c>
      <c r="B5308" t="s">
        <v>9235</v>
      </c>
      <c r="C5308" t="s">
        <v>270</v>
      </c>
      <c r="D5308">
        <v>2.0619999999999998</v>
      </c>
      <c r="E5308">
        <v>660</v>
      </c>
      <c r="F5308" t="str">
        <f>HYPERLINK("https://www.google.com/maps/search/?api=1&amp;query=23.96287687,47.11985186", "View Map")</f>
        <v>View Map</v>
      </c>
      <c r="G5308" s="2">
        <v>0.50924276539687907</v>
      </c>
    </row>
    <row r="5309" spans="1:7" x14ac:dyDescent="0.3">
      <c r="A5309" t="s">
        <v>8651</v>
      </c>
      <c r="B5309" t="s">
        <v>8652</v>
      </c>
      <c r="C5309" t="s">
        <v>296</v>
      </c>
      <c r="D5309">
        <v>2.0609999999999999</v>
      </c>
      <c r="E5309">
        <v>660</v>
      </c>
      <c r="F5309" t="str">
        <f>HYPERLINK("https://www.google.com/maps/search/?api=1&amp;query=24.46268905,46.26676751", "View Map")</f>
        <v>View Map</v>
      </c>
    </row>
    <row r="5310" spans="1:7" x14ac:dyDescent="0.3">
      <c r="A5310" t="s">
        <v>9273</v>
      </c>
      <c r="B5310" t="s">
        <v>9274</v>
      </c>
      <c r="C5310" t="s">
        <v>255</v>
      </c>
      <c r="D5310">
        <v>2.0609999999999999</v>
      </c>
      <c r="E5310">
        <v>659</v>
      </c>
      <c r="F5310" t="str">
        <f>HYPERLINK("https://www.google.com/maps/search/?api=1&amp;query=24.19980087,43.50120672", "View Map")</f>
        <v>View Map</v>
      </c>
      <c r="G5310" s="2">
        <v>0.7938295629236074</v>
      </c>
    </row>
    <row r="5311" spans="1:7" x14ac:dyDescent="0.3">
      <c r="A5311" t="s">
        <v>46</v>
      </c>
      <c r="B5311" t="s">
        <v>10531</v>
      </c>
      <c r="C5311" t="s">
        <v>8</v>
      </c>
      <c r="D5311">
        <v>2.0609999999999999</v>
      </c>
      <c r="E5311">
        <v>660</v>
      </c>
      <c r="F5311" t="str">
        <f>HYPERLINK("https://www.google.com/maps/search/?api=1&amp;query=24.77103029,46.65556605", "View Map")</f>
        <v>View Map</v>
      </c>
    </row>
    <row r="5312" spans="1:7" x14ac:dyDescent="0.3">
      <c r="A5312" t="s">
        <v>7213</v>
      </c>
      <c r="B5312" t="s">
        <v>7214</v>
      </c>
      <c r="C5312" t="s">
        <v>8</v>
      </c>
      <c r="D5312">
        <v>2.06</v>
      </c>
      <c r="E5312">
        <v>659</v>
      </c>
      <c r="F5312" t="str">
        <f>HYPERLINK("https://www.google.com/maps/search/?api=1&amp;query=24.62691815,46.54646608", "View Map")</f>
        <v>View Map</v>
      </c>
    </row>
    <row r="5313" spans="1:7" x14ac:dyDescent="0.3">
      <c r="A5313" t="s">
        <v>10447</v>
      </c>
      <c r="B5313" t="s">
        <v>10448</v>
      </c>
      <c r="C5313" t="s">
        <v>30</v>
      </c>
      <c r="D5313">
        <v>2.06</v>
      </c>
      <c r="E5313">
        <v>659</v>
      </c>
      <c r="F5313" t="str">
        <f>HYPERLINK("https://www.google.com/maps/search/?api=1&amp;query=24.16576412,47.23282945", "View Map")</f>
        <v>View Map</v>
      </c>
      <c r="G5313" s="2">
        <v>0.64132781633234481</v>
      </c>
    </row>
    <row r="5314" spans="1:7" x14ac:dyDescent="0.3">
      <c r="A5314" t="s">
        <v>9396</v>
      </c>
      <c r="B5314" t="s">
        <v>9397</v>
      </c>
      <c r="C5314" t="s">
        <v>270</v>
      </c>
      <c r="D5314">
        <v>2.06</v>
      </c>
      <c r="E5314">
        <v>659</v>
      </c>
      <c r="F5314" t="str">
        <f>HYPERLINK("https://www.google.com/maps/search/?api=1&amp;query=23.99575,47.15222", "View Map")</f>
        <v>View Map</v>
      </c>
      <c r="G5314" s="2">
        <v>0.46603121684186849</v>
      </c>
    </row>
    <row r="5315" spans="1:7" x14ac:dyDescent="0.3">
      <c r="A5315" t="s">
        <v>28</v>
      </c>
      <c r="B5315" t="s">
        <v>3751</v>
      </c>
      <c r="C5315" t="s">
        <v>30</v>
      </c>
      <c r="D5315">
        <v>2.0590000000000002</v>
      </c>
      <c r="E5315">
        <v>659</v>
      </c>
      <c r="F5315" t="str">
        <f>HYPERLINK("https://www.google.com/maps/search/?api=1&amp;query=24.172587,47.37090102", "View Map")</f>
        <v>View Map</v>
      </c>
      <c r="G5315" s="2">
        <v>0.23420179981210831</v>
      </c>
    </row>
    <row r="5316" spans="1:7" x14ac:dyDescent="0.3">
      <c r="A5316" t="s">
        <v>11165</v>
      </c>
      <c r="B5316" t="s">
        <v>11166</v>
      </c>
      <c r="C5316" t="s">
        <v>8</v>
      </c>
      <c r="D5316">
        <v>2.0590000000000002</v>
      </c>
      <c r="E5316">
        <v>659</v>
      </c>
      <c r="F5316" t="str">
        <f>HYPERLINK("https://www.google.com/maps/search/?api=1&amp;query=24.81959664,46.64769764", "View Map")</f>
        <v>View Map</v>
      </c>
    </row>
    <row r="5317" spans="1:7" x14ac:dyDescent="0.3">
      <c r="A5317" t="s">
        <v>1669</v>
      </c>
      <c r="B5317" t="s">
        <v>1670</v>
      </c>
      <c r="C5317" t="s">
        <v>8</v>
      </c>
      <c r="D5317">
        <v>2.0590000000000002</v>
      </c>
      <c r="E5317">
        <v>659</v>
      </c>
      <c r="F5317" t="str">
        <f>HYPERLINK("https://www.google.com/maps/search/?api=1&amp;query=24.70849299,46.63256692", "View Map")</f>
        <v>View Map</v>
      </c>
      <c r="G5317" s="2">
        <v>0.1149547508665572</v>
      </c>
    </row>
    <row r="5318" spans="1:7" x14ac:dyDescent="0.3">
      <c r="A5318" t="s">
        <v>8403</v>
      </c>
      <c r="B5318" t="s">
        <v>8404</v>
      </c>
      <c r="C5318" t="s">
        <v>137</v>
      </c>
      <c r="D5318">
        <v>2.0590000000000002</v>
      </c>
      <c r="E5318">
        <v>659</v>
      </c>
      <c r="F5318" t="str">
        <f>HYPERLINK("https://www.google.com/maps/search/?api=1&amp;query=23.4357584,46.78426898", "View Map")</f>
        <v>View Map</v>
      </c>
      <c r="G5318" s="2">
        <v>0.34731704804704461</v>
      </c>
    </row>
    <row r="5319" spans="1:7" x14ac:dyDescent="0.3">
      <c r="A5319" t="s">
        <v>4897</v>
      </c>
      <c r="B5319" t="s">
        <v>4898</v>
      </c>
      <c r="C5319" t="s">
        <v>8</v>
      </c>
      <c r="D5319">
        <v>2.0579999999999998</v>
      </c>
      <c r="E5319">
        <v>658</v>
      </c>
      <c r="F5319" t="str">
        <f>HYPERLINK("https://www.google.com/maps/search/?api=1&amp;query=24.71295674,46.68056328", "View Map")</f>
        <v>View Map</v>
      </c>
    </row>
    <row r="5320" spans="1:7" x14ac:dyDescent="0.3">
      <c r="A5320" t="s">
        <v>11933</v>
      </c>
      <c r="B5320" t="s">
        <v>11934</v>
      </c>
      <c r="C5320" t="s">
        <v>241</v>
      </c>
      <c r="D5320">
        <v>2.0579999999999998</v>
      </c>
      <c r="E5320">
        <v>659</v>
      </c>
      <c r="F5320" t="str">
        <f>HYPERLINK("https://www.google.com/maps/search/?api=1&amp;query=20.41081147,44.60754408", "View Map")</f>
        <v>View Map</v>
      </c>
      <c r="G5320" s="2">
        <v>0.83785606002672053</v>
      </c>
    </row>
    <row r="5321" spans="1:7" x14ac:dyDescent="0.3">
      <c r="A5321" t="s">
        <v>11935</v>
      </c>
      <c r="B5321" t="s">
        <v>11936</v>
      </c>
      <c r="C5321" t="s">
        <v>8</v>
      </c>
      <c r="D5321">
        <v>2.0579999999999998</v>
      </c>
      <c r="E5321">
        <v>658</v>
      </c>
      <c r="F5321" t="str">
        <f>HYPERLINK("https://www.google.com/maps/search/?api=1&amp;query=24.7369576,46.81905957", "View Map")</f>
        <v>View Map</v>
      </c>
    </row>
    <row r="5322" spans="1:7" x14ac:dyDescent="0.3">
      <c r="A5322" t="s">
        <v>6654</v>
      </c>
      <c r="B5322" t="s">
        <v>6655</v>
      </c>
      <c r="C5322" t="s">
        <v>8</v>
      </c>
      <c r="D5322">
        <v>2.0569999999999999</v>
      </c>
      <c r="E5322">
        <v>658</v>
      </c>
      <c r="F5322" t="str">
        <f>HYPERLINK("https://www.google.com/maps/search/?api=1&amp;query=24.61477591,46.68814778", "View Map")</f>
        <v>View Map</v>
      </c>
    </row>
    <row r="5323" spans="1:7" x14ac:dyDescent="0.3">
      <c r="A5323" t="s">
        <v>11937</v>
      </c>
      <c r="B5323" t="s">
        <v>11938</v>
      </c>
      <c r="C5323" t="s">
        <v>255</v>
      </c>
      <c r="D5323">
        <v>2.0569999999999999</v>
      </c>
      <c r="E5323">
        <v>658</v>
      </c>
      <c r="F5323" t="str">
        <f>HYPERLINK("https://www.google.com/maps/search/?api=1&amp;query=25.35853184,44.42208596", "View Map")</f>
        <v>View Map</v>
      </c>
      <c r="G5323" s="2">
        <v>0.72067179110671065</v>
      </c>
    </row>
    <row r="5324" spans="1:7" x14ac:dyDescent="0.3">
      <c r="A5324" t="s">
        <v>8708</v>
      </c>
      <c r="B5324" t="s">
        <v>8709</v>
      </c>
      <c r="C5324" t="s">
        <v>296</v>
      </c>
      <c r="D5324">
        <v>2.0569999999999999</v>
      </c>
      <c r="E5324">
        <v>658</v>
      </c>
      <c r="F5324" t="str">
        <f>HYPERLINK("https://www.google.com/maps/search/?api=1&amp;query=24.16795866,46.43924405", "View Map")</f>
        <v>View Map</v>
      </c>
      <c r="G5324" s="2">
        <v>0.65680366899974163</v>
      </c>
    </row>
    <row r="5325" spans="1:7" x14ac:dyDescent="0.3">
      <c r="A5325" t="s">
        <v>11939</v>
      </c>
      <c r="B5325" t="s">
        <v>11940</v>
      </c>
      <c r="C5325" t="s">
        <v>291</v>
      </c>
      <c r="D5325">
        <v>2.0569999999999999</v>
      </c>
      <c r="E5325">
        <v>658</v>
      </c>
      <c r="F5325" t="str">
        <f>HYPERLINK("https://www.google.com/maps/search/?api=1&amp;query=24.37945649,45.32120438", "View Map")</f>
        <v>View Map</v>
      </c>
      <c r="G5325" s="2">
        <v>0.92615153813159723</v>
      </c>
    </row>
    <row r="5326" spans="1:7" x14ac:dyDescent="0.3">
      <c r="A5326" t="s">
        <v>9309</v>
      </c>
      <c r="B5326" t="s">
        <v>9310</v>
      </c>
      <c r="C5326" t="s">
        <v>8</v>
      </c>
      <c r="D5326">
        <v>2.056</v>
      </c>
      <c r="E5326">
        <v>658</v>
      </c>
      <c r="F5326" t="str">
        <f>HYPERLINK("https://www.google.com/maps/search/?api=1&amp;query=24.57908959,46.7799581", "View Map")</f>
        <v>View Map</v>
      </c>
    </row>
    <row r="5327" spans="1:7" x14ac:dyDescent="0.3">
      <c r="A5327" t="s">
        <v>9503</v>
      </c>
      <c r="B5327" t="s">
        <v>9504</v>
      </c>
      <c r="C5327" t="s">
        <v>291</v>
      </c>
      <c r="D5327">
        <v>2.056</v>
      </c>
      <c r="E5327">
        <v>658</v>
      </c>
      <c r="F5327" t="str">
        <f>HYPERLINK("https://www.google.com/maps/search/?api=1&amp;query=23.2523369,44.94704632", "View Map")</f>
        <v>View Map</v>
      </c>
      <c r="G5327" s="2">
        <v>0.66800314286063223</v>
      </c>
    </row>
    <row r="5328" spans="1:7" x14ac:dyDescent="0.3">
      <c r="A5328" t="s">
        <v>8069</v>
      </c>
      <c r="B5328" t="s">
        <v>8070</v>
      </c>
      <c r="C5328" t="s">
        <v>21</v>
      </c>
      <c r="D5328">
        <v>2.0550000000000002</v>
      </c>
      <c r="E5328">
        <v>658</v>
      </c>
      <c r="F5328" t="str">
        <f>HYPERLINK("https://www.google.com/maps/search/?api=1&amp;query=26.28682471,44.81831496", "View Map")</f>
        <v>View Map</v>
      </c>
      <c r="G5328" s="2">
        <v>0.89671713659848762</v>
      </c>
    </row>
    <row r="5329" spans="1:7" x14ac:dyDescent="0.3">
      <c r="A5329" t="s">
        <v>11941</v>
      </c>
      <c r="B5329" t="s">
        <v>11942</v>
      </c>
      <c r="C5329" t="s">
        <v>296</v>
      </c>
      <c r="D5329">
        <v>2.0550000000000002</v>
      </c>
      <c r="E5329">
        <v>658</v>
      </c>
      <c r="F5329" t="str">
        <f>HYPERLINK("https://www.google.com/maps/search/?api=1&amp;query=24.18304618,46.3629681", "View Map")</f>
        <v>View Map</v>
      </c>
    </row>
    <row r="5330" spans="1:7" x14ac:dyDescent="0.3">
      <c r="A5330" t="s">
        <v>11129</v>
      </c>
      <c r="B5330" t="s">
        <v>11130</v>
      </c>
      <c r="C5330" t="s">
        <v>77</v>
      </c>
      <c r="D5330">
        <v>2.0539999999999998</v>
      </c>
      <c r="E5330">
        <v>657</v>
      </c>
      <c r="F5330" t="str">
        <f>HYPERLINK("https://www.google.com/maps/search/?api=1&amp;query=22.21004735,46.68377823", "View Map")</f>
        <v>View Map</v>
      </c>
      <c r="G5330" s="2">
        <v>0.53542385042343343</v>
      </c>
    </row>
    <row r="5331" spans="1:7" x14ac:dyDescent="0.3">
      <c r="A5331" t="s">
        <v>3677</v>
      </c>
      <c r="B5331" t="s">
        <v>3678</v>
      </c>
      <c r="C5331" t="s">
        <v>8</v>
      </c>
      <c r="D5331">
        <v>2.0539999999999998</v>
      </c>
      <c r="E5331">
        <v>657</v>
      </c>
      <c r="F5331" t="str">
        <f>HYPERLINK("https://www.google.com/maps/search/?api=1&amp;query=24.82032996,46.76044133", "View Map")</f>
        <v>View Map</v>
      </c>
      <c r="G5331" s="2">
        <v>0.1916619571562464</v>
      </c>
    </row>
    <row r="5332" spans="1:7" x14ac:dyDescent="0.3">
      <c r="A5332" t="s">
        <v>1273</v>
      </c>
      <c r="B5332" t="s">
        <v>8052</v>
      </c>
      <c r="C5332" t="s">
        <v>241</v>
      </c>
      <c r="D5332">
        <v>2.052</v>
      </c>
      <c r="E5332">
        <v>657</v>
      </c>
      <c r="F5332" t="str">
        <f>HYPERLINK("https://www.google.com/maps/search/?api=1&amp;query=20.43164125,44.73759013", "View Map")</f>
        <v>View Map</v>
      </c>
      <c r="G5332" s="2">
        <v>0.31142353026268382</v>
      </c>
    </row>
    <row r="5333" spans="1:7" x14ac:dyDescent="0.3">
      <c r="A5333" t="s">
        <v>9190</v>
      </c>
      <c r="B5333" t="s">
        <v>9191</v>
      </c>
      <c r="C5333" t="s">
        <v>8</v>
      </c>
      <c r="D5333">
        <v>2.052</v>
      </c>
      <c r="E5333">
        <v>657</v>
      </c>
      <c r="F5333" t="str">
        <f>HYPERLINK("https://www.google.com/maps/search/?api=1&amp;query=24.73189448,46.83890803", "View Map")</f>
        <v>View Map</v>
      </c>
    </row>
    <row r="5334" spans="1:7" x14ac:dyDescent="0.3">
      <c r="A5334" t="s">
        <v>9341</v>
      </c>
      <c r="B5334" t="s">
        <v>9342</v>
      </c>
      <c r="C5334" t="s">
        <v>8</v>
      </c>
      <c r="D5334">
        <v>2.052</v>
      </c>
      <c r="E5334">
        <v>657</v>
      </c>
      <c r="F5334" t="str">
        <f>HYPERLINK("https://www.google.com/maps/search/?api=1&amp;query=24.72427455,46.85147681", "View Map")</f>
        <v>View Map</v>
      </c>
    </row>
    <row r="5335" spans="1:7" x14ac:dyDescent="0.3">
      <c r="A5335" t="s">
        <v>46</v>
      </c>
      <c r="B5335" t="s">
        <v>10808</v>
      </c>
      <c r="C5335" t="s">
        <v>8</v>
      </c>
      <c r="D5335">
        <v>2.0510000000000002</v>
      </c>
      <c r="E5335">
        <v>656</v>
      </c>
      <c r="F5335" t="str">
        <f>HYPERLINK("https://www.google.com/maps/search/?api=1&amp;query=24.72797,46.85068", "View Map")</f>
        <v>View Map</v>
      </c>
      <c r="G5335" s="2">
        <v>0.92065809245239283</v>
      </c>
    </row>
    <row r="5336" spans="1:7" x14ac:dyDescent="0.3">
      <c r="A5336" t="s">
        <v>10472</v>
      </c>
      <c r="B5336" t="s">
        <v>10473</v>
      </c>
      <c r="C5336" t="s">
        <v>8</v>
      </c>
      <c r="D5336">
        <v>2.0510000000000002</v>
      </c>
      <c r="E5336">
        <v>656</v>
      </c>
      <c r="F5336" t="str">
        <f>HYPERLINK("https://www.google.com/maps/search/?api=1&amp;query=24.58381633,46.52631987", "View Map")</f>
        <v>View Map</v>
      </c>
    </row>
    <row r="5337" spans="1:7" x14ac:dyDescent="0.3">
      <c r="A5337" t="s">
        <v>627</v>
      </c>
      <c r="B5337" t="s">
        <v>10018</v>
      </c>
      <c r="C5337" t="s">
        <v>55</v>
      </c>
      <c r="D5337">
        <v>2.0499999999999998</v>
      </c>
      <c r="E5337">
        <v>656</v>
      </c>
      <c r="F5337" t="str">
        <f>HYPERLINK("https://www.google.com/maps/search/?api=1&amp;query=24.74006311,46.60411801", "View Map")</f>
        <v>View Map</v>
      </c>
    </row>
    <row r="5338" spans="1:7" x14ac:dyDescent="0.3">
      <c r="A5338" t="s">
        <v>6185</v>
      </c>
      <c r="B5338" t="s">
        <v>6186</v>
      </c>
      <c r="C5338" t="s">
        <v>214</v>
      </c>
      <c r="D5338">
        <v>2.0499999999999998</v>
      </c>
      <c r="E5338">
        <v>656</v>
      </c>
      <c r="F5338" t="str">
        <f>HYPERLINK("https://www.google.com/maps/search/?api=1&amp;query=25.67345744,45.45611219", "View Map")</f>
        <v>View Map</v>
      </c>
      <c r="G5338" s="2">
        <v>0.48962828603299657</v>
      </c>
    </row>
    <row r="5339" spans="1:7" x14ac:dyDescent="0.3">
      <c r="A5339" t="s">
        <v>46</v>
      </c>
      <c r="B5339" t="s">
        <v>4633</v>
      </c>
      <c r="C5339" t="s">
        <v>8</v>
      </c>
      <c r="D5339">
        <v>2.0499999999999998</v>
      </c>
      <c r="E5339">
        <v>656</v>
      </c>
      <c r="F5339" t="str">
        <f>HYPERLINK("https://www.google.com/maps/search/?api=1&amp;query=24.76839986,46.83408547", "View Map")</f>
        <v>View Map</v>
      </c>
    </row>
    <row r="5340" spans="1:7" x14ac:dyDescent="0.3">
      <c r="A5340" t="s">
        <v>11943</v>
      </c>
      <c r="B5340" t="s">
        <v>11944</v>
      </c>
      <c r="C5340" t="s">
        <v>8</v>
      </c>
      <c r="D5340">
        <v>2.0499999999999998</v>
      </c>
      <c r="E5340">
        <v>656</v>
      </c>
      <c r="F5340" t="str">
        <f>HYPERLINK("https://www.google.com/maps/search/?api=1&amp;query=24.70662716,46.84324093", "View Map")</f>
        <v>View Map</v>
      </c>
    </row>
    <row r="5341" spans="1:7" x14ac:dyDescent="0.3">
      <c r="A5341" t="s">
        <v>435</v>
      </c>
      <c r="B5341" t="s">
        <v>11945</v>
      </c>
      <c r="C5341" t="s">
        <v>8</v>
      </c>
      <c r="D5341">
        <v>2.0489999999999999</v>
      </c>
      <c r="E5341">
        <v>656</v>
      </c>
      <c r="F5341" t="str">
        <f>HYPERLINK("https://www.google.com/maps/search/?api=1&amp;query=24.76345795,46.62741064", "View Map")</f>
        <v>View Map</v>
      </c>
    </row>
    <row r="5342" spans="1:7" x14ac:dyDescent="0.3">
      <c r="A5342" t="s">
        <v>2478</v>
      </c>
      <c r="B5342" t="s">
        <v>8596</v>
      </c>
      <c r="C5342" t="s">
        <v>8</v>
      </c>
      <c r="D5342">
        <v>2.0489999999999999</v>
      </c>
      <c r="E5342">
        <v>656</v>
      </c>
      <c r="F5342" t="str">
        <f>HYPERLINK("https://www.google.com/maps/search/?api=1&amp;query=24.80974365,46.88475393", "View Map")</f>
        <v>View Map</v>
      </c>
    </row>
    <row r="5343" spans="1:7" x14ac:dyDescent="0.3">
      <c r="A5343" t="s">
        <v>11946</v>
      </c>
      <c r="B5343" t="s">
        <v>11947</v>
      </c>
      <c r="C5343" t="s">
        <v>8</v>
      </c>
      <c r="D5343">
        <v>2.0489999999999999</v>
      </c>
      <c r="E5343">
        <v>656</v>
      </c>
      <c r="F5343" t="str">
        <f>HYPERLINK("https://www.google.com/maps/search/?api=1&amp;query=24.5882463,46.59399297", "View Map")</f>
        <v>View Map</v>
      </c>
    </row>
    <row r="5344" spans="1:7" x14ac:dyDescent="0.3">
      <c r="A5344" t="s">
        <v>11948</v>
      </c>
      <c r="B5344" t="s">
        <v>11949</v>
      </c>
      <c r="C5344" t="s">
        <v>8</v>
      </c>
      <c r="D5344">
        <v>2.0489999999999999</v>
      </c>
      <c r="E5344">
        <v>656</v>
      </c>
      <c r="F5344" t="str">
        <f>HYPERLINK("https://www.google.com/maps/search/?api=1&amp;query=24.60180245,46.75935465", "View Map")</f>
        <v>View Map</v>
      </c>
    </row>
    <row r="5345" spans="1:7" x14ac:dyDescent="0.3">
      <c r="A5345" t="s">
        <v>28</v>
      </c>
      <c r="B5345" t="s">
        <v>8726</v>
      </c>
      <c r="C5345" t="s">
        <v>30</v>
      </c>
      <c r="D5345">
        <v>2.048</v>
      </c>
      <c r="E5345">
        <v>655</v>
      </c>
      <c r="F5345" t="str">
        <f>HYPERLINK("https://www.google.com/maps/search/?api=1&amp;query=24.09442,47.27492", "View Map")</f>
        <v>View Map</v>
      </c>
    </row>
    <row r="5346" spans="1:7" x14ac:dyDescent="0.3">
      <c r="A5346" t="s">
        <v>1788</v>
      </c>
      <c r="B5346" t="s">
        <v>11950</v>
      </c>
      <c r="C5346" t="s">
        <v>393</v>
      </c>
      <c r="D5346">
        <v>2.0470000000000002</v>
      </c>
      <c r="E5346">
        <v>655</v>
      </c>
      <c r="F5346" t="str">
        <f>HYPERLINK("https://www.google.com/maps/search/?api=1&amp;query=23.55020741,45.91417585", "View Map")</f>
        <v>View Map</v>
      </c>
      <c r="G5346" s="2">
        <v>0.80645957720214156</v>
      </c>
    </row>
    <row r="5347" spans="1:7" x14ac:dyDescent="0.3">
      <c r="A5347" t="s">
        <v>11951</v>
      </c>
      <c r="B5347" t="s">
        <v>11952</v>
      </c>
      <c r="C5347" t="s">
        <v>291</v>
      </c>
      <c r="D5347">
        <v>2.0470000000000002</v>
      </c>
      <c r="E5347">
        <v>655</v>
      </c>
      <c r="F5347" t="str">
        <f>HYPERLINK("https://www.google.com/maps/search/?api=1&amp;query=23.40438297,43.93034702", "View Map")</f>
        <v>View Map</v>
      </c>
      <c r="G5347" s="2">
        <v>0.86768331574897839</v>
      </c>
    </row>
    <row r="5348" spans="1:7" x14ac:dyDescent="0.3">
      <c r="A5348" t="s">
        <v>352</v>
      </c>
      <c r="B5348" t="s">
        <v>8012</v>
      </c>
      <c r="C5348" t="s">
        <v>8</v>
      </c>
      <c r="D5348">
        <v>2.0470000000000002</v>
      </c>
      <c r="E5348">
        <v>655</v>
      </c>
      <c r="F5348" t="str">
        <f>HYPERLINK("https://www.google.com/maps/search/?api=1&amp;query=24.76179263,46.76630122", "View Map")</f>
        <v>View Map</v>
      </c>
    </row>
    <row r="5349" spans="1:7" x14ac:dyDescent="0.3">
      <c r="A5349" t="s">
        <v>150</v>
      </c>
      <c r="B5349" t="s">
        <v>9544</v>
      </c>
      <c r="C5349" t="s">
        <v>8</v>
      </c>
      <c r="D5349">
        <v>2.0459999999999998</v>
      </c>
      <c r="E5349">
        <v>655</v>
      </c>
      <c r="F5349" t="str">
        <f>HYPERLINK("https://www.google.com/maps/search/?api=1&amp;query=24.83327988,46.80321163", "View Map")</f>
        <v>View Map</v>
      </c>
    </row>
    <row r="5350" spans="1:7" x14ac:dyDescent="0.3">
      <c r="A5350" t="s">
        <v>46</v>
      </c>
      <c r="B5350" t="s">
        <v>10378</v>
      </c>
      <c r="C5350" t="s">
        <v>8</v>
      </c>
      <c r="D5350">
        <v>2.0449999999999999</v>
      </c>
      <c r="E5350">
        <v>654</v>
      </c>
      <c r="F5350" t="str">
        <f>HYPERLINK("https://www.google.com/maps/search/?api=1&amp;query=24.57879545,46.76070941", "View Map")</f>
        <v>View Map</v>
      </c>
      <c r="G5350" s="2">
        <v>0.67815138506382344</v>
      </c>
    </row>
    <row r="5351" spans="1:7" x14ac:dyDescent="0.3">
      <c r="A5351" t="s">
        <v>9388</v>
      </c>
      <c r="B5351" t="s">
        <v>9389</v>
      </c>
      <c r="C5351" t="s">
        <v>214</v>
      </c>
      <c r="D5351">
        <v>2.044</v>
      </c>
      <c r="E5351">
        <v>654</v>
      </c>
      <c r="F5351" t="str">
        <f>HYPERLINK("https://www.google.com/maps/search/?api=1&amp;query=25.64421694,45.55650555", "View Map")</f>
        <v>View Map</v>
      </c>
      <c r="G5351" s="2">
        <v>0.59716027645752756</v>
      </c>
    </row>
    <row r="5352" spans="1:7" x14ac:dyDescent="0.3">
      <c r="A5352" t="s">
        <v>11953</v>
      </c>
      <c r="B5352" t="s">
        <v>11954</v>
      </c>
      <c r="C5352" t="s">
        <v>137</v>
      </c>
      <c r="D5352">
        <v>2.0430000000000001</v>
      </c>
      <c r="E5352">
        <v>654</v>
      </c>
      <c r="F5352" t="str">
        <f>HYPERLINK("https://www.google.com/maps/search/?api=1&amp;query=23.20714816,46.40182023", "View Map")</f>
        <v>View Map</v>
      </c>
      <c r="G5352" s="2">
        <v>0.85815238762926016</v>
      </c>
    </row>
    <row r="5353" spans="1:7" x14ac:dyDescent="0.3">
      <c r="A5353" t="s">
        <v>9064</v>
      </c>
      <c r="B5353" t="s">
        <v>9065</v>
      </c>
      <c r="C5353" t="s">
        <v>8</v>
      </c>
      <c r="D5353">
        <v>2.0430000000000001</v>
      </c>
      <c r="E5353">
        <v>654</v>
      </c>
      <c r="F5353" t="str">
        <f>HYPERLINK("https://www.google.com/maps/search/?api=1&amp;query=24.6802796,46.84682219", "View Map")</f>
        <v>View Map</v>
      </c>
    </row>
    <row r="5354" spans="1:7" x14ac:dyDescent="0.3">
      <c r="A5354" t="s">
        <v>11955</v>
      </c>
      <c r="B5354" t="s">
        <v>11956</v>
      </c>
      <c r="C5354" t="s">
        <v>291</v>
      </c>
      <c r="D5354">
        <v>2.0419999999999998</v>
      </c>
      <c r="E5354">
        <v>653</v>
      </c>
      <c r="F5354" t="str">
        <f>HYPERLINK("https://www.google.com/maps/search/?api=1&amp;query=23.65360023,44.7417381", "View Map")</f>
        <v>View Map</v>
      </c>
    </row>
    <row r="5355" spans="1:7" x14ac:dyDescent="0.3">
      <c r="A5355" t="s">
        <v>9097</v>
      </c>
      <c r="B5355" t="s">
        <v>9098</v>
      </c>
      <c r="C5355" t="s">
        <v>8</v>
      </c>
      <c r="D5355">
        <v>2.0419999999999998</v>
      </c>
      <c r="E5355">
        <v>653</v>
      </c>
      <c r="F5355" t="str">
        <f>HYPERLINK("https://www.google.com/maps/search/?api=1&amp;query=24.58369598,46.68155207", "View Map")</f>
        <v>View Map</v>
      </c>
    </row>
    <row r="5356" spans="1:7" x14ac:dyDescent="0.3">
      <c r="A5356" t="s">
        <v>73</v>
      </c>
      <c r="B5356" t="s">
        <v>9270</v>
      </c>
      <c r="C5356" t="s">
        <v>8</v>
      </c>
      <c r="D5356">
        <v>2.0419999999999998</v>
      </c>
      <c r="E5356">
        <v>653</v>
      </c>
      <c r="F5356" t="str">
        <f>HYPERLINK("https://www.google.com/maps/search/?api=1&amp;query=24.60773,46.49008", "View Map")</f>
        <v>View Map</v>
      </c>
    </row>
    <row r="5357" spans="1:7" x14ac:dyDescent="0.3">
      <c r="A5357" t="s">
        <v>11957</v>
      </c>
      <c r="B5357" t="s">
        <v>11958</v>
      </c>
      <c r="C5357" t="s">
        <v>8</v>
      </c>
      <c r="D5357">
        <v>2.0419999999999998</v>
      </c>
      <c r="E5357">
        <v>654</v>
      </c>
      <c r="F5357" t="str">
        <f>HYPERLINK("https://www.google.com/maps/search/?api=1&amp;query=24.61125372,46.75108203", "View Map")</f>
        <v>View Map</v>
      </c>
    </row>
    <row r="5358" spans="1:7" x14ac:dyDescent="0.3">
      <c r="A5358" t="s">
        <v>5199</v>
      </c>
      <c r="B5358" t="s">
        <v>5200</v>
      </c>
      <c r="C5358" t="s">
        <v>8</v>
      </c>
      <c r="D5358">
        <v>2.0409999999999999</v>
      </c>
      <c r="E5358">
        <v>653</v>
      </c>
      <c r="F5358" t="str">
        <f>HYPERLINK("https://www.google.com/maps/search/?api=1&amp;query=24.80553914,46.77298316", "View Map")</f>
        <v>View Map</v>
      </c>
    </row>
    <row r="5359" spans="1:7" x14ac:dyDescent="0.3">
      <c r="A5359" t="s">
        <v>7368</v>
      </c>
      <c r="B5359" t="s">
        <v>7369</v>
      </c>
      <c r="C5359" t="s">
        <v>286</v>
      </c>
      <c r="D5359">
        <v>2.0409999999999999</v>
      </c>
      <c r="E5359">
        <v>653</v>
      </c>
      <c r="F5359" t="str">
        <f>HYPERLINK("https://www.google.com/maps/search/?api=1&amp;query=25.29597092,45.53238578", "View Map")</f>
        <v>View Map</v>
      </c>
    </row>
    <row r="5360" spans="1:7" x14ac:dyDescent="0.3">
      <c r="A5360" t="s">
        <v>10779</v>
      </c>
      <c r="B5360" t="s">
        <v>10780</v>
      </c>
      <c r="C5360" t="s">
        <v>8</v>
      </c>
      <c r="D5360">
        <v>2.0409999999999999</v>
      </c>
      <c r="E5360">
        <v>653</v>
      </c>
      <c r="F5360" t="str">
        <f>HYPERLINK("https://www.google.com/maps/search/?api=1&amp;query=24.57384886,46.71337917", "View Map")</f>
        <v>View Map</v>
      </c>
    </row>
    <row r="5361" spans="1:7" x14ac:dyDescent="0.3">
      <c r="A5361" t="s">
        <v>9981</v>
      </c>
      <c r="B5361" t="s">
        <v>9982</v>
      </c>
      <c r="C5361" t="s">
        <v>1112</v>
      </c>
      <c r="D5361">
        <v>2.04</v>
      </c>
      <c r="E5361">
        <v>653</v>
      </c>
      <c r="F5361" t="str">
        <f>HYPERLINK("https://www.google.com/maps/search/?api=1&amp;query=26.14164065,44.91215617", "View Map")</f>
        <v>View Map</v>
      </c>
      <c r="G5361" s="2">
        <v>0.70385395180909882</v>
      </c>
    </row>
    <row r="5362" spans="1:7" x14ac:dyDescent="0.3">
      <c r="A5362" t="s">
        <v>11959</v>
      </c>
      <c r="B5362" t="s">
        <v>11960</v>
      </c>
      <c r="C5362" t="s">
        <v>286</v>
      </c>
      <c r="D5362">
        <v>2.04</v>
      </c>
      <c r="E5362">
        <v>653</v>
      </c>
      <c r="F5362" t="str">
        <f>HYPERLINK("https://www.google.com/maps/search/?api=1&amp;query=25.22262532,45.27359013", "View Map")</f>
        <v>View Map</v>
      </c>
    </row>
    <row r="5363" spans="1:7" x14ac:dyDescent="0.3">
      <c r="A5363" t="s">
        <v>11961</v>
      </c>
      <c r="B5363" t="s">
        <v>11962</v>
      </c>
      <c r="C5363" t="s">
        <v>883</v>
      </c>
      <c r="D5363">
        <v>2.04</v>
      </c>
      <c r="E5363">
        <v>653</v>
      </c>
      <c r="F5363" t="str">
        <f>HYPERLINK("https://www.google.com/maps/search/?api=1&amp;query=25.40415528,47.21579319", "View Map")</f>
        <v>View Map</v>
      </c>
    </row>
    <row r="5364" spans="1:7" x14ac:dyDescent="0.3">
      <c r="A5364" t="s">
        <v>5824</v>
      </c>
      <c r="B5364" t="s">
        <v>5825</v>
      </c>
      <c r="C5364" t="s">
        <v>286</v>
      </c>
      <c r="D5364">
        <v>2.0390000000000001</v>
      </c>
      <c r="E5364">
        <v>652</v>
      </c>
      <c r="F5364" t="str">
        <f>HYPERLINK("https://www.google.com/maps/search/?api=1&amp;query=25.2287203,45.25805777", "View Map")</f>
        <v>View Map</v>
      </c>
      <c r="G5364" s="2">
        <v>0.38575927180863839</v>
      </c>
    </row>
    <row r="5365" spans="1:7" x14ac:dyDescent="0.3">
      <c r="A5365" t="s">
        <v>11963</v>
      </c>
      <c r="B5365" t="s">
        <v>11964</v>
      </c>
      <c r="C5365" t="s">
        <v>255</v>
      </c>
      <c r="D5365">
        <v>2.0390000000000001</v>
      </c>
      <c r="E5365">
        <v>653</v>
      </c>
      <c r="F5365" t="str">
        <f>HYPERLINK("https://www.google.com/maps/search/?api=1&amp;query=24.53516912,44.27753101", "View Map")</f>
        <v>View Map</v>
      </c>
    </row>
    <row r="5366" spans="1:7" x14ac:dyDescent="0.3">
      <c r="A5366" t="s">
        <v>2065</v>
      </c>
      <c r="B5366" t="s">
        <v>2066</v>
      </c>
      <c r="C5366" t="s">
        <v>8</v>
      </c>
      <c r="D5366">
        <v>2.0390000000000001</v>
      </c>
      <c r="E5366">
        <v>652</v>
      </c>
      <c r="F5366" t="str">
        <f>HYPERLINK("https://www.google.com/maps/search/?api=1&amp;query=24.72606392,46.75884528", "View Map")</f>
        <v>View Map</v>
      </c>
    </row>
    <row r="5367" spans="1:7" x14ac:dyDescent="0.3">
      <c r="A5367" t="s">
        <v>8302</v>
      </c>
      <c r="B5367" t="s">
        <v>8303</v>
      </c>
      <c r="C5367" t="s">
        <v>8</v>
      </c>
      <c r="D5367">
        <v>2.0379999999999998</v>
      </c>
      <c r="E5367">
        <v>652</v>
      </c>
      <c r="F5367" t="str">
        <f>HYPERLINK("https://www.google.com/maps/search/?api=1&amp;query=24.60158635,46.62071947", "View Map")</f>
        <v>View Map</v>
      </c>
    </row>
    <row r="5368" spans="1:7" x14ac:dyDescent="0.3">
      <c r="A5368" t="s">
        <v>46</v>
      </c>
      <c r="B5368" t="s">
        <v>7421</v>
      </c>
      <c r="C5368" t="s">
        <v>8</v>
      </c>
      <c r="D5368">
        <v>2.0379999999999998</v>
      </c>
      <c r="E5368">
        <v>652</v>
      </c>
      <c r="F5368" t="str">
        <f>HYPERLINK("https://www.google.com/maps/search/?api=1&amp;query=24.5894657,46.79147885", "View Map")</f>
        <v>View Map</v>
      </c>
    </row>
    <row r="5369" spans="1:7" x14ac:dyDescent="0.3">
      <c r="A5369" t="s">
        <v>9327</v>
      </c>
      <c r="B5369" t="s">
        <v>9328</v>
      </c>
      <c r="C5369" t="s">
        <v>21</v>
      </c>
      <c r="D5369">
        <v>2.0379999999999998</v>
      </c>
      <c r="E5369">
        <v>652</v>
      </c>
      <c r="F5369" t="str">
        <f>HYPERLINK("https://www.google.com/maps/search/?api=1&amp;query=26.26526164,44.81133505", "View Map")</f>
        <v>View Map</v>
      </c>
      <c r="G5369" s="2">
        <v>0.64832916039162936</v>
      </c>
    </row>
    <row r="5370" spans="1:7" x14ac:dyDescent="0.3">
      <c r="A5370" t="s">
        <v>22</v>
      </c>
      <c r="B5370" t="s">
        <v>11965</v>
      </c>
      <c r="C5370" t="s">
        <v>8</v>
      </c>
      <c r="D5370">
        <v>2.0379999999999998</v>
      </c>
      <c r="E5370">
        <v>652</v>
      </c>
      <c r="F5370" t="str">
        <f>HYPERLINK("https://www.google.com/maps/search/?api=1&amp;query=24.67317744,46.66629491", "View Map")</f>
        <v>View Map</v>
      </c>
    </row>
    <row r="5371" spans="1:7" x14ac:dyDescent="0.3">
      <c r="A5371" t="s">
        <v>9368</v>
      </c>
      <c r="B5371" t="s">
        <v>9369</v>
      </c>
      <c r="C5371" t="s">
        <v>8</v>
      </c>
      <c r="D5371">
        <v>2.0379999999999998</v>
      </c>
      <c r="E5371">
        <v>652</v>
      </c>
      <c r="F5371" t="str">
        <f>HYPERLINK("https://www.google.com/maps/search/?api=1&amp;query=24.56788039,46.84738621", "View Map")</f>
        <v>View Map</v>
      </c>
    </row>
    <row r="5372" spans="1:7" x14ac:dyDescent="0.3">
      <c r="A5372" t="s">
        <v>11055</v>
      </c>
      <c r="B5372" t="s">
        <v>11056</v>
      </c>
      <c r="C5372" t="s">
        <v>8</v>
      </c>
      <c r="D5372">
        <v>2.0379999999999998</v>
      </c>
      <c r="E5372">
        <v>652</v>
      </c>
      <c r="F5372" t="str">
        <f>HYPERLINK("https://www.google.com/maps/search/?api=1&amp;query=24.63845505,46.71939834", "View Map")</f>
        <v>View Map</v>
      </c>
    </row>
    <row r="5373" spans="1:7" x14ac:dyDescent="0.3">
      <c r="A5373" t="s">
        <v>11966</v>
      </c>
      <c r="B5373" t="s">
        <v>11967</v>
      </c>
      <c r="C5373" t="s">
        <v>8</v>
      </c>
      <c r="D5373">
        <v>2.0379999999999998</v>
      </c>
      <c r="E5373">
        <v>652</v>
      </c>
      <c r="F5373" t="str">
        <f>HYPERLINK("https://www.google.com/maps/search/?api=1&amp;query=24.60701574,46.71741673", "View Map")</f>
        <v>View Map</v>
      </c>
    </row>
    <row r="5374" spans="1:7" x14ac:dyDescent="0.3">
      <c r="A5374" t="s">
        <v>46</v>
      </c>
      <c r="B5374" t="s">
        <v>11093</v>
      </c>
      <c r="C5374" t="s">
        <v>8</v>
      </c>
      <c r="D5374">
        <v>2.0369999999999999</v>
      </c>
      <c r="E5374">
        <v>652</v>
      </c>
      <c r="F5374" t="str">
        <f>HYPERLINK("https://www.google.com/maps/search/?api=1&amp;query=24.68541138,46.60127279", "View Map")</f>
        <v>View Map</v>
      </c>
    </row>
    <row r="5375" spans="1:7" x14ac:dyDescent="0.3">
      <c r="A5375" t="s">
        <v>2168</v>
      </c>
      <c r="B5375" t="s">
        <v>4889</v>
      </c>
      <c r="C5375" t="s">
        <v>393</v>
      </c>
      <c r="D5375">
        <v>2.0369999999999999</v>
      </c>
      <c r="E5375">
        <v>652</v>
      </c>
      <c r="F5375" t="str">
        <f>HYPERLINK("https://www.google.com/maps/search/?api=1&amp;query=23.54366195,45.50526378", "View Map")</f>
        <v>View Map</v>
      </c>
      <c r="G5375" s="2">
        <v>0.2235751218160105</v>
      </c>
    </row>
    <row r="5376" spans="1:7" x14ac:dyDescent="0.3">
      <c r="A5376" t="s">
        <v>7855</v>
      </c>
      <c r="B5376" t="s">
        <v>7856</v>
      </c>
      <c r="C5376" t="s">
        <v>255</v>
      </c>
      <c r="D5376">
        <v>2.0369999999999999</v>
      </c>
      <c r="E5376">
        <v>652</v>
      </c>
      <c r="F5376" t="str">
        <f>HYPERLINK("https://www.google.com/maps/search/?api=1&amp;query=24.49820233,44.38569096", "View Map")</f>
        <v>View Map</v>
      </c>
      <c r="G5376" s="2">
        <v>0.43863548860400681</v>
      </c>
    </row>
    <row r="5377" spans="1:7" x14ac:dyDescent="0.3">
      <c r="A5377" t="s">
        <v>11968</v>
      </c>
      <c r="B5377" t="s">
        <v>11969</v>
      </c>
      <c r="C5377" t="s">
        <v>214</v>
      </c>
      <c r="D5377">
        <v>2.0369999999999999</v>
      </c>
      <c r="E5377">
        <v>652</v>
      </c>
      <c r="F5377" t="str">
        <f>HYPERLINK("https://www.google.com/maps/search/?api=1&amp;query=25.90238454,45.35256886", "View Map")</f>
        <v>View Map</v>
      </c>
    </row>
    <row r="5378" spans="1:7" x14ac:dyDescent="0.3">
      <c r="A5378" t="s">
        <v>3480</v>
      </c>
      <c r="B5378" t="s">
        <v>9645</v>
      </c>
      <c r="C5378" t="s">
        <v>8</v>
      </c>
      <c r="D5378">
        <v>2.0369999999999999</v>
      </c>
      <c r="E5378">
        <v>652</v>
      </c>
      <c r="F5378" t="str">
        <f>HYPERLINK("https://www.google.com/maps/search/?api=1&amp;query=24.58888388,46.68225593", "View Map")</f>
        <v>View Map</v>
      </c>
      <c r="G5378" s="2">
        <v>0.50126002368563816</v>
      </c>
    </row>
    <row r="5379" spans="1:7" x14ac:dyDescent="0.3">
      <c r="A5379" t="s">
        <v>2485</v>
      </c>
      <c r="B5379" t="s">
        <v>11145</v>
      </c>
      <c r="C5379" t="s">
        <v>255</v>
      </c>
      <c r="D5379">
        <v>2.036</v>
      </c>
      <c r="E5379">
        <v>651</v>
      </c>
      <c r="F5379" t="str">
        <f>HYPERLINK("https://www.google.com/maps/search/?api=1&amp;query=24.63477975,43.63843791", "View Map")</f>
        <v>View Map</v>
      </c>
      <c r="G5379" s="2">
        <v>0.99491710084401375</v>
      </c>
    </row>
    <row r="5380" spans="1:7" x14ac:dyDescent="0.3">
      <c r="A5380" t="s">
        <v>9072</v>
      </c>
      <c r="B5380" t="s">
        <v>9073</v>
      </c>
      <c r="C5380" t="s">
        <v>8</v>
      </c>
      <c r="D5380">
        <v>2.0350000000000001</v>
      </c>
      <c r="E5380">
        <v>651</v>
      </c>
      <c r="F5380" t="str">
        <f>HYPERLINK("https://www.google.com/maps/search/?api=1&amp;query=24.575249,46.658781", "View Map")</f>
        <v>View Map</v>
      </c>
    </row>
    <row r="5381" spans="1:7" x14ac:dyDescent="0.3">
      <c r="A5381" t="s">
        <v>1594</v>
      </c>
      <c r="B5381" t="s">
        <v>4551</v>
      </c>
      <c r="C5381" t="s">
        <v>296</v>
      </c>
      <c r="D5381">
        <v>2.0350000000000001</v>
      </c>
      <c r="E5381">
        <v>651</v>
      </c>
      <c r="F5381" t="str">
        <f>HYPERLINK("https://www.google.com/maps/search/?api=1&amp;query=24.48466457,46.26776487", "View Map")</f>
        <v>View Map</v>
      </c>
      <c r="G5381" s="2">
        <v>0.30203073887192772</v>
      </c>
    </row>
    <row r="5382" spans="1:7" x14ac:dyDescent="0.3">
      <c r="A5382" t="s">
        <v>7266</v>
      </c>
      <c r="B5382" t="s">
        <v>7267</v>
      </c>
      <c r="C5382" t="s">
        <v>8</v>
      </c>
      <c r="D5382">
        <v>2.0350000000000001</v>
      </c>
      <c r="E5382">
        <v>651</v>
      </c>
      <c r="F5382" t="str">
        <f>HYPERLINK("https://www.google.com/maps/search/?api=1&amp;query=24.69527587,46.65150975", "View Map")</f>
        <v>View Map</v>
      </c>
    </row>
    <row r="5383" spans="1:7" x14ac:dyDescent="0.3">
      <c r="A5383" t="s">
        <v>10202</v>
      </c>
      <c r="B5383" t="s">
        <v>10203</v>
      </c>
      <c r="C5383" t="s">
        <v>255</v>
      </c>
      <c r="D5383">
        <v>2.0339999999999998</v>
      </c>
      <c r="E5383">
        <v>651</v>
      </c>
      <c r="F5383" t="str">
        <f>HYPERLINK("https://www.google.com/maps/search/?api=1&amp;query=24.56880428,44.05312961", "View Map")</f>
        <v>View Map</v>
      </c>
      <c r="G5383" s="2">
        <v>0.70870423917866088</v>
      </c>
    </row>
    <row r="5384" spans="1:7" x14ac:dyDescent="0.3">
      <c r="A5384" t="s">
        <v>46</v>
      </c>
      <c r="B5384" t="s">
        <v>11970</v>
      </c>
      <c r="C5384" t="s">
        <v>8</v>
      </c>
      <c r="D5384">
        <v>2.0339999999999998</v>
      </c>
      <c r="E5384">
        <v>651</v>
      </c>
      <c r="F5384" t="str">
        <f>HYPERLINK("https://www.google.com/maps/search/?api=1&amp;query=24.8867728,46.8375913", "View Map")</f>
        <v>View Map</v>
      </c>
    </row>
    <row r="5385" spans="1:7" x14ac:dyDescent="0.3">
      <c r="A5385" t="s">
        <v>9840</v>
      </c>
      <c r="B5385" t="s">
        <v>9841</v>
      </c>
      <c r="C5385" t="s">
        <v>296</v>
      </c>
      <c r="D5385">
        <v>2.0339999999999998</v>
      </c>
      <c r="E5385">
        <v>651</v>
      </c>
      <c r="F5385" t="str">
        <f>HYPERLINK("https://www.google.com/maps/search/?api=1&amp;query=24.16322961,46.22191463", "View Map")</f>
        <v>View Map</v>
      </c>
      <c r="G5385" s="2">
        <v>0.88433436133352639</v>
      </c>
    </row>
    <row r="5386" spans="1:7" x14ac:dyDescent="0.3">
      <c r="A5386" t="s">
        <v>7364</v>
      </c>
      <c r="B5386" t="s">
        <v>7365</v>
      </c>
      <c r="C5386" t="s">
        <v>8</v>
      </c>
      <c r="D5386">
        <v>2.0339999999999998</v>
      </c>
      <c r="E5386">
        <v>651</v>
      </c>
      <c r="F5386" t="str">
        <f>HYPERLINK("https://www.google.com/maps/search/?api=1&amp;query=24.72577575,46.83063556", "View Map")</f>
        <v>View Map</v>
      </c>
    </row>
    <row r="5387" spans="1:7" x14ac:dyDescent="0.3">
      <c r="A5387" t="s">
        <v>4014</v>
      </c>
      <c r="B5387" t="s">
        <v>9260</v>
      </c>
      <c r="C5387" t="s">
        <v>8</v>
      </c>
      <c r="D5387">
        <v>2.0339999999999998</v>
      </c>
      <c r="E5387">
        <v>651</v>
      </c>
      <c r="F5387" t="str">
        <f>HYPERLINK("https://www.google.com/maps/search/?api=1&amp;query=24.6143053,46.60627226", "View Map")</f>
        <v>View Map</v>
      </c>
    </row>
    <row r="5388" spans="1:7" x14ac:dyDescent="0.3">
      <c r="A5388" t="s">
        <v>46</v>
      </c>
      <c r="B5388" t="s">
        <v>9443</v>
      </c>
      <c r="C5388" t="s">
        <v>8</v>
      </c>
      <c r="D5388">
        <v>2.0329999999999999</v>
      </c>
      <c r="E5388">
        <v>650</v>
      </c>
      <c r="F5388" t="str">
        <f>HYPERLINK("https://www.google.com/maps/search/?api=1&amp;query=24.6521277,46.5051015", "View Map")</f>
        <v>View Map</v>
      </c>
    </row>
    <row r="5389" spans="1:7" x14ac:dyDescent="0.3">
      <c r="A5389" t="s">
        <v>8780</v>
      </c>
      <c r="B5389" t="s">
        <v>10461</v>
      </c>
      <c r="C5389" t="s">
        <v>8</v>
      </c>
      <c r="D5389">
        <v>2.0329999999999999</v>
      </c>
      <c r="E5389">
        <v>651</v>
      </c>
      <c r="F5389" t="str">
        <f>HYPERLINK("https://www.google.com/maps/search/?api=1&amp;query=24.58951031,46.56543391", "View Map")</f>
        <v>View Map</v>
      </c>
    </row>
    <row r="5390" spans="1:7" x14ac:dyDescent="0.3">
      <c r="A5390" t="s">
        <v>8778</v>
      </c>
      <c r="B5390" t="s">
        <v>8779</v>
      </c>
      <c r="C5390" t="s">
        <v>8</v>
      </c>
      <c r="D5390">
        <v>2.0310000000000001</v>
      </c>
      <c r="E5390">
        <v>650</v>
      </c>
      <c r="F5390" t="str">
        <f>HYPERLINK("https://www.google.com/maps/search/?api=1&amp;query=24.64598377,46.72275005", "View Map")</f>
        <v>View Map</v>
      </c>
    </row>
    <row r="5391" spans="1:7" x14ac:dyDescent="0.3">
      <c r="A5391" t="s">
        <v>7807</v>
      </c>
      <c r="B5391" t="s">
        <v>7808</v>
      </c>
      <c r="C5391" t="s">
        <v>646</v>
      </c>
      <c r="D5391">
        <v>2.0310000000000001</v>
      </c>
      <c r="E5391">
        <v>650</v>
      </c>
      <c r="F5391" t="str">
        <f>HYPERLINK("https://www.google.com/maps/search/?api=1&amp;query=20.46351658,45.58946507", "View Map")</f>
        <v>View Map</v>
      </c>
    </row>
    <row r="5392" spans="1:7" x14ac:dyDescent="0.3">
      <c r="A5392" t="s">
        <v>5175</v>
      </c>
      <c r="B5392" t="s">
        <v>5176</v>
      </c>
      <c r="C5392" t="s">
        <v>8</v>
      </c>
      <c r="D5392">
        <v>2.0310000000000001</v>
      </c>
      <c r="E5392">
        <v>650</v>
      </c>
      <c r="F5392" t="str">
        <f>HYPERLINK("https://www.google.com/maps/search/?api=1&amp;query=24.40975051,46.84541596", "View Map")</f>
        <v>View Map</v>
      </c>
      <c r="G5392" s="2">
        <v>0.36396290773518303</v>
      </c>
    </row>
    <row r="5393" spans="1:7" x14ac:dyDescent="0.3">
      <c r="A5393" t="s">
        <v>10809</v>
      </c>
      <c r="B5393" t="s">
        <v>10810</v>
      </c>
      <c r="C5393" t="s">
        <v>8</v>
      </c>
      <c r="D5393">
        <v>2.0310000000000001</v>
      </c>
      <c r="E5393">
        <v>650</v>
      </c>
      <c r="F5393" t="str">
        <f>HYPERLINK("https://www.google.com/maps/search/?api=1&amp;query=24.56677977,46.54157373", "View Map")</f>
        <v>View Map</v>
      </c>
    </row>
    <row r="5394" spans="1:7" x14ac:dyDescent="0.3">
      <c r="A5394" t="s">
        <v>869</v>
      </c>
      <c r="B5394" t="s">
        <v>11204</v>
      </c>
      <c r="C5394" t="s">
        <v>8</v>
      </c>
      <c r="D5394">
        <v>2.0310000000000001</v>
      </c>
      <c r="E5394">
        <v>650</v>
      </c>
      <c r="F5394" t="str">
        <f>HYPERLINK("https://www.google.com/maps/search/?api=1&amp;query=24.56804658,46.80371402", "View Map")</f>
        <v>View Map</v>
      </c>
    </row>
    <row r="5395" spans="1:7" x14ac:dyDescent="0.3">
      <c r="A5395" t="s">
        <v>11971</v>
      </c>
      <c r="B5395" t="s">
        <v>11972</v>
      </c>
      <c r="C5395" t="s">
        <v>255</v>
      </c>
      <c r="D5395">
        <v>2.0299999999999998</v>
      </c>
      <c r="E5395">
        <v>650</v>
      </c>
      <c r="F5395" t="str">
        <f>HYPERLINK("https://www.google.com/maps/search/?api=1&amp;query=24.55665292,44.36701657", "View Map")</f>
        <v>View Map</v>
      </c>
    </row>
    <row r="5396" spans="1:7" x14ac:dyDescent="0.3">
      <c r="A5396" t="s">
        <v>46</v>
      </c>
      <c r="B5396" t="s">
        <v>8764</v>
      </c>
      <c r="C5396" t="s">
        <v>8</v>
      </c>
      <c r="D5396">
        <v>2.0299999999999998</v>
      </c>
      <c r="E5396">
        <v>649</v>
      </c>
      <c r="F5396" t="str">
        <f>HYPERLINK("https://www.google.com/maps/search/?api=1&amp;query=24.80319,46.59429", "View Map")</f>
        <v>View Map</v>
      </c>
    </row>
    <row r="5397" spans="1:7" x14ac:dyDescent="0.3">
      <c r="A5397" t="s">
        <v>11973</v>
      </c>
      <c r="B5397" t="s">
        <v>11974</v>
      </c>
      <c r="C5397" t="s">
        <v>8</v>
      </c>
      <c r="D5397">
        <v>2.0299999999999998</v>
      </c>
      <c r="E5397">
        <v>650</v>
      </c>
      <c r="F5397" t="str">
        <f>HYPERLINK("https://www.google.com/maps/search/?api=1&amp;query=24.60165855,46.61706019", "View Map")</f>
        <v>View Map</v>
      </c>
    </row>
    <row r="5398" spans="1:7" x14ac:dyDescent="0.3">
      <c r="A5398" t="s">
        <v>11975</v>
      </c>
      <c r="B5398" t="s">
        <v>11976</v>
      </c>
      <c r="C5398" t="s">
        <v>8</v>
      </c>
      <c r="D5398">
        <v>2.0299999999999998</v>
      </c>
      <c r="E5398">
        <v>650</v>
      </c>
      <c r="F5398" t="str">
        <f>HYPERLINK("https://www.google.com/maps/search/?api=1&amp;query=24.60049317,46.71582646", "View Map")</f>
        <v>View Map</v>
      </c>
    </row>
    <row r="5399" spans="1:7" x14ac:dyDescent="0.3">
      <c r="A5399" t="s">
        <v>46</v>
      </c>
      <c r="B5399" t="s">
        <v>9285</v>
      </c>
      <c r="C5399" t="s">
        <v>8</v>
      </c>
      <c r="D5399">
        <v>2.0289999999999999</v>
      </c>
      <c r="E5399">
        <v>649</v>
      </c>
      <c r="F5399" t="str">
        <f>HYPERLINK("https://www.google.com/maps/search/?api=1&amp;query=24.79981726,46.60322472", "View Map")</f>
        <v>View Map</v>
      </c>
      <c r="G5399" s="2">
        <v>0.62573696968055015</v>
      </c>
    </row>
    <row r="5400" spans="1:7" x14ac:dyDescent="0.3">
      <c r="A5400" t="s">
        <v>9863</v>
      </c>
      <c r="B5400" t="s">
        <v>9864</v>
      </c>
      <c r="C5400" t="s">
        <v>291</v>
      </c>
      <c r="D5400">
        <v>2.0289999999999999</v>
      </c>
      <c r="E5400">
        <v>649</v>
      </c>
      <c r="F5400" t="str">
        <f>HYPERLINK("https://www.google.com/maps/search/?api=1&amp;query=24.08997225,45.30382836", "View Map")</f>
        <v>View Map</v>
      </c>
    </row>
    <row r="5401" spans="1:7" x14ac:dyDescent="0.3">
      <c r="A5401" t="s">
        <v>8350</v>
      </c>
      <c r="B5401" t="s">
        <v>8351</v>
      </c>
      <c r="C5401" t="s">
        <v>8</v>
      </c>
      <c r="D5401">
        <v>2.028</v>
      </c>
      <c r="E5401">
        <v>649</v>
      </c>
      <c r="F5401" t="str">
        <f>HYPERLINK("https://www.google.com/maps/search/?api=1&amp;query=24.6513775,46.673205", "View Map")</f>
        <v>View Map</v>
      </c>
    </row>
    <row r="5402" spans="1:7" x14ac:dyDescent="0.3">
      <c r="A5402" t="s">
        <v>11110</v>
      </c>
      <c r="B5402" t="s">
        <v>11111</v>
      </c>
      <c r="C5402" t="s">
        <v>291</v>
      </c>
      <c r="D5402">
        <v>2.028</v>
      </c>
      <c r="E5402">
        <v>649</v>
      </c>
      <c r="F5402" t="str">
        <f>HYPERLINK("https://www.google.com/maps/search/?api=1&amp;query=23.45549766,44.28848035", "View Map")</f>
        <v>View Map</v>
      </c>
      <c r="G5402" s="2">
        <v>0.76896358866634851</v>
      </c>
    </row>
    <row r="5403" spans="1:7" x14ac:dyDescent="0.3">
      <c r="A5403" t="s">
        <v>6998</v>
      </c>
      <c r="B5403" t="s">
        <v>9154</v>
      </c>
      <c r="C5403" t="s">
        <v>8</v>
      </c>
      <c r="D5403">
        <v>2.028</v>
      </c>
      <c r="E5403">
        <v>649</v>
      </c>
      <c r="F5403" t="str">
        <f>HYPERLINK("https://www.google.com/maps/search/?api=1&amp;query=24.76480265,46.70993838", "View Map")</f>
        <v>View Map</v>
      </c>
    </row>
    <row r="5404" spans="1:7" x14ac:dyDescent="0.3">
      <c r="A5404" t="s">
        <v>2063</v>
      </c>
      <c r="B5404" t="s">
        <v>11977</v>
      </c>
      <c r="C5404" t="s">
        <v>255</v>
      </c>
      <c r="D5404">
        <v>2.0270000000000001</v>
      </c>
      <c r="E5404">
        <v>649</v>
      </c>
      <c r="F5404" t="str">
        <f>HYPERLINK("https://www.google.com/maps/search/?api=1&amp;query=24.92811333,44.714395", "View Map")</f>
        <v>View Map</v>
      </c>
      <c r="G5404" s="2">
        <v>0.76815624820602446</v>
      </c>
    </row>
    <row r="5405" spans="1:7" x14ac:dyDescent="0.3">
      <c r="A5405" t="s">
        <v>10804</v>
      </c>
      <c r="B5405" t="s">
        <v>10805</v>
      </c>
      <c r="C5405" t="s">
        <v>8</v>
      </c>
      <c r="D5405">
        <v>2.0270000000000001</v>
      </c>
      <c r="E5405">
        <v>649</v>
      </c>
      <c r="F5405" t="str">
        <f>HYPERLINK("https://www.google.com/maps/search/?api=1&amp;query=24.75943952,46.6886478", "View Map")</f>
        <v>View Map</v>
      </c>
    </row>
    <row r="5406" spans="1:7" x14ac:dyDescent="0.3">
      <c r="A5406" t="s">
        <v>11006</v>
      </c>
      <c r="B5406" t="s">
        <v>11007</v>
      </c>
      <c r="C5406" t="s">
        <v>8</v>
      </c>
      <c r="D5406">
        <v>2.0259999999999998</v>
      </c>
      <c r="E5406">
        <v>648</v>
      </c>
      <c r="F5406" t="str">
        <f>HYPERLINK("https://www.google.com/maps/search/?api=1&amp;query=24.72735672,46.84309459", "View Map")</f>
        <v>View Map</v>
      </c>
    </row>
    <row r="5407" spans="1:7" x14ac:dyDescent="0.3">
      <c r="A5407" t="s">
        <v>6801</v>
      </c>
      <c r="B5407" t="s">
        <v>9798</v>
      </c>
      <c r="C5407" t="s">
        <v>8</v>
      </c>
      <c r="D5407">
        <v>2.0259999999999998</v>
      </c>
      <c r="E5407">
        <v>648</v>
      </c>
      <c r="F5407" t="str">
        <f>HYPERLINK("https://www.google.com/maps/search/?api=1&amp;query=24.58993157,46.65970334", "View Map")</f>
        <v>View Map</v>
      </c>
    </row>
    <row r="5408" spans="1:7" x14ac:dyDescent="0.3">
      <c r="A5408" t="s">
        <v>146</v>
      </c>
      <c r="B5408" t="s">
        <v>9094</v>
      </c>
      <c r="C5408" t="s">
        <v>8</v>
      </c>
      <c r="D5408">
        <v>2.0259999999999998</v>
      </c>
      <c r="E5408">
        <v>648</v>
      </c>
      <c r="F5408" t="str">
        <f>HYPERLINK("https://www.google.com/maps/search/?api=1&amp;query=24.5347,46.6489", "View Map")</f>
        <v>View Map</v>
      </c>
    </row>
    <row r="5409" spans="1:7" x14ac:dyDescent="0.3">
      <c r="A5409" t="s">
        <v>11978</v>
      </c>
      <c r="B5409" t="s">
        <v>11979</v>
      </c>
      <c r="C5409" t="s">
        <v>255</v>
      </c>
      <c r="D5409">
        <v>2.0259999999999998</v>
      </c>
      <c r="E5409">
        <v>648</v>
      </c>
      <c r="F5409" t="str">
        <f>HYPERLINK("https://www.google.com/maps/search/?api=1&amp;query=25.49894675,44.40772216", "View Map")</f>
        <v>View Map</v>
      </c>
      <c r="G5409" s="2">
        <v>0.42353352044995379</v>
      </c>
    </row>
    <row r="5410" spans="1:7" x14ac:dyDescent="0.3">
      <c r="A5410" t="s">
        <v>3088</v>
      </c>
      <c r="B5410" t="s">
        <v>3089</v>
      </c>
      <c r="C5410" t="s">
        <v>8</v>
      </c>
      <c r="D5410">
        <v>2.0249999999999999</v>
      </c>
      <c r="E5410">
        <v>648</v>
      </c>
      <c r="F5410" t="str">
        <f>HYPERLINK("https://www.google.com/maps/search/?api=1&amp;query=24.58233104,46.58818715", "View Map")</f>
        <v>View Map</v>
      </c>
    </row>
    <row r="5411" spans="1:7" x14ac:dyDescent="0.3">
      <c r="A5411" t="s">
        <v>4208</v>
      </c>
      <c r="B5411" t="s">
        <v>11980</v>
      </c>
      <c r="C5411" t="s">
        <v>30</v>
      </c>
      <c r="D5411">
        <v>2.0249999999999999</v>
      </c>
      <c r="E5411">
        <v>648</v>
      </c>
      <c r="F5411" t="str">
        <f>HYPERLINK("https://www.google.com/maps/search/?api=1&amp;query=24.12969506,47.28275311", "View Map")</f>
        <v>View Map</v>
      </c>
    </row>
    <row r="5412" spans="1:7" x14ac:dyDescent="0.3">
      <c r="A5412" t="s">
        <v>11981</v>
      </c>
      <c r="B5412" t="s">
        <v>11982</v>
      </c>
      <c r="C5412" t="s">
        <v>8</v>
      </c>
      <c r="D5412">
        <v>2.0249999999999999</v>
      </c>
      <c r="E5412">
        <v>648</v>
      </c>
      <c r="F5412" t="str">
        <f>HYPERLINK("https://www.google.com/maps/search/?api=1&amp;query=24.79980031,46.78066347", "View Map")</f>
        <v>View Map</v>
      </c>
    </row>
    <row r="5413" spans="1:7" x14ac:dyDescent="0.3">
      <c r="A5413" t="s">
        <v>146</v>
      </c>
      <c r="B5413" t="s">
        <v>4652</v>
      </c>
      <c r="C5413" t="s">
        <v>8</v>
      </c>
      <c r="D5413">
        <v>2.0249999999999999</v>
      </c>
      <c r="E5413">
        <v>648</v>
      </c>
      <c r="F5413" t="str">
        <f>HYPERLINK("https://www.google.com/maps/search/?api=1&amp;query=24.58643079,46.68677077", "View Map")</f>
        <v>View Map</v>
      </c>
    </row>
    <row r="5414" spans="1:7" x14ac:dyDescent="0.3">
      <c r="A5414" t="s">
        <v>9032</v>
      </c>
      <c r="B5414" t="s">
        <v>9033</v>
      </c>
      <c r="C5414" t="s">
        <v>291</v>
      </c>
      <c r="D5414">
        <v>2.0249999999999999</v>
      </c>
      <c r="E5414">
        <v>648</v>
      </c>
      <c r="F5414" t="str">
        <f>HYPERLINK("https://www.google.com/maps/search/?api=1&amp;query=23.8552267,44.72813365", "View Map")</f>
        <v>View Map</v>
      </c>
      <c r="G5414" s="2">
        <v>0.86661706460964227</v>
      </c>
    </row>
    <row r="5415" spans="1:7" x14ac:dyDescent="0.3">
      <c r="A5415" t="s">
        <v>1391</v>
      </c>
      <c r="B5415" t="s">
        <v>11102</v>
      </c>
      <c r="C5415" t="s">
        <v>8</v>
      </c>
      <c r="D5415">
        <v>2.024</v>
      </c>
      <c r="E5415">
        <v>648</v>
      </c>
      <c r="F5415" t="str">
        <f>HYPERLINK("https://www.google.com/maps/search/?api=1&amp;query=24.74300702,46.8390575", "View Map")</f>
        <v>View Map</v>
      </c>
    </row>
    <row r="5416" spans="1:7" x14ac:dyDescent="0.3">
      <c r="A5416" t="s">
        <v>146</v>
      </c>
      <c r="B5416" t="s">
        <v>11983</v>
      </c>
      <c r="C5416" t="s">
        <v>8</v>
      </c>
      <c r="D5416">
        <v>2.024</v>
      </c>
      <c r="E5416">
        <v>648</v>
      </c>
      <c r="F5416" t="str">
        <f>HYPERLINK("https://www.google.com/maps/search/?api=1&amp;query=24.55363955,46.6674507", "View Map")</f>
        <v>View Map</v>
      </c>
    </row>
    <row r="5417" spans="1:7" x14ac:dyDescent="0.3">
      <c r="A5417" t="s">
        <v>11984</v>
      </c>
      <c r="B5417" t="s">
        <v>11985</v>
      </c>
      <c r="C5417" t="s">
        <v>255</v>
      </c>
      <c r="D5417">
        <v>2.0230000000000001</v>
      </c>
      <c r="E5417">
        <v>647</v>
      </c>
      <c r="F5417" t="str">
        <f>HYPERLINK("https://www.google.com/maps/search/?api=1&amp;query=24.49794927,44.37468373", "View Map")</f>
        <v>View Map</v>
      </c>
    </row>
    <row r="5418" spans="1:7" x14ac:dyDescent="0.3">
      <c r="A5418" t="s">
        <v>6231</v>
      </c>
      <c r="B5418" t="s">
        <v>6232</v>
      </c>
      <c r="C5418" t="s">
        <v>255</v>
      </c>
      <c r="D5418">
        <v>2.0219999999999998</v>
      </c>
      <c r="E5418">
        <v>647</v>
      </c>
      <c r="F5418" t="str">
        <f>HYPERLINK("https://www.google.com/maps/search/?api=1&amp;query=25.17573809,44.60545822", "View Map")</f>
        <v>View Map</v>
      </c>
      <c r="G5418" s="2">
        <v>0.4604442955183326</v>
      </c>
    </row>
    <row r="5419" spans="1:7" x14ac:dyDescent="0.3">
      <c r="A5419" t="s">
        <v>10694</v>
      </c>
      <c r="B5419" t="s">
        <v>11986</v>
      </c>
      <c r="C5419" t="s">
        <v>137</v>
      </c>
      <c r="D5419">
        <v>2.0219999999999998</v>
      </c>
      <c r="E5419">
        <v>647</v>
      </c>
      <c r="F5419" t="str">
        <f>HYPERLINK("https://www.google.com/maps/search/?api=1&amp;query=23.492366,46.86622193", "View Map")</f>
        <v>View Map</v>
      </c>
    </row>
    <row r="5420" spans="1:7" x14ac:dyDescent="0.3">
      <c r="A5420" t="s">
        <v>10921</v>
      </c>
      <c r="B5420" t="s">
        <v>10922</v>
      </c>
      <c r="C5420" t="s">
        <v>393</v>
      </c>
      <c r="D5420">
        <v>2.0219999999999998</v>
      </c>
      <c r="E5420">
        <v>647</v>
      </c>
      <c r="F5420" t="str">
        <f>HYPERLINK("https://www.google.com/maps/search/?api=1&amp;query=22.80294086,45.15472506", "View Map")</f>
        <v>View Map</v>
      </c>
      <c r="G5420" s="2">
        <v>0.65428217655783361</v>
      </c>
    </row>
    <row r="5421" spans="1:7" x14ac:dyDescent="0.3">
      <c r="A5421" t="s">
        <v>10837</v>
      </c>
      <c r="B5421" t="s">
        <v>11987</v>
      </c>
      <c r="C5421" t="s">
        <v>8</v>
      </c>
      <c r="D5421">
        <v>2.0209999999999999</v>
      </c>
      <c r="E5421">
        <v>647</v>
      </c>
      <c r="F5421" t="str">
        <f>HYPERLINK("https://www.google.com/maps/search/?api=1&amp;query=24.72646528,46.85817032", "View Map")</f>
        <v>View Map</v>
      </c>
    </row>
    <row r="5422" spans="1:7" x14ac:dyDescent="0.3">
      <c r="A5422" t="s">
        <v>8976</v>
      </c>
      <c r="B5422" t="s">
        <v>8977</v>
      </c>
      <c r="C5422" t="s">
        <v>8</v>
      </c>
      <c r="D5422">
        <v>2.02</v>
      </c>
      <c r="E5422">
        <v>646</v>
      </c>
      <c r="F5422" t="str">
        <f>HYPERLINK("https://www.google.com/maps/search/?api=1&amp;query=24.65411653,46.6742242", "View Map")</f>
        <v>View Map</v>
      </c>
    </row>
    <row r="5423" spans="1:7" x14ac:dyDescent="0.3">
      <c r="A5423" t="s">
        <v>9462</v>
      </c>
      <c r="B5423" t="s">
        <v>9463</v>
      </c>
      <c r="C5423" t="s">
        <v>8</v>
      </c>
      <c r="D5423">
        <v>2.0190000000000001</v>
      </c>
      <c r="E5423">
        <v>646</v>
      </c>
      <c r="F5423" t="str">
        <f>HYPERLINK("https://www.google.com/maps/search/?api=1&amp;query=24.70716736,46.69478223", "View Map")</f>
        <v>View Map</v>
      </c>
    </row>
    <row r="5424" spans="1:7" x14ac:dyDescent="0.3">
      <c r="A5424" t="s">
        <v>231</v>
      </c>
      <c r="B5424" t="s">
        <v>232</v>
      </c>
      <c r="C5424" t="s">
        <v>8</v>
      </c>
      <c r="D5424">
        <v>2.0190000000000001</v>
      </c>
      <c r="E5424">
        <v>646</v>
      </c>
      <c r="F5424" t="str">
        <f>HYPERLINK("https://www.google.com/maps/search/?api=1&amp;query=24.7259181,46.77115791", "View Map")</f>
        <v>View Map</v>
      </c>
      <c r="G5424" s="2">
        <v>6.4463610803826149E-2</v>
      </c>
    </row>
    <row r="5425" spans="1:7" x14ac:dyDescent="0.3">
      <c r="A5425" t="s">
        <v>6933</v>
      </c>
      <c r="B5425" t="s">
        <v>6934</v>
      </c>
      <c r="C5425" t="s">
        <v>8</v>
      </c>
      <c r="D5425">
        <v>2.0190000000000001</v>
      </c>
      <c r="E5425">
        <v>646</v>
      </c>
      <c r="F5425" t="str">
        <f>HYPERLINK("https://www.google.com/maps/search/?api=1&amp;query=24.68441128,46.70755887", "View Map")</f>
        <v>View Map</v>
      </c>
    </row>
    <row r="5426" spans="1:7" x14ac:dyDescent="0.3">
      <c r="A5426" t="s">
        <v>11098</v>
      </c>
      <c r="B5426" t="s">
        <v>11099</v>
      </c>
      <c r="C5426" t="s">
        <v>255</v>
      </c>
      <c r="D5426">
        <v>2.0190000000000001</v>
      </c>
      <c r="E5426">
        <v>646</v>
      </c>
      <c r="F5426" t="str">
        <f>HYPERLINK("https://www.google.com/maps/search/?api=1&amp;query=25.48557793,44.4026885", "View Map")</f>
        <v>View Map</v>
      </c>
      <c r="G5426" s="2">
        <v>0.88371288590728625</v>
      </c>
    </row>
    <row r="5427" spans="1:7" x14ac:dyDescent="0.3">
      <c r="A5427" t="s">
        <v>6483</v>
      </c>
      <c r="B5427" t="s">
        <v>6484</v>
      </c>
      <c r="C5427" t="s">
        <v>8</v>
      </c>
      <c r="D5427">
        <v>2.0179999999999998</v>
      </c>
      <c r="E5427">
        <v>646</v>
      </c>
      <c r="F5427" t="str">
        <f>HYPERLINK("https://www.google.com/maps/search/?api=1&amp;query=24.51809337,46.65789022", "View Map")</f>
        <v>View Map</v>
      </c>
    </row>
    <row r="5428" spans="1:7" x14ac:dyDescent="0.3">
      <c r="A5428" t="s">
        <v>1594</v>
      </c>
      <c r="B5428" t="s">
        <v>9516</v>
      </c>
      <c r="C5428" t="s">
        <v>296</v>
      </c>
      <c r="D5428">
        <v>2.0179999999999998</v>
      </c>
      <c r="E5428">
        <v>646</v>
      </c>
      <c r="F5428" t="str">
        <f>HYPERLINK("https://www.google.com/maps/search/?api=1&amp;query=24.48731486,46.25788611", "View Map")</f>
        <v>View Map</v>
      </c>
    </row>
    <row r="5429" spans="1:7" x14ac:dyDescent="0.3">
      <c r="A5429" t="s">
        <v>8867</v>
      </c>
      <c r="B5429" t="s">
        <v>8868</v>
      </c>
      <c r="C5429" t="s">
        <v>21</v>
      </c>
      <c r="D5429">
        <v>2.016</v>
      </c>
      <c r="E5429">
        <v>645</v>
      </c>
      <c r="F5429" t="str">
        <f>HYPERLINK("https://www.google.com/maps/search/?api=1&amp;query=26.30538008,44.82100991", "View Map")</f>
        <v>View Map</v>
      </c>
      <c r="G5429" s="2">
        <v>0.36999939609513349</v>
      </c>
    </row>
    <row r="5430" spans="1:7" x14ac:dyDescent="0.3">
      <c r="A5430" t="s">
        <v>11988</v>
      </c>
      <c r="B5430" t="s">
        <v>11989</v>
      </c>
      <c r="C5430" t="s">
        <v>55</v>
      </c>
      <c r="D5430">
        <v>2.016</v>
      </c>
      <c r="E5430">
        <v>645</v>
      </c>
      <c r="F5430" t="str">
        <f>HYPERLINK("https://www.google.com/maps/search/?api=1&amp;query=24.89598778,46.44484969", "View Map")</f>
        <v>View Map</v>
      </c>
    </row>
    <row r="5431" spans="1:7" x14ac:dyDescent="0.3">
      <c r="A5431" t="s">
        <v>11037</v>
      </c>
      <c r="B5431" t="s">
        <v>11038</v>
      </c>
      <c r="C5431" t="s">
        <v>8</v>
      </c>
      <c r="D5431">
        <v>2.0139999999999998</v>
      </c>
      <c r="E5431">
        <v>645</v>
      </c>
      <c r="F5431" t="str">
        <f>HYPERLINK("https://www.google.com/maps/search/?api=1&amp;query=24.566189,46.65449972", "View Map")</f>
        <v>View Map</v>
      </c>
    </row>
    <row r="5432" spans="1:7" x14ac:dyDescent="0.3">
      <c r="A5432" t="s">
        <v>10412</v>
      </c>
      <c r="B5432" t="s">
        <v>10413</v>
      </c>
      <c r="C5432" t="s">
        <v>8</v>
      </c>
      <c r="D5432">
        <v>2.0129999999999999</v>
      </c>
      <c r="E5432">
        <v>644</v>
      </c>
      <c r="F5432" t="str">
        <f>HYPERLINK("https://www.google.com/maps/search/?api=1&amp;query=24.73016061,46.7463302", "View Map")</f>
        <v>View Map</v>
      </c>
    </row>
    <row r="5433" spans="1:7" x14ac:dyDescent="0.3">
      <c r="A5433" t="s">
        <v>8905</v>
      </c>
      <c r="B5433" t="s">
        <v>8906</v>
      </c>
      <c r="C5433" t="s">
        <v>296</v>
      </c>
      <c r="D5433">
        <v>2.0129999999999999</v>
      </c>
      <c r="E5433">
        <v>644</v>
      </c>
      <c r="F5433" t="str">
        <f>HYPERLINK("https://www.google.com/maps/search/?api=1&amp;query=24.47553407,46.24784001", "View Map")</f>
        <v>View Map</v>
      </c>
      <c r="G5433" s="2">
        <v>0.53527336283855165</v>
      </c>
    </row>
    <row r="5434" spans="1:7" x14ac:dyDescent="0.3">
      <c r="A5434" t="s">
        <v>6981</v>
      </c>
      <c r="B5434" t="s">
        <v>6982</v>
      </c>
      <c r="C5434" t="s">
        <v>1112</v>
      </c>
      <c r="D5434">
        <v>2.0129999999999999</v>
      </c>
      <c r="E5434">
        <v>644</v>
      </c>
      <c r="F5434" t="str">
        <f>HYPERLINK("https://www.google.com/maps/search/?api=1&amp;query=26.03258262,44.95220886", "View Map")</f>
        <v>View Map</v>
      </c>
      <c r="G5434" s="2">
        <v>0.36434531070648207</v>
      </c>
    </row>
    <row r="5435" spans="1:7" x14ac:dyDescent="0.3">
      <c r="A5435" t="s">
        <v>10316</v>
      </c>
      <c r="B5435" t="s">
        <v>10317</v>
      </c>
      <c r="C5435" t="s">
        <v>699</v>
      </c>
      <c r="D5435">
        <v>2.0129999999999999</v>
      </c>
      <c r="E5435">
        <v>644</v>
      </c>
      <c r="F5435" t="str">
        <f>HYPERLINK("https://www.google.com/maps/search/?api=1&amp;query=24.4506932,45.43582587", "View Map")</f>
        <v>View Map</v>
      </c>
      <c r="G5435" s="2">
        <v>0.5618362717367702</v>
      </c>
    </row>
    <row r="5436" spans="1:7" x14ac:dyDescent="0.3">
      <c r="A5436" t="s">
        <v>28</v>
      </c>
      <c r="B5436" t="s">
        <v>11990</v>
      </c>
      <c r="C5436" t="s">
        <v>30</v>
      </c>
      <c r="D5436">
        <v>2.012</v>
      </c>
      <c r="E5436">
        <v>644</v>
      </c>
      <c r="F5436" t="str">
        <f>HYPERLINK("https://www.google.com/maps/search/?api=1&amp;query=24.09546764,47.23758891", "View Map")</f>
        <v>View Map</v>
      </c>
    </row>
    <row r="5437" spans="1:7" x14ac:dyDescent="0.3">
      <c r="A5437" t="s">
        <v>7111</v>
      </c>
      <c r="B5437" t="s">
        <v>7112</v>
      </c>
      <c r="C5437" t="s">
        <v>291</v>
      </c>
      <c r="D5437">
        <v>2.012</v>
      </c>
      <c r="E5437">
        <v>644</v>
      </c>
      <c r="F5437" t="str">
        <f>HYPERLINK("https://www.google.com/maps/search/?api=1&amp;query=24.06606922,45.29991077", "View Map")</f>
        <v>View Map</v>
      </c>
      <c r="G5437" s="2">
        <v>0.28797906631542508</v>
      </c>
    </row>
    <row r="5438" spans="1:7" x14ac:dyDescent="0.3">
      <c r="A5438" t="s">
        <v>46</v>
      </c>
      <c r="B5438" t="s">
        <v>6268</v>
      </c>
      <c r="C5438" t="s">
        <v>8</v>
      </c>
      <c r="D5438">
        <v>2.012</v>
      </c>
      <c r="E5438">
        <v>644</v>
      </c>
      <c r="F5438" t="str">
        <f>HYPERLINK("https://www.google.com/maps/search/?api=1&amp;query=24.78918221,46.90390026", "View Map")</f>
        <v>View Map</v>
      </c>
    </row>
    <row r="5439" spans="1:7" x14ac:dyDescent="0.3">
      <c r="A5439" t="s">
        <v>1418</v>
      </c>
      <c r="B5439" t="s">
        <v>4540</v>
      </c>
      <c r="C5439" t="s">
        <v>8</v>
      </c>
      <c r="D5439">
        <v>2.0110000000000001</v>
      </c>
      <c r="E5439">
        <v>643</v>
      </c>
      <c r="F5439" t="str">
        <f>HYPERLINK("https://www.google.com/maps/search/?api=1&amp;query=24.77375402,46.71187778", "View Map")</f>
        <v>View Map</v>
      </c>
    </row>
    <row r="5440" spans="1:7" x14ac:dyDescent="0.3">
      <c r="A5440" t="s">
        <v>10521</v>
      </c>
      <c r="B5440" t="s">
        <v>10522</v>
      </c>
      <c r="C5440" t="s">
        <v>255</v>
      </c>
      <c r="D5440">
        <v>2.0110000000000001</v>
      </c>
      <c r="E5440">
        <v>643</v>
      </c>
      <c r="F5440" t="str">
        <f>HYPERLINK("https://www.google.com/maps/search/?api=1&amp;query=24.79101228,43.77163996", "View Map")</f>
        <v>View Map</v>
      </c>
      <c r="G5440" s="2">
        <v>0.43437443274311921</v>
      </c>
    </row>
    <row r="5441" spans="1:7" x14ac:dyDescent="0.3">
      <c r="A5441" t="s">
        <v>10457</v>
      </c>
      <c r="B5441" t="s">
        <v>10458</v>
      </c>
      <c r="C5441" t="s">
        <v>8</v>
      </c>
      <c r="D5441">
        <v>2.0110000000000001</v>
      </c>
      <c r="E5441">
        <v>644</v>
      </c>
      <c r="F5441" t="str">
        <f>HYPERLINK("https://www.google.com/maps/search/?api=1&amp;query=24.63891245,46.72356187", "View Map")</f>
        <v>View Map</v>
      </c>
    </row>
    <row r="5442" spans="1:7" x14ac:dyDescent="0.3">
      <c r="A5442" t="s">
        <v>3735</v>
      </c>
      <c r="B5442" t="s">
        <v>11991</v>
      </c>
      <c r="C5442" t="s">
        <v>255</v>
      </c>
      <c r="D5442">
        <v>2.0110000000000001</v>
      </c>
      <c r="E5442">
        <v>643</v>
      </c>
      <c r="F5442" t="str">
        <f>HYPERLINK("https://www.google.com/maps/search/?api=1&amp;query=25.40020482,44.15474261", "View Map")</f>
        <v>View Map</v>
      </c>
      <c r="G5442" s="2">
        <v>0.95074209592019587</v>
      </c>
    </row>
    <row r="5443" spans="1:7" x14ac:dyDescent="0.3">
      <c r="A5443" t="s">
        <v>6974</v>
      </c>
      <c r="B5443" t="s">
        <v>6975</v>
      </c>
      <c r="C5443" t="s">
        <v>255</v>
      </c>
      <c r="D5443">
        <v>2.0099999999999998</v>
      </c>
      <c r="E5443">
        <v>643</v>
      </c>
      <c r="F5443" t="str">
        <f>HYPERLINK("https://www.google.com/maps/search/?api=1&amp;query=25.16281223,44.02974746", "View Map")</f>
        <v>View Map</v>
      </c>
      <c r="G5443" s="2">
        <v>0.4444638753325818</v>
      </c>
    </row>
    <row r="5444" spans="1:7" x14ac:dyDescent="0.3">
      <c r="A5444" t="s">
        <v>6010</v>
      </c>
      <c r="B5444" t="s">
        <v>6011</v>
      </c>
      <c r="C5444" t="s">
        <v>8</v>
      </c>
      <c r="D5444">
        <v>2.0099999999999998</v>
      </c>
      <c r="E5444">
        <v>643</v>
      </c>
      <c r="F5444" t="str">
        <f>HYPERLINK("https://www.google.com/maps/search/?api=1&amp;query=24.60861776,46.75208462", "View Map")</f>
        <v>View Map</v>
      </c>
    </row>
    <row r="5445" spans="1:7" x14ac:dyDescent="0.3">
      <c r="A5445" t="s">
        <v>11992</v>
      </c>
      <c r="B5445" t="s">
        <v>11993</v>
      </c>
      <c r="C5445" t="s">
        <v>8</v>
      </c>
      <c r="D5445">
        <v>2.0099999999999998</v>
      </c>
      <c r="E5445">
        <v>643</v>
      </c>
      <c r="F5445" t="str">
        <f>HYPERLINK("https://www.google.com/maps/search/?api=1&amp;query=24.63863247,46.67458454", "View Map")</f>
        <v>View Map</v>
      </c>
    </row>
    <row r="5446" spans="1:7" x14ac:dyDescent="0.3">
      <c r="A5446" t="s">
        <v>8663</v>
      </c>
      <c r="B5446" t="s">
        <v>8664</v>
      </c>
      <c r="C5446" t="s">
        <v>8</v>
      </c>
      <c r="D5446">
        <v>2.0099999999999998</v>
      </c>
      <c r="E5446">
        <v>643</v>
      </c>
      <c r="F5446" t="str">
        <f>HYPERLINK("https://www.google.com/maps/search/?api=1&amp;query=24.68129921,46.67408988", "View Map")</f>
        <v>View Map</v>
      </c>
    </row>
    <row r="5447" spans="1:7" x14ac:dyDescent="0.3">
      <c r="A5447" t="s">
        <v>11994</v>
      </c>
      <c r="B5447" t="s">
        <v>11995</v>
      </c>
      <c r="C5447" t="s">
        <v>255</v>
      </c>
      <c r="D5447">
        <v>2.0099999999999998</v>
      </c>
      <c r="E5447">
        <v>643</v>
      </c>
      <c r="F5447" t="str">
        <f>HYPERLINK("https://www.google.com/maps/search/?api=1&amp;query=24.51366727,43.89593635", "View Map")</f>
        <v>View Map</v>
      </c>
      <c r="G5447" s="2">
        <v>0.78025641677283231</v>
      </c>
    </row>
    <row r="5448" spans="1:7" x14ac:dyDescent="0.3">
      <c r="A5448" t="s">
        <v>362</v>
      </c>
      <c r="B5448" t="s">
        <v>10796</v>
      </c>
      <c r="C5448" t="s">
        <v>364</v>
      </c>
      <c r="D5448">
        <v>2.008</v>
      </c>
      <c r="E5448">
        <v>643</v>
      </c>
      <c r="F5448" t="str">
        <f>HYPERLINK("https://www.google.com/maps/search/?api=1&amp;query=25.2115644,45.86370243", "View Map")</f>
        <v>View Map</v>
      </c>
      <c r="G5448" s="2">
        <v>0.52686281811310642</v>
      </c>
    </row>
    <row r="5449" spans="1:7" x14ac:dyDescent="0.3">
      <c r="A5449" t="s">
        <v>4899</v>
      </c>
      <c r="B5449" t="s">
        <v>4900</v>
      </c>
      <c r="C5449" t="s">
        <v>8</v>
      </c>
      <c r="D5449">
        <v>2.008</v>
      </c>
      <c r="E5449">
        <v>643</v>
      </c>
      <c r="F5449" t="str">
        <f>HYPERLINK("https://www.google.com/maps/search/?api=1&amp;query=24.62268132,46.71668946", "View Map")</f>
        <v>View Map</v>
      </c>
    </row>
    <row r="5450" spans="1:7" x14ac:dyDescent="0.3">
      <c r="A5450" t="s">
        <v>2924</v>
      </c>
      <c r="B5450" t="s">
        <v>2925</v>
      </c>
      <c r="C5450" t="s">
        <v>8</v>
      </c>
      <c r="D5450">
        <v>2.008</v>
      </c>
      <c r="E5450">
        <v>643</v>
      </c>
      <c r="F5450" t="str">
        <f>HYPERLINK("https://www.google.com/maps/search/?api=1&amp;query=24.78535614,46.75093366", "View Map")</f>
        <v>View Map</v>
      </c>
    </row>
    <row r="5451" spans="1:7" x14ac:dyDescent="0.3">
      <c r="A5451" t="s">
        <v>8556</v>
      </c>
      <c r="B5451" t="s">
        <v>8557</v>
      </c>
      <c r="C5451" t="s">
        <v>8</v>
      </c>
      <c r="D5451">
        <v>2.008</v>
      </c>
      <c r="E5451">
        <v>643</v>
      </c>
      <c r="F5451" t="str">
        <f>HYPERLINK("https://www.google.com/maps/search/?api=1&amp;query=24.54732983,46.69480888", "View Map")</f>
        <v>View Map</v>
      </c>
    </row>
    <row r="5452" spans="1:7" x14ac:dyDescent="0.3">
      <c r="A5452" t="s">
        <v>11996</v>
      </c>
      <c r="B5452" t="s">
        <v>11997</v>
      </c>
      <c r="C5452" t="s">
        <v>291</v>
      </c>
      <c r="D5452">
        <v>2.008</v>
      </c>
      <c r="E5452">
        <v>643</v>
      </c>
      <c r="F5452" t="str">
        <f>HYPERLINK("https://www.google.com/maps/search/?api=1&amp;query=24.34656673,45.81275897", "View Map")</f>
        <v>View Map</v>
      </c>
      <c r="G5452" s="2">
        <v>0.64710259351878108</v>
      </c>
    </row>
    <row r="5453" spans="1:7" x14ac:dyDescent="0.3">
      <c r="A5453" t="s">
        <v>6550</v>
      </c>
      <c r="B5453" t="s">
        <v>6551</v>
      </c>
      <c r="C5453" t="s">
        <v>291</v>
      </c>
      <c r="D5453">
        <v>2.008</v>
      </c>
      <c r="E5453">
        <v>643</v>
      </c>
      <c r="F5453" t="str">
        <f>HYPERLINK("https://www.google.com/maps/search/?api=1&amp;query=23.78434733,44.80458989", "View Map")</f>
        <v>View Map</v>
      </c>
      <c r="G5453" s="2">
        <v>0.39392687962524131</v>
      </c>
    </row>
    <row r="5454" spans="1:7" x14ac:dyDescent="0.3">
      <c r="A5454" t="s">
        <v>3735</v>
      </c>
      <c r="B5454" t="s">
        <v>11998</v>
      </c>
      <c r="C5454" t="s">
        <v>255</v>
      </c>
      <c r="D5454">
        <v>2.0070000000000001</v>
      </c>
      <c r="E5454">
        <v>642</v>
      </c>
      <c r="F5454" t="str">
        <f>HYPERLINK("https://www.google.com/maps/search/?api=1&amp;query=25.40020482,44.15474261", "View Map")</f>
        <v>View Map</v>
      </c>
      <c r="G5454" s="2">
        <v>0.84067878759818482</v>
      </c>
    </row>
    <row r="5455" spans="1:7" x14ac:dyDescent="0.3">
      <c r="A5455" t="s">
        <v>150</v>
      </c>
      <c r="B5455" t="s">
        <v>11999</v>
      </c>
      <c r="C5455" t="s">
        <v>8</v>
      </c>
      <c r="D5455">
        <v>2.0070000000000001</v>
      </c>
      <c r="E5455">
        <v>642</v>
      </c>
      <c r="F5455" t="str">
        <f>HYPERLINK("https://www.google.com/maps/search/?api=1&amp;query=24.8447,46.7892", "View Map")</f>
        <v>View Map</v>
      </c>
    </row>
    <row r="5456" spans="1:7" x14ac:dyDescent="0.3">
      <c r="A5456" t="s">
        <v>8857</v>
      </c>
      <c r="B5456" t="s">
        <v>8858</v>
      </c>
      <c r="C5456" t="s">
        <v>8</v>
      </c>
      <c r="D5456">
        <v>2.0059999999999998</v>
      </c>
      <c r="E5456">
        <v>642</v>
      </c>
      <c r="F5456" t="str">
        <f>HYPERLINK("https://www.google.com/maps/search/?api=1&amp;query=24.65742252,46.7340843", "View Map")</f>
        <v>View Map</v>
      </c>
    </row>
    <row r="5457" spans="1:7" x14ac:dyDescent="0.3">
      <c r="A5457" t="s">
        <v>10070</v>
      </c>
      <c r="B5457" t="s">
        <v>10071</v>
      </c>
      <c r="C5457" t="s">
        <v>214</v>
      </c>
      <c r="D5457">
        <v>2.0049999999999999</v>
      </c>
      <c r="E5457">
        <v>642</v>
      </c>
      <c r="F5457" t="str">
        <f>HYPERLINK("https://www.google.com/maps/search/?api=1&amp;query=25.92237125,45.37394874", "View Map")</f>
        <v>View Map</v>
      </c>
      <c r="G5457" s="2">
        <v>0.53543154501626433</v>
      </c>
    </row>
    <row r="5458" spans="1:7" x14ac:dyDescent="0.3">
      <c r="A5458" t="s">
        <v>146</v>
      </c>
      <c r="B5458" t="s">
        <v>7076</v>
      </c>
      <c r="C5458" t="s">
        <v>8</v>
      </c>
      <c r="D5458">
        <v>2.004</v>
      </c>
      <c r="E5458">
        <v>641</v>
      </c>
      <c r="F5458" t="str">
        <f>HYPERLINK("https://www.google.com/maps/search/?api=1&amp;query=24.55363955,46.6674507", "View Map")</f>
        <v>View Map</v>
      </c>
    </row>
    <row r="5459" spans="1:7" x14ac:dyDescent="0.3">
      <c r="A5459" t="s">
        <v>12000</v>
      </c>
      <c r="B5459" t="s">
        <v>12001</v>
      </c>
      <c r="C5459" t="s">
        <v>241</v>
      </c>
      <c r="D5459">
        <v>2.004</v>
      </c>
      <c r="E5459">
        <v>641</v>
      </c>
      <c r="F5459" t="str">
        <f>HYPERLINK("https://www.google.com/maps/search/?api=1&amp;query=20.44784107,44.84590223", "View Map")</f>
        <v>View Map</v>
      </c>
    </row>
    <row r="5460" spans="1:7" x14ac:dyDescent="0.3">
      <c r="A5460" t="s">
        <v>7192</v>
      </c>
      <c r="B5460" t="s">
        <v>7193</v>
      </c>
      <c r="C5460" t="s">
        <v>214</v>
      </c>
      <c r="D5460">
        <v>2.004</v>
      </c>
      <c r="E5460">
        <v>641</v>
      </c>
      <c r="F5460" t="str">
        <f>HYPERLINK("https://www.google.com/maps/search/?api=1&amp;query=25.62102925,45.54415371", "View Map")</f>
        <v>View Map</v>
      </c>
      <c r="G5460" s="2">
        <v>0.47422236909440663</v>
      </c>
    </row>
    <row r="5461" spans="1:7" x14ac:dyDescent="0.3">
      <c r="A5461" t="s">
        <v>261</v>
      </c>
      <c r="B5461" t="s">
        <v>4646</v>
      </c>
      <c r="C5461" t="s">
        <v>255</v>
      </c>
      <c r="D5461">
        <v>2.004</v>
      </c>
      <c r="E5461">
        <v>641</v>
      </c>
      <c r="F5461" t="str">
        <f>HYPERLINK("https://www.google.com/maps/search/?api=1&amp;query=24.50087887,44.39025447", "View Map")</f>
        <v>View Map</v>
      </c>
      <c r="G5461" s="2">
        <v>0.27463770426167772</v>
      </c>
    </row>
    <row r="5462" spans="1:7" x14ac:dyDescent="0.3">
      <c r="A5462" t="s">
        <v>12002</v>
      </c>
      <c r="B5462" t="s">
        <v>12003</v>
      </c>
      <c r="C5462" t="s">
        <v>8</v>
      </c>
      <c r="D5462">
        <v>2.0019999999999998</v>
      </c>
      <c r="E5462">
        <v>641</v>
      </c>
      <c r="F5462" t="str">
        <f>HYPERLINK("https://www.google.com/maps/search/?api=1&amp;query=24.57439362,46.65482247", "View Map")</f>
        <v>View Map</v>
      </c>
    </row>
    <row r="5463" spans="1:7" x14ac:dyDescent="0.3">
      <c r="A5463" t="s">
        <v>10718</v>
      </c>
      <c r="B5463" t="s">
        <v>10719</v>
      </c>
      <c r="C5463" t="s">
        <v>8</v>
      </c>
      <c r="D5463">
        <v>2.0009999999999999</v>
      </c>
      <c r="E5463">
        <v>640</v>
      </c>
      <c r="F5463" t="str">
        <f>HYPERLINK("https://www.google.com/maps/search/?api=1&amp;query=24.70765096,46.68043617", "View Map")</f>
        <v>View Map</v>
      </c>
    </row>
    <row r="5464" spans="1:7" x14ac:dyDescent="0.3">
      <c r="A5464" t="s">
        <v>10074</v>
      </c>
      <c r="B5464" t="s">
        <v>10075</v>
      </c>
      <c r="C5464" t="s">
        <v>21</v>
      </c>
      <c r="D5464">
        <v>2.0009999999999999</v>
      </c>
      <c r="E5464">
        <v>640</v>
      </c>
      <c r="F5464" t="str">
        <f>HYPERLINK("https://www.google.com/maps/search/?api=1&amp;query=26.26667943,44.82596861", "View Map")</f>
        <v>View Map</v>
      </c>
      <c r="G5464" s="2">
        <v>0.61303290874127159</v>
      </c>
    </row>
    <row r="5465" spans="1:7" x14ac:dyDescent="0.3">
      <c r="A5465" t="s">
        <v>8192</v>
      </c>
      <c r="B5465" t="s">
        <v>8193</v>
      </c>
      <c r="C5465" t="s">
        <v>364</v>
      </c>
      <c r="D5465">
        <v>2.0009999999999999</v>
      </c>
      <c r="E5465">
        <v>640</v>
      </c>
      <c r="F5465" t="str">
        <f>HYPERLINK("https://www.google.com/maps/search/?api=1&amp;query=25.17437411,45.79239171", "View Map")</f>
        <v>View Map</v>
      </c>
      <c r="G5465" s="2">
        <v>0.47644579100914419</v>
      </c>
    </row>
    <row r="5466" spans="1:7" x14ac:dyDescent="0.3">
      <c r="A5466" t="s">
        <v>12004</v>
      </c>
      <c r="B5466" t="s">
        <v>12005</v>
      </c>
      <c r="C5466" t="s">
        <v>8</v>
      </c>
      <c r="D5466">
        <v>2.0009999999999999</v>
      </c>
      <c r="E5466">
        <v>640</v>
      </c>
      <c r="F5466" t="str">
        <f>HYPERLINK("https://www.google.com/maps/search/?api=1&amp;query=24.58208803,46.5462638", "View Map")</f>
        <v>View Map</v>
      </c>
    </row>
    <row r="5467" spans="1:7" x14ac:dyDescent="0.3">
      <c r="A5467" t="s">
        <v>9311</v>
      </c>
      <c r="B5467" t="s">
        <v>9312</v>
      </c>
      <c r="C5467" t="s">
        <v>255</v>
      </c>
      <c r="D5467">
        <v>2</v>
      </c>
      <c r="E5467">
        <v>640</v>
      </c>
      <c r="F5467" t="str">
        <f>HYPERLINK("https://www.google.com/maps/search/?api=1&amp;query=25.14148309,43.48649526", "View Map")</f>
        <v>View Map</v>
      </c>
      <c r="G5467" s="2">
        <v>0.88104879927168833</v>
      </c>
    </row>
    <row r="5468" spans="1:7" x14ac:dyDescent="0.3">
      <c r="A5468" t="s">
        <v>6656</v>
      </c>
      <c r="B5468" t="s">
        <v>6657</v>
      </c>
      <c r="C5468" t="s">
        <v>8</v>
      </c>
      <c r="D5468">
        <v>2</v>
      </c>
      <c r="E5468">
        <v>640</v>
      </c>
      <c r="F5468" t="str">
        <f>HYPERLINK("https://www.google.com/maps/search/?api=1&amp;query=24.77765317,46.74949017", "View Map")</f>
        <v>View Map</v>
      </c>
    </row>
    <row r="5469" spans="1:7" x14ac:dyDescent="0.3">
      <c r="A5469" t="s">
        <v>9823</v>
      </c>
      <c r="B5469" t="s">
        <v>9824</v>
      </c>
      <c r="C5469" t="s">
        <v>77</v>
      </c>
      <c r="D5469">
        <v>2</v>
      </c>
      <c r="E5469">
        <v>640</v>
      </c>
      <c r="F5469" t="str">
        <f>HYPERLINK("https://www.google.com/maps/search/?api=1&amp;query=22.55867186,45.41692532", "View Map")</f>
        <v>View Map</v>
      </c>
      <c r="G5469" s="2">
        <v>0.76814130726625374</v>
      </c>
    </row>
    <row r="5470" spans="1:7" x14ac:dyDescent="0.3">
      <c r="A5470" t="s">
        <v>9990</v>
      </c>
      <c r="B5470" t="s">
        <v>9991</v>
      </c>
      <c r="C5470" t="s">
        <v>8</v>
      </c>
      <c r="D5470">
        <v>2</v>
      </c>
      <c r="E5470">
        <v>640</v>
      </c>
      <c r="F5470" t="str">
        <f>HYPERLINK("https://www.google.com/maps/search/?api=1&amp;query=24.60117139,46.59770174", "View Map")</f>
        <v>View Map</v>
      </c>
    </row>
    <row r="5471" spans="1:7" x14ac:dyDescent="0.3">
      <c r="A5471" t="s">
        <v>4697</v>
      </c>
      <c r="B5471" t="s">
        <v>4698</v>
      </c>
      <c r="C5471" t="s">
        <v>8</v>
      </c>
      <c r="D5471">
        <v>1.998</v>
      </c>
      <c r="E5471">
        <v>639</v>
      </c>
      <c r="F5471" t="str">
        <f>HYPERLINK("https://www.google.com/maps/search/?api=1&amp;query=24.67307022,46.78202841", "View Map")</f>
        <v>View Map</v>
      </c>
    </row>
    <row r="5472" spans="1:7" x14ac:dyDescent="0.3">
      <c r="A5472" t="s">
        <v>9130</v>
      </c>
      <c r="B5472" t="s">
        <v>9131</v>
      </c>
      <c r="C5472" t="s">
        <v>8</v>
      </c>
      <c r="D5472">
        <v>1.9970000000000001</v>
      </c>
      <c r="E5472">
        <v>639</v>
      </c>
      <c r="F5472" t="str">
        <f>HYPERLINK("https://www.google.com/maps/search/?api=1&amp;query=24.68730075,46.72812836", "View Map")</f>
        <v>View Map</v>
      </c>
    </row>
    <row r="5473" spans="1:7" x14ac:dyDescent="0.3">
      <c r="A5473" t="s">
        <v>12006</v>
      </c>
      <c r="B5473" t="s">
        <v>12007</v>
      </c>
      <c r="C5473" t="s">
        <v>241</v>
      </c>
      <c r="D5473">
        <v>1.9970000000000001</v>
      </c>
      <c r="E5473">
        <v>639</v>
      </c>
      <c r="F5473" t="str">
        <f>HYPERLINK("https://www.google.com/maps/search/?api=1&amp;query=20.4551638,44.85252281", "View Map")</f>
        <v>View Map</v>
      </c>
      <c r="G5473" s="2">
        <v>0.42183238432253789</v>
      </c>
    </row>
    <row r="5474" spans="1:7" x14ac:dyDescent="0.3">
      <c r="A5474" t="s">
        <v>9648</v>
      </c>
      <c r="B5474" t="s">
        <v>9649</v>
      </c>
      <c r="C5474" t="s">
        <v>8</v>
      </c>
      <c r="D5474">
        <v>1.9970000000000001</v>
      </c>
      <c r="E5474">
        <v>639</v>
      </c>
      <c r="F5474" t="str">
        <f>HYPERLINK("https://www.google.com/maps/search/?api=1&amp;query=24.60639773,46.71178913", "View Map")</f>
        <v>View Map</v>
      </c>
    </row>
    <row r="5475" spans="1:7" x14ac:dyDescent="0.3">
      <c r="A5475" t="s">
        <v>6364</v>
      </c>
      <c r="B5475" t="s">
        <v>6365</v>
      </c>
      <c r="C5475" t="s">
        <v>286</v>
      </c>
      <c r="D5475">
        <v>1.9970000000000001</v>
      </c>
      <c r="E5475">
        <v>639</v>
      </c>
      <c r="F5475" t="str">
        <f>HYPERLINK("https://www.google.com/maps/search/?api=1&amp;query=25.29437809,45.52194842", "View Map")</f>
        <v>View Map</v>
      </c>
      <c r="G5475" s="2">
        <v>0.29419308836116942</v>
      </c>
    </row>
    <row r="5476" spans="1:7" x14ac:dyDescent="0.3">
      <c r="A5476" t="s">
        <v>12008</v>
      </c>
      <c r="B5476" t="s">
        <v>12009</v>
      </c>
      <c r="C5476" t="s">
        <v>30</v>
      </c>
      <c r="D5476">
        <v>1.996</v>
      </c>
      <c r="E5476">
        <v>639</v>
      </c>
      <c r="F5476" t="str">
        <f>HYPERLINK("https://www.google.com/maps/search/?api=1&amp;query=24.13546,47.28174", "View Map")</f>
        <v>View Map</v>
      </c>
    </row>
    <row r="5477" spans="1:7" x14ac:dyDescent="0.3">
      <c r="A5477" t="s">
        <v>12010</v>
      </c>
      <c r="B5477" t="s">
        <v>12011</v>
      </c>
      <c r="C5477" t="s">
        <v>8</v>
      </c>
      <c r="D5477">
        <v>1.996</v>
      </c>
      <c r="E5477">
        <v>639</v>
      </c>
      <c r="F5477" t="str">
        <f>HYPERLINK("https://www.google.com/maps/search/?api=1&amp;query=24.6472,46.7147", "View Map")</f>
        <v>View Map</v>
      </c>
    </row>
    <row r="5478" spans="1:7" x14ac:dyDescent="0.3">
      <c r="A5478" t="s">
        <v>10529</v>
      </c>
      <c r="B5478" t="s">
        <v>10530</v>
      </c>
      <c r="C5478" t="s">
        <v>8</v>
      </c>
      <c r="D5478">
        <v>1.996</v>
      </c>
      <c r="E5478">
        <v>639</v>
      </c>
      <c r="F5478" t="str">
        <f>HYPERLINK("https://www.google.com/maps/search/?api=1&amp;query=24.65559307,46.74966852", "View Map")</f>
        <v>View Map</v>
      </c>
    </row>
    <row r="5479" spans="1:7" x14ac:dyDescent="0.3">
      <c r="A5479" t="s">
        <v>9056</v>
      </c>
      <c r="B5479" t="s">
        <v>9057</v>
      </c>
      <c r="C5479" t="s">
        <v>30</v>
      </c>
      <c r="D5479">
        <v>1.996</v>
      </c>
      <c r="E5479">
        <v>639</v>
      </c>
      <c r="F5479" t="str">
        <f>HYPERLINK("https://www.google.com/maps/search/?api=1&amp;query=24.17498801,47.29561457", "View Map")</f>
        <v>View Map</v>
      </c>
    </row>
    <row r="5480" spans="1:7" x14ac:dyDescent="0.3">
      <c r="A5480" t="s">
        <v>12012</v>
      </c>
      <c r="B5480" t="s">
        <v>12013</v>
      </c>
      <c r="C5480" t="s">
        <v>8</v>
      </c>
      <c r="D5480">
        <v>1.9950000000000001</v>
      </c>
      <c r="E5480">
        <v>638</v>
      </c>
      <c r="F5480" t="str">
        <f>HYPERLINK("https://www.google.com/maps/search/?api=1&amp;query=24.72720724,46.8391305", "View Map")</f>
        <v>View Map</v>
      </c>
    </row>
    <row r="5481" spans="1:7" x14ac:dyDescent="0.3">
      <c r="A5481" t="s">
        <v>8388</v>
      </c>
      <c r="B5481" t="s">
        <v>8389</v>
      </c>
      <c r="C5481" t="s">
        <v>214</v>
      </c>
      <c r="D5481">
        <v>1.9950000000000001</v>
      </c>
      <c r="E5481">
        <v>638</v>
      </c>
      <c r="F5481" t="str">
        <f>HYPERLINK("https://www.google.com/maps/search/?api=1&amp;query=25.65259029,45.55113362", "View Map")</f>
        <v>View Map</v>
      </c>
      <c r="G5481" s="2">
        <v>0.58518839206341755</v>
      </c>
    </row>
    <row r="5482" spans="1:7" x14ac:dyDescent="0.3">
      <c r="A5482" t="s">
        <v>10911</v>
      </c>
      <c r="B5482" t="s">
        <v>10912</v>
      </c>
      <c r="C5482" t="s">
        <v>255</v>
      </c>
      <c r="D5482">
        <v>1.9950000000000001</v>
      </c>
      <c r="E5482">
        <v>639</v>
      </c>
      <c r="F5482" t="str">
        <f>HYPERLINK("https://www.google.com/maps/search/?api=1&amp;query=25.06151833,44.70792793", "View Map")</f>
        <v>View Map</v>
      </c>
      <c r="G5482" s="2">
        <v>0.46767033086179638</v>
      </c>
    </row>
    <row r="5483" spans="1:7" x14ac:dyDescent="0.3">
      <c r="A5483" t="s">
        <v>9085</v>
      </c>
      <c r="B5483" t="s">
        <v>9086</v>
      </c>
      <c r="C5483" t="s">
        <v>255</v>
      </c>
      <c r="D5483">
        <v>1.9950000000000001</v>
      </c>
      <c r="E5483">
        <v>639</v>
      </c>
      <c r="F5483" t="str">
        <f>HYPERLINK("https://www.google.com/maps/search/?api=1&amp;query=24.30623169,43.75494914", "View Map")</f>
        <v>View Map</v>
      </c>
      <c r="G5483" s="2">
        <v>0.38992779855112242</v>
      </c>
    </row>
    <row r="5484" spans="1:7" x14ac:dyDescent="0.3">
      <c r="A5484" t="s">
        <v>3761</v>
      </c>
      <c r="B5484" t="s">
        <v>10080</v>
      </c>
      <c r="C5484" t="s">
        <v>8</v>
      </c>
      <c r="D5484">
        <v>1.994</v>
      </c>
      <c r="E5484">
        <v>638</v>
      </c>
      <c r="F5484" t="str">
        <f>HYPERLINK("https://www.google.com/maps/search/?api=1&amp;query=24.60835605,46.75752616", "View Map")</f>
        <v>View Map</v>
      </c>
      <c r="G5484" s="2">
        <v>0.48518006111805628</v>
      </c>
    </row>
    <row r="5485" spans="1:7" x14ac:dyDescent="0.3">
      <c r="A5485" t="s">
        <v>8445</v>
      </c>
      <c r="B5485" t="s">
        <v>8446</v>
      </c>
      <c r="C5485" t="s">
        <v>21</v>
      </c>
      <c r="D5485">
        <v>1.994</v>
      </c>
      <c r="E5485">
        <v>638</v>
      </c>
      <c r="F5485" t="str">
        <f>HYPERLINK("https://www.google.com/maps/search/?api=1&amp;query=26.24734441,44.81838683", "View Map")</f>
        <v>View Map</v>
      </c>
      <c r="G5485" s="2">
        <v>0.58811795373774778</v>
      </c>
    </row>
    <row r="5486" spans="1:7" x14ac:dyDescent="0.3">
      <c r="A5486" t="s">
        <v>6172</v>
      </c>
      <c r="B5486" t="s">
        <v>6173</v>
      </c>
      <c r="C5486" t="s">
        <v>255</v>
      </c>
      <c r="D5486">
        <v>1.9930000000000001</v>
      </c>
      <c r="E5486">
        <v>638</v>
      </c>
      <c r="F5486" t="str">
        <f>HYPERLINK("https://www.google.com/maps/search/?api=1&amp;query=25.49063956,44.41459864", "View Map")</f>
        <v>View Map</v>
      </c>
    </row>
    <row r="5487" spans="1:7" x14ac:dyDescent="0.3">
      <c r="A5487" t="s">
        <v>12014</v>
      </c>
      <c r="B5487" t="s">
        <v>12015</v>
      </c>
      <c r="C5487" t="s">
        <v>8</v>
      </c>
      <c r="D5487">
        <v>1.9930000000000001</v>
      </c>
      <c r="E5487">
        <v>638</v>
      </c>
      <c r="F5487" t="str">
        <f>HYPERLINK("https://www.google.com/maps/search/?api=1&amp;query=24.57680279,46.57816567", "View Map")</f>
        <v>View Map</v>
      </c>
    </row>
    <row r="5488" spans="1:7" x14ac:dyDescent="0.3">
      <c r="A5488" t="s">
        <v>2285</v>
      </c>
      <c r="B5488" t="s">
        <v>7606</v>
      </c>
      <c r="C5488" t="s">
        <v>8</v>
      </c>
      <c r="D5488">
        <v>1.9930000000000001</v>
      </c>
      <c r="E5488">
        <v>638</v>
      </c>
      <c r="F5488" t="str">
        <f>HYPERLINK("https://www.google.com/maps/search/?api=1&amp;query=24.74503079,46.77066792", "View Map")</f>
        <v>View Map</v>
      </c>
    </row>
    <row r="5489" spans="1:7" x14ac:dyDescent="0.3">
      <c r="A5489" t="s">
        <v>12016</v>
      </c>
      <c r="B5489" t="s">
        <v>12017</v>
      </c>
      <c r="C5489" t="s">
        <v>8</v>
      </c>
      <c r="D5489">
        <v>1.9930000000000001</v>
      </c>
      <c r="E5489">
        <v>638</v>
      </c>
      <c r="F5489" t="str">
        <f>HYPERLINK("https://www.google.com/maps/search/?api=1&amp;query=24.6319,46.6933", "View Map")</f>
        <v>View Map</v>
      </c>
    </row>
    <row r="5490" spans="1:7" x14ac:dyDescent="0.3">
      <c r="A5490" t="s">
        <v>9023</v>
      </c>
      <c r="B5490" t="s">
        <v>9024</v>
      </c>
      <c r="C5490" t="s">
        <v>8</v>
      </c>
      <c r="D5490">
        <v>1.9930000000000001</v>
      </c>
      <c r="E5490">
        <v>638</v>
      </c>
      <c r="F5490" t="str">
        <f>HYPERLINK("https://www.google.com/maps/search/?api=1&amp;query=24.77247453,46.81706666", "View Map")</f>
        <v>View Map</v>
      </c>
    </row>
    <row r="5491" spans="1:7" x14ac:dyDescent="0.3">
      <c r="A5491" t="s">
        <v>46</v>
      </c>
      <c r="B5491" t="s">
        <v>10862</v>
      </c>
      <c r="C5491" t="s">
        <v>8</v>
      </c>
      <c r="D5491">
        <v>1.9930000000000001</v>
      </c>
      <c r="E5491">
        <v>638</v>
      </c>
      <c r="F5491" t="str">
        <f>HYPERLINK("https://www.google.com/maps/search/?api=1&amp;query=24.88107218,46.61798141", "View Map")</f>
        <v>View Map</v>
      </c>
    </row>
    <row r="5492" spans="1:7" x14ac:dyDescent="0.3">
      <c r="A5492" t="s">
        <v>6643</v>
      </c>
      <c r="B5492" t="s">
        <v>6644</v>
      </c>
      <c r="C5492" t="s">
        <v>8</v>
      </c>
      <c r="D5492">
        <v>1.992</v>
      </c>
      <c r="E5492">
        <v>637</v>
      </c>
      <c r="F5492" t="str">
        <f>HYPERLINK("https://www.google.com/maps/search/?api=1&amp;query=24.58303811,46.63715282", "View Map")</f>
        <v>View Map</v>
      </c>
    </row>
    <row r="5493" spans="1:7" x14ac:dyDescent="0.3">
      <c r="A5493" t="s">
        <v>5244</v>
      </c>
      <c r="B5493" t="s">
        <v>5245</v>
      </c>
      <c r="C5493" t="s">
        <v>255</v>
      </c>
      <c r="D5493">
        <v>1.992</v>
      </c>
      <c r="E5493">
        <v>637</v>
      </c>
      <c r="F5493" t="str">
        <f>HYPERLINK("https://www.google.com/maps/search/?api=1&amp;query=24.37638097,43.68690951", "View Map")</f>
        <v>View Map</v>
      </c>
      <c r="G5493" s="2">
        <v>0.50639413691381463</v>
      </c>
    </row>
    <row r="5494" spans="1:7" x14ac:dyDescent="0.3">
      <c r="A5494" t="s">
        <v>1788</v>
      </c>
      <c r="B5494" t="s">
        <v>7571</v>
      </c>
      <c r="C5494" t="s">
        <v>291</v>
      </c>
      <c r="D5494">
        <v>1.992</v>
      </c>
      <c r="E5494">
        <v>637</v>
      </c>
      <c r="F5494" t="str">
        <f>HYPERLINK("https://www.google.com/maps/search/?api=1&amp;query=24.08258881,45.3255726", "View Map")</f>
        <v>View Map</v>
      </c>
      <c r="G5494" s="2">
        <v>0.42801648945892962</v>
      </c>
    </row>
    <row r="5495" spans="1:7" x14ac:dyDescent="0.3">
      <c r="A5495" t="s">
        <v>2740</v>
      </c>
      <c r="B5495" t="s">
        <v>2741</v>
      </c>
      <c r="C5495" t="s">
        <v>8</v>
      </c>
      <c r="D5495">
        <v>1.992</v>
      </c>
      <c r="E5495">
        <v>637</v>
      </c>
      <c r="F5495" t="str">
        <f>HYPERLINK("https://www.google.com/maps/search/?api=1&amp;query=24.78494227,46.62163175", "View Map")</f>
        <v>View Map</v>
      </c>
    </row>
    <row r="5496" spans="1:7" x14ac:dyDescent="0.3">
      <c r="A5496" t="s">
        <v>46</v>
      </c>
      <c r="B5496" t="s">
        <v>10972</v>
      </c>
      <c r="C5496" t="s">
        <v>8</v>
      </c>
      <c r="D5496">
        <v>1.9910000000000001</v>
      </c>
      <c r="E5496">
        <v>637</v>
      </c>
      <c r="F5496" t="str">
        <f>HYPERLINK("https://www.google.com/maps/search/?api=1&amp;query=24.85500732,46.84684564", "View Map")</f>
        <v>View Map</v>
      </c>
    </row>
    <row r="5497" spans="1:7" x14ac:dyDescent="0.3">
      <c r="A5497" t="s">
        <v>46</v>
      </c>
      <c r="B5497" t="s">
        <v>6404</v>
      </c>
      <c r="C5497" t="s">
        <v>8</v>
      </c>
      <c r="D5497">
        <v>1.99</v>
      </c>
      <c r="E5497">
        <v>637</v>
      </c>
      <c r="F5497" t="str">
        <f>HYPERLINK("https://www.google.com/maps/search/?api=1&amp;query=24.67102,46.713", "View Map")</f>
        <v>View Map</v>
      </c>
    </row>
    <row r="5498" spans="1:7" x14ac:dyDescent="0.3">
      <c r="A5498" t="s">
        <v>2978</v>
      </c>
      <c r="B5498" t="s">
        <v>9799</v>
      </c>
      <c r="C5498" t="s">
        <v>8</v>
      </c>
      <c r="D5498">
        <v>1.9890000000000001</v>
      </c>
      <c r="E5498">
        <v>637</v>
      </c>
      <c r="F5498" t="str">
        <f>HYPERLINK("https://www.google.com/maps/search/?api=1&amp;query=24.6929258,46.66634433", "View Map")</f>
        <v>View Map</v>
      </c>
      <c r="G5498" s="2">
        <v>0.78941413108979863</v>
      </c>
    </row>
    <row r="5499" spans="1:7" x14ac:dyDescent="0.3">
      <c r="A5499" t="s">
        <v>10550</v>
      </c>
      <c r="B5499" t="s">
        <v>10551</v>
      </c>
      <c r="C5499" t="s">
        <v>55</v>
      </c>
      <c r="D5499">
        <v>1.9890000000000001</v>
      </c>
      <c r="E5499">
        <v>636</v>
      </c>
      <c r="F5499" t="str">
        <f>HYPERLINK("https://www.google.com/maps/search/?api=1&amp;query=24.76274997,46.57498541", "View Map")</f>
        <v>View Map</v>
      </c>
    </row>
    <row r="5500" spans="1:7" x14ac:dyDescent="0.3">
      <c r="A5500" t="s">
        <v>2602</v>
      </c>
      <c r="B5500" t="s">
        <v>8226</v>
      </c>
      <c r="C5500" t="s">
        <v>8</v>
      </c>
      <c r="D5500">
        <v>1.9890000000000001</v>
      </c>
      <c r="E5500">
        <v>636</v>
      </c>
      <c r="F5500" t="str">
        <f>HYPERLINK("https://www.google.com/maps/search/?api=1&amp;query=24.57975637,46.57967382", "View Map")</f>
        <v>View Map</v>
      </c>
    </row>
    <row r="5501" spans="1:7" x14ac:dyDescent="0.3">
      <c r="A5501" t="s">
        <v>4942</v>
      </c>
      <c r="B5501" t="s">
        <v>4943</v>
      </c>
      <c r="C5501" t="s">
        <v>8</v>
      </c>
      <c r="D5501">
        <v>1.9890000000000001</v>
      </c>
      <c r="E5501">
        <v>636</v>
      </c>
      <c r="F5501" t="str">
        <f>HYPERLINK("https://www.google.com/maps/search/?api=1&amp;query=24.72485281,46.81306006", "View Map")</f>
        <v>View Map</v>
      </c>
    </row>
    <row r="5502" spans="1:7" x14ac:dyDescent="0.3">
      <c r="A5502" t="s">
        <v>146</v>
      </c>
      <c r="B5502" t="s">
        <v>9364</v>
      </c>
      <c r="C5502" t="s">
        <v>8</v>
      </c>
      <c r="D5502">
        <v>1.9890000000000001</v>
      </c>
      <c r="E5502">
        <v>636</v>
      </c>
      <c r="F5502" t="str">
        <f>HYPERLINK("https://www.google.com/maps/search/?api=1&amp;query=24.55985924,46.68000616", "View Map")</f>
        <v>View Map</v>
      </c>
    </row>
    <row r="5503" spans="1:7" x14ac:dyDescent="0.3">
      <c r="A5503" t="s">
        <v>1273</v>
      </c>
      <c r="B5503" t="s">
        <v>9839</v>
      </c>
      <c r="C5503" t="s">
        <v>241</v>
      </c>
      <c r="D5503">
        <v>1.988</v>
      </c>
      <c r="E5503">
        <v>636</v>
      </c>
      <c r="F5503" t="str">
        <f>HYPERLINK("https://www.google.com/maps/search/?api=1&amp;query=20.48888519,44.69203228", "View Map")</f>
        <v>View Map</v>
      </c>
      <c r="G5503" s="2">
        <v>0.43116655591544878</v>
      </c>
    </row>
    <row r="5504" spans="1:7" x14ac:dyDescent="0.3">
      <c r="A5504" t="s">
        <v>12018</v>
      </c>
      <c r="B5504" t="s">
        <v>12019</v>
      </c>
      <c r="C5504" t="s">
        <v>8</v>
      </c>
      <c r="D5504">
        <v>1.988</v>
      </c>
      <c r="E5504">
        <v>636</v>
      </c>
      <c r="F5504" t="str">
        <f>HYPERLINK("https://www.google.com/maps/search/?api=1&amp;query=24.64306071,46.66530391", "View Map")</f>
        <v>View Map</v>
      </c>
    </row>
    <row r="5505" spans="1:7" x14ac:dyDescent="0.3">
      <c r="A5505" t="s">
        <v>28</v>
      </c>
      <c r="B5505" t="s">
        <v>12020</v>
      </c>
      <c r="C5505" t="s">
        <v>270</v>
      </c>
      <c r="D5505">
        <v>1.9870000000000001</v>
      </c>
      <c r="E5505">
        <v>636</v>
      </c>
      <c r="F5505" t="str">
        <f>HYPERLINK("https://www.google.com/maps/search/?api=1&amp;query=23.62063024,47.08950687", "View Map")</f>
        <v>View Map</v>
      </c>
    </row>
    <row r="5506" spans="1:7" x14ac:dyDescent="0.3">
      <c r="A5506" t="s">
        <v>12021</v>
      </c>
      <c r="B5506" t="s">
        <v>12022</v>
      </c>
      <c r="C5506" t="s">
        <v>16</v>
      </c>
      <c r="D5506">
        <v>1.9870000000000001</v>
      </c>
      <c r="E5506">
        <v>636</v>
      </c>
      <c r="F5506" t="str">
        <f>HYPERLINK("https://www.google.com/maps/search/?api=1&amp;query=23.95449795,43.33237983", "View Map")</f>
        <v>View Map</v>
      </c>
      <c r="G5506" s="2">
        <v>0.7064612646098628</v>
      </c>
    </row>
    <row r="5507" spans="1:7" x14ac:dyDescent="0.3">
      <c r="A5507" t="s">
        <v>10970</v>
      </c>
      <c r="B5507" t="s">
        <v>10971</v>
      </c>
      <c r="C5507" t="s">
        <v>8</v>
      </c>
      <c r="D5507">
        <v>1.9870000000000001</v>
      </c>
      <c r="E5507">
        <v>636</v>
      </c>
      <c r="F5507" t="str">
        <f>HYPERLINK("https://www.google.com/maps/search/?api=1&amp;query=24.61469433,46.63366182", "View Map")</f>
        <v>View Map</v>
      </c>
    </row>
    <row r="5508" spans="1:7" x14ac:dyDescent="0.3">
      <c r="A5508" t="s">
        <v>661</v>
      </c>
      <c r="B5508" t="s">
        <v>11203</v>
      </c>
      <c r="C5508" t="s">
        <v>214</v>
      </c>
      <c r="D5508">
        <v>1.9870000000000001</v>
      </c>
      <c r="E5508">
        <v>636</v>
      </c>
      <c r="F5508" t="str">
        <f>HYPERLINK("https://www.google.com/maps/search/?api=1&amp;query=25.70290708,45.45487016", "View Map")</f>
        <v>View Map</v>
      </c>
      <c r="G5508" s="2">
        <v>0.69607828330395283</v>
      </c>
    </row>
    <row r="5509" spans="1:7" x14ac:dyDescent="0.3">
      <c r="A5509" t="s">
        <v>10191</v>
      </c>
      <c r="B5509" t="s">
        <v>10192</v>
      </c>
      <c r="C5509" t="s">
        <v>8</v>
      </c>
      <c r="D5509">
        <v>1.9870000000000001</v>
      </c>
      <c r="E5509">
        <v>636</v>
      </c>
      <c r="F5509" t="str">
        <f>HYPERLINK("https://www.google.com/maps/search/?api=1&amp;query=24.64554442,46.56415336", "View Map")</f>
        <v>View Map</v>
      </c>
    </row>
    <row r="5510" spans="1:7" x14ac:dyDescent="0.3">
      <c r="A5510" t="s">
        <v>6490</v>
      </c>
      <c r="B5510" t="s">
        <v>6491</v>
      </c>
      <c r="C5510" t="s">
        <v>8</v>
      </c>
      <c r="D5510">
        <v>1.986</v>
      </c>
      <c r="E5510">
        <v>635</v>
      </c>
      <c r="F5510" t="str">
        <f>HYPERLINK("https://www.google.com/maps/search/?api=1&amp;query=24.65022931,46.8142481", "View Map")</f>
        <v>View Map</v>
      </c>
      <c r="G5510" s="2">
        <v>0.28845570771447337</v>
      </c>
    </row>
    <row r="5511" spans="1:7" x14ac:dyDescent="0.3">
      <c r="A5511" t="s">
        <v>10669</v>
      </c>
      <c r="B5511" t="s">
        <v>10670</v>
      </c>
      <c r="C5511" t="s">
        <v>393</v>
      </c>
      <c r="D5511">
        <v>1.9850000000000001</v>
      </c>
      <c r="E5511">
        <v>635</v>
      </c>
      <c r="F5511" t="str">
        <f>HYPERLINK("https://www.google.com/maps/search/?api=1&amp;query=23.42290009,45.24655084", "View Map")</f>
        <v>View Map</v>
      </c>
      <c r="G5511" s="2">
        <v>0.87325703350470585</v>
      </c>
    </row>
    <row r="5512" spans="1:7" x14ac:dyDescent="0.3">
      <c r="A5512" t="s">
        <v>9345</v>
      </c>
      <c r="B5512" t="s">
        <v>9346</v>
      </c>
      <c r="C5512" t="s">
        <v>8</v>
      </c>
      <c r="D5512">
        <v>1.9850000000000001</v>
      </c>
      <c r="E5512">
        <v>635</v>
      </c>
      <c r="F5512" t="str">
        <f>HYPERLINK("https://www.google.com/maps/search/?api=1&amp;query=24.63917976,46.6589951", "View Map")</f>
        <v>View Map</v>
      </c>
    </row>
    <row r="5513" spans="1:7" x14ac:dyDescent="0.3">
      <c r="A5513" t="s">
        <v>146</v>
      </c>
      <c r="B5513" t="s">
        <v>10903</v>
      </c>
      <c r="C5513" t="s">
        <v>8</v>
      </c>
      <c r="D5513">
        <v>1.9850000000000001</v>
      </c>
      <c r="E5513">
        <v>635</v>
      </c>
      <c r="F5513" t="str">
        <f>HYPERLINK("https://www.google.com/maps/search/?api=1&amp;query=24.55363955,46.6674507", "View Map")</f>
        <v>View Map</v>
      </c>
    </row>
    <row r="5514" spans="1:7" x14ac:dyDescent="0.3">
      <c r="A5514" t="s">
        <v>7535</v>
      </c>
      <c r="B5514" t="s">
        <v>7536</v>
      </c>
      <c r="C5514" t="s">
        <v>8</v>
      </c>
      <c r="D5514">
        <v>1.984</v>
      </c>
      <c r="E5514">
        <v>635</v>
      </c>
      <c r="F5514" t="str">
        <f>HYPERLINK("https://www.google.com/maps/search/?api=1&amp;query=24.59827896,46.80672086", "View Map")</f>
        <v>View Map</v>
      </c>
    </row>
    <row r="5515" spans="1:7" x14ac:dyDescent="0.3">
      <c r="A5515" t="s">
        <v>9894</v>
      </c>
      <c r="B5515" t="s">
        <v>9895</v>
      </c>
      <c r="C5515" t="s">
        <v>8</v>
      </c>
      <c r="D5515">
        <v>1.984</v>
      </c>
      <c r="E5515">
        <v>635</v>
      </c>
      <c r="F5515" t="str">
        <f>HYPERLINK("https://www.google.com/maps/search/?api=1&amp;query=24.74006077,46.8114395", "View Map")</f>
        <v>View Map</v>
      </c>
    </row>
    <row r="5516" spans="1:7" x14ac:dyDescent="0.3">
      <c r="A5516" t="s">
        <v>150</v>
      </c>
      <c r="B5516" t="s">
        <v>12023</v>
      </c>
      <c r="C5516" t="s">
        <v>8</v>
      </c>
      <c r="D5516">
        <v>1.984</v>
      </c>
      <c r="E5516">
        <v>635</v>
      </c>
      <c r="F5516" t="str">
        <f>HYPERLINK("https://www.google.com/maps/search/?api=1&amp;query=24.78380468,46.78335339", "View Map")</f>
        <v>View Map</v>
      </c>
    </row>
    <row r="5517" spans="1:7" x14ac:dyDescent="0.3">
      <c r="A5517" t="s">
        <v>12024</v>
      </c>
      <c r="B5517" t="s">
        <v>12025</v>
      </c>
      <c r="C5517" t="s">
        <v>8</v>
      </c>
      <c r="D5517">
        <v>1.9830000000000001</v>
      </c>
      <c r="E5517">
        <v>635</v>
      </c>
      <c r="F5517" t="str">
        <f>HYPERLINK("https://www.google.com/maps/search/?api=1&amp;query=24.55158167,46.71452856", "View Map")</f>
        <v>View Map</v>
      </c>
    </row>
    <row r="5518" spans="1:7" x14ac:dyDescent="0.3">
      <c r="A5518" t="s">
        <v>9499</v>
      </c>
      <c r="B5518" t="s">
        <v>9500</v>
      </c>
      <c r="C5518" t="s">
        <v>214</v>
      </c>
      <c r="D5518">
        <v>1.982</v>
      </c>
      <c r="E5518">
        <v>634</v>
      </c>
      <c r="F5518" t="str">
        <f>HYPERLINK("https://www.google.com/maps/search/?api=1&amp;query=25.62276427,45.57911103", "View Map")</f>
        <v>View Map</v>
      </c>
      <c r="G5518" s="2">
        <v>0.52177922857931158</v>
      </c>
    </row>
    <row r="5519" spans="1:7" x14ac:dyDescent="0.3">
      <c r="A5519" t="s">
        <v>6521</v>
      </c>
      <c r="B5519" t="s">
        <v>6522</v>
      </c>
      <c r="C5519" t="s">
        <v>8</v>
      </c>
      <c r="D5519">
        <v>1.982</v>
      </c>
      <c r="E5519">
        <v>634</v>
      </c>
      <c r="F5519" t="str">
        <f>HYPERLINK("https://www.google.com/maps/search/?api=1&amp;query=24.59919575,46.70633397", "View Map")</f>
        <v>View Map</v>
      </c>
    </row>
    <row r="5520" spans="1:7" x14ac:dyDescent="0.3">
      <c r="A5520" t="s">
        <v>5081</v>
      </c>
      <c r="B5520" t="s">
        <v>5082</v>
      </c>
      <c r="C5520" t="s">
        <v>8</v>
      </c>
      <c r="D5520">
        <v>1.982</v>
      </c>
      <c r="E5520">
        <v>634</v>
      </c>
      <c r="F5520" t="str">
        <f>HYPERLINK("https://www.google.com/maps/search/?api=1&amp;query=24.55682018,46.76230524", "View Map")</f>
        <v>View Map</v>
      </c>
    </row>
    <row r="5521" spans="1:7" x14ac:dyDescent="0.3">
      <c r="A5521" t="s">
        <v>10607</v>
      </c>
      <c r="B5521" t="s">
        <v>10608</v>
      </c>
      <c r="C5521" t="s">
        <v>137</v>
      </c>
      <c r="D5521">
        <v>1.982</v>
      </c>
      <c r="E5521">
        <v>634</v>
      </c>
      <c r="F5521" t="str">
        <f>HYPERLINK("https://www.google.com/maps/search/?api=1&amp;query=23.21855787,46.39507388", "View Map")</f>
        <v>View Map</v>
      </c>
      <c r="G5521" s="2">
        <v>0.89707664120026298</v>
      </c>
    </row>
    <row r="5522" spans="1:7" x14ac:dyDescent="0.3">
      <c r="A5522" t="s">
        <v>661</v>
      </c>
      <c r="B5522" t="s">
        <v>10127</v>
      </c>
      <c r="C5522" t="s">
        <v>214</v>
      </c>
      <c r="D5522">
        <v>1.982</v>
      </c>
      <c r="E5522">
        <v>634</v>
      </c>
      <c r="F5522" t="str">
        <f>HYPERLINK("https://www.google.com/maps/search/?api=1&amp;query=25.70290708,45.45487016", "View Map")</f>
        <v>View Map</v>
      </c>
      <c r="G5522" s="2">
        <v>0.45342367120661919</v>
      </c>
    </row>
    <row r="5523" spans="1:7" x14ac:dyDescent="0.3">
      <c r="A5523" t="s">
        <v>3851</v>
      </c>
      <c r="B5523" t="s">
        <v>3852</v>
      </c>
      <c r="C5523" t="s">
        <v>55</v>
      </c>
      <c r="D5523">
        <v>1.982</v>
      </c>
      <c r="E5523">
        <v>634</v>
      </c>
      <c r="F5523" t="str">
        <f>HYPERLINK("https://www.google.com/maps/search/?api=1&amp;query=24.7462698,46.58998719", "View Map")</f>
        <v>View Map</v>
      </c>
    </row>
    <row r="5524" spans="1:7" x14ac:dyDescent="0.3">
      <c r="A5524" t="s">
        <v>1594</v>
      </c>
      <c r="B5524" t="s">
        <v>12026</v>
      </c>
      <c r="C5524" t="s">
        <v>296</v>
      </c>
      <c r="D5524">
        <v>1.982</v>
      </c>
      <c r="E5524">
        <v>634</v>
      </c>
      <c r="F5524" t="str">
        <f>HYPERLINK("https://www.google.com/maps/search/?api=1&amp;query=24.42474324,46.28534467", "View Map")</f>
        <v>View Map</v>
      </c>
    </row>
    <row r="5525" spans="1:7" x14ac:dyDescent="0.3">
      <c r="A5525" t="s">
        <v>3735</v>
      </c>
      <c r="B5525" t="s">
        <v>8319</v>
      </c>
      <c r="C5525" t="s">
        <v>255</v>
      </c>
      <c r="D5525">
        <v>1.9810000000000001</v>
      </c>
      <c r="E5525">
        <v>634</v>
      </c>
      <c r="F5525" t="str">
        <f>HYPERLINK("https://www.google.com/maps/search/?api=1&amp;query=25.17430785,44.60339883", "View Map")</f>
        <v>View Map</v>
      </c>
      <c r="G5525" s="2">
        <v>0.53091381961405515</v>
      </c>
    </row>
    <row r="5526" spans="1:7" x14ac:dyDescent="0.3">
      <c r="A5526" t="s">
        <v>10389</v>
      </c>
      <c r="B5526" t="s">
        <v>10390</v>
      </c>
      <c r="C5526" t="s">
        <v>30</v>
      </c>
      <c r="D5526">
        <v>1.9810000000000001</v>
      </c>
      <c r="E5526">
        <v>634</v>
      </c>
      <c r="F5526" t="str">
        <f>HYPERLINK("https://www.google.com/maps/search/?api=1&amp;query=24.16462939,47.23568308", "View Map")</f>
        <v>View Map</v>
      </c>
    </row>
    <row r="5527" spans="1:7" x14ac:dyDescent="0.3">
      <c r="A5527" t="s">
        <v>9303</v>
      </c>
      <c r="B5527" t="s">
        <v>9304</v>
      </c>
      <c r="C5527" t="s">
        <v>241</v>
      </c>
      <c r="D5527">
        <v>1.98</v>
      </c>
      <c r="E5527">
        <v>633</v>
      </c>
      <c r="F5527" t="str">
        <f>HYPERLINK("https://www.google.com/maps/search/?api=1&amp;query=20.45686512,44.81636819", "View Map")</f>
        <v>View Map</v>
      </c>
      <c r="G5527" s="2">
        <v>0.6207854017918546</v>
      </c>
    </row>
    <row r="5528" spans="1:7" x14ac:dyDescent="0.3">
      <c r="A5528" t="s">
        <v>12027</v>
      </c>
      <c r="B5528" t="s">
        <v>12028</v>
      </c>
      <c r="C5528" t="s">
        <v>255</v>
      </c>
      <c r="D5528">
        <v>1.98</v>
      </c>
      <c r="E5528">
        <v>634</v>
      </c>
      <c r="F5528" t="str">
        <f>HYPERLINK("https://www.google.com/maps/search/?api=1&amp;query=25.37620098,44.49604618", "View Map")</f>
        <v>View Map</v>
      </c>
    </row>
    <row r="5529" spans="1:7" x14ac:dyDescent="0.3">
      <c r="A5529" t="s">
        <v>46</v>
      </c>
      <c r="B5529" t="s">
        <v>6589</v>
      </c>
      <c r="C5529" t="s">
        <v>8</v>
      </c>
      <c r="D5529">
        <v>1.98</v>
      </c>
      <c r="E5529">
        <v>634</v>
      </c>
      <c r="F5529" t="str">
        <f>HYPERLINK("https://www.google.com/maps/search/?api=1&amp;query=24.55498659,46.77619899", "View Map")</f>
        <v>View Map</v>
      </c>
    </row>
    <row r="5530" spans="1:7" x14ac:dyDescent="0.3">
      <c r="A5530" t="s">
        <v>73</v>
      </c>
      <c r="B5530" t="s">
        <v>10604</v>
      </c>
      <c r="C5530" t="s">
        <v>8</v>
      </c>
      <c r="D5530">
        <v>1.98</v>
      </c>
      <c r="E5530">
        <v>633</v>
      </c>
      <c r="F5530" t="str">
        <f>HYPERLINK("https://www.google.com/maps/search/?api=1&amp;query=24.86887756,46.64484574", "View Map")</f>
        <v>View Map</v>
      </c>
    </row>
    <row r="5531" spans="1:7" x14ac:dyDescent="0.3">
      <c r="A5531" t="s">
        <v>46</v>
      </c>
      <c r="B5531" t="s">
        <v>7872</v>
      </c>
      <c r="C5531" t="s">
        <v>8</v>
      </c>
      <c r="D5531">
        <v>1.9790000000000001</v>
      </c>
      <c r="E5531">
        <v>633</v>
      </c>
      <c r="F5531" t="str">
        <f>HYPERLINK("https://www.google.com/maps/search/?api=1&amp;query=24.83315314,46.78689177", "View Map")</f>
        <v>View Map</v>
      </c>
    </row>
    <row r="5532" spans="1:7" x14ac:dyDescent="0.3">
      <c r="A5532" t="s">
        <v>12029</v>
      </c>
      <c r="B5532" t="s">
        <v>12030</v>
      </c>
      <c r="C5532" t="s">
        <v>291</v>
      </c>
      <c r="D5532">
        <v>1.9790000000000001</v>
      </c>
      <c r="E5532">
        <v>633</v>
      </c>
      <c r="F5532" t="str">
        <f>HYPERLINK("https://www.google.com/maps/search/?api=1&amp;query=23.77203431,45.08441392", "View Map")</f>
        <v>View Map</v>
      </c>
      <c r="G5532" s="2">
        <v>0.68481407708647468</v>
      </c>
    </row>
    <row r="5533" spans="1:7" x14ac:dyDescent="0.3">
      <c r="A5533" t="s">
        <v>12031</v>
      </c>
      <c r="B5533" t="s">
        <v>12032</v>
      </c>
      <c r="C5533" t="s">
        <v>255</v>
      </c>
      <c r="D5533">
        <v>1.9790000000000001</v>
      </c>
      <c r="E5533">
        <v>633</v>
      </c>
      <c r="F5533" t="str">
        <f>HYPERLINK("https://www.google.com/maps/search/?api=1&amp;query=25.45528222,44.43867455", "View Map")</f>
        <v>View Map</v>
      </c>
      <c r="G5533" s="2">
        <v>0.47013401414147321</v>
      </c>
    </row>
    <row r="5534" spans="1:7" x14ac:dyDescent="0.3">
      <c r="A5534" t="s">
        <v>12033</v>
      </c>
      <c r="B5534" t="s">
        <v>12034</v>
      </c>
      <c r="C5534" t="s">
        <v>8</v>
      </c>
      <c r="D5534">
        <v>1.9790000000000001</v>
      </c>
      <c r="E5534">
        <v>633</v>
      </c>
      <c r="F5534" t="str">
        <f>HYPERLINK("https://www.google.com/maps/search/?api=1&amp;query=24.5672239,46.85127791", "View Map")</f>
        <v>View Map</v>
      </c>
    </row>
    <row r="5535" spans="1:7" x14ac:dyDescent="0.3">
      <c r="A5535" t="s">
        <v>12035</v>
      </c>
      <c r="B5535" t="s">
        <v>12036</v>
      </c>
      <c r="C5535" t="s">
        <v>8</v>
      </c>
      <c r="D5535">
        <v>1.978</v>
      </c>
      <c r="E5535">
        <v>633</v>
      </c>
      <c r="F5535" t="str">
        <f>HYPERLINK("https://www.google.com/maps/search/?api=1&amp;query=24.64497799,46.89102403", "View Map")</f>
        <v>View Map</v>
      </c>
    </row>
    <row r="5536" spans="1:7" x14ac:dyDescent="0.3">
      <c r="A5536" t="s">
        <v>10871</v>
      </c>
      <c r="B5536" t="s">
        <v>10872</v>
      </c>
      <c r="C5536" t="s">
        <v>8</v>
      </c>
      <c r="D5536">
        <v>1.978</v>
      </c>
      <c r="E5536">
        <v>633</v>
      </c>
      <c r="F5536" t="str">
        <f>HYPERLINK("https://www.google.com/maps/search/?api=1&amp;query=24.77862528,46.83270117", "View Map")</f>
        <v>View Map</v>
      </c>
    </row>
    <row r="5537" spans="1:7" x14ac:dyDescent="0.3">
      <c r="A5537" t="s">
        <v>12037</v>
      </c>
      <c r="B5537" t="s">
        <v>12038</v>
      </c>
      <c r="C5537" t="s">
        <v>255</v>
      </c>
      <c r="D5537">
        <v>1.978</v>
      </c>
      <c r="E5537">
        <v>633</v>
      </c>
      <c r="F5537" t="str">
        <f>HYPERLINK("https://www.google.com/maps/search/?api=1&amp;query=24.71006592,44.29490944", "View Map")</f>
        <v>View Map</v>
      </c>
    </row>
    <row r="5538" spans="1:7" x14ac:dyDescent="0.3">
      <c r="A5538" t="s">
        <v>678</v>
      </c>
      <c r="B5538" t="s">
        <v>10239</v>
      </c>
      <c r="C5538" t="s">
        <v>21</v>
      </c>
      <c r="D5538">
        <v>1.9770000000000001</v>
      </c>
      <c r="E5538">
        <v>633</v>
      </c>
      <c r="F5538" t="str">
        <f>HYPERLINK("https://www.google.com/maps/search/?api=1&amp;query=26.31179001,44.89703433", "View Map")</f>
        <v>View Map</v>
      </c>
      <c r="G5538" s="2">
        <v>0.77761371522513445</v>
      </c>
    </row>
    <row r="5539" spans="1:7" x14ac:dyDescent="0.3">
      <c r="A5539" t="s">
        <v>10104</v>
      </c>
      <c r="B5539" t="s">
        <v>10105</v>
      </c>
      <c r="C5539" t="s">
        <v>21</v>
      </c>
      <c r="D5539">
        <v>1.9770000000000001</v>
      </c>
      <c r="E5539">
        <v>633</v>
      </c>
      <c r="F5539" t="str">
        <f>HYPERLINK("https://www.google.com/maps/search/?api=1&amp;query=26.26531803,44.8064033", "View Map")</f>
        <v>View Map</v>
      </c>
      <c r="G5539" s="2">
        <v>0.66503017103503792</v>
      </c>
    </row>
    <row r="5540" spans="1:7" x14ac:dyDescent="0.3">
      <c r="A5540" t="s">
        <v>5013</v>
      </c>
      <c r="B5540" t="s">
        <v>5014</v>
      </c>
      <c r="C5540" t="s">
        <v>8</v>
      </c>
      <c r="D5540">
        <v>1.9770000000000001</v>
      </c>
      <c r="E5540">
        <v>633</v>
      </c>
      <c r="F5540" t="str">
        <f>HYPERLINK("https://www.google.com/maps/search/?api=1&amp;query=24.66032098,46.73144275", "View Map")</f>
        <v>View Map</v>
      </c>
    </row>
    <row r="5541" spans="1:7" x14ac:dyDescent="0.3">
      <c r="A5541" t="s">
        <v>4206</v>
      </c>
      <c r="B5541" t="s">
        <v>12039</v>
      </c>
      <c r="C5541" t="s">
        <v>255</v>
      </c>
      <c r="D5541">
        <v>1.976</v>
      </c>
      <c r="E5541">
        <v>632</v>
      </c>
      <c r="F5541" t="str">
        <f>HYPERLINK("https://www.google.com/maps/search/?api=1&amp;query=24.95896955,43.50850016", "View Map")</f>
        <v>View Map</v>
      </c>
      <c r="G5541" s="2">
        <v>0.99878055345823213</v>
      </c>
    </row>
    <row r="5542" spans="1:7" x14ac:dyDescent="0.3">
      <c r="A5542" t="s">
        <v>9936</v>
      </c>
      <c r="B5542" t="s">
        <v>9937</v>
      </c>
      <c r="C5542" t="s">
        <v>291</v>
      </c>
      <c r="D5542">
        <v>1.9750000000000001</v>
      </c>
      <c r="E5542">
        <v>632</v>
      </c>
      <c r="F5542" t="str">
        <f>HYPERLINK("https://www.google.com/maps/search/?api=1&amp;query=23.66821,44.73170167", "View Map")</f>
        <v>View Map</v>
      </c>
      <c r="G5542" s="2">
        <v>0.81042858508494509</v>
      </c>
    </row>
    <row r="5543" spans="1:7" x14ac:dyDescent="0.3">
      <c r="A5543" t="s">
        <v>12040</v>
      </c>
      <c r="B5543" t="s">
        <v>12041</v>
      </c>
      <c r="C5543" t="s">
        <v>286</v>
      </c>
      <c r="D5543">
        <v>1.9750000000000001</v>
      </c>
      <c r="E5543">
        <v>632</v>
      </c>
      <c r="F5543" t="str">
        <f>HYPERLINK("https://www.google.com/maps/search/?api=1&amp;query=25.22567279,45.25661198", "View Map")</f>
        <v>View Map</v>
      </c>
    </row>
    <row r="5544" spans="1:7" x14ac:dyDescent="0.3">
      <c r="A5544" t="s">
        <v>8283</v>
      </c>
      <c r="B5544" t="s">
        <v>8284</v>
      </c>
      <c r="C5544" t="s">
        <v>21</v>
      </c>
      <c r="D5544">
        <v>1.974</v>
      </c>
      <c r="E5544">
        <v>632</v>
      </c>
      <c r="F5544" t="str">
        <f>HYPERLINK("https://www.google.com/maps/search/?api=1&amp;query=26.29066099,44.81886981", "View Map")</f>
        <v>View Map</v>
      </c>
      <c r="G5544" s="2">
        <v>0.40681352117589242</v>
      </c>
    </row>
    <row r="5545" spans="1:7" x14ac:dyDescent="0.3">
      <c r="A5545" t="s">
        <v>12042</v>
      </c>
      <c r="B5545" t="s">
        <v>12043</v>
      </c>
      <c r="C5545" t="s">
        <v>255</v>
      </c>
      <c r="D5545">
        <v>1.974</v>
      </c>
      <c r="E5545">
        <v>632</v>
      </c>
      <c r="F5545" t="str">
        <f>HYPERLINK("https://www.google.com/maps/search/?api=1&amp;query=24.628415,43.536805", "View Map")</f>
        <v>View Map</v>
      </c>
      <c r="G5545" s="2">
        <v>0.92499158145899718</v>
      </c>
    </row>
    <row r="5546" spans="1:7" x14ac:dyDescent="0.3">
      <c r="A5546" t="s">
        <v>10705</v>
      </c>
      <c r="B5546" t="s">
        <v>10706</v>
      </c>
      <c r="C5546" t="s">
        <v>8</v>
      </c>
      <c r="D5546">
        <v>1.974</v>
      </c>
      <c r="E5546">
        <v>632</v>
      </c>
      <c r="F5546" t="str">
        <f>HYPERLINK("https://www.google.com/maps/search/?api=1&amp;query=24.586637,46.60297669", "View Map")</f>
        <v>View Map</v>
      </c>
    </row>
    <row r="5547" spans="1:7" x14ac:dyDescent="0.3">
      <c r="A5547" t="s">
        <v>8590</v>
      </c>
      <c r="B5547" t="s">
        <v>8591</v>
      </c>
      <c r="C5547" t="s">
        <v>8</v>
      </c>
      <c r="D5547">
        <v>1.974</v>
      </c>
      <c r="E5547">
        <v>632</v>
      </c>
      <c r="F5547" t="str">
        <f>HYPERLINK("https://www.google.com/maps/search/?api=1&amp;query=24.74932422,46.79804212", "View Map")</f>
        <v>View Map</v>
      </c>
    </row>
    <row r="5548" spans="1:7" x14ac:dyDescent="0.3">
      <c r="A5548" t="s">
        <v>7598</v>
      </c>
      <c r="B5548" t="s">
        <v>7599</v>
      </c>
      <c r="C5548" t="s">
        <v>214</v>
      </c>
      <c r="D5548">
        <v>1.974</v>
      </c>
      <c r="E5548">
        <v>632</v>
      </c>
      <c r="F5548" t="str">
        <f>HYPERLINK("https://www.google.com/maps/search/?api=1&amp;query=25.90981806,45.37935646", "View Map")</f>
        <v>View Map</v>
      </c>
      <c r="G5548" s="2">
        <v>0.33616303440017897</v>
      </c>
    </row>
    <row r="5549" spans="1:7" x14ac:dyDescent="0.3">
      <c r="A5549" t="s">
        <v>12044</v>
      </c>
      <c r="B5549" t="s">
        <v>12045</v>
      </c>
      <c r="C5549" t="s">
        <v>8</v>
      </c>
      <c r="D5549">
        <v>1.974</v>
      </c>
      <c r="E5549">
        <v>632</v>
      </c>
      <c r="F5549" t="str">
        <f>HYPERLINK("https://www.google.com/maps/search/?api=1&amp;query=24.58369751,46.53002834", "View Map")</f>
        <v>View Map</v>
      </c>
    </row>
    <row r="5550" spans="1:7" x14ac:dyDescent="0.3">
      <c r="A5550" t="s">
        <v>1545</v>
      </c>
      <c r="B5550" t="s">
        <v>1546</v>
      </c>
      <c r="C5550" t="s">
        <v>883</v>
      </c>
      <c r="D5550">
        <v>1.9730000000000001</v>
      </c>
      <c r="E5550">
        <v>631</v>
      </c>
      <c r="F5550" t="str">
        <f>HYPERLINK("https://www.google.com/maps/search/?api=1&amp;query=25.55604028,47.16852591", "View Map")</f>
        <v>View Map</v>
      </c>
    </row>
    <row r="5551" spans="1:7" x14ac:dyDescent="0.3">
      <c r="A5551" t="s">
        <v>12046</v>
      </c>
      <c r="B5551" t="s">
        <v>12047</v>
      </c>
      <c r="C5551" t="s">
        <v>255</v>
      </c>
      <c r="D5551">
        <v>1.9730000000000001</v>
      </c>
      <c r="E5551">
        <v>631</v>
      </c>
      <c r="F5551" t="str">
        <f>HYPERLINK("https://www.google.com/maps/search/?api=1&amp;query=25.26435604,44.20173707", "View Map")</f>
        <v>View Map</v>
      </c>
    </row>
    <row r="5552" spans="1:7" x14ac:dyDescent="0.3">
      <c r="A5552" t="s">
        <v>380</v>
      </c>
      <c r="B5552" t="s">
        <v>9077</v>
      </c>
      <c r="C5552" t="s">
        <v>214</v>
      </c>
      <c r="D5552">
        <v>1.9730000000000001</v>
      </c>
      <c r="E5552">
        <v>631</v>
      </c>
      <c r="F5552" t="str">
        <f>HYPERLINK("https://www.google.com/maps/search/?api=1&amp;query=25.72594937,45.85654285", "View Map")</f>
        <v>View Map</v>
      </c>
      <c r="G5552" s="2">
        <v>0.58973241065027782</v>
      </c>
    </row>
    <row r="5553" spans="1:7" x14ac:dyDescent="0.3">
      <c r="A5553" t="s">
        <v>146</v>
      </c>
      <c r="B5553" t="s">
        <v>8809</v>
      </c>
      <c r="C5553" t="s">
        <v>8</v>
      </c>
      <c r="D5553">
        <v>1.9730000000000001</v>
      </c>
      <c r="E5553">
        <v>631</v>
      </c>
      <c r="F5553" t="str">
        <f>HYPERLINK("https://www.google.com/maps/search/?api=1&amp;query=24.51113535,46.68455253", "View Map")</f>
        <v>View Map</v>
      </c>
    </row>
    <row r="5554" spans="1:7" x14ac:dyDescent="0.3">
      <c r="A5554" t="s">
        <v>6983</v>
      </c>
      <c r="B5554" t="s">
        <v>6984</v>
      </c>
      <c r="C5554" t="s">
        <v>8</v>
      </c>
      <c r="D5554">
        <v>1.9730000000000001</v>
      </c>
      <c r="E5554">
        <v>631</v>
      </c>
      <c r="F5554" t="str">
        <f>HYPERLINK("https://www.google.com/maps/search/?api=1&amp;query=24.55940824,46.79504868", "View Map")</f>
        <v>View Map</v>
      </c>
    </row>
    <row r="5555" spans="1:7" x14ac:dyDescent="0.3">
      <c r="A5555" t="s">
        <v>12048</v>
      </c>
      <c r="B5555" t="s">
        <v>12049</v>
      </c>
      <c r="C5555" t="s">
        <v>393</v>
      </c>
      <c r="D5555">
        <v>1.972</v>
      </c>
      <c r="E5555">
        <v>631</v>
      </c>
      <c r="F5555" t="str">
        <f>HYPERLINK("https://www.google.com/maps/search/?api=1&amp;query=23.57364328,45.57998079", "View Map")</f>
        <v>View Map</v>
      </c>
      <c r="G5555" s="2">
        <v>0.41532054326579898</v>
      </c>
    </row>
    <row r="5556" spans="1:7" x14ac:dyDescent="0.3">
      <c r="A5556" t="s">
        <v>10767</v>
      </c>
      <c r="B5556" t="s">
        <v>10768</v>
      </c>
      <c r="C5556" t="s">
        <v>137</v>
      </c>
      <c r="D5556">
        <v>1.972</v>
      </c>
      <c r="E5556">
        <v>631</v>
      </c>
      <c r="F5556" t="str">
        <f>HYPERLINK("https://www.google.com/maps/search/?api=1&amp;query=23.50716738,46.87351365", "View Map")</f>
        <v>View Map</v>
      </c>
    </row>
    <row r="5557" spans="1:7" x14ac:dyDescent="0.3">
      <c r="A5557" t="s">
        <v>7985</v>
      </c>
      <c r="B5557" t="s">
        <v>7986</v>
      </c>
      <c r="C5557" t="s">
        <v>8</v>
      </c>
      <c r="D5557">
        <v>1.972</v>
      </c>
      <c r="E5557">
        <v>631</v>
      </c>
      <c r="F5557" t="str">
        <f>HYPERLINK("https://www.google.com/maps/search/?api=1&amp;query=24.55243836,46.69424138", "View Map")</f>
        <v>View Map</v>
      </c>
    </row>
    <row r="5558" spans="1:7" x14ac:dyDescent="0.3">
      <c r="A5558" t="s">
        <v>1639</v>
      </c>
      <c r="B5558" t="s">
        <v>12050</v>
      </c>
      <c r="C5558" t="s">
        <v>8</v>
      </c>
      <c r="D5558">
        <v>1.9710000000000001</v>
      </c>
      <c r="E5558">
        <v>631</v>
      </c>
      <c r="F5558" t="str">
        <f>HYPERLINK("https://www.google.com/maps/search/?api=1&amp;query=24.66322901,46.79913247", "View Map")</f>
        <v>View Map</v>
      </c>
    </row>
    <row r="5559" spans="1:7" x14ac:dyDescent="0.3">
      <c r="A5559" t="s">
        <v>4220</v>
      </c>
      <c r="B5559" t="s">
        <v>7555</v>
      </c>
      <c r="C5559" t="s">
        <v>214</v>
      </c>
      <c r="D5559">
        <v>1.97</v>
      </c>
      <c r="E5559">
        <v>630</v>
      </c>
      <c r="F5559" t="str">
        <f>HYPERLINK("https://www.google.com/maps/search/?api=1&amp;query=25.69066785,45.88582793", "View Map")</f>
        <v>View Map</v>
      </c>
      <c r="G5559" s="2">
        <v>0.51327858741452581</v>
      </c>
    </row>
    <row r="5560" spans="1:7" x14ac:dyDescent="0.3">
      <c r="A5560" t="s">
        <v>6734</v>
      </c>
      <c r="B5560" t="s">
        <v>6735</v>
      </c>
      <c r="C5560" t="s">
        <v>8</v>
      </c>
      <c r="D5560">
        <v>1.9690000000000001</v>
      </c>
      <c r="E5560">
        <v>630</v>
      </c>
      <c r="F5560" t="str">
        <f>HYPERLINK("https://www.google.com/maps/search/?api=1&amp;query=24.72870018,46.68695963", "View Map")</f>
        <v>View Map</v>
      </c>
    </row>
    <row r="5561" spans="1:7" x14ac:dyDescent="0.3">
      <c r="A5561" t="s">
        <v>9535</v>
      </c>
      <c r="B5561" t="s">
        <v>9536</v>
      </c>
      <c r="C5561" t="s">
        <v>21</v>
      </c>
      <c r="D5561">
        <v>1.9690000000000001</v>
      </c>
      <c r="E5561">
        <v>630</v>
      </c>
      <c r="F5561" t="str">
        <f>HYPERLINK("https://www.google.com/maps/search/?api=1&amp;query=26.24918871,44.82070948", "View Map")</f>
        <v>View Map</v>
      </c>
      <c r="G5561" s="2">
        <v>0.58844352297020408</v>
      </c>
    </row>
    <row r="5562" spans="1:7" x14ac:dyDescent="0.3">
      <c r="A5562" t="s">
        <v>9752</v>
      </c>
      <c r="B5562" t="s">
        <v>9753</v>
      </c>
      <c r="C5562" t="s">
        <v>291</v>
      </c>
      <c r="D5562">
        <v>1.968</v>
      </c>
      <c r="E5562">
        <v>630</v>
      </c>
      <c r="F5562" t="str">
        <f>HYPERLINK("https://www.google.com/maps/search/?api=1&amp;query=24.33484622,45.80896281", "View Map")</f>
        <v>View Map</v>
      </c>
    </row>
    <row r="5563" spans="1:7" x14ac:dyDescent="0.3">
      <c r="A5563" t="s">
        <v>10773</v>
      </c>
      <c r="B5563" t="s">
        <v>10774</v>
      </c>
      <c r="C5563" t="s">
        <v>8</v>
      </c>
      <c r="D5563">
        <v>1.9670000000000001</v>
      </c>
      <c r="E5563">
        <v>629</v>
      </c>
      <c r="F5563" t="str">
        <f>HYPERLINK("https://www.google.com/maps/search/?api=1&amp;query=24.56519907,46.63798567", "View Map")</f>
        <v>View Map</v>
      </c>
    </row>
    <row r="5564" spans="1:7" x14ac:dyDescent="0.3">
      <c r="A5564" t="s">
        <v>8247</v>
      </c>
      <c r="B5564" t="s">
        <v>8248</v>
      </c>
      <c r="C5564" t="s">
        <v>8</v>
      </c>
      <c r="D5564">
        <v>1.9670000000000001</v>
      </c>
      <c r="E5564">
        <v>630</v>
      </c>
      <c r="F5564" t="str">
        <f>HYPERLINK("https://www.google.com/maps/search/?api=1&amp;query=24.70140874,46.84621653", "View Map")</f>
        <v>View Map</v>
      </c>
    </row>
    <row r="5565" spans="1:7" x14ac:dyDescent="0.3">
      <c r="A5565" t="s">
        <v>9424</v>
      </c>
      <c r="B5565" t="s">
        <v>9425</v>
      </c>
      <c r="C5565" t="s">
        <v>8</v>
      </c>
      <c r="D5565">
        <v>1.966</v>
      </c>
      <c r="E5565">
        <v>629</v>
      </c>
      <c r="F5565" t="str">
        <f>HYPERLINK("https://www.google.com/maps/search/?api=1&amp;query=24.67790019,46.81000194", "View Map")</f>
        <v>View Map</v>
      </c>
    </row>
    <row r="5566" spans="1:7" x14ac:dyDescent="0.3">
      <c r="A5566" t="s">
        <v>908</v>
      </c>
      <c r="B5566" t="s">
        <v>12051</v>
      </c>
      <c r="C5566" t="s">
        <v>8</v>
      </c>
      <c r="D5566">
        <v>1.9650000000000001</v>
      </c>
      <c r="E5566">
        <v>629</v>
      </c>
      <c r="F5566" t="str">
        <f>HYPERLINK("https://www.google.com/maps/search/?api=1&amp;query=24.53310355,46.68580712", "View Map")</f>
        <v>View Map</v>
      </c>
    </row>
    <row r="5567" spans="1:7" x14ac:dyDescent="0.3">
      <c r="A5567" t="s">
        <v>11049</v>
      </c>
      <c r="B5567" t="s">
        <v>11050</v>
      </c>
      <c r="C5567" t="s">
        <v>8</v>
      </c>
      <c r="D5567">
        <v>1.964</v>
      </c>
      <c r="E5567">
        <v>628</v>
      </c>
      <c r="F5567" t="str">
        <f>HYPERLINK("https://www.google.com/maps/search/?api=1&amp;query=24.53032821,46.7214585", "View Map")</f>
        <v>View Map</v>
      </c>
    </row>
    <row r="5568" spans="1:7" x14ac:dyDescent="0.3">
      <c r="A5568" t="s">
        <v>6719</v>
      </c>
      <c r="B5568" t="s">
        <v>6720</v>
      </c>
      <c r="C5568" t="s">
        <v>8</v>
      </c>
      <c r="D5568">
        <v>1.964</v>
      </c>
      <c r="E5568">
        <v>629</v>
      </c>
      <c r="F5568" t="str">
        <f>HYPERLINK("https://www.google.com/maps/search/?api=1&amp;query=24.63418143,46.54054422", "View Map")</f>
        <v>View Map</v>
      </c>
    </row>
    <row r="5569" spans="1:7" x14ac:dyDescent="0.3">
      <c r="A5569" t="s">
        <v>10811</v>
      </c>
      <c r="B5569" t="s">
        <v>10812</v>
      </c>
      <c r="C5569" t="s">
        <v>8</v>
      </c>
      <c r="D5569">
        <v>1.964</v>
      </c>
      <c r="E5569">
        <v>629</v>
      </c>
      <c r="F5569" t="str">
        <f>HYPERLINK("https://www.google.com/maps/search/?api=1&amp;query=24.58198291,46.59144438", "View Map")</f>
        <v>View Map</v>
      </c>
    </row>
    <row r="5570" spans="1:7" x14ac:dyDescent="0.3">
      <c r="A5570" t="s">
        <v>146</v>
      </c>
      <c r="B5570" t="s">
        <v>9347</v>
      </c>
      <c r="C5570" t="s">
        <v>8</v>
      </c>
      <c r="D5570">
        <v>1.964</v>
      </c>
      <c r="E5570">
        <v>629</v>
      </c>
      <c r="F5570" t="str">
        <f>HYPERLINK("https://www.google.com/maps/search/?api=1&amp;query=24.51399553,46.67858352", "View Map")</f>
        <v>View Map</v>
      </c>
    </row>
    <row r="5571" spans="1:7" x14ac:dyDescent="0.3">
      <c r="A5571" t="s">
        <v>9896</v>
      </c>
      <c r="B5571" t="s">
        <v>9897</v>
      </c>
      <c r="C5571" t="s">
        <v>16</v>
      </c>
      <c r="D5571">
        <v>1.9630000000000001</v>
      </c>
      <c r="E5571">
        <v>628</v>
      </c>
      <c r="F5571" t="str">
        <f>HYPERLINK("https://www.google.com/maps/search/?api=1&amp;query=23.75535513,42.89533973", "View Map")</f>
        <v>View Map</v>
      </c>
      <c r="G5571" s="2">
        <v>0.71563115305487091</v>
      </c>
    </row>
    <row r="5572" spans="1:7" x14ac:dyDescent="0.3">
      <c r="A5572" t="s">
        <v>46</v>
      </c>
      <c r="B5572" t="s">
        <v>10391</v>
      </c>
      <c r="C5572" t="s">
        <v>8</v>
      </c>
      <c r="D5572">
        <v>1.9630000000000001</v>
      </c>
      <c r="E5572">
        <v>628</v>
      </c>
      <c r="F5572" t="str">
        <f>HYPERLINK("https://www.google.com/maps/search/?api=1&amp;query=24.50799546,46.90469539", "View Map")</f>
        <v>View Map</v>
      </c>
    </row>
    <row r="5573" spans="1:7" x14ac:dyDescent="0.3">
      <c r="A5573" t="s">
        <v>12052</v>
      </c>
      <c r="B5573" t="s">
        <v>12053</v>
      </c>
      <c r="C5573" t="s">
        <v>296</v>
      </c>
      <c r="D5573">
        <v>1.962</v>
      </c>
      <c r="E5573">
        <v>628</v>
      </c>
      <c r="F5573" t="str">
        <f>HYPERLINK("https://www.google.com/maps/search/?api=1&amp;query=24.40179482,46.30334718", "View Map")</f>
        <v>View Map</v>
      </c>
      <c r="G5573" s="2">
        <v>0.64269389167014557</v>
      </c>
    </row>
    <row r="5574" spans="1:7" x14ac:dyDescent="0.3">
      <c r="A5574" t="s">
        <v>9109</v>
      </c>
      <c r="B5574" t="s">
        <v>9110</v>
      </c>
      <c r="C5574" t="s">
        <v>466</v>
      </c>
      <c r="D5574">
        <v>1.962</v>
      </c>
      <c r="E5574">
        <v>628</v>
      </c>
      <c r="F5574" t="str">
        <f>HYPERLINK("https://www.google.com/maps/search/?api=1&amp;query=24.5959729,46.12615422", "View Map")</f>
        <v>View Map</v>
      </c>
    </row>
    <row r="5575" spans="1:7" x14ac:dyDescent="0.3">
      <c r="A5575" t="s">
        <v>3656</v>
      </c>
      <c r="B5575" t="s">
        <v>3657</v>
      </c>
      <c r="C5575" t="s">
        <v>8</v>
      </c>
      <c r="D5575">
        <v>1.962</v>
      </c>
      <c r="E5575">
        <v>628</v>
      </c>
      <c r="F5575" t="str">
        <f>HYPERLINK("https://www.google.com/maps/search/?api=1&amp;query=24.71511969,46.84495574", "View Map")</f>
        <v>View Map</v>
      </c>
    </row>
    <row r="5576" spans="1:7" x14ac:dyDescent="0.3">
      <c r="A5576" t="s">
        <v>289</v>
      </c>
      <c r="B5576" t="s">
        <v>12054</v>
      </c>
      <c r="C5576" t="s">
        <v>291</v>
      </c>
      <c r="D5576">
        <v>1.962</v>
      </c>
      <c r="E5576">
        <v>628</v>
      </c>
      <c r="F5576" t="str">
        <f>HYPERLINK("https://www.google.com/maps/search/?api=1&amp;query=24.07626638,45.30074534", "View Map")</f>
        <v>View Map</v>
      </c>
      <c r="G5576" s="2">
        <v>1.0188955719826081</v>
      </c>
    </row>
    <row r="5577" spans="1:7" x14ac:dyDescent="0.3">
      <c r="A5577" t="s">
        <v>22</v>
      </c>
      <c r="B5577" t="s">
        <v>12055</v>
      </c>
      <c r="C5577" t="s">
        <v>8</v>
      </c>
      <c r="D5577">
        <v>1.9610000000000001</v>
      </c>
      <c r="E5577">
        <v>628</v>
      </c>
      <c r="F5577" t="str">
        <f>HYPERLINK("https://www.google.com/maps/search/?api=1&amp;query=24.72034708,46.84046907", "View Map")</f>
        <v>View Map</v>
      </c>
    </row>
    <row r="5578" spans="1:7" x14ac:dyDescent="0.3">
      <c r="A5578" t="s">
        <v>4208</v>
      </c>
      <c r="B5578" t="s">
        <v>8792</v>
      </c>
      <c r="C5578" t="s">
        <v>8</v>
      </c>
      <c r="D5578">
        <v>1.9610000000000001</v>
      </c>
      <c r="E5578">
        <v>627</v>
      </c>
      <c r="F5578" t="str">
        <f>HYPERLINK("https://www.google.com/maps/search/?api=1&amp;query=24.62424211,46.75374976", "View Map")</f>
        <v>View Map</v>
      </c>
    </row>
    <row r="5579" spans="1:7" x14ac:dyDescent="0.3">
      <c r="A5579" t="s">
        <v>6631</v>
      </c>
      <c r="B5579" t="s">
        <v>12056</v>
      </c>
      <c r="C5579" t="s">
        <v>8</v>
      </c>
      <c r="D5579">
        <v>1.9610000000000001</v>
      </c>
      <c r="E5579">
        <v>627</v>
      </c>
      <c r="F5579" t="str">
        <f>HYPERLINK("https://www.google.com/maps/search/?api=1&amp;query=24.81629,46.63304", "View Map")</f>
        <v>View Map</v>
      </c>
    </row>
    <row r="5580" spans="1:7" x14ac:dyDescent="0.3">
      <c r="A5580" t="s">
        <v>8597</v>
      </c>
      <c r="B5580" t="s">
        <v>8598</v>
      </c>
      <c r="C5580" t="s">
        <v>55</v>
      </c>
      <c r="D5580">
        <v>1.9610000000000001</v>
      </c>
      <c r="E5580">
        <v>627</v>
      </c>
      <c r="F5580" t="str">
        <f>HYPERLINK("https://www.google.com/maps/search/?api=1&amp;query=24.74458989,46.58083903", "View Map")</f>
        <v>View Map</v>
      </c>
    </row>
    <row r="5581" spans="1:7" x14ac:dyDescent="0.3">
      <c r="A5581" t="s">
        <v>146</v>
      </c>
      <c r="B5581" t="s">
        <v>1728</v>
      </c>
      <c r="C5581" t="s">
        <v>8</v>
      </c>
      <c r="D5581">
        <v>1.96</v>
      </c>
      <c r="E5581">
        <v>627</v>
      </c>
      <c r="F5581" t="str">
        <f>HYPERLINK("https://www.google.com/maps/search/?api=1&amp;query=24.57471172,46.71625806", "View Map")</f>
        <v>View Map</v>
      </c>
    </row>
    <row r="5582" spans="1:7" x14ac:dyDescent="0.3">
      <c r="A5582" t="s">
        <v>12057</v>
      </c>
      <c r="B5582" t="s">
        <v>12058</v>
      </c>
      <c r="C5582" t="s">
        <v>8</v>
      </c>
      <c r="D5582">
        <v>1.96</v>
      </c>
      <c r="E5582">
        <v>627</v>
      </c>
      <c r="F5582" t="str">
        <f>HYPERLINK("https://www.google.com/maps/search/?api=1&amp;query=24.55956174,46.76150347", "View Map")</f>
        <v>View Map</v>
      </c>
    </row>
    <row r="5583" spans="1:7" x14ac:dyDescent="0.3">
      <c r="A5583" t="s">
        <v>1204</v>
      </c>
      <c r="B5583" t="s">
        <v>8601</v>
      </c>
      <c r="C5583" t="s">
        <v>8</v>
      </c>
      <c r="D5583">
        <v>1.9590000000000001</v>
      </c>
      <c r="E5583">
        <v>627</v>
      </c>
      <c r="F5583" t="str">
        <f>HYPERLINK("https://www.google.com/maps/search/?api=1&amp;query=24.72721937,46.68287535", "View Map")</f>
        <v>View Map</v>
      </c>
    </row>
    <row r="5584" spans="1:7" x14ac:dyDescent="0.3">
      <c r="A5584" t="s">
        <v>12059</v>
      </c>
      <c r="B5584" t="s">
        <v>12060</v>
      </c>
      <c r="C5584" t="s">
        <v>55</v>
      </c>
      <c r="D5584">
        <v>1.958</v>
      </c>
      <c r="E5584">
        <v>626</v>
      </c>
      <c r="F5584" t="str">
        <f>HYPERLINK("https://www.google.com/maps/search/?api=1&amp;query=24.74627474,46.57041743", "View Map")</f>
        <v>View Map</v>
      </c>
    </row>
    <row r="5585" spans="1:7" x14ac:dyDescent="0.3">
      <c r="A5585" t="s">
        <v>12061</v>
      </c>
      <c r="B5585" t="s">
        <v>12062</v>
      </c>
      <c r="C5585" t="s">
        <v>30</v>
      </c>
      <c r="D5585">
        <v>1.958</v>
      </c>
      <c r="E5585">
        <v>626</v>
      </c>
      <c r="F5585" t="str">
        <f>HYPERLINK("https://www.google.com/maps/search/?api=1&amp;query=24.12186473,47.27395562", "View Map")</f>
        <v>View Map</v>
      </c>
    </row>
    <row r="5586" spans="1:7" x14ac:dyDescent="0.3">
      <c r="A5586" t="s">
        <v>7130</v>
      </c>
      <c r="B5586" t="s">
        <v>7131</v>
      </c>
      <c r="C5586" t="s">
        <v>8</v>
      </c>
      <c r="D5586">
        <v>1.958</v>
      </c>
      <c r="E5586">
        <v>627</v>
      </c>
      <c r="F5586" t="str">
        <f>HYPERLINK("https://www.google.com/maps/search/?api=1&amp;query=24.55498659,46.77619899", "View Map")</f>
        <v>View Map</v>
      </c>
    </row>
    <row r="5587" spans="1:7" x14ac:dyDescent="0.3">
      <c r="A5587" t="s">
        <v>12063</v>
      </c>
      <c r="B5587" t="s">
        <v>12064</v>
      </c>
      <c r="C5587" t="s">
        <v>8</v>
      </c>
      <c r="D5587">
        <v>1.9570000000000001</v>
      </c>
      <c r="E5587">
        <v>626</v>
      </c>
      <c r="F5587" t="str">
        <f>HYPERLINK("https://www.google.com/maps/search/?api=1&amp;query=24.61328166,46.63081083", "View Map")</f>
        <v>View Map</v>
      </c>
    </row>
    <row r="5588" spans="1:7" x14ac:dyDescent="0.3">
      <c r="A5588" t="s">
        <v>8793</v>
      </c>
      <c r="B5588" t="s">
        <v>8794</v>
      </c>
      <c r="C5588" t="s">
        <v>8</v>
      </c>
      <c r="D5588">
        <v>1.9570000000000001</v>
      </c>
      <c r="E5588">
        <v>626</v>
      </c>
      <c r="F5588" t="str">
        <f>HYPERLINK("https://www.google.com/maps/search/?api=1&amp;query=24.5811801,46.76715882", "View Map")</f>
        <v>View Map</v>
      </c>
    </row>
    <row r="5589" spans="1:7" x14ac:dyDescent="0.3">
      <c r="A5589" t="s">
        <v>5107</v>
      </c>
      <c r="B5589" t="s">
        <v>5108</v>
      </c>
      <c r="C5589" t="s">
        <v>8</v>
      </c>
      <c r="D5589">
        <v>1.956</v>
      </c>
      <c r="E5589">
        <v>626</v>
      </c>
      <c r="F5589" t="str">
        <f>HYPERLINK("https://www.google.com/maps/search/?api=1&amp;query=24.68418379,46.6508941", "View Map")</f>
        <v>View Map</v>
      </c>
      <c r="G5589" s="2">
        <v>0.62790620036872447</v>
      </c>
    </row>
    <row r="5590" spans="1:7" x14ac:dyDescent="0.3">
      <c r="A5590" t="s">
        <v>12065</v>
      </c>
      <c r="B5590" t="s">
        <v>12066</v>
      </c>
      <c r="C5590" t="s">
        <v>296</v>
      </c>
      <c r="D5590">
        <v>1.956</v>
      </c>
      <c r="E5590">
        <v>626</v>
      </c>
      <c r="F5590" t="str">
        <f>HYPERLINK("https://www.google.com/maps/search/?api=1&amp;query=24.46737424,46.27584948", "View Map")</f>
        <v>View Map</v>
      </c>
    </row>
    <row r="5591" spans="1:7" x14ac:dyDescent="0.3">
      <c r="A5591" t="s">
        <v>5347</v>
      </c>
      <c r="B5591" t="s">
        <v>5348</v>
      </c>
      <c r="C5591" t="s">
        <v>466</v>
      </c>
      <c r="D5591">
        <v>1.956</v>
      </c>
      <c r="E5591">
        <v>626</v>
      </c>
      <c r="F5591" t="str">
        <f>HYPERLINK("https://www.google.com/maps/search/?api=1&amp;query=24.61397403,46.10444194", "View Map")</f>
        <v>View Map</v>
      </c>
      <c r="G5591" s="2">
        <v>0.233803974456433</v>
      </c>
    </row>
    <row r="5592" spans="1:7" x14ac:dyDescent="0.3">
      <c r="A5592" t="s">
        <v>5341</v>
      </c>
      <c r="B5592" t="s">
        <v>5342</v>
      </c>
      <c r="C5592" t="s">
        <v>8</v>
      </c>
      <c r="D5592">
        <v>1.954</v>
      </c>
      <c r="E5592">
        <v>625</v>
      </c>
      <c r="F5592" t="str">
        <f>HYPERLINK("https://www.google.com/maps/search/?api=1&amp;query=24.49685005,46.62403187", "View Map")</f>
        <v>View Map</v>
      </c>
      <c r="G5592" s="2">
        <v>0.32256657131636729</v>
      </c>
    </row>
    <row r="5593" spans="1:7" x14ac:dyDescent="0.3">
      <c r="A5593" t="s">
        <v>12067</v>
      </c>
      <c r="B5593" t="s">
        <v>12068</v>
      </c>
      <c r="C5593" t="s">
        <v>699</v>
      </c>
      <c r="D5593">
        <v>1.9530000000000001</v>
      </c>
      <c r="E5593">
        <v>625</v>
      </c>
      <c r="F5593" t="str">
        <f>HYPERLINK("https://www.google.com/maps/search/?api=1&amp;query=25.11995825,45.49277008", "View Map")</f>
        <v>View Map</v>
      </c>
    </row>
    <row r="5594" spans="1:7" x14ac:dyDescent="0.3">
      <c r="A5594" t="s">
        <v>46</v>
      </c>
      <c r="B5594" t="s">
        <v>12069</v>
      </c>
      <c r="C5594" t="s">
        <v>8</v>
      </c>
      <c r="D5594">
        <v>1.9530000000000001</v>
      </c>
      <c r="E5594">
        <v>625</v>
      </c>
      <c r="F5594" t="str">
        <f>HYPERLINK("https://www.google.com/maps/search/?api=1&amp;query=24.79542558,46.88743625", "View Map")</f>
        <v>View Map</v>
      </c>
    </row>
    <row r="5595" spans="1:7" x14ac:dyDescent="0.3">
      <c r="A5595" t="s">
        <v>289</v>
      </c>
      <c r="B5595" t="s">
        <v>10803</v>
      </c>
      <c r="C5595" t="s">
        <v>699</v>
      </c>
      <c r="D5595">
        <v>1.9510000000000001</v>
      </c>
      <c r="E5595">
        <v>624</v>
      </c>
      <c r="F5595" t="str">
        <f>HYPERLINK("https://www.google.com/maps/search/?api=1&amp;query=24.67030473,45.20677344", "View Map")</f>
        <v>View Map</v>
      </c>
      <c r="G5595" s="2">
        <v>0.72037743286582456</v>
      </c>
    </row>
    <row r="5596" spans="1:7" x14ac:dyDescent="0.3">
      <c r="A5596" t="s">
        <v>8150</v>
      </c>
      <c r="B5596" t="s">
        <v>8151</v>
      </c>
      <c r="C5596" t="s">
        <v>291</v>
      </c>
      <c r="D5596">
        <v>1.9510000000000001</v>
      </c>
      <c r="E5596">
        <v>624</v>
      </c>
      <c r="F5596" t="str">
        <f>HYPERLINK("https://www.google.com/maps/search/?api=1&amp;query=24.39985146,45.84711054", "View Map")</f>
        <v>View Map</v>
      </c>
      <c r="G5596" s="2">
        <v>0.34603585583799368</v>
      </c>
    </row>
    <row r="5597" spans="1:7" x14ac:dyDescent="0.3">
      <c r="A5597" t="s">
        <v>46</v>
      </c>
      <c r="B5597" t="s">
        <v>9104</v>
      </c>
      <c r="C5597" t="s">
        <v>8</v>
      </c>
      <c r="D5597">
        <v>1.9510000000000001</v>
      </c>
      <c r="E5597">
        <v>624</v>
      </c>
      <c r="F5597" t="str">
        <f>HYPERLINK("https://www.google.com/maps/search/?api=1&amp;query=24.82585976,46.57333273", "View Map")</f>
        <v>View Map</v>
      </c>
    </row>
    <row r="5598" spans="1:7" x14ac:dyDescent="0.3">
      <c r="A5598" t="s">
        <v>8587</v>
      </c>
      <c r="B5598" t="s">
        <v>8588</v>
      </c>
      <c r="C5598" t="s">
        <v>8</v>
      </c>
      <c r="D5598">
        <v>1.95</v>
      </c>
      <c r="E5598">
        <v>624</v>
      </c>
      <c r="F5598" t="str">
        <f>HYPERLINK("https://www.google.com/maps/search/?api=1&amp;query=24.55361765,46.71728693", "View Map")</f>
        <v>View Map</v>
      </c>
    </row>
    <row r="5599" spans="1:7" x14ac:dyDescent="0.3">
      <c r="A5599" t="s">
        <v>5415</v>
      </c>
      <c r="B5599" t="s">
        <v>11023</v>
      </c>
      <c r="C5599" t="s">
        <v>8</v>
      </c>
      <c r="D5599">
        <v>1.95</v>
      </c>
      <c r="E5599">
        <v>624</v>
      </c>
      <c r="F5599" t="str">
        <f>HYPERLINK("https://www.google.com/maps/search/?api=1&amp;query=24.72577575,46.83063556", "View Map")</f>
        <v>View Map</v>
      </c>
      <c r="G5599" s="2">
        <v>0.46448221361936171</v>
      </c>
    </row>
    <row r="5600" spans="1:7" x14ac:dyDescent="0.3">
      <c r="A5600" t="s">
        <v>10187</v>
      </c>
      <c r="B5600" t="s">
        <v>10188</v>
      </c>
      <c r="C5600" t="s">
        <v>21</v>
      </c>
      <c r="D5600">
        <v>1.95</v>
      </c>
      <c r="E5600">
        <v>624</v>
      </c>
      <c r="F5600" t="str">
        <f>HYPERLINK("https://www.google.com/maps/search/?api=1&amp;query=26.31842505,44.81195489", "View Map")</f>
        <v>View Map</v>
      </c>
    </row>
    <row r="5601" spans="1:7" x14ac:dyDescent="0.3">
      <c r="A5601" t="s">
        <v>3735</v>
      </c>
      <c r="B5601" t="s">
        <v>12070</v>
      </c>
      <c r="C5601" t="s">
        <v>255</v>
      </c>
      <c r="D5601">
        <v>1.9490000000000001</v>
      </c>
      <c r="E5601">
        <v>624</v>
      </c>
      <c r="F5601" t="str">
        <f>HYPERLINK("https://www.google.com/maps/search/?api=1&amp;query=25.18203577,44.59809175", "View Map")</f>
        <v>View Map</v>
      </c>
      <c r="G5601" s="2">
        <v>0.62917393554342516</v>
      </c>
    </row>
    <row r="5602" spans="1:7" x14ac:dyDescent="0.3">
      <c r="A5602" t="s">
        <v>146</v>
      </c>
      <c r="B5602" t="s">
        <v>12071</v>
      </c>
      <c r="C5602" t="s">
        <v>8</v>
      </c>
      <c r="D5602">
        <v>1.9490000000000001</v>
      </c>
      <c r="E5602">
        <v>624</v>
      </c>
      <c r="F5602" t="str">
        <f>HYPERLINK("https://www.google.com/maps/search/?api=1&amp;query=24.52843485,46.63357943", "View Map")</f>
        <v>View Map</v>
      </c>
      <c r="G5602" s="2">
        <v>0.5613080662704315</v>
      </c>
    </row>
    <row r="5603" spans="1:7" x14ac:dyDescent="0.3">
      <c r="A5603" t="s">
        <v>7928</v>
      </c>
      <c r="B5603" t="s">
        <v>7929</v>
      </c>
      <c r="C5603" t="s">
        <v>30</v>
      </c>
      <c r="D5603">
        <v>1.948</v>
      </c>
      <c r="E5603">
        <v>623</v>
      </c>
      <c r="F5603" t="str">
        <f>HYPERLINK("https://www.google.com/maps/search/?api=1&amp;query=24.1466684,47.38622608", "View Map")</f>
        <v>View Map</v>
      </c>
    </row>
    <row r="5604" spans="1:7" x14ac:dyDescent="0.3">
      <c r="A5604" t="s">
        <v>9900</v>
      </c>
      <c r="B5604" t="s">
        <v>9901</v>
      </c>
      <c r="C5604" t="s">
        <v>255</v>
      </c>
      <c r="D5604">
        <v>1.948</v>
      </c>
      <c r="E5604">
        <v>623</v>
      </c>
      <c r="F5604" t="str">
        <f>HYPERLINK("https://www.google.com/maps/search/?api=1&amp;query=24.53529618,43.29960306", "View Map")</f>
        <v>View Map</v>
      </c>
      <c r="G5604" s="2">
        <v>0.58072434276628937</v>
      </c>
    </row>
    <row r="5605" spans="1:7" x14ac:dyDescent="0.3">
      <c r="A5605" t="s">
        <v>2281</v>
      </c>
      <c r="B5605" t="s">
        <v>12072</v>
      </c>
      <c r="C5605" t="s">
        <v>8</v>
      </c>
      <c r="D5605">
        <v>1.948</v>
      </c>
      <c r="E5605">
        <v>623</v>
      </c>
      <c r="F5605" t="str">
        <f>HYPERLINK("https://www.google.com/maps/search/?api=1&amp;query=24.70293401,46.80903975", "View Map")</f>
        <v>View Map</v>
      </c>
    </row>
    <row r="5606" spans="1:7" x14ac:dyDescent="0.3">
      <c r="A5606" t="s">
        <v>7903</v>
      </c>
      <c r="B5606" t="s">
        <v>7904</v>
      </c>
      <c r="C5606" t="s">
        <v>255</v>
      </c>
      <c r="D5606">
        <v>1.9470000000000001</v>
      </c>
      <c r="E5606">
        <v>623</v>
      </c>
      <c r="F5606" t="str">
        <f>HYPERLINK("https://www.google.com/maps/search/?api=1&amp;query=24.49771298,44.37919287", "View Map")</f>
        <v>View Map</v>
      </c>
    </row>
    <row r="5607" spans="1:7" x14ac:dyDescent="0.3">
      <c r="A5607" t="s">
        <v>6968</v>
      </c>
      <c r="B5607" t="s">
        <v>6969</v>
      </c>
      <c r="C5607" t="s">
        <v>8</v>
      </c>
      <c r="D5607">
        <v>1.9470000000000001</v>
      </c>
      <c r="E5607">
        <v>623</v>
      </c>
      <c r="F5607" t="str">
        <f>HYPERLINK("https://www.google.com/maps/search/?api=1&amp;query=24.58425887,46.6022708", "View Map")</f>
        <v>View Map</v>
      </c>
    </row>
    <row r="5608" spans="1:7" x14ac:dyDescent="0.3">
      <c r="A5608" t="s">
        <v>28</v>
      </c>
      <c r="B5608" t="s">
        <v>8936</v>
      </c>
      <c r="C5608" t="s">
        <v>30</v>
      </c>
      <c r="D5608">
        <v>1.946</v>
      </c>
      <c r="E5608">
        <v>623</v>
      </c>
      <c r="F5608" t="str">
        <f>HYPERLINK("https://www.google.com/maps/search/?api=1&amp;query=24.0945035,47.27503035", "View Map")</f>
        <v>View Map</v>
      </c>
    </row>
    <row r="5609" spans="1:7" x14ac:dyDescent="0.3">
      <c r="A5609" t="s">
        <v>8353</v>
      </c>
      <c r="B5609" t="s">
        <v>8354</v>
      </c>
      <c r="C5609" t="s">
        <v>8</v>
      </c>
      <c r="D5609">
        <v>1.946</v>
      </c>
      <c r="E5609">
        <v>623</v>
      </c>
      <c r="F5609" t="str">
        <f>HYPERLINK("https://www.google.com/maps/search/?api=1&amp;query=24.55188877,46.68998891", "View Map")</f>
        <v>View Map</v>
      </c>
    </row>
    <row r="5610" spans="1:7" x14ac:dyDescent="0.3">
      <c r="A5610" t="s">
        <v>4543</v>
      </c>
      <c r="B5610" t="s">
        <v>4544</v>
      </c>
      <c r="C5610" t="s">
        <v>8</v>
      </c>
      <c r="D5610">
        <v>1.9450000000000001</v>
      </c>
      <c r="E5610">
        <v>622</v>
      </c>
      <c r="F5610" t="str">
        <f>HYPERLINK("https://www.google.com/maps/search/?api=1&amp;query=24.69856028,46.78649476", "View Map")</f>
        <v>View Map</v>
      </c>
    </row>
    <row r="5611" spans="1:7" x14ac:dyDescent="0.3">
      <c r="A5611" t="s">
        <v>1391</v>
      </c>
      <c r="B5611" t="s">
        <v>7660</v>
      </c>
      <c r="C5611" t="s">
        <v>8</v>
      </c>
      <c r="D5611">
        <v>1.9450000000000001</v>
      </c>
      <c r="E5611">
        <v>622</v>
      </c>
      <c r="F5611" t="str">
        <f>HYPERLINK("https://www.google.com/maps/search/?api=1&amp;query=24.70908332,46.83667913", "View Map")</f>
        <v>View Map</v>
      </c>
    </row>
    <row r="5612" spans="1:7" x14ac:dyDescent="0.3">
      <c r="A5612" t="s">
        <v>22</v>
      </c>
      <c r="B5612" t="s">
        <v>7873</v>
      </c>
      <c r="C5612" t="s">
        <v>8</v>
      </c>
      <c r="D5612">
        <v>1.944</v>
      </c>
      <c r="E5612">
        <v>622</v>
      </c>
      <c r="F5612" t="str">
        <f>HYPERLINK("https://www.google.com/maps/search/?api=1&amp;query=24.72114783,46.84855467", "View Map")</f>
        <v>View Map</v>
      </c>
    </row>
    <row r="5613" spans="1:7" x14ac:dyDescent="0.3">
      <c r="A5613" t="s">
        <v>3779</v>
      </c>
      <c r="B5613" t="s">
        <v>8132</v>
      </c>
      <c r="C5613" t="s">
        <v>8</v>
      </c>
      <c r="D5613">
        <v>1.944</v>
      </c>
      <c r="E5613">
        <v>622</v>
      </c>
      <c r="F5613" t="str">
        <f>HYPERLINK("https://www.google.com/maps/search/?api=1&amp;query=24.61869495,46.65447809", "View Map")</f>
        <v>View Map</v>
      </c>
    </row>
    <row r="5614" spans="1:7" x14ac:dyDescent="0.3">
      <c r="A5614" t="s">
        <v>12073</v>
      </c>
      <c r="B5614" t="s">
        <v>12074</v>
      </c>
      <c r="C5614" t="s">
        <v>8</v>
      </c>
      <c r="D5614">
        <v>1.944</v>
      </c>
      <c r="E5614">
        <v>622</v>
      </c>
      <c r="F5614" t="str">
        <f>HYPERLINK("https://www.google.com/maps/search/?api=1&amp;query=24.62549501,46.69035341", "View Map")</f>
        <v>View Map</v>
      </c>
    </row>
    <row r="5615" spans="1:7" x14ac:dyDescent="0.3">
      <c r="A5615" t="s">
        <v>7951</v>
      </c>
      <c r="B5615" t="s">
        <v>7952</v>
      </c>
      <c r="C5615" t="s">
        <v>21</v>
      </c>
      <c r="D5615">
        <v>1.9430000000000001</v>
      </c>
      <c r="E5615">
        <v>622</v>
      </c>
      <c r="F5615" t="str">
        <f>HYPERLINK("https://www.google.com/maps/search/?api=1&amp;query=26.34517068,44.78437661", "View Map")</f>
        <v>View Map</v>
      </c>
      <c r="G5615" s="2">
        <v>0.50088453992945081</v>
      </c>
    </row>
    <row r="5616" spans="1:7" x14ac:dyDescent="0.3">
      <c r="A5616" t="s">
        <v>150</v>
      </c>
      <c r="B5616" t="s">
        <v>8697</v>
      </c>
      <c r="C5616" t="s">
        <v>8</v>
      </c>
      <c r="D5616">
        <v>1.9430000000000001</v>
      </c>
      <c r="E5616">
        <v>622</v>
      </c>
      <c r="F5616" t="str">
        <f>HYPERLINK("https://www.google.com/maps/search/?api=1&amp;query=24.83698236,46.77368173", "View Map")</f>
        <v>View Map</v>
      </c>
    </row>
    <row r="5617" spans="1:7" x14ac:dyDescent="0.3">
      <c r="A5617" t="s">
        <v>10483</v>
      </c>
      <c r="B5617" t="s">
        <v>10484</v>
      </c>
      <c r="C5617" t="s">
        <v>270</v>
      </c>
      <c r="D5617">
        <v>1.9430000000000001</v>
      </c>
      <c r="E5617">
        <v>622</v>
      </c>
      <c r="F5617" t="str">
        <f>HYPERLINK("https://www.google.com/maps/search/?api=1&amp;query=23.9933,47.12672", "View Map")</f>
        <v>View Map</v>
      </c>
    </row>
    <row r="5618" spans="1:7" x14ac:dyDescent="0.3">
      <c r="A5618" t="s">
        <v>12075</v>
      </c>
      <c r="B5618" t="s">
        <v>12076</v>
      </c>
      <c r="C5618" t="s">
        <v>738</v>
      </c>
      <c r="D5618">
        <v>1.9430000000000001</v>
      </c>
      <c r="E5618">
        <v>622</v>
      </c>
      <c r="F5618" t="str">
        <f>HYPERLINK("https://www.google.com/maps/search/?api=1&amp;query=25.09623856,46.09705779", "View Map")</f>
        <v>View Map</v>
      </c>
    </row>
    <row r="5619" spans="1:7" x14ac:dyDescent="0.3">
      <c r="A5619" t="s">
        <v>3735</v>
      </c>
      <c r="B5619" t="s">
        <v>10259</v>
      </c>
      <c r="C5619" t="s">
        <v>255</v>
      </c>
      <c r="D5619">
        <v>1.9419999999999999</v>
      </c>
      <c r="E5619">
        <v>622</v>
      </c>
      <c r="F5619" t="str">
        <f>HYPERLINK("https://www.google.com/maps/search/?api=1&amp;query=25.20792934,44.59124785", "View Map")</f>
        <v>View Map</v>
      </c>
      <c r="G5619" s="2">
        <v>0.4717610071167711</v>
      </c>
    </row>
    <row r="5620" spans="1:7" x14ac:dyDescent="0.3">
      <c r="A5620" t="s">
        <v>4693</v>
      </c>
      <c r="B5620" t="s">
        <v>4694</v>
      </c>
      <c r="C5620" t="s">
        <v>8</v>
      </c>
      <c r="D5620">
        <v>1.9419999999999999</v>
      </c>
      <c r="E5620">
        <v>622</v>
      </c>
      <c r="F5620" t="str">
        <f>HYPERLINK("https://www.google.com/maps/search/?api=1&amp;query=24.79415308,46.74981119", "View Map")</f>
        <v>View Map</v>
      </c>
    </row>
    <row r="5621" spans="1:7" x14ac:dyDescent="0.3">
      <c r="A5621" t="s">
        <v>10765</v>
      </c>
      <c r="B5621" t="s">
        <v>10766</v>
      </c>
      <c r="C5621" t="s">
        <v>883</v>
      </c>
      <c r="D5621">
        <v>1.9419999999999999</v>
      </c>
      <c r="E5621">
        <v>621</v>
      </c>
      <c r="F5621" t="str">
        <f>HYPERLINK("https://www.google.com/maps/search/?api=1&amp;query=25.53462099,47.17220644", "View Map")</f>
        <v>View Map</v>
      </c>
    </row>
    <row r="5622" spans="1:7" x14ac:dyDescent="0.3">
      <c r="A5622" t="s">
        <v>6423</v>
      </c>
      <c r="B5622" t="s">
        <v>6424</v>
      </c>
      <c r="C5622" t="s">
        <v>466</v>
      </c>
      <c r="D5622">
        <v>1.9410000000000001</v>
      </c>
      <c r="E5622">
        <v>621</v>
      </c>
      <c r="F5622" t="str">
        <f>HYPERLINK("https://www.google.com/maps/search/?api=1&amp;query=24.59225114,46.14475156", "View Map")</f>
        <v>View Map</v>
      </c>
      <c r="G5622" s="2">
        <v>0.57816017779651541</v>
      </c>
    </row>
    <row r="5623" spans="1:7" x14ac:dyDescent="0.3">
      <c r="A5623" t="s">
        <v>9415</v>
      </c>
      <c r="B5623" t="s">
        <v>9416</v>
      </c>
      <c r="C5623" t="s">
        <v>270</v>
      </c>
      <c r="D5623">
        <v>1.94</v>
      </c>
      <c r="E5623">
        <v>621</v>
      </c>
      <c r="F5623" t="str">
        <f>HYPERLINK("https://www.google.com/maps/search/?api=1&amp;query=24.10071001,47.17148842", "View Map")</f>
        <v>View Map</v>
      </c>
    </row>
    <row r="5624" spans="1:7" x14ac:dyDescent="0.3">
      <c r="A5624" t="s">
        <v>4412</v>
      </c>
      <c r="B5624" t="s">
        <v>10711</v>
      </c>
      <c r="C5624" t="s">
        <v>255</v>
      </c>
      <c r="D5624">
        <v>1.94</v>
      </c>
      <c r="E5624">
        <v>621</v>
      </c>
      <c r="F5624" t="str">
        <f>HYPERLINK("https://www.google.com/maps/search/?api=1&amp;query=24.66443002,43.6415956", "View Map")</f>
        <v>View Map</v>
      </c>
      <c r="G5624" s="2">
        <v>0.80663573677191569</v>
      </c>
    </row>
    <row r="5625" spans="1:7" x14ac:dyDescent="0.3">
      <c r="A5625" t="s">
        <v>9296</v>
      </c>
      <c r="B5625" t="s">
        <v>9297</v>
      </c>
      <c r="C5625" t="s">
        <v>21</v>
      </c>
      <c r="D5625">
        <v>1.94</v>
      </c>
      <c r="E5625">
        <v>621</v>
      </c>
      <c r="F5625" t="str">
        <f>HYPERLINK("https://www.google.com/maps/search/?api=1&amp;query=26.28961143,44.8471419", "View Map")</f>
        <v>View Map</v>
      </c>
      <c r="G5625" s="2">
        <v>0.6875691881401802</v>
      </c>
    </row>
    <row r="5626" spans="1:7" x14ac:dyDescent="0.3">
      <c r="A5626" t="s">
        <v>5103</v>
      </c>
      <c r="B5626" t="s">
        <v>9259</v>
      </c>
      <c r="C5626" t="s">
        <v>8</v>
      </c>
      <c r="D5626">
        <v>1.9390000000000001</v>
      </c>
      <c r="E5626">
        <v>620</v>
      </c>
      <c r="F5626" t="str">
        <f>HYPERLINK("https://www.google.com/maps/search/?api=1&amp;query=24.70495823,46.69325971", "View Map")</f>
        <v>View Map</v>
      </c>
    </row>
    <row r="5627" spans="1:7" x14ac:dyDescent="0.3">
      <c r="A5627" t="s">
        <v>11057</v>
      </c>
      <c r="B5627" t="s">
        <v>11058</v>
      </c>
      <c r="C5627" t="s">
        <v>8</v>
      </c>
      <c r="D5627">
        <v>1.9379999999999999</v>
      </c>
      <c r="E5627">
        <v>620</v>
      </c>
      <c r="F5627" t="str">
        <f>HYPERLINK("https://www.google.com/maps/search/?api=1&amp;query=24.7157437,46.83920233", "View Map")</f>
        <v>View Map</v>
      </c>
    </row>
    <row r="5628" spans="1:7" x14ac:dyDescent="0.3">
      <c r="A5628" t="s">
        <v>9215</v>
      </c>
      <c r="B5628" t="s">
        <v>9216</v>
      </c>
      <c r="C5628" t="s">
        <v>393</v>
      </c>
      <c r="D5628">
        <v>1.9379999999999999</v>
      </c>
      <c r="E5628">
        <v>620</v>
      </c>
      <c r="F5628" t="str">
        <f>HYPERLINK("https://www.google.com/maps/search/?api=1&amp;query=23.42604884,45.23286052", "View Map")</f>
        <v>View Map</v>
      </c>
      <c r="G5628" s="2">
        <v>0.85766214256120898</v>
      </c>
    </row>
    <row r="5629" spans="1:7" x14ac:dyDescent="0.3">
      <c r="A5629" t="s">
        <v>12077</v>
      </c>
      <c r="B5629" t="s">
        <v>12078</v>
      </c>
      <c r="C5629" t="s">
        <v>255</v>
      </c>
      <c r="D5629">
        <v>1.9370000000000001</v>
      </c>
      <c r="E5629">
        <v>620</v>
      </c>
      <c r="F5629" t="str">
        <f>HYPERLINK("https://www.google.com/maps/search/?api=1&amp;query=24.68058382,43.75219548", "View Map")</f>
        <v>View Map</v>
      </c>
      <c r="G5629" s="2">
        <v>0.52182587377387346</v>
      </c>
    </row>
    <row r="5630" spans="1:7" x14ac:dyDescent="0.3">
      <c r="A5630" t="s">
        <v>1733</v>
      </c>
      <c r="B5630" t="s">
        <v>1734</v>
      </c>
      <c r="C5630" t="s">
        <v>8</v>
      </c>
      <c r="D5630">
        <v>1.9359999999999999</v>
      </c>
      <c r="E5630">
        <v>619</v>
      </c>
      <c r="F5630" t="str">
        <f>HYPERLINK("https://www.google.com/maps/search/?api=1&amp;query=24.53960025,46.66354464", "View Map")</f>
        <v>View Map</v>
      </c>
    </row>
    <row r="5631" spans="1:7" x14ac:dyDescent="0.3">
      <c r="A5631" t="s">
        <v>12079</v>
      </c>
      <c r="B5631" t="s">
        <v>12080</v>
      </c>
      <c r="C5631" t="s">
        <v>466</v>
      </c>
      <c r="D5631">
        <v>1.9359999999999999</v>
      </c>
      <c r="E5631">
        <v>620</v>
      </c>
      <c r="F5631" t="str">
        <f>HYPERLINK("https://www.google.com/maps/search/?api=1&amp;query=24.50817728,45.88663563", "View Map")</f>
        <v>View Map</v>
      </c>
    </row>
    <row r="5632" spans="1:7" x14ac:dyDescent="0.3">
      <c r="A5632" t="s">
        <v>12081</v>
      </c>
      <c r="B5632" t="s">
        <v>12082</v>
      </c>
      <c r="C5632" t="s">
        <v>8</v>
      </c>
      <c r="D5632">
        <v>1.9350000000000001</v>
      </c>
      <c r="E5632">
        <v>619</v>
      </c>
      <c r="F5632" t="str">
        <f>HYPERLINK("https://www.google.com/maps/search/?api=1&amp;query=24.65244412,46.74574847", "View Map")</f>
        <v>View Map</v>
      </c>
    </row>
    <row r="5633" spans="1:7" x14ac:dyDescent="0.3">
      <c r="A5633" t="s">
        <v>2503</v>
      </c>
      <c r="B5633" t="s">
        <v>12083</v>
      </c>
      <c r="C5633" t="s">
        <v>8</v>
      </c>
      <c r="D5633">
        <v>1.9350000000000001</v>
      </c>
      <c r="E5633">
        <v>619</v>
      </c>
      <c r="F5633" t="str">
        <f>HYPERLINK("https://www.google.com/maps/search/?api=1&amp;query=24.74495296,46.82032325", "View Map")</f>
        <v>View Map</v>
      </c>
    </row>
    <row r="5634" spans="1:7" x14ac:dyDescent="0.3">
      <c r="A5634" t="s">
        <v>12084</v>
      </c>
      <c r="B5634" t="s">
        <v>12085</v>
      </c>
      <c r="C5634" t="s">
        <v>241</v>
      </c>
      <c r="D5634">
        <v>1.9350000000000001</v>
      </c>
      <c r="E5634">
        <v>619</v>
      </c>
      <c r="F5634" t="str">
        <f>HYPERLINK("https://www.google.com/maps/search/?api=1&amp;query=20.44883153,44.70033684", "View Map")</f>
        <v>View Map</v>
      </c>
    </row>
    <row r="5635" spans="1:7" x14ac:dyDescent="0.3">
      <c r="A5635" t="s">
        <v>9625</v>
      </c>
      <c r="B5635" t="s">
        <v>9626</v>
      </c>
      <c r="C5635" t="s">
        <v>255</v>
      </c>
      <c r="D5635">
        <v>1.9339999999999999</v>
      </c>
      <c r="E5635">
        <v>619</v>
      </c>
      <c r="F5635" t="str">
        <f>HYPERLINK("https://www.google.com/maps/search/?api=1&amp;query=25.12988871,43.4877019", "View Map")</f>
        <v>View Map</v>
      </c>
      <c r="G5635" s="2">
        <v>0.44599011099255859</v>
      </c>
    </row>
    <row r="5636" spans="1:7" x14ac:dyDescent="0.3">
      <c r="A5636" t="s">
        <v>12086</v>
      </c>
      <c r="B5636" t="s">
        <v>12087</v>
      </c>
      <c r="C5636" t="s">
        <v>77</v>
      </c>
      <c r="D5636">
        <v>1.9339999999999999</v>
      </c>
      <c r="E5636">
        <v>619</v>
      </c>
      <c r="F5636" t="str">
        <f>HYPERLINK("https://www.google.com/maps/search/?api=1&amp;query=22.56584757,45.4385298", "View Map")</f>
        <v>View Map</v>
      </c>
      <c r="G5636" s="2">
        <v>0.55908987517451125</v>
      </c>
    </row>
    <row r="5637" spans="1:7" x14ac:dyDescent="0.3">
      <c r="A5637" t="s">
        <v>9878</v>
      </c>
      <c r="B5637" t="s">
        <v>9879</v>
      </c>
      <c r="C5637" t="s">
        <v>8</v>
      </c>
      <c r="D5637">
        <v>1.9339999999999999</v>
      </c>
      <c r="E5637">
        <v>619</v>
      </c>
      <c r="F5637" t="str">
        <f>HYPERLINK("https://www.google.com/maps/search/?api=1&amp;query=24.7495465,46.79536919", "View Map")</f>
        <v>View Map</v>
      </c>
    </row>
    <row r="5638" spans="1:7" x14ac:dyDescent="0.3">
      <c r="A5638" t="s">
        <v>6257</v>
      </c>
      <c r="B5638" t="s">
        <v>6258</v>
      </c>
      <c r="C5638" t="s">
        <v>699</v>
      </c>
      <c r="D5638">
        <v>1.9339999999999999</v>
      </c>
      <c r="E5638">
        <v>619</v>
      </c>
      <c r="F5638" t="str">
        <f>HYPERLINK("https://www.google.com/maps/search/?api=1&amp;query=25.07492271,45.46329636", "View Map")</f>
        <v>View Map</v>
      </c>
      <c r="G5638" s="2">
        <v>0.2958531216260879</v>
      </c>
    </row>
    <row r="5639" spans="1:7" x14ac:dyDescent="0.3">
      <c r="A5639" t="s">
        <v>7815</v>
      </c>
      <c r="B5639" t="s">
        <v>7816</v>
      </c>
      <c r="C5639" t="s">
        <v>30</v>
      </c>
      <c r="D5639">
        <v>1.9339999999999999</v>
      </c>
      <c r="E5639">
        <v>619</v>
      </c>
      <c r="F5639" t="str">
        <f>HYPERLINK("https://www.google.com/maps/search/?api=1&amp;query=24.17098937,47.30769457", "View Map")</f>
        <v>View Map</v>
      </c>
    </row>
    <row r="5640" spans="1:7" x14ac:dyDescent="0.3">
      <c r="A5640" t="s">
        <v>1002</v>
      </c>
      <c r="B5640" t="s">
        <v>10116</v>
      </c>
      <c r="C5640" t="s">
        <v>214</v>
      </c>
      <c r="D5640">
        <v>1.9330000000000001</v>
      </c>
      <c r="E5640">
        <v>619</v>
      </c>
      <c r="F5640" t="str">
        <f>HYPERLINK("https://www.google.com/maps/search/?api=1&amp;query=25.89260308,45.35906302", "View Map")</f>
        <v>View Map</v>
      </c>
      <c r="G5640" s="2">
        <v>0.51359943815497855</v>
      </c>
    </row>
    <row r="5641" spans="1:7" x14ac:dyDescent="0.3">
      <c r="A5641" t="s">
        <v>146</v>
      </c>
      <c r="B5641" t="s">
        <v>12088</v>
      </c>
      <c r="C5641" t="s">
        <v>8</v>
      </c>
      <c r="D5641">
        <v>1.9330000000000001</v>
      </c>
      <c r="E5641">
        <v>618</v>
      </c>
      <c r="F5641" t="str">
        <f>HYPERLINK("https://www.google.com/maps/search/?api=1&amp;query=24.52148179,46.68760119", "View Map")</f>
        <v>View Map</v>
      </c>
    </row>
    <row r="5642" spans="1:7" x14ac:dyDescent="0.3">
      <c r="A5642" t="s">
        <v>7128</v>
      </c>
      <c r="B5642" t="s">
        <v>7129</v>
      </c>
      <c r="C5642" t="s">
        <v>214</v>
      </c>
      <c r="D5642">
        <v>1.9319999999999999</v>
      </c>
      <c r="E5642">
        <v>618</v>
      </c>
      <c r="F5642" t="str">
        <f>HYPERLINK("https://www.google.com/maps/search/?api=1&amp;query=25.62820918,45.58380264", "View Map")</f>
        <v>View Map</v>
      </c>
    </row>
    <row r="5643" spans="1:7" x14ac:dyDescent="0.3">
      <c r="A5643" t="s">
        <v>627</v>
      </c>
      <c r="B5643" t="s">
        <v>12089</v>
      </c>
      <c r="C5643" t="s">
        <v>8</v>
      </c>
      <c r="D5643">
        <v>1.9319999999999999</v>
      </c>
      <c r="E5643">
        <v>618</v>
      </c>
      <c r="F5643" t="str">
        <f>HYPERLINK("https://www.google.com/maps/search/?api=1&amp;query=24.62550515,46.52090561", "View Map")</f>
        <v>View Map</v>
      </c>
    </row>
    <row r="5644" spans="1:7" x14ac:dyDescent="0.3">
      <c r="A5644" t="s">
        <v>10102</v>
      </c>
      <c r="B5644" t="s">
        <v>10103</v>
      </c>
      <c r="C5644" t="s">
        <v>8</v>
      </c>
      <c r="D5644">
        <v>1.9319999999999999</v>
      </c>
      <c r="E5644">
        <v>618</v>
      </c>
      <c r="F5644" t="str">
        <f>HYPERLINK("https://www.google.com/maps/search/?api=1&amp;query=24.77657298,46.67614731", "View Map")</f>
        <v>View Map</v>
      </c>
    </row>
    <row r="5645" spans="1:7" x14ac:dyDescent="0.3">
      <c r="A5645" t="s">
        <v>9468</v>
      </c>
      <c r="B5645" t="s">
        <v>9469</v>
      </c>
      <c r="C5645" t="s">
        <v>270</v>
      </c>
      <c r="D5645">
        <v>1.9319999999999999</v>
      </c>
      <c r="E5645">
        <v>618</v>
      </c>
      <c r="F5645" t="str">
        <f>HYPERLINK("https://www.google.com/maps/search/?api=1&amp;query=23.97615696,47.12199061", "View Map")</f>
        <v>View Map</v>
      </c>
      <c r="G5645" s="2">
        <v>0.5210117275374897</v>
      </c>
    </row>
    <row r="5646" spans="1:7" x14ac:dyDescent="0.3">
      <c r="A5646" t="s">
        <v>4724</v>
      </c>
      <c r="B5646" t="s">
        <v>4725</v>
      </c>
      <c r="C5646" t="s">
        <v>8</v>
      </c>
      <c r="D5646">
        <v>1.931</v>
      </c>
      <c r="E5646">
        <v>618</v>
      </c>
      <c r="F5646" t="str">
        <f>HYPERLINK("https://www.google.com/maps/search/?api=1&amp;query=24.6123126,46.71145752", "View Map")</f>
        <v>View Map</v>
      </c>
    </row>
    <row r="5647" spans="1:7" x14ac:dyDescent="0.3">
      <c r="A5647" t="s">
        <v>1788</v>
      </c>
      <c r="B5647" t="s">
        <v>10801</v>
      </c>
      <c r="C5647" t="s">
        <v>738</v>
      </c>
      <c r="D5647">
        <v>1.93</v>
      </c>
      <c r="E5647">
        <v>618</v>
      </c>
      <c r="F5647" t="str">
        <f>HYPERLINK("https://www.google.com/maps/search/?api=1&amp;query=24.91160346,45.86362158", "View Map")</f>
        <v>View Map</v>
      </c>
      <c r="G5647" s="2">
        <v>0.85116245556540993</v>
      </c>
    </row>
    <row r="5648" spans="1:7" x14ac:dyDescent="0.3">
      <c r="A5648" t="s">
        <v>305</v>
      </c>
      <c r="B5648" t="s">
        <v>7222</v>
      </c>
      <c r="C5648" t="s">
        <v>8</v>
      </c>
      <c r="D5648">
        <v>1.93</v>
      </c>
      <c r="E5648">
        <v>618</v>
      </c>
      <c r="F5648" t="str">
        <f>HYPERLINK("https://www.google.com/maps/search/?api=1&amp;query=24.80246098,46.79034228", "View Map")</f>
        <v>View Map</v>
      </c>
    </row>
    <row r="5649" spans="1:7" x14ac:dyDescent="0.3">
      <c r="A5649" t="s">
        <v>12090</v>
      </c>
      <c r="B5649" t="s">
        <v>12091</v>
      </c>
      <c r="C5649" t="s">
        <v>738</v>
      </c>
      <c r="D5649">
        <v>1.93</v>
      </c>
      <c r="E5649">
        <v>617</v>
      </c>
      <c r="F5649" t="str">
        <f>HYPERLINK("https://www.google.com/maps/search/?api=1&amp;query=25.11260531,46.09936646", "View Map")</f>
        <v>View Map</v>
      </c>
      <c r="G5649" s="2">
        <v>0.42192583872667228</v>
      </c>
    </row>
    <row r="5650" spans="1:7" x14ac:dyDescent="0.3">
      <c r="A5650" t="s">
        <v>146</v>
      </c>
      <c r="B5650" t="s">
        <v>12092</v>
      </c>
      <c r="C5650" t="s">
        <v>8</v>
      </c>
      <c r="D5650">
        <v>1.929</v>
      </c>
      <c r="E5650">
        <v>617</v>
      </c>
      <c r="F5650" t="str">
        <f>HYPERLINK("https://www.google.com/maps/search/?api=1&amp;query=24.49639473,46.62802374", "View Map")</f>
        <v>View Map</v>
      </c>
    </row>
    <row r="5651" spans="1:7" x14ac:dyDescent="0.3">
      <c r="A5651" t="s">
        <v>11198</v>
      </c>
      <c r="B5651" t="s">
        <v>11199</v>
      </c>
      <c r="C5651" t="s">
        <v>393</v>
      </c>
      <c r="D5651">
        <v>1.929</v>
      </c>
      <c r="E5651">
        <v>617</v>
      </c>
      <c r="F5651" t="str">
        <f>HYPERLINK("https://www.google.com/maps/search/?api=1&amp;query=23.0871222,45.24393675", "View Map")</f>
        <v>View Map</v>
      </c>
      <c r="G5651" s="2">
        <v>0.87223122469835501</v>
      </c>
    </row>
    <row r="5652" spans="1:7" x14ac:dyDescent="0.3">
      <c r="A5652" t="s">
        <v>10437</v>
      </c>
      <c r="B5652" t="s">
        <v>10438</v>
      </c>
      <c r="C5652" t="s">
        <v>16</v>
      </c>
      <c r="D5652">
        <v>1.929</v>
      </c>
      <c r="E5652">
        <v>617</v>
      </c>
      <c r="F5652" t="str">
        <f>HYPERLINK("https://www.google.com/maps/search/?api=1&amp;query=23.88255453,42.91331173", "View Map")</f>
        <v>View Map</v>
      </c>
    </row>
    <row r="5653" spans="1:7" x14ac:dyDescent="0.3">
      <c r="A5653" t="s">
        <v>9968</v>
      </c>
      <c r="B5653" t="s">
        <v>9969</v>
      </c>
      <c r="C5653" t="s">
        <v>214</v>
      </c>
      <c r="D5653">
        <v>1.9279999999999999</v>
      </c>
      <c r="E5653">
        <v>617</v>
      </c>
      <c r="F5653" t="str">
        <f>HYPERLINK("https://www.google.com/maps/search/?api=1&amp;query=26.58088706,45.26077117", "View Map")</f>
        <v>View Map</v>
      </c>
      <c r="G5653" s="2">
        <v>0.77614286135893162</v>
      </c>
    </row>
    <row r="5654" spans="1:7" x14ac:dyDescent="0.3">
      <c r="A5654" t="s">
        <v>7915</v>
      </c>
      <c r="B5654" t="s">
        <v>7916</v>
      </c>
      <c r="C5654" t="s">
        <v>8</v>
      </c>
      <c r="D5654">
        <v>1.9279999999999999</v>
      </c>
      <c r="E5654">
        <v>617</v>
      </c>
      <c r="F5654" t="str">
        <f>HYPERLINK("https://www.google.com/maps/search/?api=1&amp;query=24.5952346,46.64540346", "View Map")</f>
        <v>View Map</v>
      </c>
    </row>
    <row r="5655" spans="1:7" x14ac:dyDescent="0.3">
      <c r="A5655" t="s">
        <v>3735</v>
      </c>
      <c r="B5655" t="s">
        <v>12093</v>
      </c>
      <c r="C5655" t="s">
        <v>255</v>
      </c>
      <c r="D5655">
        <v>1.927</v>
      </c>
      <c r="E5655">
        <v>617</v>
      </c>
      <c r="F5655" t="str">
        <f>HYPERLINK("https://www.google.com/maps/search/?api=1&amp;query=25.36098611,44.43932792", "View Map")</f>
        <v>View Map</v>
      </c>
      <c r="G5655" s="2">
        <v>0.76582209540238533</v>
      </c>
    </row>
    <row r="5656" spans="1:7" x14ac:dyDescent="0.3">
      <c r="A5656" t="s">
        <v>717</v>
      </c>
      <c r="B5656" t="s">
        <v>10123</v>
      </c>
      <c r="C5656" t="s">
        <v>255</v>
      </c>
      <c r="D5656">
        <v>1.925</v>
      </c>
      <c r="E5656">
        <v>616</v>
      </c>
      <c r="F5656" t="str">
        <f>HYPERLINK("https://www.google.com/maps/search/?api=1&amp;query=24.49640596,44.35814961", "View Map")</f>
        <v>View Map</v>
      </c>
    </row>
    <row r="5657" spans="1:7" x14ac:dyDescent="0.3">
      <c r="A5657" t="s">
        <v>9551</v>
      </c>
      <c r="B5657" t="s">
        <v>9552</v>
      </c>
      <c r="C5657" t="s">
        <v>1112</v>
      </c>
      <c r="D5657">
        <v>1.925</v>
      </c>
      <c r="E5657">
        <v>616</v>
      </c>
      <c r="F5657" t="str">
        <f>HYPERLINK("https://www.google.com/maps/search/?api=1&amp;query=26.02240943,44.9593422", "View Map")</f>
        <v>View Map</v>
      </c>
    </row>
    <row r="5658" spans="1:7" x14ac:dyDescent="0.3">
      <c r="A5658" t="s">
        <v>12094</v>
      </c>
      <c r="B5658" t="s">
        <v>12095</v>
      </c>
      <c r="C5658" t="s">
        <v>137</v>
      </c>
      <c r="D5658">
        <v>1.925</v>
      </c>
      <c r="E5658">
        <v>616</v>
      </c>
      <c r="F5658" t="str">
        <f>HYPERLINK("https://www.google.com/maps/search/?api=1&amp;query=23.47322778,46.82676071", "View Map")</f>
        <v>View Map</v>
      </c>
      <c r="G5658" s="2">
        <v>0.90926056155980628</v>
      </c>
    </row>
    <row r="5659" spans="1:7" x14ac:dyDescent="0.3">
      <c r="A5659" t="s">
        <v>6950</v>
      </c>
      <c r="B5659" t="s">
        <v>6951</v>
      </c>
      <c r="C5659" t="s">
        <v>8</v>
      </c>
      <c r="D5659">
        <v>1.925</v>
      </c>
      <c r="E5659">
        <v>616</v>
      </c>
      <c r="F5659" t="str">
        <f>HYPERLINK("https://www.google.com/maps/search/?api=1&amp;query=24.55360376,46.69328613", "View Map")</f>
        <v>View Map</v>
      </c>
    </row>
    <row r="5660" spans="1:7" x14ac:dyDescent="0.3">
      <c r="A5660" t="s">
        <v>9406</v>
      </c>
      <c r="B5660" t="s">
        <v>9407</v>
      </c>
      <c r="C5660" t="s">
        <v>8</v>
      </c>
      <c r="D5660">
        <v>1.9239999999999999</v>
      </c>
      <c r="E5660">
        <v>616</v>
      </c>
      <c r="F5660" t="str">
        <f>HYPERLINK("https://www.google.com/maps/search/?api=1&amp;query=24.6403897,46.72867138", "View Map")</f>
        <v>View Map</v>
      </c>
    </row>
    <row r="5661" spans="1:7" x14ac:dyDescent="0.3">
      <c r="A5661" t="s">
        <v>3447</v>
      </c>
      <c r="B5661" t="s">
        <v>9385</v>
      </c>
      <c r="C5661" t="s">
        <v>8</v>
      </c>
      <c r="D5661">
        <v>1.9239999999999999</v>
      </c>
      <c r="E5661">
        <v>616</v>
      </c>
      <c r="F5661" t="str">
        <f>HYPERLINK("https://www.google.com/maps/search/?api=1&amp;query=24.66557035,46.79826651", "View Map")</f>
        <v>View Map</v>
      </c>
    </row>
    <row r="5662" spans="1:7" x14ac:dyDescent="0.3">
      <c r="A5662" t="s">
        <v>12096</v>
      </c>
      <c r="B5662" t="s">
        <v>12097</v>
      </c>
      <c r="C5662" t="s">
        <v>255</v>
      </c>
      <c r="D5662">
        <v>1.9239999999999999</v>
      </c>
      <c r="E5662">
        <v>616</v>
      </c>
      <c r="F5662" t="str">
        <f>HYPERLINK("https://www.google.com/maps/search/?api=1&amp;query=25.25060308,44.15936034", "View Map")</f>
        <v>View Map</v>
      </c>
    </row>
    <row r="5663" spans="1:7" x14ac:dyDescent="0.3">
      <c r="A5663" t="s">
        <v>146</v>
      </c>
      <c r="B5663" t="s">
        <v>10513</v>
      </c>
      <c r="C5663" t="s">
        <v>8</v>
      </c>
      <c r="D5663">
        <v>1.923</v>
      </c>
      <c r="E5663">
        <v>615</v>
      </c>
      <c r="F5663" t="str">
        <f>HYPERLINK("https://www.google.com/maps/search/?api=1&amp;query=24.53983419,46.71934268", "View Map")</f>
        <v>View Map</v>
      </c>
    </row>
    <row r="5664" spans="1:7" x14ac:dyDescent="0.3">
      <c r="A5664" t="s">
        <v>9142</v>
      </c>
      <c r="B5664" t="s">
        <v>9143</v>
      </c>
      <c r="C5664" t="s">
        <v>8</v>
      </c>
      <c r="D5664">
        <v>1.923</v>
      </c>
      <c r="E5664">
        <v>615</v>
      </c>
      <c r="F5664" t="str">
        <f>HYPERLINK("https://www.google.com/maps/search/?api=1&amp;query=24.63232005,46.69495721", "View Map")</f>
        <v>View Map</v>
      </c>
    </row>
    <row r="5665" spans="1:7" x14ac:dyDescent="0.3">
      <c r="A5665" t="s">
        <v>9014</v>
      </c>
      <c r="B5665" t="s">
        <v>9015</v>
      </c>
      <c r="C5665" t="s">
        <v>8</v>
      </c>
      <c r="D5665">
        <v>1.923</v>
      </c>
      <c r="E5665">
        <v>615</v>
      </c>
      <c r="F5665" t="str">
        <f>HYPERLINK("https://www.google.com/maps/search/?api=1&amp;query=24.80601785,46.62976729", "View Map")</f>
        <v>View Map</v>
      </c>
    </row>
    <row r="5666" spans="1:7" x14ac:dyDescent="0.3">
      <c r="A5666" t="s">
        <v>6446</v>
      </c>
      <c r="B5666" t="s">
        <v>6447</v>
      </c>
      <c r="C5666" t="s">
        <v>8</v>
      </c>
      <c r="D5666">
        <v>1.923</v>
      </c>
      <c r="E5666">
        <v>615</v>
      </c>
      <c r="F5666" t="str">
        <f>HYPERLINK("https://www.google.com/maps/search/?api=1&amp;query=24.75081973,46.84537714", "View Map")</f>
        <v>View Map</v>
      </c>
    </row>
    <row r="5667" spans="1:7" x14ac:dyDescent="0.3">
      <c r="A5667" t="s">
        <v>4815</v>
      </c>
      <c r="B5667" t="s">
        <v>4816</v>
      </c>
      <c r="C5667" t="s">
        <v>646</v>
      </c>
      <c r="D5667">
        <v>1.923</v>
      </c>
      <c r="E5667">
        <v>615</v>
      </c>
      <c r="F5667" t="str">
        <f>HYPERLINK("https://www.google.com/maps/search/?api=1&amp;query=20.47938523,45.59162069", "View Map")</f>
        <v>View Map</v>
      </c>
      <c r="G5667" s="2">
        <v>0.2100354717810767</v>
      </c>
    </row>
    <row r="5668" spans="1:7" x14ac:dyDescent="0.3">
      <c r="A5668" t="s">
        <v>5293</v>
      </c>
      <c r="B5668" t="s">
        <v>5294</v>
      </c>
      <c r="C5668" t="s">
        <v>8</v>
      </c>
      <c r="D5668">
        <v>1.9219999999999999</v>
      </c>
      <c r="E5668">
        <v>615</v>
      </c>
      <c r="F5668" t="str">
        <f>HYPERLINK("https://www.google.com/maps/search/?api=1&amp;query=24.61763462,46.72421066", "View Map")</f>
        <v>View Map</v>
      </c>
    </row>
    <row r="5669" spans="1:7" x14ac:dyDescent="0.3">
      <c r="A5669" t="s">
        <v>2429</v>
      </c>
      <c r="B5669" t="s">
        <v>11155</v>
      </c>
      <c r="C5669" t="s">
        <v>8</v>
      </c>
      <c r="D5669">
        <v>1.9219999999999999</v>
      </c>
      <c r="E5669">
        <v>615</v>
      </c>
      <c r="F5669" t="str">
        <f>HYPERLINK("https://www.google.com/maps/search/?api=1&amp;query=24.67896902,46.78124561", "View Map")</f>
        <v>View Map</v>
      </c>
    </row>
    <row r="5670" spans="1:7" x14ac:dyDescent="0.3">
      <c r="A5670" t="s">
        <v>11002</v>
      </c>
      <c r="B5670" t="s">
        <v>11003</v>
      </c>
      <c r="C5670" t="s">
        <v>8</v>
      </c>
      <c r="D5670">
        <v>1.9219999999999999</v>
      </c>
      <c r="E5670">
        <v>615</v>
      </c>
      <c r="F5670" t="str">
        <f>HYPERLINK("https://www.google.com/maps/search/?api=1&amp;query=24.6289,46.5561", "View Map")</f>
        <v>View Map</v>
      </c>
    </row>
    <row r="5671" spans="1:7" x14ac:dyDescent="0.3">
      <c r="A5671" t="s">
        <v>10486</v>
      </c>
      <c r="B5671" t="s">
        <v>10487</v>
      </c>
      <c r="C5671" t="s">
        <v>21</v>
      </c>
      <c r="D5671">
        <v>1.921</v>
      </c>
      <c r="E5671">
        <v>615</v>
      </c>
      <c r="F5671" t="str">
        <f>HYPERLINK("https://www.google.com/maps/search/?api=1&amp;query=26.26303825,44.79285671", "View Map")</f>
        <v>View Map</v>
      </c>
      <c r="G5671" s="2">
        <v>0.68399903699254994</v>
      </c>
    </row>
    <row r="5672" spans="1:7" x14ac:dyDescent="0.3">
      <c r="A5672" t="s">
        <v>5352</v>
      </c>
      <c r="B5672" t="s">
        <v>12098</v>
      </c>
      <c r="C5672" t="s">
        <v>8</v>
      </c>
      <c r="D5672">
        <v>1.921</v>
      </c>
      <c r="E5672">
        <v>615</v>
      </c>
      <c r="F5672" t="str">
        <f>HYPERLINK("https://www.google.com/maps/search/?api=1&amp;query=24.68803298,46.75817434", "View Map")</f>
        <v>View Map</v>
      </c>
    </row>
    <row r="5673" spans="1:7" x14ac:dyDescent="0.3">
      <c r="A5673" t="s">
        <v>12099</v>
      </c>
      <c r="B5673" t="s">
        <v>12100</v>
      </c>
      <c r="C5673" t="s">
        <v>8</v>
      </c>
      <c r="D5673">
        <v>1.921</v>
      </c>
      <c r="E5673">
        <v>615</v>
      </c>
      <c r="F5673" t="str">
        <f>HYPERLINK("https://www.google.com/maps/search/?api=1&amp;query=24.68867538,46.74935793", "View Map")</f>
        <v>View Map</v>
      </c>
      <c r="G5673" s="2">
        <v>0.81938975745272169</v>
      </c>
    </row>
    <row r="5674" spans="1:7" x14ac:dyDescent="0.3">
      <c r="A5674" t="s">
        <v>2413</v>
      </c>
      <c r="B5674" t="s">
        <v>2414</v>
      </c>
      <c r="C5674" t="s">
        <v>8</v>
      </c>
      <c r="D5674">
        <v>1.921</v>
      </c>
      <c r="E5674">
        <v>615</v>
      </c>
      <c r="F5674" t="str">
        <f>HYPERLINK("https://www.google.com/maps/search/?api=1&amp;query=24.58118257,46.64172567", "View Map")</f>
        <v>View Map</v>
      </c>
    </row>
    <row r="5675" spans="1:7" x14ac:dyDescent="0.3">
      <c r="A5675" t="s">
        <v>46</v>
      </c>
      <c r="B5675" t="s">
        <v>12101</v>
      </c>
      <c r="C5675" t="s">
        <v>55</v>
      </c>
      <c r="D5675">
        <v>1.921</v>
      </c>
      <c r="E5675">
        <v>615</v>
      </c>
      <c r="F5675" t="str">
        <f>HYPERLINK("https://www.google.com/maps/search/?api=1&amp;query=24.78433,46.57876", "View Map")</f>
        <v>View Map</v>
      </c>
    </row>
    <row r="5676" spans="1:7" x14ac:dyDescent="0.3">
      <c r="A5676" t="s">
        <v>9637</v>
      </c>
      <c r="B5676" t="s">
        <v>9638</v>
      </c>
      <c r="C5676" t="s">
        <v>255</v>
      </c>
      <c r="D5676">
        <v>1.921</v>
      </c>
      <c r="E5676">
        <v>615</v>
      </c>
      <c r="F5676" t="str">
        <f>HYPERLINK("https://www.google.com/maps/search/?api=1&amp;query=24.68131743,43.63652046", "View Map")</f>
        <v>View Map</v>
      </c>
    </row>
    <row r="5677" spans="1:7" x14ac:dyDescent="0.3">
      <c r="A5677" t="s">
        <v>10225</v>
      </c>
      <c r="B5677" t="s">
        <v>10226</v>
      </c>
      <c r="C5677" t="s">
        <v>8</v>
      </c>
      <c r="D5677">
        <v>1.92</v>
      </c>
      <c r="E5677">
        <v>614</v>
      </c>
      <c r="F5677" t="str">
        <f>HYPERLINK("https://www.google.com/maps/search/?api=1&amp;query=24.63260131,46.70355403", "View Map")</f>
        <v>View Map</v>
      </c>
    </row>
    <row r="5678" spans="1:7" x14ac:dyDescent="0.3">
      <c r="A5678" t="s">
        <v>12102</v>
      </c>
      <c r="B5678" t="s">
        <v>12103</v>
      </c>
      <c r="C5678" t="s">
        <v>8</v>
      </c>
      <c r="D5678">
        <v>1.92</v>
      </c>
      <c r="E5678">
        <v>614</v>
      </c>
      <c r="F5678" t="str">
        <f>HYPERLINK("https://www.google.com/maps/search/?api=1&amp;query=24.70934578,46.84028891", "View Map")</f>
        <v>View Map</v>
      </c>
    </row>
    <row r="5679" spans="1:7" x14ac:dyDescent="0.3">
      <c r="A5679" t="s">
        <v>289</v>
      </c>
      <c r="B5679" t="s">
        <v>12104</v>
      </c>
      <c r="C5679" t="s">
        <v>291</v>
      </c>
      <c r="D5679">
        <v>1.919</v>
      </c>
      <c r="E5679">
        <v>614</v>
      </c>
      <c r="F5679" t="str">
        <f>HYPERLINK("https://www.google.com/maps/search/?api=1&amp;query=23.27814353,45.02982557", "View Map")</f>
        <v>View Map</v>
      </c>
      <c r="G5679" s="2">
        <v>0.83265569605949796</v>
      </c>
    </row>
    <row r="5680" spans="1:7" x14ac:dyDescent="0.3">
      <c r="A5680" t="s">
        <v>1790</v>
      </c>
      <c r="B5680" t="s">
        <v>8480</v>
      </c>
      <c r="C5680" t="s">
        <v>214</v>
      </c>
      <c r="D5680">
        <v>1.919</v>
      </c>
      <c r="E5680">
        <v>614</v>
      </c>
      <c r="F5680" t="str">
        <f>HYPERLINK("https://www.google.com/maps/search/?api=1&amp;query=26.51610134,45.35378274", "View Map")</f>
        <v>View Map</v>
      </c>
      <c r="G5680" s="2">
        <v>0.56072747033974113</v>
      </c>
    </row>
    <row r="5681" spans="1:7" x14ac:dyDescent="0.3">
      <c r="A5681" t="s">
        <v>46</v>
      </c>
      <c r="B5681" t="s">
        <v>10333</v>
      </c>
      <c r="C5681" t="s">
        <v>8</v>
      </c>
      <c r="D5681">
        <v>1.919</v>
      </c>
      <c r="E5681">
        <v>614</v>
      </c>
      <c r="F5681" t="str">
        <f>HYPERLINK("https://www.google.com/maps/search/?api=1&amp;query=24.73750858,46.85446625", "View Map")</f>
        <v>View Map</v>
      </c>
    </row>
    <row r="5682" spans="1:7" x14ac:dyDescent="0.3">
      <c r="A5682" t="s">
        <v>10368</v>
      </c>
      <c r="B5682" t="s">
        <v>10369</v>
      </c>
      <c r="C5682" t="s">
        <v>214</v>
      </c>
      <c r="D5682">
        <v>1.9179999999999999</v>
      </c>
      <c r="E5682">
        <v>614</v>
      </c>
      <c r="F5682" t="str">
        <f>HYPERLINK("https://www.google.com/maps/search/?api=1&amp;query=25.89624686,45.34235569", "View Map")</f>
        <v>View Map</v>
      </c>
      <c r="G5682" s="2">
        <v>0.41961011370039752</v>
      </c>
    </row>
    <row r="5683" spans="1:7" x14ac:dyDescent="0.3">
      <c r="A5683" t="s">
        <v>9925</v>
      </c>
      <c r="B5683" t="s">
        <v>9926</v>
      </c>
      <c r="C5683" t="s">
        <v>291</v>
      </c>
      <c r="D5683">
        <v>1.9179999999999999</v>
      </c>
      <c r="E5683">
        <v>614</v>
      </c>
      <c r="F5683" t="str">
        <f>HYPERLINK("https://www.google.com/maps/search/?api=1&amp;query=23.76244006,45.08238373", "View Map")</f>
        <v>View Map</v>
      </c>
      <c r="G5683" s="2">
        <v>0.5539321382069744</v>
      </c>
    </row>
    <row r="5684" spans="1:7" x14ac:dyDescent="0.3">
      <c r="A5684" t="s">
        <v>7149</v>
      </c>
      <c r="B5684" t="s">
        <v>7150</v>
      </c>
      <c r="C5684" t="s">
        <v>8</v>
      </c>
      <c r="D5684">
        <v>1.9179999999999999</v>
      </c>
      <c r="E5684">
        <v>614</v>
      </c>
      <c r="F5684" t="str">
        <f>HYPERLINK("https://www.google.com/maps/search/?api=1&amp;query=24.62204231,46.71914289", "View Map")</f>
        <v>View Map</v>
      </c>
    </row>
    <row r="5685" spans="1:7" x14ac:dyDescent="0.3">
      <c r="A5685" t="s">
        <v>12105</v>
      </c>
      <c r="B5685" t="s">
        <v>12106</v>
      </c>
      <c r="C5685" t="s">
        <v>699</v>
      </c>
      <c r="D5685">
        <v>1.9179999999999999</v>
      </c>
      <c r="E5685">
        <v>614</v>
      </c>
      <c r="F5685" t="str">
        <f>HYPERLINK("https://www.google.com/maps/search/?api=1&amp;query=24.80501462,45.21904443", "View Map")</f>
        <v>View Map</v>
      </c>
      <c r="G5685" s="2">
        <v>0.92390873332779622</v>
      </c>
    </row>
    <row r="5686" spans="1:7" x14ac:dyDescent="0.3">
      <c r="A5686" t="s">
        <v>9786</v>
      </c>
      <c r="B5686" t="s">
        <v>9787</v>
      </c>
      <c r="C5686" t="s">
        <v>21</v>
      </c>
      <c r="D5686">
        <v>1.9179999999999999</v>
      </c>
      <c r="E5686">
        <v>614</v>
      </c>
      <c r="F5686" t="str">
        <f>HYPERLINK("https://www.google.com/maps/search/?api=1&amp;query=26.2760316,44.79253332", "View Map")</f>
        <v>View Map</v>
      </c>
      <c r="G5686" s="2">
        <v>0.6009954934181736</v>
      </c>
    </row>
    <row r="5687" spans="1:7" x14ac:dyDescent="0.3">
      <c r="A5687" t="s">
        <v>10131</v>
      </c>
      <c r="B5687" t="s">
        <v>10132</v>
      </c>
      <c r="C5687" t="s">
        <v>286</v>
      </c>
      <c r="D5687">
        <v>1.9179999999999999</v>
      </c>
      <c r="E5687">
        <v>614</v>
      </c>
      <c r="F5687" t="str">
        <f>HYPERLINK("https://www.google.com/maps/search/?api=1&amp;query=25.57061311,45.27738102", "View Map")</f>
        <v>View Map</v>
      </c>
    </row>
    <row r="5688" spans="1:7" x14ac:dyDescent="0.3">
      <c r="A5688" t="s">
        <v>12107</v>
      </c>
      <c r="B5688" t="s">
        <v>12108</v>
      </c>
      <c r="C5688" t="s">
        <v>8</v>
      </c>
      <c r="D5688">
        <v>1.9179999999999999</v>
      </c>
      <c r="E5688">
        <v>614</v>
      </c>
      <c r="F5688" t="str">
        <f>HYPERLINK("https://www.google.com/maps/search/?api=1&amp;query=24.75511,46.88232", "View Map")</f>
        <v>View Map</v>
      </c>
    </row>
    <row r="5689" spans="1:7" x14ac:dyDescent="0.3">
      <c r="A5689" t="s">
        <v>10112</v>
      </c>
      <c r="B5689" t="s">
        <v>10113</v>
      </c>
      <c r="C5689" t="s">
        <v>8</v>
      </c>
      <c r="D5689">
        <v>1.917</v>
      </c>
      <c r="E5689">
        <v>613</v>
      </c>
      <c r="F5689" t="str">
        <f>HYPERLINK("https://www.google.com/maps/search/?api=1&amp;query=24.58734101,46.58076877", "View Map")</f>
        <v>View Map</v>
      </c>
    </row>
    <row r="5690" spans="1:7" x14ac:dyDescent="0.3">
      <c r="A5690" t="s">
        <v>12109</v>
      </c>
      <c r="B5690" t="s">
        <v>12110</v>
      </c>
      <c r="C5690" t="s">
        <v>8</v>
      </c>
      <c r="D5690">
        <v>1.917</v>
      </c>
      <c r="E5690">
        <v>614</v>
      </c>
      <c r="F5690" t="str">
        <f>HYPERLINK("https://www.google.com/maps/search/?api=1&amp;query=24.78273093,46.70705995", "View Map")</f>
        <v>View Map</v>
      </c>
    </row>
    <row r="5691" spans="1:7" x14ac:dyDescent="0.3">
      <c r="A5691" t="s">
        <v>10087</v>
      </c>
      <c r="B5691" t="s">
        <v>10088</v>
      </c>
      <c r="C5691" t="s">
        <v>241</v>
      </c>
      <c r="D5691">
        <v>1.917</v>
      </c>
      <c r="E5691">
        <v>613</v>
      </c>
      <c r="F5691" t="str">
        <f>HYPERLINK("https://www.google.com/maps/search/?api=1&amp;query=21.51459893,43.92254326", "View Map")</f>
        <v>View Map</v>
      </c>
      <c r="G5691" s="2">
        <v>0.77333386750468636</v>
      </c>
    </row>
    <row r="5692" spans="1:7" x14ac:dyDescent="0.3">
      <c r="A5692" t="s">
        <v>717</v>
      </c>
      <c r="B5692" t="s">
        <v>10258</v>
      </c>
      <c r="C5692" t="s">
        <v>255</v>
      </c>
      <c r="D5692">
        <v>1.9159999999999999</v>
      </c>
      <c r="E5692">
        <v>613</v>
      </c>
      <c r="F5692" t="str">
        <f>HYPERLINK("https://www.google.com/maps/search/?api=1&amp;query=24.52465644,45.03134405", "View Map")</f>
        <v>View Map</v>
      </c>
      <c r="G5692" s="2">
        <v>0.86292236573233538</v>
      </c>
    </row>
    <row r="5693" spans="1:7" x14ac:dyDescent="0.3">
      <c r="A5693" t="s">
        <v>464</v>
      </c>
      <c r="B5693" t="s">
        <v>4559</v>
      </c>
      <c r="C5693" t="s">
        <v>466</v>
      </c>
      <c r="D5693">
        <v>1.9159999999999999</v>
      </c>
      <c r="E5693">
        <v>613</v>
      </c>
      <c r="F5693" t="str">
        <f>HYPERLINK("https://www.google.com/maps/search/?api=1&amp;query=24.52122093,46.13405041", "View Map")</f>
        <v>View Map</v>
      </c>
      <c r="G5693" s="2">
        <v>0.27044385178619629</v>
      </c>
    </row>
    <row r="5694" spans="1:7" x14ac:dyDescent="0.3">
      <c r="A5694" t="s">
        <v>5541</v>
      </c>
      <c r="B5694" t="s">
        <v>5542</v>
      </c>
      <c r="C5694" t="s">
        <v>646</v>
      </c>
      <c r="D5694">
        <v>1.915</v>
      </c>
      <c r="E5694">
        <v>613</v>
      </c>
      <c r="F5694" t="str">
        <f>HYPERLINK("https://www.google.com/maps/search/?api=1&amp;query=20.55834359,45.7333506", "View Map")</f>
        <v>View Map</v>
      </c>
      <c r="G5694" s="2">
        <v>0.57821712503968958</v>
      </c>
    </row>
    <row r="5695" spans="1:7" x14ac:dyDescent="0.3">
      <c r="A5695" t="s">
        <v>717</v>
      </c>
      <c r="B5695" t="s">
        <v>8187</v>
      </c>
      <c r="C5695" t="s">
        <v>255</v>
      </c>
      <c r="D5695">
        <v>1.915</v>
      </c>
      <c r="E5695">
        <v>613</v>
      </c>
      <c r="F5695" t="str">
        <f>HYPERLINK("https://www.google.com/maps/search/?api=1&amp;query=24.49640596,44.35814961", "View Map")</f>
        <v>View Map</v>
      </c>
      <c r="G5695" s="2">
        <v>0.50183158734689715</v>
      </c>
    </row>
    <row r="5696" spans="1:7" x14ac:dyDescent="0.3">
      <c r="A5696" t="s">
        <v>22</v>
      </c>
      <c r="B5696" t="s">
        <v>8360</v>
      </c>
      <c r="C5696" t="s">
        <v>8</v>
      </c>
      <c r="D5696">
        <v>1.915</v>
      </c>
      <c r="E5696">
        <v>613</v>
      </c>
      <c r="F5696" t="str">
        <f>HYPERLINK("https://www.google.com/maps/search/?api=1&amp;query=24.69241886,46.84997592", "View Map")</f>
        <v>View Map</v>
      </c>
    </row>
    <row r="5697" spans="1:7" x14ac:dyDescent="0.3">
      <c r="A5697" t="s">
        <v>11015</v>
      </c>
      <c r="B5697" t="s">
        <v>11016</v>
      </c>
      <c r="C5697" t="s">
        <v>393</v>
      </c>
      <c r="D5697">
        <v>1.915</v>
      </c>
      <c r="E5697">
        <v>613</v>
      </c>
      <c r="F5697" t="str">
        <f>HYPERLINK("https://www.google.com/maps/search/?api=1&amp;query=23.60311794,45.44275742", "View Map")</f>
        <v>View Map</v>
      </c>
      <c r="G5697" s="2">
        <v>0.6632656800980683</v>
      </c>
    </row>
    <row r="5698" spans="1:7" x14ac:dyDescent="0.3">
      <c r="A5698" t="s">
        <v>12111</v>
      </c>
      <c r="B5698" t="s">
        <v>12112</v>
      </c>
      <c r="C5698" t="s">
        <v>16</v>
      </c>
      <c r="D5698">
        <v>1.915</v>
      </c>
      <c r="E5698">
        <v>613</v>
      </c>
      <c r="F5698" t="str">
        <f>HYPERLINK("https://www.google.com/maps/search/?api=1&amp;query=23.94019753,42.84579042", "View Map")</f>
        <v>View Map</v>
      </c>
      <c r="G5698" s="2">
        <v>0.41353618577333329</v>
      </c>
    </row>
    <row r="5699" spans="1:7" x14ac:dyDescent="0.3">
      <c r="A5699" t="s">
        <v>9770</v>
      </c>
      <c r="B5699" t="s">
        <v>9771</v>
      </c>
      <c r="C5699" t="s">
        <v>8</v>
      </c>
      <c r="D5699">
        <v>1.915</v>
      </c>
      <c r="E5699">
        <v>613</v>
      </c>
      <c r="F5699" t="str">
        <f>HYPERLINK("https://www.google.com/maps/search/?api=1&amp;query=24.57079633,46.64131907", "View Map")</f>
        <v>View Map</v>
      </c>
    </row>
    <row r="5700" spans="1:7" x14ac:dyDescent="0.3">
      <c r="A5700" t="s">
        <v>8142</v>
      </c>
      <c r="B5700" t="s">
        <v>10702</v>
      </c>
      <c r="C5700" t="s">
        <v>8</v>
      </c>
      <c r="D5700">
        <v>1.915</v>
      </c>
      <c r="E5700">
        <v>613</v>
      </c>
      <c r="F5700" t="str">
        <f>HYPERLINK("https://www.google.com/maps/search/?api=1&amp;query=24.78894063,46.65282893", "View Map")</f>
        <v>View Map</v>
      </c>
    </row>
    <row r="5701" spans="1:7" x14ac:dyDescent="0.3">
      <c r="A5701" t="s">
        <v>10128</v>
      </c>
      <c r="B5701" t="s">
        <v>10129</v>
      </c>
      <c r="C5701" t="s">
        <v>77</v>
      </c>
      <c r="D5701">
        <v>1.9139999999999999</v>
      </c>
      <c r="E5701">
        <v>613</v>
      </c>
      <c r="F5701" t="str">
        <f>HYPERLINK("https://www.google.com/maps/search/?api=1&amp;query=22.41563592,46.60517186", "View Map")</f>
        <v>View Map</v>
      </c>
      <c r="G5701" s="2">
        <v>0.503515876690388</v>
      </c>
    </row>
    <row r="5702" spans="1:7" x14ac:dyDescent="0.3">
      <c r="A5702" t="s">
        <v>12113</v>
      </c>
      <c r="B5702" t="s">
        <v>12114</v>
      </c>
      <c r="C5702" t="s">
        <v>137</v>
      </c>
      <c r="D5702">
        <v>1.913</v>
      </c>
      <c r="E5702">
        <v>612</v>
      </c>
      <c r="F5702" t="str">
        <f>HYPERLINK("https://www.google.com/maps/search/?api=1&amp;query=22.98529158,46.09653676", "View Map")</f>
        <v>View Map</v>
      </c>
      <c r="G5702" s="2">
        <v>0.78576788763218874</v>
      </c>
    </row>
    <row r="5703" spans="1:7" x14ac:dyDescent="0.3">
      <c r="A5703" t="s">
        <v>12115</v>
      </c>
      <c r="B5703" t="s">
        <v>12116</v>
      </c>
      <c r="C5703" t="s">
        <v>8</v>
      </c>
      <c r="D5703">
        <v>1.913</v>
      </c>
      <c r="E5703">
        <v>612</v>
      </c>
      <c r="F5703" t="str">
        <f>HYPERLINK("https://www.google.com/maps/search/?api=1&amp;query=24.637199,46.70656693", "View Map")</f>
        <v>View Map</v>
      </c>
    </row>
    <row r="5704" spans="1:7" x14ac:dyDescent="0.3">
      <c r="A5704" t="s">
        <v>12117</v>
      </c>
      <c r="B5704" t="s">
        <v>12118</v>
      </c>
      <c r="C5704" t="s">
        <v>8</v>
      </c>
      <c r="D5704">
        <v>1.913</v>
      </c>
      <c r="E5704">
        <v>612</v>
      </c>
      <c r="F5704" t="str">
        <f>HYPERLINK("https://www.google.com/maps/search/?api=1&amp;query=24.56470211,46.78912401", "View Map")</f>
        <v>View Map</v>
      </c>
    </row>
    <row r="5705" spans="1:7" x14ac:dyDescent="0.3">
      <c r="A5705" t="s">
        <v>8736</v>
      </c>
      <c r="B5705" t="s">
        <v>8737</v>
      </c>
      <c r="C5705" t="s">
        <v>21</v>
      </c>
      <c r="D5705">
        <v>1.913</v>
      </c>
      <c r="E5705">
        <v>612</v>
      </c>
      <c r="F5705" t="str">
        <f>HYPERLINK("https://www.google.com/maps/search/?api=1&amp;query=26.26494747,44.79687218", "View Map")</f>
        <v>View Map</v>
      </c>
      <c r="G5705" s="2">
        <v>0.74597019815353416</v>
      </c>
    </row>
    <row r="5706" spans="1:7" x14ac:dyDescent="0.3">
      <c r="A5706" t="s">
        <v>8411</v>
      </c>
      <c r="B5706" t="s">
        <v>8412</v>
      </c>
      <c r="C5706" t="s">
        <v>393</v>
      </c>
      <c r="D5706">
        <v>1.913</v>
      </c>
      <c r="E5706">
        <v>612</v>
      </c>
      <c r="F5706" t="str">
        <f>HYPERLINK("https://www.google.com/maps/search/?api=1&amp;query=23.53838271,45.50760327", "View Map")</f>
        <v>View Map</v>
      </c>
      <c r="G5706" s="2">
        <v>0.32459121248293449</v>
      </c>
    </row>
    <row r="5707" spans="1:7" x14ac:dyDescent="0.3">
      <c r="A5707" t="s">
        <v>11094</v>
      </c>
      <c r="B5707" t="s">
        <v>11095</v>
      </c>
      <c r="C5707" t="s">
        <v>291</v>
      </c>
      <c r="D5707">
        <v>1.9119999999999999</v>
      </c>
      <c r="E5707">
        <v>612</v>
      </c>
      <c r="F5707" t="str">
        <f>HYPERLINK("https://www.google.com/maps/search/?api=1&amp;query=23.76516473,44.72807497", "View Map")</f>
        <v>View Map</v>
      </c>
      <c r="G5707" s="2">
        <v>0.6969323688348219</v>
      </c>
    </row>
    <row r="5708" spans="1:7" x14ac:dyDescent="0.3">
      <c r="A5708" t="s">
        <v>8641</v>
      </c>
      <c r="B5708" t="s">
        <v>8642</v>
      </c>
      <c r="C5708" t="s">
        <v>8</v>
      </c>
      <c r="D5708">
        <v>1.9119999999999999</v>
      </c>
      <c r="E5708">
        <v>612</v>
      </c>
      <c r="F5708" t="str">
        <f>HYPERLINK("https://www.google.com/maps/search/?api=1&amp;query=24.56270043,46.78574292", "View Map")</f>
        <v>View Map</v>
      </c>
    </row>
    <row r="5709" spans="1:7" x14ac:dyDescent="0.3">
      <c r="A5709" t="s">
        <v>11033</v>
      </c>
      <c r="B5709" t="s">
        <v>11034</v>
      </c>
      <c r="C5709" t="s">
        <v>8</v>
      </c>
      <c r="D5709">
        <v>1.9119999999999999</v>
      </c>
      <c r="E5709">
        <v>612</v>
      </c>
      <c r="F5709" t="str">
        <f>HYPERLINK("https://www.google.com/maps/search/?api=1&amp;query=24.81544704,46.75906188", "View Map")</f>
        <v>View Map</v>
      </c>
    </row>
    <row r="5710" spans="1:7" x14ac:dyDescent="0.3">
      <c r="A5710" t="s">
        <v>9970</v>
      </c>
      <c r="B5710" t="s">
        <v>9971</v>
      </c>
      <c r="C5710" t="s">
        <v>8</v>
      </c>
      <c r="D5710">
        <v>1.911</v>
      </c>
      <c r="E5710">
        <v>611</v>
      </c>
      <c r="F5710" t="str">
        <f>HYPERLINK("https://www.google.com/maps/search/?api=1&amp;query=24.67824282,46.74213766", "View Map")</f>
        <v>View Map</v>
      </c>
    </row>
    <row r="5711" spans="1:7" x14ac:dyDescent="0.3">
      <c r="A5711" t="s">
        <v>289</v>
      </c>
      <c r="B5711" t="s">
        <v>12119</v>
      </c>
      <c r="C5711" t="s">
        <v>291</v>
      </c>
      <c r="D5711">
        <v>1.911</v>
      </c>
      <c r="E5711">
        <v>612</v>
      </c>
      <c r="F5711" t="str">
        <f>HYPERLINK("https://www.google.com/maps/search/?api=1&amp;query=24.08031582,45.33186385", "View Map")</f>
        <v>View Map</v>
      </c>
    </row>
    <row r="5712" spans="1:7" x14ac:dyDescent="0.3">
      <c r="A5712" t="s">
        <v>411</v>
      </c>
      <c r="B5712" t="s">
        <v>10108</v>
      </c>
      <c r="C5712" t="s">
        <v>77</v>
      </c>
      <c r="D5712">
        <v>1.909</v>
      </c>
      <c r="E5712">
        <v>611</v>
      </c>
      <c r="F5712" t="str">
        <f>HYPERLINK("https://www.google.com/maps/search/?api=1&amp;query=22.27756152,46.72174519", "View Map")</f>
        <v>View Map</v>
      </c>
      <c r="G5712" s="2">
        <v>0.95906787539593297</v>
      </c>
    </row>
    <row r="5713" spans="1:7" x14ac:dyDescent="0.3">
      <c r="A5713" t="s">
        <v>46</v>
      </c>
      <c r="B5713" t="s">
        <v>10114</v>
      </c>
      <c r="C5713" t="s">
        <v>8</v>
      </c>
      <c r="D5713">
        <v>1.909</v>
      </c>
      <c r="E5713">
        <v>611</v>
      </c>
      <c r="F5713" t="str">
        <f>HYPERLINK("https://www.google.com/maps/search/?api=1&amp;query=24.89909243,46.86152296", "View Map")</f>
        <v>View Map</v>
      </c>
    </row>
    <row r="5714" spans="1:7" x14ac:dyDescent="0.3">
      <c r="A5714" t="s">
        <v>8289</v>
      </c>
      <c r="B5714" t="s">
        <v>8290</v>
      </c>
      <c r="C5714" t="s">
        <v>214</v>
      </c>
      <c r="D5714">
        <v>1.909</v>
      </c>
      <c r="E5714">
        <v>611</v>
      </c>
      <c r="F5714" t="str">
        <f>HYPERLINK("https://www.google.com/maps/search/?api=1&amp;query=25.6253869,45.5756217", "View Map")</f>
        <v>View Map</v>
      </c>
      <c r="G5714" s="2">
        <v>0.45176779910491449</v>
      </c>
    </row>
    <row r="5715" spans="1:7" x14ac:dyDescent="0.3">
      <c r="A5715" t="s">
        <v>9559</v>
      </c>
      <c r="B5715" t="s">
        <v>9560</v>
      </c>
      <c r="C5715" t="s">
        <v>214</v>
      </c>
      <c r="D5715">
        <v>1.909</v>
      </c>
      <c r="E5715">
        <v>611</v>
      </c>
      <c r="F5715" t="str">
        <f>HYPERLINK("https://www.google.com/maps/search/?api=1&amp;query=25.69664192,45.88027634", "View Map")</f>
        <v>View Map</v>
      </c>
      <c r="G5715" s="2">
        <v>0.38444587882254472</v>
      </c>
    </row>
    <row r="5716" spans="1:7" x14ac:dyDescent="0.3">
      <c r="A5716" t="s">
        <v>8437</v>
      </c>
      <c r="B5716" t="s">
        <v>8438</v>
      </c>
      <c r="C5716" t="s">
        <v>8</v>
      </c>
      <c r="D5716">
        <v>1.907</v>
      </c>
      <c r="E5716">
        <v>610</v>
      </c>
      <c r="F5716" t="str">
        <f>HYPERLINK("https://www.google.com/maps/search/?api=1&amp;query=24.53856303,46.64038544", "View Map")</f>
        <v>View Map</v>
      </c>
    </row>
    <row r="5717" spans="1:7" x14ac:dyDescent="0.3">
      <c r="A5717" t="s">
        <v>10923</v>
      </c>
      <c r="B5717" t="s">
        <v>10924</v>
      </c>
      <c r="C5717" t="s">
        <v>255</v>
      </c>
      <c r="D5717">
        <v>1.907</v>
      </c>
      <c r="E5717">
        <v>610</v>
      </c>
      <c r="F5717" t="str">
        <f>HYPERLINK("https://www.google.com/maps/search/?api=1&amp;query=24.20045799,43.84274351", "View Map")</f>
        <v>View Map</v>
      </c>
    </row>
    <row r="5718" spans="1:7" x14ac:dyDescent="0.3">
      <c r="A5718" t="s">
        <v>12120</v>
      </c>
      <c r="B5718" t="s">
        <v>12121</v>
      </c>
      <c r="C5718" t="s">
        <v>442</v>
      </c>
      <c r="D5718">
        <v>1.907</v>
      </c>
      <c r="E5718">
        <v>610</v>
      </c>
      <c r="F5718" t="str">
        <f>HYPERLINK("https://www.google.com/maps/search/?api=1&amp;query=23.63313246,46.50165001", "View Map")</f>
        <v>View Map</v>
      </c>
    </row>
    <row r="5719" spans="1:7" x14ac:dyDescent="0.3">
      <c r="A5719" t="s">
        <v>7516</v>
      </c>
      <c r="B5719" t="s">
        <v>7517</v>
      </c>
      <c r="C5719" t="s">
        <v>8</v>
      </c>
      <c r="D5719">
        <v>1.9059999999999999</v>
      </c>
      <c r="E5719">
        <v>610</v>
      </c>
      <c r="F5719" t="str">
        <f>HYPERLINK("https://www.google.com/maps/search/?api=1&amp;query=24.60962188,46.64449755", "View Map")</f>
        <v>View Map</v>
      </c>
    </row>
    <row r="5720" spans="1:7" x14ac:dyDescent="0.3">
      <c r="A5720" t="s">
        <v>9888</v>
      </c>
      <c r="B5720" t="s">
        <v>9889</v>
      </c>
      <c r="C5720" t="s">
        <v>8</v>
      </c>
      <c r="D5720">
        <v>1.9059999999999999</v>
      </c>
      <c r="E5720">
        <v>610</v>
      </c>
      <c r="F5720" t="str">
        <f>HYPERLINK("https://www.google.com/maps/search/?api=1&amp;query=24.62840099,46.69764364", "View Map")</f>
        <v>View Map</v>
      </c>
    </row>
    <row r="5721" spans="1:7" x14ac:dyDescent="0.3">
      <c r="A5721" t="s">
        <v>289</v>
      </c>
      <c r="B5721" t="s">
        <v>9537</v>
      </c>
      <c r="C5721" t="s">
        <v>291</v>
      </c>
      <c r="D5721">
        <v>1.905</v>
      </c>
      <c r="E5721">
        <v>610</v>
      </c>
      <c r="F5721" t="str">
        <f>HYPERLINK("https://www.google.com/maps/search/?api=1&amp;query=24.09542405,45.3058757", "View Map")</f>
        <v>View Map</v>
      </c>
      <c r="G5721" s="2">
        <v>0.55929681947659671</v>
      </c>
    </row>
    <row r="5722" spans="1:7" x14ac:dyDescent="0.3">
      <c r="A5722" t="s">
        <v>9529</v>
      </c>
      <c r="B5722" t="s">
        <v>9530</v>
      </c>
      <c r="C5722" t="s">
        <v>8</v>
      </c>
      <c r="D5722">
        <v>1.905</v>
      </c>
      <c r="E5722">
        <v>610</v>
      </c>
      <c r="F5722" t="str">
        <f>HYPERLINK("https://www.google.com/maps/search/?api=1&amp;query=24.63375857,46.72684731", "View Map")</f>
        <v>View Map</v>
      </c>
    </row>
    <row r="5723" spans="1:7" x14ac:dyDescent="0.3">
      <c r="A5723" t="s">
        <v>10307</v>
      </c>
      <c r="B5723" t="s">
        <v>10308</v>
      </c>
      <c r="C5723" t="s">
        <v>8</v>
      </c>
      <c r="D5723">
        <v>1.9039999999999999</v>
      </c>
      <c r="E5723">
        <v>609</v>
      </c>
      <c r="F5723" t="str">
        <f>HYPERLINK("https://www.google.com/maps/search/?api=1&amp;query=24.63499489,46.69469169", "View Map")</f>
        <v>View Map</v>
      </c>
    </row>
    <row r="5724" spans="1:7" x14ac:dyDescent="0.3">
      <c r="A5724" t="s">
        <v>6816</v>
      </c>
      <c r="B5724" t="s">
        <v>6817</v>
      </c>
      <c r="C5724" t="s">
        <v>8</v>
      </c>
      <c r="D5724">
        <v>1.9039999999999999</v>
      </c>
      <c r="E5724">
        <v>609</v>
      </c>
      <c r="F5724" t="str">
        <f>HYPERLINK("https://www.google.com/maps/search/?api=1&amp;query=24.59483491,46.64885068", "View Map")</f>
        <v>View Map</v>
      </c>
    </row>
    <row r="5725" spans="1:7" x14ac:dyDescent="0.3">
      <c r="A5725" t="s">
        <v>2985</v>
      </c>
      <c r="B5725" t="s">
        <v>2986</v>
      </c>
      <c r="C5725" t="s">
        <v>21</v>
      </c>
      <c r="D5725">
        <v>1.9039999999999999</v>
      </c>
      <c r="E5725">
        <v>609</v>
      </c>
      <c r="F5725" t="str">
        <f>HYPERLINK("https://www.google.com/maps/search/?api=1&amp;query=26.25015625,44.8280527", "View Map")</f>
        <v>View Map</v>
      </c>
    </row>
    <row r="5726" spans="1:7" x14ac:dyDescent="0.3">
      <c r="A5726" t="s">
        <v>11035</v>
      </c>
      <c r="B5726" t="s">
        <v>11036</v>
      </c>
      <c r="C5726" t="s">
        <v>466</v>
      </c>
      <c r="D5726">
        <v>1.9039999999999999</v>
      </c>
      <c r="E5726">
        <v>609</v>
      </c>
      <c r="F5726" t="str">
        <f>HYPERLINK("https://www.google.com/maps/search/?api=1&amp;query=24.58602379,46.13305328", "View Map")</f>
        <v>View Map</v>
      </c>
      <c r="G5726" s="2">
        <v>0.7680449919490171</v>
      </c>
    </row>
    <row r="5727" spans="1:7" x14ac:dyDescent="0.3">
      <c r="A5727" t="s">
        <v>150</v>
      </c>
      <c r="B5727" t="s">
        <v>12122</v>
      </c>
      <c r="C5727" t="s">
        <v>55</v>
      </c>
      <c r="D5727">
        <v>1.9039999999999999</v>
      </c>
      <c r="E5727">
        <v>609</v>
      </c>
      <c r="F5727" t="str">
        <f>HYPERLINK("https://www.google.com/maps/search/?api=1&amp;query=24.77341542,46.57789839", "View Map")</f>
        <v>View Map</v>
      </c>
    </row>
    <row r="5728" spans="1:7" x14ac:dyDescent="0.3">
      <c r="A5728" t="s">
        <v>4928</v>
      </c>
      <c r="B5728" t="s">
        <v>4929</v>
      </c>
      <c r="C5728" t="s">
        <v>8</v>
      </c>
      <c r="D5728">
        <v>1.9039999999999999</v>
      </c>
      <c r="E5728">
        <v>609</v>
      </c>
      <c r="F5728" t="str">
        <f>HYPERLINK("https://www.google.com/maps/search/?api=1&amp;query=24.68567,46.71372", "View Map")</f>
        <v>View Map</v>
      </c>
    </row>
    <row r="5729" spans="1:7" x14ac:dyDescent="0.3">
      <c r="A5729" t="s">
        <v>9429</v>
      </c>
      <c r="B5729" t="s">
        <v>9430</v>
      </c>
      <c r="C5729" t="s">
        <v>255</v>
      </c>
      <c r="D5729">
        <v>1.9039999999999999</v>
      </c>
      <c r="E5729">
        <v>609</v>
      </c>
      <c r="F5729" t="str">
        <f>HYPERLINK("https://www.google.com/maps/search/?api=1&amp;query=24.53956506,44.27508693", "View Map")</f>
        <v>View Map</v>
      </c>
      <c r="G5729" s="2">
        <v>0.78570826226907675</v>
      </c>
    </row>
    <row r="5730" spans="1:7" x14ac:dyDescent="0.3">
      <c r="A5730" t="s">
        <v>5636</v>
      </c>
      <c r="B5730" t="s">
        <v>5637</v>
      </c>
      <c r="C5730" t="s">
        <v>8</v>
      </c>
      <c r="D5730">
        <v>1.9039999999999999</v>
      </c>
      <c r="E5730">
        <v>609</v>
      </c>
      <c r="F5730" t="str">
        <f>HYPERLINK("https://www.google.com/maps/search/?api=1&amp;query=24.65627271,46.73709355", "View Map")</f>
        <v>View Map</v>
      </c>
    </row>
    <row r="5731" spans="1:7" x14ac:dyDescent="0.3">
      <c r="A5731" t="s">
        <v>10095</v>
      </c>
      <c r="B5731" t="s">
        <v>10096</v>
      </c>
      <c r="C5731" t="s">
        <v>8</v>
      </c>
      <c r="D5731">
        <v>1.903</v>
      </c>
      <c r="E5731">
        <v>609</v>
      </c>
      <c r="F5731" t="str">
        <f>HYPERLINK("https://www.google.com/maps/search/?api=1&amp;query=24.56507762,46.75921428", "View Map")</f>
        <v>View Map</v>
      </c>
    </row>
    <row r="5732" spans="1:7" x14ac:dyDescent="0.3">
      <c r="A5732" t="s">
        <v>8478</v>
      </c>
      <c r="B5732" t="s">
        <v>8479</v>
      </c>
      <c r="C5732" t="s">
        <v>8</v>
      </c>
      <c r="D5732">
        <v>1.903</v>
      </c>
      <c r="E5732">
        <v>609</v>
      </c>
      <c r="F5732" t="str">
        <f>HYPERLINK("https://www.google.com/maps/search/?api=1&amp;query=24.60542385,46.71308178", "View Map")</f>
        <v>View Map</v>
      </c>
    </row>
    <row r="5733" spans="1:7" x14ac:dyDescent="0.3">
      <c r="A5733" t="s">
        <v>12123</v>
      </c>
      <c r="B5733" t="s">
        <v>12124</v>
      </c>
      <c r="C5733" t="s">
        <v>8</v>
      </c>
      <c r="D5733">
        <v>1.903</v>
      </c>
      <c r="E5733">
        <v>609</v>
      </c>
      <c r="F5733" t="str">
        <f>HYPERLINK("https://www.google.com/maps/search/?api=1&amp;query=24.8342,46.6328", "View Map")</f>
        <v>View Map</v>
      </c>
    </row>
    <row r="5734" spans="1:7" x14ac:dyDescent="0.3">
      <c r="A5734" t="s">
        <v>8974</v>
      </c>
      <c r="B5734" t="s">
        <v>8975</v>
      </c>
      <c r="C5734" t="s">
        <v>214</v>
      </c>
      <c r="D5734">
        <v>1.9019999999999999</v>
      </c>
      <c r="E5734">
        <v>609</v>
      </c>
      <c r="F5734" t="str">
        <f>HYPERLINK("https://www.google.com/maps/search/?api=1&amp;query=26.14862128,46.15637355", "View Map")</f>
        <v>View Map</v>
      </c>
      <c r="G5734" s="2">
        <v>0.48799189549702582</v>
      </c>
    </row>
    <row r="5735" spans="1:7" x14ac:dyDescent="0.3">
      <c r="A5735" t="s">
        <v>717</v>
      </c>
      <c r="B5735" t="s">
        <v>10238</v>
      </c>
      <c r="C5735" t="s">
        <v>255</v>
      </c>
      <c r="D5735">
        <v>1.9019999999999999</v>
      </c>
      <c r="E5735">
        <v>609</v>
      </c>
      <c r="F5735" t="str">
        <f>HYPERLINK("https://www.google.com/maps/search/?api=1&amp;query=24.70065778,44.29033148", "View Map")</f>
        <v>View Map</v>
      </c>
      <c r="G5735" s="2">
        <v>0.45316881134195541</v>
      </c>
    </row>
    <row r="5736" spans="1:7" x14ac:dyDescent="0.3">
      <c r="A5736" t="s">
        <v>8733</v>
      </c>
      <c r="B5736" t="s">
        <v>8734</v>
      </c>
      <c r="C5736" t="s">
        <v>55</v>
      </c>
      <c r="D5736">
        <v>1.901</v>
      </c>
      <c r="E5736">
        <v>608</v>
      </c>
      <c r="F5736" t="str">
        <f>HYPERLINK("https://www.google.com/maps/search/?api=1&amp;query=24.99169954,46.23244505", "View Map")</f>
        <v>View Map</v>
      </c>
      <c r="G5736" s="2">
        <v>0.47106177799133891</v>
      </c>
    </row>
    <row r="5737" spans="1:7" x14ac:dyDescent="0.3">
      <c r="A5737" t="s">
        <v>9669</v>
      </c>
      <c r="B5737" t="s">
        <v>9670</v>
      </c>
      <c r="C5737" t="s">
        <v>8</v>
      </c>
      <c r="D5737">
        <v>1.901</v>
      </c>
      <c r="E5737">
        <v>608</v>
      </c>
      <c r="F5737" t="str">
        <f>HYPERLINK("https://www.google.com/maps/search/?api=1&amp;query=24.81478987,46.8314077", "View Map")</f>
        <v>View Map</v>
      </c>
    </row>
    <row r="5738" spans="1:7" x14ac:dyDescent="0.3">
      <c r="A5738" t="s">
        <v>1459</v>
      </c>
      <c r="B5738" t="s">
        <v>1460</v>
      </c>
      <c r="C5738" t="s">
        <v>8</v>
      </c>
      <c r="D5738">
        <v>1.9</v>
      </c>
      <c r="E5738">
        <v>608</v>
      </c>
      <c r="F5738" t="str">
        <f>HYPERLINK("https://www.google.com/maps/search/?api=1&amp;query=24.59949314,46.70537345", "View Map")</f>
        <v>View Map</v>
      </c>
      <c r="G5738" s="2">
        <v>0.21322116367625851</v>
      </c>
    </row>
    <row r="5739" spans="1:7" x14ac:dyDescent="0.3">
      <c r="A5739" t="s">
        <v>1002</v>
      </c>
      <c r="B5739" t="s">
        <v>9675</v>
      </c>
      <c r="C5739" t="s">
        <v>214</v>
      </c>
      <c r="D5739">
        <v>1.9</v>
      </c>
      <c r="E5739">
        <v>608</v>
      </c>
      <c r="F5739" t="str">
        <f>HYPERLINK("https://www.google.com/maps/search/?api=1&amp;query=25.9303779,45.37408238", "View Map")</f>
        <v>View Map</v>
      </c>
      <c r="G5739" s="2">
        <v>0.45195724496261602</v>
      </c>
    </row>
    <row r="5740" spans="1:7" x14ac:dyDescent="0.3">
      <c r="A5740" t="s">
        <v>1273</v>
      </c>
      <c r="B5740" t="s">
        <v>11207</v>
      </c>
      <c r="C5740" t="s">
        <v>241</v>
      </c>
      <c r="D5740">
        <v>1.899</v>
      </c>
      <c r="E5740">
        <v>608</v>
      </c>
      <c r="F5740" t="str">
        <f>HYPERLINK("https://www.google.com/maps/search/?api=1&amp;query=20.44236314,45.10328028", "View Map")</f>
        <v>View Map</v>
      </c>
    </row>
    <row r="5741" spans="1:7" x14ac:dyDescent="0.3">
      <c r="A5741" t="s">
        <v>22</v>
      </c>
      <c r="B5741" t="s">
        <v>10330</v>
      </c>
      <c r="C5741" t="s">
        <v>241</v>
      </c>
      <c r="D5741">
        <v>1.8979999999999999</v>
      </c>
      <c r="E5741">
        <v>607</v>
      </c>
      <c r="F5741" t="str">
        <f>HYPERLINK("https://www.google.com/maps/search/?api=1&amp;query=20.44190688,44.85356486", "View Map")</f>
        <v>View Map</v>
      </c>
    </row>
    <row r="5742" spans="1:7" x14ac:dyDescent="0.3">
      <c r="A5742" t="s">
        <v>6586</v>
      </c>
      <c r="B5742" t="s">
        <v>6587</v>
      </c>
      <c r="C5742" t="s">
        <v>296</v>
      </c>
      <c r="D5742">
        <v>1.8979999999999999</v>
      </c>
      <c r="E5742">
        <v>607</v>
      </c>
      <c r="F5742" t="str">
        <f>HYPERLINK("https://www.google.com/maps/search/?api=1&amp;query=24.48362796,46.27811323", "View Map")</f>
        <v>View Map</v>
      </c>
      <c r="G5742" s="2">
        <v>0.39124349662661512</v>
      </c>
    </row>
    <row r="5743" spans="1:7" x14ac:dyDescent="0.3">
      <c r="A5743" t="s">
        <v>2214</v>
      </c>
      <c r="B5743" t="s">
        <v>2215</v>
      </c>
      <c r="C5743" t="s">
        <v>255</v>
      </c>
      <c r="D5743">
        <v>1.8979999999999999</v>
      </c>
      <c r="E5743">
        <v>607</v>
      </c>
      <c r="F5743" t="str">
        <f>HYPERLINK("https://www.google.com/maps/search/?api=1&amp;query=25.19697171,44.60392723", "View Map")</f>
        <v>View Map</v>
      </c>
      <c r="G5743" s="2">
        <v>0.2199829149335282</v>
      </c>
    </row>
    <row r="5744" spans="1:7" x14ac:dyDescent="0.3">
      <c r="A5744" t="s">
        <v>12125</v>
      </c>
      <c r="B5744" t="s">
        <v>12126</v>
      </c>
      <c r="C5744" t="s">
        <v>393</v>
      </c>
      <c r="D5744">
        <v>1.897</v>
      </c>
      <c r="E5744">
        <v>607</v>
      </c>
      <c r="F5744" t="str">
        <f>HYPERLINK("https://www.google.com/maps/search/?api=1&amp;query=23.54985781,45.50272502", "View Map")</f>
        <v>View Map</v>
      </c>
      <c r="G5744" s="2">
        <v>0.41111632859164038</v>
      </c>
    </row>
    <row r="5745" spans="1:7" x14ac:dyDescent="0.3">
      <c r="A5745" t="s">
        <v>9277</v>
      </c>
      <c r="B5745" t="s">
        <v>9278</v>
      </c>
      <c r="C5745" t="s">
        <v>8</v>
      </c>
      <c r="D5745">
        <v>1.897</v>
      </c>
      <c r="E5745">
        <v>607</v>
      </c>
      <c r="F5745" t="str">
        <f>HYPERLINK("https://www.google.com/maps/search/?api=1&amp;query=24.58957426,46.56968774", "View Map")</f>
        <v>View Map</v>
      </c>
    </row>
    <row r="5746" spans="1:7" x14ac:dyDescent="0.3">
      <c r="A5746" t="s">
        <v>12127</v>
      </c>
      <c r="B5746" t="s">
        <v>12128</v>
      </c>
      <c r="C5746" t="s">
        <v>1112</v>
      </c>
      <c r="D5746">
        <v>1.897</v>
      </c>
      <c r="E5746">
        <v>607</v>
      </c>
      <c r="F5746" t="str">
        <f>HYPERLINK("https://www.google.com/maps/search/?api=1&amp;query=25.92754625,44.88750321", "View Map")</f>
        <v>View Map</v>
      </c>
      <c r="G5746" s="2">
        <v>0.75176927348911615</v>
      </c>
    </row>
    <row r="5747" spans="1:7" x14ac:dyDescent="0.3">
      <c r="A5747" t="s">
        <v>12129</v>
      </c>
      <c r="B5747" t="s">
        <v>12130</v>
      </c>
      <c r="C5747" t="s">
        <v>291</v>
      </c>
      <c r="D5747">
        <v>1.8959999999999999</v>
      </c>
      <c r="E5747">
        <v>607</v>
      </c>
      <c r="F5747" t="str">
        <f>HYPERLINK("https://www.google.com/maps/search/?api=1&amp;query=23.99056126,45.15889324", "View Map")</f>
        <v>View Map</v>
      </c>
    </row>
    <row r="5748" spans="1:7" x14ac:dyDescent="0.3">
      <c r="A5748" t="s">
        <v>12131</v>
      </c>
      <c r="B5748" t="s">
        <v>12132</v>
      </c>
      <c r="C5748" t="s">
        <v>8</v>
      </c>
      <c r="D5748">
        <v>1.8959999999999999</v>
      </c>
      <c r="E5748">
        <v>607</v>
      </c>
      <c r="F5748" t="str">
        <f>HYPERLINK("https://www.google.com/maps/search/?api=1&amp;query=24.72457876,46.66387443", "View Map")</f>
        <v>View Map</v>
      </c>
    </row>
    <row r="5749" spans="1:7" x14ac:dyDescent="0.3">
      <c r="A5749" t="s">
        <v>46</v>
      </c>
      <c r="B5749" t="s">
        <v>12133</v>
      </c>
      <c r="C5749" t="s">
        <v>55</v>
      </c>
      <c r="D5749">
        <v>1.895</v>
      </c>
      <c r="E5749">
        <v>606</v>
      </c>
      <c r="F5749" t="str">
        <f>HYPERLINK("https://www.google.com/maps/search/?api=1&amp;query=24.83083847,46.5580538", "View Map")</f>
        <v>View Map</v>
      </c>
    </row>
    <row r="5750" spans="1:7" x14ac:dyDescent="0.3">
      <c r="A5750" t="s">
        <v>146</v>
      </c>
      <c r="B5750" t="s">
        <v>12134</v>
      </c>
      <c r="C5750" t="s">
        <v>8</v>
      </c>
      <c r="D5750">
        <v>1.895</v>
      </c>
      <c r="E5750">
        <v>606</v>
      </c>
      <c r="F5750" t="str">
        <f>HYPERLINK("https://www.google.com/maps/search/?api=1&amp;query=24.54396403,46.64259288", "View Map")</f>
        <v>View Map</v>
      </c>
    </row>
    <row r="5751" spans="1:7" x14ac:dyDescent="0.3">
      <c r="A5751" t="s">
        <v>9255</v>
      </c>
      <c r="B5751" t="s">
        <v>9256</v>
      </c>
      <c r="C5751" t="s">
        <v>8</v>
      </c>
      <c r="D5751">
        <v>1.8939999999999999</v>
      </c>
      <c r="E5751">
        <v>606</v>
      </c>
      <c r="F5751" t="str">
        <f>HYPERLINK("https://www.google.com/maps/search/?api=1&amp;query=24.55116424,46.78306951", "View Map")</f>
        <v>View Map</v>
      </c>
    </row>
    <row r="5752" spans="1:7" x14ac:dyDescent="0.3">
      <c r="A5752" t="s">
        <v>46</v>
      </c>
      <c r="B5752" t="s">
        <v>4686</v>
      </c>
      <c r="C5752" t="s">
        <v>8</v>
      </c>
      <c r="D5752">
        <v>1.8939999999999999</v>
      </c>
      <c r="E5752">
        <v>606</v>
      </c>
      <c r="F5752" t="str">
        <f>HYPERLINK("https://www.google.com/maps/search/?api=1&amp;query=24.64531683,46.66312484", "View Map")</f>
        <v>View Map</v>
      </c>
    </row>
    <row r="5753" spans="1:7" x14ac:dyDescent="0.3">
      <c r="A5753" t="s">
        <v>8903</v>
      </c>
      <c r="B5753" t="s">
        <v>8904</v>
      </c>
      <c r="C5753" t="s">
        <v>21</v>
      </c>
      <c r="D5753">
        <v>1.8939999999999999</v>
      </c>
      <c r="E5753">
        <v>606</v>
      </c>
      <c r="F5753" t="str">
        <f>HYPERLINK("https://www.google.com/maps/search/?api=1&amp;query=26.29443567,44.79700693", "View Map")</f>
        <v>View Map</v>
      </c>
    </row>
    <row r="5754" spans="1:7" x14ac:dyDescent="0.3">
      <c r="A5754" t="s">
        <v>678</v>
      </c>
      <c r="B5754" t="s">
        <v>10505</v>
      </c>
      <c r="C5754" t="s">
        <v>21</v>
      </c>
      <c r="D5754">
        <v>1.8939999999999999</v>
      </c>
      <c r="E5754">
        <v>606</v>
      </c>
      <c r="F5754" t="str">
        <f>HYPERLINK("https://www.google.com/maps/search/?api=1&amp;query=26.30099117,44.88517657", "View Map")</f>
        <v>View Map</v>
      </c>
    </row>
    <row r="5755" spans="1:7" x14ac:dyDescent="0.3">
      <c r="A5755" t="s">
        <v>12135</v>
      </c>
      <c r="B5755" t="s">
        <v>12136</v>
      </c>
      <c r="C5755" t="s">
        <v>30</v>
      </c>
      <c r="D5755">
        <v>1.8939999999999999</v>
      </c>
      <c r="E5755">
        <v>606</v>
      </c>
      <c r="F5755" t="str">
        <f>HYPERLINK("https://www.google.com/maps/search/?api=1&amp;query=24.16964393,47.31547651", "View Map")</f>
        <v>View Map</v>
      </c>
    </row>
    <row r="5756" spans="1:7" x14ac:dyDescent="0.3">
      <c r="A5756" t="s">
        <v>146</v>
      </c>
      <c r="B5756" t="s">
        <v>9517</v>
      </c>
      <c r="C5756" t="s">
        <v>8</v>
      </c>
      <c r="D5756">
        <v>1.8939999999999999</v>
      </c>
      <c r="E5756">
        <v>606</v>
      </c>
      <c r="F5756" t="str">
        <f>HYPERLINK("https://www.google.com/maps/search/?api=1&amp;query=24.4889,46.6319", "View Map")</f>
        <v>View Map</v>
      </c>
    </row>
    <row r="5757" spans="1:7" x14ac:dyDescent="0.3">
      <c r="A5757" t="s">
        <v>9715</v>
      </c>
      <c r="B5757" t="s">
        <v>9716</v>
      </c>
      <c r="C5757" t="s">
        <v>291</v>
      </c>
      <c r="D5757">
        <v>1.893</v>
      </c>
      <c r="E5757">
        <v>606</v>
      </c>
      <c r="F5757" t="str">
        <f>HYPERLINK("https://www.google.com/maps/search/?api=1&amp;query=24.34237632,45.82763507", "View Map")</f>
        <v>View Map</v>
      </c>
      <c r="G5757" s="2">
        <v>0.92173489960913046</v>
      </c>
    </row>
    <row r="5758" spans="1:7" x14ac:dyDescent="0.3">
      <c r="A5758" t="s">
        <v>4903</v>
      </c>
      <c r="B5758" t="s">
        <v>4904</v>
      </c>
      <c r="C5758" t="s">
        <v>8</v>
      </c>
      <c r="D5758">
        <v>1.893</v>
      </c>
      <c r="E5758">
        <v>606</v>
      </c>
      <c r="F5758" t="str">
        <f>HYPERLINK("https://www.google.com/maps/search/?api=1&amp;query=24.77149952,46.62970709", "View Map")</f>
        <v>View Map</v>
      </c>
    </row>
    <row r="5759" spans="1:7" x14ac:dyDescent="0.3">
      <c r="A5759" t="s">
        <v>12137</v>
      </c>
      <c r="B5759" t="s">
        <v>12138</v>
      </c>
      <c r="C5759" t="s">
        <v>255</v>
      </c>
      <c r="D5759">
        <v>1.893</v>
      </c>
      <c r="E5759">
        <v>606</v>
      </c>
      <c r="F5759" t="str">
        <f>HYPERLINK("https://www.google.com/maps/search/?api=1&amp;query=24.9422491,44.65223755", "View Map")</f>
        <v>View Map</v>
      </c>
    </row>
    <row r="5760" spans="1:7" x14ac:dyDescent="0.3">
      <c r="A5760" t="s">
        <v>2848</v>
      </c>
      <c r="B5760" t="s">
        <v>8499</v>
      </c>
      <c r="C5760" t="s">
        <v>214</v>
      </c>
      <c r="D5760">
        <v>1.893</v>
      </c>
      <c r="E5760">
        <v>606</v>
      </c>
      <c r="F5760" t="str">
        <f>HYPERLINK("https://www.google.com/maps/search/?api=1&amp;query=26.42453184,45.35108431", "View Map")</f>
        <v>View Map</v>
      </c>
    </row>
    <row r="5761" spans="1:7" x14ac:dyDescent="0.3">
      <c r="A5761" t="s">
        <v>6631</v>
      </c>
      <c r="B5761" t="s">
        <v>6632</v>
      </c>
      <c r="C5761" t="s">
        <v>8</v>
      </c>
      <c r="D5761">
        <v>1.893</v>
      </c>
      <c r="E5761">
        <v>606</v>
      </c>
      <c r="F5761" t="str">
        <f>HYPERLINK("https://www.google.com/maps/search/?api=1&amp;query=24.80822147,46.63582073", "View Map")</f>
        <v>View Map</v>
      </c>
    </row>
    <row r="5762" spans="1:7" x14ac:dyDescent="0.3">
      <c r="A5762" t="s">
        <v>146</v>
      </c>
      <c r="B5762" t="s">
        <v>12139</v>
      </c>
      <c r="C5762" t="s">
        <v>8</v>
      </c>
      <c r="D5762">
        <v>1.893</v>
      </c>
      <c r="E5762">
        <v>606</v>
      </c>
      <c r="F5762" t="str">
        <f>HYPERLINK("https://www.google.com/maps/search/?api=1&amp;query=24.5231,46.6394", "View Map")</f>
        <v>View Map</v>
      </c>
    </row>
    <row r="5763" spans="1:7" x14ac:dyDescent="0.3">
      <c r="A5763" t="s">
        <v>10980</v>
      </c>
      <c r="B5763" t="s">
        <v>10981</v>
      </c>
      <c r="C5763" t="s">
        <v>255</v>
      </c>
      <c r="D5763">
        <v>1.8919999999999999</v>
      </c>
      <c r="E5763">
        <v>605</v>
      </c>
      <c r="F5763" t="str">
        <f>HYPERLINK("https://www.google.com/maps/search/?api=1&amp;query=25.33200267,44.46680135", "View Map")</f>
        <v>View Map</v>
      </c>
      <c r="G5763" s="2">
        <v>0.43230896285396908</v>
      </c>
    </row>
    <row r="5764" spans="1:7" x14ac:dyDescent="0.3">
      <c r="A5764" t="s">
        <v>12140</v>
      </c>
      <c r="B5764" t="s">
        <v>12141</v>
      </c>
      <c r="C5764" t="s">
        <v>8</v>
      </c>
      <c r="D5764">
        <v>1.8919999999999999</v>
      </c>
      <c r="E5764">
        <v>605</v>
      </c>
      <c r="F5764" t="str">
        <f>HYPERLINK("https://www.google.com/maps/search/?api=1&amp;query=24.72006175,46.80426532", "View Map")</f>
        <v>View Map</v>
      </c>
    </row>
    <row r="5765" spans="1:7" x14ac:dyDescent="0.3">
      <c r="A5765" t="s">
        <v>10740</v>
      </c>
      <c r="B5765" t="s">
        <v>10741</v>
      </c>
      <c r="C5765" t="s">
        <v>255</v>
      </c>
      <c r="D5765">
        <v>1.8919999999999999</v>
      </c>
      <c r="E5765">
        <v>605</v>
      </c>
      <c r="F5765" t="str">
        <f>HYPERLINK("https://www.google.com/maps/search/?api=1&amp;query=25.17746811,44.60132013", "View Map")</f>
        <v>View Map</v>
      </c>
      <c r="G5765" s="2">
        <v>0.74163239157330396</v>
      </c>
    </row>
    <row r="5766" spans="1:7" x14ac:dyDescent="0.3">
      <c r="A5766" t="s">
        <v>28</v>
      </c>
      <c r="B5766" t="s">
        <v>3588</v>
      </c>
      <c r="C5766" t="s">
        <v>30</v>
      </c>
      <c r="D5766">
        <v>1.8919999999999999</v>
      </c>
      <c r="E5766">
        <v>605</v>
      </c>
      <c r="F5766" t="str">
        <f>HYPERLINK("https://www.google.com/maps/search/?api=1&amp;query=24.16624328,47.25730586", "View Map")</f>
        <v>View Map</v>
      </c>
      <c r="G5766" s="2">
        <v>0.1997995072434251</v>
      </c>
    </row>
    <row r="5767" spans="1:7" x14ac:dyDescent="0.3">
      <c r="A5767" t="s">
        <v>9203</v>
      </c>
      <c r="B5767" t="s">
        <v>9204</v>
      </c>
      <c r="C5767" t="s">
        <v>8</v>
      </c>
      <c r="D5767">
        <v>1.8919999999999999</v>
      </c>
      <c r="E5767">
        <v>605</v>
      </c>
      <c r="F5767" t="str">
        <f>HYPERLINK("https://www.google.com/maps/search/?api=1&amp;query=24.57900579,46.78884714", "View Map")</f>
        <v>View Map</v>
      </c>
    </row>
    <row r="5768" spans="1:7" x14ac:dyDescent="0.3">
      <c r="A5768" t="s">
        <v>10168</v>
      </c>
      <c r="B5768" t="s">
        <v>10169</v>
      </c>
      <c r="C5768" t="s">
        <v>8</v>
      </c>
      <c r="D5768">
        <v>1.891</v>
      </c>
      <c r="E5768">
        <v>605</v>
      </c>
      <c r="F5768" t="str">
        <f>HYPERLINK("https://www.google.com/maps/search/?api=1&amp;query=24.74268216,46.84643578", "View Map")</f>
        <v>View Map</v>
      </c>
    </row>
    <row r="5769" spans="1:7" x14ac:dyDescent="0.3">
      <c r="A5769" t="s">
        <v>10891</v>
      </c>
      <c r="B5769" t="s">
        <v>10892</v>
      </c>
      <c r="C5769" t="s">
        <v>291</v>
      </c>
      <c r="D5769">
        <v>1.891</v>
      </c>
      <c r="E5769">
        <v>605</v>
      </c>
      <c r="F5769" t="str">
        <f>HYPERLINK("https://www.google.com/maps/search/?api=1&amp;query=23.27092907,44.65791758", "View Map")</f>
        <v>View Map</v>
      </c>
      <c r="G5769" s="2">
        <v>0.58617961200632995</v>
      </c>
    </row>
    <row r="5770" spans="1:7" x14ac:dyDescent="0.3">
      <c r="A5770" t="s">
        <v>1349</v>
      </c>
      <c r="B5770" t="s">
        <v>9855</v>
      </c>
      <c r="C5770" t="s">
        <v>270</v>
      </c>
      <c r="D5770">
        <v>1.891</v>
      </c>
      <c r="E5770">
        <v>605</v>
      </c>
      <c r="F5770" t="str">
        <f>HYPERLINK("https://www.google.com/maps/search/?api=1&amp;query=23.99528546,47.14663097", "View Map")</f>
        <v>View Map</v>
      </c>
    </row>
    <row r="5771" spans="1:7" x14ac:dyDescent="0.3">
      <c r="A5771" t="s">
        <v>12142</v>
      </c>
      <c r="B5771" t="s">
        <v>12143</v>
      </c>
      <c r="C5771" t="s">
        <v>8</v>
      </c>
      <c r="D5771">
        <v>1.891</v>
      </c>
      <c r="E5771">
        <v>605</v>
      </c>
      <c r="F5771" t="str">
        <f>HYPERLINK("https://www.google.com/maps/search/?api=1&amp;query=24.55252839,46.70541489", "View Map")</f>
        <v>View Map</v>
      </c>
    </row>
    <row r="5772" spans="1:7" x14ac:dyDescent="0.3">
      <c r="A5772" t="s">
        <v>9630</v>
      </c>
      <c r="B5772" t="s">
        <v>9631</v>
      </c>
      <c r="C5772" t="s">
        <v>137</v>
      </c>
      <c r="D5772">
        <v>1.891</v>
      </c>
      <c r="E5772">
        <v>605</v>
      </c>
      <c r="F5772" t="str">
        <f>HYPERLINK("https://www.google.com/maps/search/?api=1&amp;query=23.14999816,46.91065238", "View Map")</f>
        <v>View Map</v>
      </c>
      <c r="G5772" s="2">
        <v>0.49617560611076772</v>
      </c>
    </row>
    <row r="5773" spans="1:7" x14ac:dyDescent="0.3">
      <c r="A5773" t="s">
        <v>9961</v>
      </c>
      <c r="B5773" t="s">
        <v>9962</v>
      </c>
      <c r="C5773" t="s">
        <v>291</v>
      </c>
      <c r="D5773">
        <v>1.891</v>
      </c>
      <c r="E5773">
        <v>605</v>
      </c>
      <c r="F5773" t="str">
        <f>HYPERLINK("https://www.google.com/maps/search/?api=1&amp;query=24.08917096,45.30063389", "View Map")</f>
        <v>View Map</v>
      </c>
      <c r="G5773" s="2">
        <v>0.63362821748598763</v>
      </c>
    </row>
    <row r="5774" spans="1:7" x14ac:dyDescent="0.3">
      <c r="A5774" t="s">
        <v>12144</v>
      </c>
      <c r="B5774" t="s">
        <v>12145</v>
      </c>
      <c r="C5774" t="s">
        <v>16</v>
      </c>
      <c r="D5774">
        <v>1.89</v>
      </c>
      <c r="E5774">
        <v>605</v>
      </c>
      <c r="F5774" t="str">
        <f>HYPERLINK("https://www.google.com/maps/search/?api=1&amp;query=23.92746777,42.91571749", "View Map")</f>
        <v>View Map</v>
      </c>
    </row>
    <row r="5775" spans="1:7" x14ac:dyDescent="0.3">
      <c r="A5775" t="s">
        <v>3418</v>
      </c>
      <c r="B5775" t="s">
        <v>3419</v>
      </c>
      <c r="C5775" t="s">
        <v>30</v>
      </c>
      <c r="D5775">
        <v>1.89</v>
      </c>
      <c r="E5775">
        <v>605</v>
      </c>
      <c r="F5775" t="str">
        <f>HYPERLINK("https://www.google.com/maps/search/?api=1&amp;query=24.1539678,47.30686577", "View Map")</f>
        <v>View Map</v>
      </c>
      <c r="G5775" s="2">
        <v>0.18629086654669211</v>
      </c>
    </row>
    <row r="5776" spans="1:7" x14ac:dyDescent="0.3">
      <c r="A5776" t="s">
        <v>459</v>
      </c>
      <c r="B5776" t="s">
        <v>12146</v>
      </c>
      <c r="C5776" t="s">
        <v>286</v>
      </c>
      <c r="D5776">
        <v>1.889</v>
      </c>
      <c r="E5776">
        <v>605</v>
      </c>
      <c r="F5776" t="str">
        <f>HYPERLINK("https://www.google.com/maps/search/?api=1&amp;query=25.22236961,45.29688078", "View Map")</f>
        <v>View Map</v>
      </c>
    </row>
    <row r="5777" spans="1:7" x14ac:dyDescent="0.3">
      <c r="A5777" t="s">
        <v>1453</v>
      </c>
      <c r="B5777" t="s">
        <v>1454</v>
      </c>
      <c r="C5777" t="s">
        <v>77</v>
      </c>
      <c r="D5777">
        <v>1.889</v>
      </c>
      <c r="E5777">
        <v>604</v>
      </c>
      <c r="F5777" t="str">
        <f>HYPERLINK("https://www.google.com/maps/search/?api=1&amp;query=22.02817005,46.56042771", "View Map")</f>
        <v>View Map</v>
      </c>
      <c r="G5777" s="2">
        <v>0.13582553437260569</v>
      </c>
    </row>
    <row r="5778" spans="1:7" x14ac:dyDescent="0.3">
      <c r="A5778" t="s">
        <v>9553</v>
      </c>
      <c r="B5778" t="s">
        <v>9554</v>
      </c>
      <c r="C5778" t="s">
        <v>8</v>
      </c>
      <c r="D5778">
        <v>1.889</v>
      </c>
      <c r="E5778">
        <v>604</v>
      </c>
      <c r="F5778" t="str">
        <f>HYPERLINK("https://www.google.com/maps/search/?api=1&amp;query=24.7374043,46.64403963", "View Map")</f>
        <v>View Map</v>
      </c>
    </row>
    <row r="5779" spans="1:7" x14ac:dyDescent="0.3">
      <c r="A5779" t="s">
        <v>10597</v>
      </c>
      <c r="B5779" t="s">
        <v>10598</v>
      </c>
      <c r="C5779" t="s">
        <v>16</v>
      </c>
      <c r="D5779">
        <v>1.889</v>
      </c>
      <c r="E5779">
        <v>605</v>
      </c>
      <c r="F5779" t="str">
        <f>HYPERLINK("https://www.google.com/maps/search/?api=1&amp;query=23.88262388,42.88173985", "View Map")</f>
        <v>View Map</v>
      </c>
    </row>
    <row r="5780" spans="1:7" x14ac:dyDescent="0.3">
      <c r="A5780" t="s">
        <v>717</v>
      </c>
      <c r="B5780" t="s">
        <v>10560</v>
      </c>
      <c r="C5780" t="s">
        <v>255</v>
      </c>
      <c r="D5780">
        <v>1.889</v>
      </c>
      <c r="E5780">
        <v>605</v>
      </c>
      <c r="F5780" t="str">
        <f>HYPERLINK("https://www.google.com/maps/search/?api=1&amp;query=24.48794584,44.35939509", "View Map")</f>
        <v>View Map</v>
      </c>
    </row>
    <row r="5781" spans="1:7" x14ac:dyDescent="0.3">
      <c r="A5781" t="s">
        <v>717</v>
      </c>
      <c r="B5781" t="s">
        <v>12147</v>
      </c>
      <c r="C5781" t="s">
        <v>255</v>
      </c>
      <c r="D5781">
        <v>1.8879999999999999</v>
      </c>
      <c r="E5781">
        <v>604</v>
      </c>
      <c r="F5781" t="str">
        <f>HYPERLINK("https://www.google.com/maps/search/?api=1&amp;query=24.55012291,44.40381563", "View Map")</f>
        <v>View Map</v>
      </c>
    </row>
    <row r="5782" spans="1:7" x14ac:dyDescent="0.3">
      <c r="A5782" t="s">
        <v>7947</v>
      </c>
      <c r="B5782" t="s">
        <v>8706</v>
      </c>
      <c r="C5782" t="s">
        <v>8</v>
      </c>
      <c r="D5782">
        <v>1.8879999999999999</v>
      </c>
      <c r="E5782">
        <v>604</v>
      </c>
      <c r="F5782" t="str">
        <f>HYPERLINK("https://www.google.com/maps/search/?api=1&amp;query=24.65881153,46.74571539", "View Map")</f>
        <v>View Map</v>
      </c>
    </row>
    <row r="5783" spans="1:7" x14ac:dyDescent="0.3">
      <c r="A5783" t="s">
        <v>10794</v>
      </c>
      <c r="B5783" t="s">
        <v>10795</v>
      </c>
      <c r="C5783" t="s">
        <v>8</v>
      </c>
      <c r="D5783">
        <v>1.8879999999999999</v>
      </c>
      <c r="E5783">
        <v>604</v>
      </c>
      <c r="F5783" t="str">
        <f>HYPERLINK("https://www.google.com/maps/search/?api=1&amp;query=24.7487016,46.81994379", "View Map")</f>
        <v>View Map</v>
      </c>
    </row>
    <row r="5784" spans="1:7" x14ac:dyDescent="0.3">
      <c r="A5784" t="s">
        <v>10914</v>
      </c>
      <c r="B5784" t="s">
        <v>10915</v>
      </c>
      <c r="C5784" t="s">
        <v>8</v>
      </c>
      <c r="D5784">
        <v>1.8879999999999999</v>
      </c>
      <c r="E5784">
        <v>604</v>
      </c>
      <c r="F5784" t="str">
        <f>HYPERLINK("https://www.google.com/maps/search/?api=1&amp;query=24.55166606,46.66377496", "View Map")</f>
        <v>View Map</v>
      </c>
    </row>
    <row r="5785" spans="1:7" x14ac:dyDescent="0.3">
      <c r="A5785" t="s">
        <v>3948</v>
      </c>
      <c r="B5785" t="s">
        <v>7412</v>
      </c>
      <c r="C5785" t="s">
        <v>8</v>
      </c>
      <c r="D5785">
        <v>1.8879999999999999</v>
      </c>
      <c r="E5785">
        <v>604</v>
      </c>
      <c r="F5785" t="str">
        <f>HYPERLINK("https://www.google.com/maps/search/?api=1&amp;query=24.65852504,46.71152194", "View Map")</f>
        <v>View Map</v>
      </c>
    </row>
    <row r="5786" spans="1:7" x14ac:dyDescent="0.3">
      <c r="A5786" t="s">
        <v>7611</v>
      </c>
      <c r="B5786" t="s">
        <v>7612</v>
      </c>
      <c r="C5786" t="s">
        <v>77</v>
      </c>
      <c r="D5786">
        <v>1.887</v>
      </c>
      <c r="E5786">
        <v>604</v>
      </c>
      <c r="F5786" t="str">
        <f>HYPERLINK("https://www.google.com/maps/search/?api=1&amp;query=22.29076697,46.71336212", "View Map")</f>
        <v>View Map</v>
      </c>
    </row>
    <row r="5787" spans="1:7" x14ac:dyDescent="0.3">
      <c r="A5787" t="s">
        <v>12148</v>
      </c>
      <c r="B5787" t="s">
        <v>12149</v>
      </c>
      <c r="C5787" t="s">
        <v>255</v>
      </c>
      <c r="D5787">
        <v>1.8859999999999999</v>
      </c>
      <c r="E5787">
        <v>604</v>
      </c>
      <c r="F5787" t="str">
        <f>HYPERLINK("https://www.google.com/maps/search/?api=1&amp;query=25.39018816,44.15020275", "View Map")</f>
        <v>View Map</v>
      </c>
    </row>
    <row r="5788" spans="1:7" x14ac:dyDescent="0.3">
      <c r="A5788" t="s">
        <v>12150</v>
      </c>
      <c r="B5788" t="s">
        <v>12151</v>
      </c>
      <c r="C5788" t="s">
        <v>55</v>
      </c>
      <c r="D5788">
        <v>1.885</v>
      </c>
      <c r="E5788">
        <v>603</v>
      </c>
      <c r="F5788" t="str">
        <f>HYPERLINK("https://www.google.com/maps/search/?api=1&amp;query=24.79074377,46.43010552", "View Map")</f>
        <v>View Map</v>
      </c>
      <c r="G5788" s="2">
        <v>0.5260778641691638</v>
      </c>
    </row>
    <row r="5789" spans="1:7" x14ac:dyDescent="0.3">
      <c r="A5789" t="s">
        <v>12152</v>
      </c>
      <c r="B5789" t="s">
        <v>12153</v>
      </c>
      <c r="C5789" t="s">
        <v>296</v>
      </c>
      <c r="D5789">
        <v>1.8839999999999999</v>
      </c>
      <c r="E5789">
        <v>603</v>
      </c>
      <c r="F5789" t="str">
        <f>HYPERLINK("https://www.google.com/maps/search/?api=1&amp;query=24.14292632,46.32122338", "View Map")</f>
        <v>View Map</v>
      </c>
      <c r="G5789" s="2">
        <v>0.58161071166444156</v>
      </c>
    </row>
    <row r="5790" spans="1:7" x14ac:dyDescent="0.3">
      <c r="A5790" t="s">
        <v>10904</v>
      </c>
      <c r="B5790" t="s">
        <v>10905</v>
      </c>
      <c r="C5790" t="s">
        <v>30</v>
      </c>
      <c r="D5790">
        <v>1.8839999999999999</v>
      </c>
      <c r="E5790">
        <v>603</v>
      </c>
      <c r="F5790" t="str">
        <f>HYPERLINK("https://www.google.com/maps/search/?api=1&amp;query=24.19180169,47.27529658", "View Map")</f>
        <v>View Map</v>
      </c>
    </row>
    <row r="5791" spans="1:7" x14ac:dyDescent="0.3">
      <c r="A5791" t="s">
        <v>6641</v>
      </c>
      <c r="B5791" t="s">
        <v>6642</v>
      </c>
      <c r="C5791" t="s">
        <v>8</v>
      </c>
      <c r="D5791">
        <v>1.8839999999999999</v>
      </c>
      <c r="E5791">
        <v>603</v>
      </c>
      <c r="F5791" t="str">
        <f>HYPERLINK("https://www.google.com/maps/search/?api=1&amp;query=24.57915467,46.57371744", "View Map")</f>
        <v>View Map</v>
      </c>
    </row>
    <row r="5792" spans="1:7" x14ac:dyDescent="0.3">
      <c r="A5792" t="s">
        <v>9034</v>
      </c>
      <c r="B5792" t="s">
        <v>9035</v>
      </c>
      <c r="C5792" t="s">
        <v>214</v>
      </c>
      <c r="D5792">
        <v>1.883</v>
      </c>
      <c r="E5792">
        <v>603</v>
      </c>
      <c r="F5792" t="str">
        <f>HYPERLINK("https://www.google.com/maps/search/?api=1&amp;query=26.46857768,45.35482478", "View Map")</f>
        <v>View Map</v>
      </c>
      <c r="G5792" s="2">
        <v>0.84142332082728644</v>
      </c>
    </row>
    <row r="5793" spans="1:7" x14ac:dyDescent="0.3">
      <c r="A5793" t="s">
        <v>7304</v>
      </c>
      <c r="B5793" t="s">
        <v>7305</v>
      </c>
      <c r="C5793" t="s">
        <v>255</v>
      </c>
      <c r="D5793">
        <v>1.883</v>
      </c>
      <c r="E5793">
        <v>603</v>
      </c>
      <c r="F5793" t="str">
        <f>HYPERLINK("https://www.google.com/maps/search/?api=1&amp;query=24.53277053,44.4336796", "View Map")</f>
        <v>View Map</v>
      </c>
    </row>
    <row r="5794" spans="1:7" x14ac:dyDescent="0.3">
      <c r="A5794" t="s">
        <v>8326</v>
      </c>
      <c r="B5794" t="s">
        <v>8327</v>
      </c>
      <c r="C5794" t="s">
        <v>21</v>
      </c>
      <c r="D5794">
        <v>1.8819999999999999</v>
      </c>
      <c r="E5794">
        <v>602</v>
      </c>
      <c r="F5794" t="str">
        <f>HYPERLINK("https://www.google.com/maps/search/?api=1&amp;query=26.28674417,44.83307428", "View Map")</f>
        <v>View Map</v>
      </c>
      <c r="G5794" s="2">
        <v>0.556232215676016</v>
      </c>
    </row>
    <row r="5795" spans="1:7" x14ac:dyDescent="0.3">
      <c r="A5795" t="s">
        <v>11249</v>
      </c>
      <c r="B5795" t="s">
        <v>11250</v>
      </c>
      <c r="C5795" t="s">
        <v>291</v>
      </c>
      <c r="D5795">
        <v>1.8819999999999999</v>
      </c>
      <c r="E5795">
        <v>602</v>
      </c>
      <c r="F5795" t="str">
        <f>HYPERLINK("https://www.google.com/maps/search/?api=1&amp;query=24.3855424,45.80120663", "View Map")</f>
        <v>View Map</v>
      </c>
      <c r="G5795" s="2">
        <v>1.0868386387872431</v>
      </c>
    </row>
    <row r="5796" spans="1:7" x14ac:dyDescent="0.3">
      <c r="A5796" t="s">
        <v>661</v>
      </c>
      <c r="B5796" t="s">
        <v>9158</v>
      </c>
      <c r="C5796" t="s">
        <v>214</v>
      </c>
      <c r="D5796">
        <v>1.881</v>
      </c>
      <c r="E5796">
        <v>602</v>
      </c>
      <c r="F5796" t="str">
        <f>HYPERLINK("https://www.google.com/maps/search/?api=1&amp;query=25.59713223,45.61787845", "View Map")</f>
        <v>View Map</v>
      </c>
      <c r="G5796" s="2">
        <v>0.70123219600417952</v>
      </c>
    </row>
    <row r="5797" spans="1:7" x14ac:dyDescent="0.3">
      <c r="A5797" t="s">
        <v>2597</v>
      </c>
      <c r="B5797" t="s">
        <v>12154</v>
      </c>
      <c r="C5797" t="s">
        <v>291</v>
      </c>
      <c r="D5797">
        <v>1.881</v>
      </c>
      <c r="E5797">
        <v>602</v>
      </c>
      <c r="F5797" t="str">
        <f>HYPERLINK("https://www.google.com/maps/search/?api=1&amp;query=23.45462212,44.95014209", "View Map")</f>
        <v>View Map</v>
      </c>
      <c r="G5797" s="2">
        <v>0.94603014757994774</v>
      </c>
    </row>
    <row r="5798" spans="1:7" x14ac:dyDescent="0.3">
      <c r="A5798" t="s">
        <v>1788</v>
      </c>
      <c r="B5798" t="s">
        <v>9112</v>
      </c>
      <c r="C5798" t="s">
        <v>393</v>
      </c>
      <c r="D5798">
        <v>1.88</v>
      </c>
      <c r="E5798">
        <v>602</v>
      </c>
      <c r="F5798" t="str">
        <f>HYPERLINK("https://www.google.com/maps/search/?api=1&amp;query=23.59584719,45.14768939", "View Map")</f>
        <v>View Map</v>
      </c>
      <c r="G5798" s="2">
        <v>0.8665893649033598</v>
      </c>
    </row>
    <row r="5799" spans="1:7" x14ac:dyDescent="0.3">
      <c r="A5799" t="s">
        <v>7308</v>
      </c>
      <c r="B5799" t="s">
        <v>7309</v>
      </c>
      <c r="C5799" t="s">
        <v>241</v>
      </c>
      <c r="D5799">
        <v>1.88</v>
      </c>
      <c r="E5799">
        <v>602</v>
      </c>
      <c r="F5799" t="str">
        <f>HYPERLINK("https://www.google.com/maps/search/?api=1&amp;query=20.46521864,44.78945013", "View Map")</f>
        <v>View Map</v>
      </c>
    </row>
    <row r="5800" spans="1:7" x14ac:dyDescent="0.3">
      <c r="A5800" t="s">
        <v>9613</v>
      </c>
      <c r="B5800" t="s">
        <v>9614</v>
      </c>
      <c r="C5800" t="s">
        <v>291</v>
      </c>
      <c r="D5800">
        <v>1.88</v>
      </c>
      <c r="E5800">
        <v>601</v>
      </c>
      <c r="F5800" t="str">
        <f>HYPERLINK("https://www.google.com/maps/search/?api=1&amp;query=24.10567892,45.3408084", "View Map")</f>
        <v>View Map</v>
      </c>
      <c r="G5800" s="2">
        <v>0.84030376970082954</v>
      </c>
    </row>
    <row r="5801" spans="1:7" x14ac:dyDescent="0.3">
      <c r="A5801" t="s">
        <v>12155</v>
      </c>
      <c r="B5801" t="s">
        <v>12156</v>
      </c>
      <c r="C5801" t="s">
        <v>16</v>
      </c>
      <c r="D5801">
        <v>1.88</v>
      </c>
      <c r="E5801">
        <v>602</v>
      </c>
      <c r="F5801" t="str">
        <f>HYPERLINK("https://www.google.com/maps/search/?api=1&amp;query=23.88989013,42.89871941", "View Map")</f>
        <v>View Map</v>
      </c>
      <c r="G5801" s="2">
        <v>0.44356745368565409</v>
      </c>
    </row>
    <row r="5802" spans="1:7" x14ac:dyDescent="0.3">
      <c r="A5802" t="s">
        <v>2545</v>
      </c>
      <c r="B5802" t="s">
        <v>2546</v>
      </c>
      <c r="C5802" t="s">
        <v>8</v>
      </c>
      <c r="D5802">
        <v>1.88</v>
      </c>
      <c r="E5802">
        <v>602</v>
      </c>
      <c r="F5802" t="str">
        <f>HYPERLINK("https://www.google.com/maps/search/?api=1&amp;query=24.60116202,46.68076179", "View Map")</f>
        <v>View Map</v>
      </c>
      <c r="G5802" s="2">
        <v>0.17759206932420599</v>
      </c>
    </row>
    <row r="5803" spans="1:7" x14ac:dyDescent="0.3">
      <c r="A5803" t="s">
        <v>9802</v>
      </c>
      <c r="B5803" t="s">
        <v>9803</v>
      </c>
      <c r="C5803" t="s">
        <v>270</v>
      </c>
      <c r="D5803">
        <v>1.879</v>
      </c>
      <c r="E5803">
        <v>601</v>
      </c>
      <c r="F5803" t="str">
        <f>HYPERLINK("https://www.google.com/maps/search/?api=1&amp;query=23.6498131,47.1044016", "View Map")</f>
        <v>View Map</v>
      </c>
      <c r="G5803" s="2">
        <v>0.74513760012381747</v>
      </c>
    </row>
    <row r="5804" spans="1:7" x14ac:dyDescent="0.3">
      <c r="A5804" t="s">
        <v>1273</v>
      </c>
      <c r="B5804" t="s">
        <v>9598</v>
      </c>
      <c r="C5804" t="s">
        <v>241</v>
      </c>
      <c r="D5804">
        <v>1.879</v>
      </c>
      <c r="E5804">
        <v>601</v>
      </c>
      <c r="F5804" t="str">
        <f>HYPERLINK("https://www.google.com/maps/search/?api=1&amp;query=20.40553075,45.1855193", "View Map")</f>
        <v>View Map</v>
      </c>
      <c r="G5804" s="2">
        <v>0.62617685032563475</v>
      </c>
    </row>
    <row r="5805" spans="1:7" x14ac:dyDescent="0.3">
      <c r="A5805" t="s">
        <v>12157</v>
      </c>
      <c r="B5805" t="s">
        <v>12158</v>
      </c>
      <c r="C5805" t="s">
        <v>270</v>
      </c>
      <c r="D5805">
        <v>1.879</v>
      </c>
      <c r="E5805">
        <v>601</v>
      </c>
      <c r="F5805" t="str">
        <f>HYPERLINK("https://www.google.com/maps/search/?api=1&amp;query=24.11794771,47.16566405", "View Map")</f>
        <v>View Map</v>
      </c>
      <c r="G5805" s="2">
        <v>0.52907424341473552</v>
      </c>
    </row>
    <row r="5806" spans="1:7" x14ac:dyDescent="0.3">
      <c r="A5806" t="s">
        <v>10278</v>
      </c>
      <c r="B5806" t="s">
        <v>10279</v>
      </c>
      <c r="C5806" t="s">
        <v>8</v>
      </c>
      <c r="D5806">
        <v>1.8779999999999999</v>
      </c>
      <c r="E5806">
        <v>601</v>
      </c>
      <c r="F5806" t="str">
        <f>HYPERLINK("https://www.google.com/maps/search/?api=1&amp;query=24.60067308,46.70792031", "View Map")</f>
        <v>View Map</v>
      </c>
    </row>
    <row r="5807" spans="1:7" x14ac:dyDescent="0.3">
      <c r="A5807" t="s">
        <v>146</v>
      </c>
      <c r="B5807" t="s">
        <v>12159</v>
      </c>
      <c r="C5807" t="s">
        <v>8</v>
      </c>
      <c r="D5807">
        <v>1.8779999999999999</v>
      </c>
      <c r="E5807">
        <v>601</v>
      </c>
      <c r="F5807" t="str">
        <f>HYPERLINK("https://www.google.com/maps/search/?api=1&amp;query=24.55363955,46.6674507", "View Map")</f>
        <v>View Map</v>
      </c>
    </row>
    <row r="5808" spans="1:7" x14ac:dyDescent="0.3">
      <c r="A5808" t="s">
        <v>46</v>
      </c>
      <c r="B5808" t="s">
        <v>12160</v>
      </c>
      <c r="C5808" t="s">
        <v>8</v>
      </c>
      <c r="D5808">
        <v>1.877</v>
      </c>
      <c r="E5808">
        <v>601</v>
      </c>
      <c r="F5808" t="str">
        <f>HYPERLINK("https://www.google.com/maps/search/?api=1&amp;query=24.80049235,46.83531518", "View Map")</f>
        <v>View Map</v>
      </c>
    </row>
    <row r="5809" spans="1:7" x14ac:dyDescent="0.3">
      <c r="A5809" t="s">
        <v>9710</v>
      </c>
      <c r="B5809" t="s">
        <v>9711</v>
      </c>
      <c r="C5809" t="s">
        <v>8</v>
      </c>
      <c r="D5809">
        <v>1.877</v>
      </c>
      <c r="E5809">
        <v>601</v>
      </c>
      <c r="F5809" t="str">
        <f>HYPERLINK("https://www.google.com/maps/search/?api=1&amp;query=24.5919537,46.7471375", "View Map")</f>
        <v>View Map</v>
      </c>
    </row>
    <row r="5810" spans="1:7" x14ac:dyDescent="0.3">
      <c r="A5810" t="s">
        <v>46</v>
      </c>
      <c r="B5810" t="s">
        <v>8999</v>
      </c>
      <c r="C5810" t="s">
        <v>8</v>
      </c>
      <c r="D5810">
        <v>1.877</v>
      </c>
      <c r="E5810">
        <v>601</v>
      </c>
      <c r="F5810" t="str">
        <f>HYPERLINK("https://www.google.com/maps/search/?api=1&amp;query=24.83921676,46.67400011", "View Map")</f>
        <v>View Map</v>
      </c>
    </row>
    <row r="5811" spans="1:7" x14ac:dyDescent="0.3">
      <c r="A5811" t="s">
        <v>7737</v>
      </c>
      <c r="B5811" t="s">
        <v>7738</v>
      </c>
      <c r="C5811" t="s">
        <v>8</v>
      </c>
      <c r="D5811">
        <v>1.877</v>
      </c>
      <c r="E5811">
        <v>601</v>
      </c>
      <c r="F5811" t="str">
        <f>HYPERLINK("https://www.google.com/maps/search/?api=1&amp;query=24.81021052,46.80387324", "View Map")</f>
        <v>View Map</v>
      </c>
    </row>
    <row r="5812" spans="1:7" x14ac:dyDescent="0.3">
      <c r="A5812" t="s">
        <v>6875</v>
      </c>
      <c r="B5812" t="s">
        <v>6876</v>
      </c>
      <c r="C5812" t="s">
        <v>270</v>
      </c>
      <c r="D5812">
        <v>1.877</v>
      </c>
      <c r="E5812">
        <v>601</v>
      </c>
      <c r="F5812" t="str">
        <f>HYPERLINK("https://www.google.com/maps/search/?api=1&amp;query=23.99334344,47.12028381", "View Map")</f>
        <v>View Map</v>
      </c>
      <c r="G5812" s="2">
        <v>0.34217745785871878</v>
      </c>
    </row>
    <row r="5813" spans="1:7" x14ac:dyDescent="0.3">
      <c r="A5813" t="s">
        <v>146</v>
      </c>
      <c r="B5813" t="s">
        <v>12161</v>
      </c>
      <c r="C5813" t="s">
        <v>8</v>
      </c>
      <c r="D5813">
        <v>1.877</v>
      </c>
      <c r="E5813">
        <v>601</v>
      </c>
      <c r="F5813" t="str">
        <f>HYPERLINK("https://www.google.com/maps/search/?api=1&amp;query=24.55851379,46.53840205", "View Map")</f>
        <v>View Map</v>
      </c>
    </row>
    <row r="5814" spans="1:7" x14ac:dyDescent="0.3">
      <c r="A5814" t="s">
        <v>11091</v>
      </c>
      <c r="B5814" t="s">
        <v>11092</v>
      </c>
      <c r="C5814" t="s">
        <v>16</v>
      </c>
      <c r="D5814">
        <v>1.877</v>
      </c>
      <c r="E5814">
        <v>601</v>
      </c>
      <c r="F5814" t="str">
        <f>HYPERLINK("https://www.google.com/maps/search/?api=1&amp;query=23.90758073,42.92735607", "View Map")</f>
        <v>View Map</v>
      </c>
      <c r="G5814" s="2">
        <v>0.68741133976135527</v>
      </c>
    </row>
    <row r="5815" spans="1:7" x14ac:dyDescent="0.3">
      <c r="A5815" t="s">
        <v>9784</v>
      </c>
      <c r="B5815" t="s">
        <v>9785</v>
      </c>
      <c r="C5815" t="s">
        <v>8</v>
      </c>
      <c r="D5815">
        <v>1.8759999999999999</v>
      </c>
      <c r="E5815">
        <v>600</v>
      </c>
      <c r="F5815" t="str">
        <f>HYPERLINK("https://www.google.com/maps/search/?api=1&amp;query=24.69832148,46.70781442", "View Map")</f>
        <v>View Map</v>
      </c>
    </row>
    <row r="5816" spans="1:7" x14ac:dyDescent="0.3">
      <c r="A5816" t="s">
        <v>10424</v>
      </c>
      <c r="B5816" t="s">
        <v>10425</v>
      </c>
      <c r="C5816" t="s">
        <v>8</v>
      </c>
      <c r="D5816">
        <v>1.875</v>
      </c>
      <c r="E5816">
        <v>600</v>
      </c>
      <c r="F5816" t="str">
        <f>HYPERLINK("https://www.google.com/maps/search/?api=1&amp;query=24.58289464,46.61137916", "View Map")</f>
        <v>View Map</v>
      </c>
    </row>
    <row r="5817" spans="1:7" x14ac:dyDescent="0.3">
      <c r="A5817" t="s">
        <v>12162</v>
      </c>
      <c r="B5817" t="s">
        <v>12163</v>
      </c>
      <c r="C5817" t="s">
        <v>8</v>
      </c>
      <c r="D5817">
        <v>1.875</v>
      </c>
      <c r="E5817">
        <v>600</v>
      </c>
      <c r="F5817" t="str">
        <f>HYPERLINK("https://www.google.com/maps/search/?api=1&amp;query=24.62957723,46.72926715", "View Map")</f>
        <v>View Map</v>
      </c>
    </row>
    <row r="5818" spans="1:7" x14ac:dyDescent="0.3">
      <c r="A5818" t="s">
        <v>10782</v>
      </c>
      <c r="B5818" t="s">
        <v>10783</v>
      </c>
      <c r="C5818" t="s">
        <v>8</v>
      </c>
      <c r="D5818">
        <v>1.8740000000000001</v>
      </c>
      <c r="E5818">
        <v>600</v>
      </c>
      <c r="F5818" t="str">
        <f>HYPERLINK("https://www.google.com/maps/search/?api=1&amp;query=24.57711662,46.5853868", "View Map")</f>
        <v>View Map</v>
      </c>
    </row>
    <row r="5819" spans="1:7" x14ac:dyDescent="0.3">
      <c r="A5819" t="s">
        <v>12164</v>
      </c>
      <c r="B5819" t="s">
        <v>12165</v>
      </c>
      <c r="C5819" t="s">
        <v>16</v>
      </c>
      <c r="D5819">
        <v>1.8740000000000001</v>
      </c>
      <c r="E5819">
        <v>600</v>
      </c>
      <c r="F5819" t="str">
        <f>HYPERLINK("https://www.google.com/maps/search/?api=1&amp;query=24.23450612,42.90662929", "View Map")</f>
        <v>View Map</v>
      </c>
      <c r="G5819" s="2">
        <v>0.5518598213452135</v>
      </c>
    </row>
    <row r="5820" spans="1:7" x14ac:dyDescent="0.3">
      <c r="A5820" t="s">
        <v>10301</v>
      </c>
      <c r="B5820" t="s">
        <v>10302</v>
      </c>
      <c r="C5820" t="s">
        <v>21</v>
      </c>
      <c r="D5820">
        <v>1.8740000000000001</v>
      </c>
      <c r="E5820">
        <v>600</v>
      </c>
      <c r="F5820" t="str">
        <f>HYPERLINK("https://www.google.com/maps/search/?api=1&amp;query=26.29559539,44.81703037", "View Map")</f>
        <v>View Map</v>
      </c>
      <c r="G5820" s="2">
        <v>0.53552961635908247</v>
      </c>
    </row>
    <row r="5821" spans="1:7" x14ac:dyDescent="0.3">
      <c r="A5821" t="s">
        <v>4780</v>
      </c>
      <c r="B5821" t="s">
        <v>4781</v>
      </c>
      <c r="C5821" t="s">
        <v>8</v>
      </c>
      <c r="D5821">
        <v>1.873</v>
      </c>
      <c r="E5821">
        <v>599</v>
      </c>
      <c r="F5821" t="str">
        <f>HYPERLINK("https://www.google.com/maps/search/?api=1&amp;query=24.68597658,46.69043332", "View Map")</f>
        <v>View Map</v>
      </c>
    </row>
    <row r="5822" spans="1:7" x14ac:dyDescent="0.3">
      <c r="A5822" t="s">
        <v>46</v>
      </c>
      <c r="B5822" t="s">
        <v>12166</v>
      </c>
      <c r="C5822" t="s">
        <v>8</v>
      </c>
      <c r="D5822">
        <v>1.873</v>
      </c>
      <c r="E5822">
        <v>599</v>
      </c>
      <c r="F5822" t="str">
        <f>HYPERLINK("https://www.google.com/maps/search/?api=1&amp;query=24.83273954,46.74006309", "View Map")</f>
        <v>View Map</v>
      </c>
    </row>
    <row r="5823" spans="1:7" x14ac:dyDescent="0.3">
      <c r="A5823" t="s">
        <v>12167</v>
      </c>
      <c r="B5823" t="s">
        <v>12168</v>
      </c>
      <c r="C5823" t="s">
        <v>77</v>
      </c>
      <c r="D5823">
        <v>1.873</v>
      </c>
      <c r="E5823">
        <v>599</v>
      </c>
      <c r="F5823" t="str">
        <f>HYPERLINK("https://www.google.com/maps/search/?api=1&amp;query=22.43050083,46.18283149", "View Map")</f>
        <v>View Map</v>
      </c>
    </row>
    <row r="5824" spans="1:7" x14ac:dyDescent="0.3">
      <c r="A5824" t="s">
        <v>10611</v>
      </c>
      <c r="B5824" t="s">
        <v>10612</v>
      </c>
      <c r="C5824" t="s">
        <v>8</v>
      </c>
      <c r="D5824">
        <v>1.8720000000000001</v>
      </c>
      <c r="E5824">
        <v>599</v>
      </c>
      <c r="F5824" t="str">
        <f>HYPERLINK("https://www.google.com/maps/search/?api=1&amp;query=24.6689645,46.72057735", "View Map")</f>
        <v>View Map</v>
      </c>
    </row>
    <row r="5825" spans="1:7" x14ac:dyDescent="0.3">
      <c r="A5825" t="s">
        <v>10561</v>
      </c>
      <c r="B5825" t="s">
        <v>10562</v>
      </c>
      <c r="C5825" t="s">
        <v>21</v>
      </c>
      <c r="D5825">
        <v>1.8720000000000001</v>
      </c>
      <c r="E5825">
        <v>599</v>
      </c>
      <c r="F5825" t="str">
        <f>HYPERLINK("https://www.google.com/maps/search/?api=1&amp;query=26.29644102,44.83353243", "View Map")</f>
        <v>View Map</v>
      </c>
    </row>
    <row r="5826" spans="1:7" x14ac:dyDescent="0.3">
      <c r="A5826" t="s">
        <v>10675</v>
      </c>
      <c r="B5826" t="s">
        <v>10676</v>
      </c>
      <c r="C5826" t="s">
        <v>393</v>
      </c>
      <c r="D5826">
        <v>1.8720000000000001</v>
      </c>
      <c r="E5826">
        <v>599</v>
      </c>
      <c r="F5826" t="str">
        <f>HYPERLINK("https://www.google.com/maps/search/?api=1&amp;query=23.69539384,45.34277337", "View Map")</f>
        <v>View Map</v>
      </c>
      <c r="G5826" s="2">
        <v>0.71449762188314059</v>
      </c>
    </row>
    <row r="5827" spans="1:7" x14ac:dyDescent="0.3">
      <c r="A5827" t="s">
        <v>6532</v>
      </c>
      <c r="B5827" t="s">
        <v>6533</v>
      </c>
      <c r="C5827" t="s">
        <v>8</v>
      </c>
      <c r="D5827">
        <v>1.8720000000000001</v>
      </c>
      <c r="E5827">
        <v>599</v>
      </c>
      <c r="F5827" t="str">
        <f>HYPERLINK("https://www.google.com/maps/search/?api=1&amp;query=24.63035594,46.53268413", "View Map")</f>
        <v>View Map</v>
      </c>
    </row>
    <row r="5828" spans="1:7" x14ac:dyDescent="0.3">
      <c r="A5828" t="s">
        <v>717</v>
      </c>
      <c r="B5828" t="s">
        <v>11150</v>
      </c>
      <c r="C5828" t="s">
        <v>255</v>
      </c>
      <c r="D5828">
        <v>1.871</v>
      </c>
      <c r="E5828">
        <v>599</v>
      </c>
      <c r="F5828" t="str">
        <f>HYPERLINK("https://www.google.com/maps/search/?api=1&amp;query=25.13643382,43.47864151", "View Map")</f>
        <v>View Map</v>
      </c>
      <c r="G5828" s="2">
        <v>0.77097285729838372</v>
      </c>
    </row>
    <row r="5829" spans="1:7" x14ac:dyDescent="0.3">
      <c r="A5829" t="s">
        <v>9861</v>
      </c>
      <c r="B5829" t="s">
        <v>9862</v>
      </c>
      <c r="C5829" t="s">
        <v>291</v>
      </c>
      <c r="D5829">
        <v>1.871</v>
      </c>
      <c r="E5829">
        <v>599</v>
      </c>
      <c r="F5829" t="str">
        <f>HYPERLINK("https://www.google.com/maps/search/?api=1&amp;query=24.38066598,45.89888045", "View Map")</f>
        <v>View Map</v>
      </c>
      <c r="G5829" s="2">
        <v>0.39932221644975419</v>
      </c>
    </row>
    <row r="5830" spans="1:7" x14ac:dyDescent="0.3">
      <c r="A5830" t="s">
        <v>1273</v>
      </c>
      <c r="B5830" t="s">
        <v>8135</v>
      </c>
      <c r="C5830" t="s">
        <v>241</v>
      </c>
      <c r="D5830">
        <v>1.871</v>
      </c>
      <c r="E5830">
        <v>599</v>
      </c>
      <c r="F5830" t="str">
        <f>HYPERLINK("https://www.google.com/maps/search/?api=1&amp;query=20.48623521,44.79165297", "View Map")</f>
        <v>View Map</v>
      </c>
      <c r="G5830" s="2">
        <v>0.62187963586876582</v>
      </c>
    </row>
    <row r="5831" spans="1:7" x14ac:dyDescent="0.3">
      <c r="A5831" t="s">
        <v>146</v>
      </c>
      <c r="B5831" t="s">
        <v>8761</v>
      </c>
      <c r="C5831" t="s">
        <v>8</v>
      </c>
      <c r="D5831">
        <v>1.871</v>
      </c>
      <c r="E5831">
        <v>599</v>
      </c>
      <c r="F5831" t="str">
        <f>HYPERLINK("https://www.google.com/maps/search/?api=1&amp;query=24.594678,46.68476127", "View Map")</f>
        <v>View Map</v>
      </c>
    </row>
    <row r="5832" spans="1:7" x14ac:dyDescent="0.3">
      <c r="A5832" t="s">
        <v>12169</v>
      </c>
      <c r="B5832" t="s">
        <v>12170</v>
      </c>
      <c r="C5832" t="s">
        <v>8</v>
      </c>
      <c r="D5832">
        <v>1.87</v>
      </c>
      <c r="E5832">
        <v>598</v>
      </c>
      <c r="F5832" t="str">
        <f>HYPERLINK("https://www.google.com/maps/search/?api=1&amp;query=24.87745011,46.60828638", "View Map")</f>
        <v>View Map</v>
      </c>
    </row>
    <row r="5833" spans="1:7" x14ac:dyDescent="0.3">
      <c r="A5833" t="s">
        <v>7165</v>
      </c>
      <c r="B5833" t="s">
        <v>7166</v>
      </c>
      <c r="C5833" t="s">
        <v>8</v>
      </c>
      <c r="D5833">
        <v>1.87</v>
      </c>
      <c r="E5833">
        <v>598</v>
      </c>
      <c r="F5833" t="str">
        <f>HYPERLINK("https://www.google.com/maps/search/?api=1&amp;query=24.72492138,46.82604662", "View Map")</f>
        <v>View Map</v>
      </c>
    </row>
    <row r="5834" spans="1:7" x14ac:dyDescent="0.3">
      <c r="A5834" t="s">
        <v>46</v>
      </c>
      <c r="B5834" t="s">
        <v>12171</v>
      </c>
      <c r="C5834" t="s">
        <v>8</v>
      </c>
      <c r="D5834">
        <v>1.87</v>
      </c>
      <c r="E5834">
        <v>598</v>
      </c>
      <c r="F5834" t="str">
        <f>HYPERLINK("https://www.google.com/maps/search/?api=1&amp;query=24.60646472,46.50887128", "View Map")</f>
        <v>View Map</v>
      </c>
    </row>
    <row r="5835" spans="1:7" x14ac:dyDescent="0.3">
      <c r="A5835" t="s">
        <v>12172</v>
      </c>
      <c r="B5835" t="s">
        <v>12173</v>
      </c>
      <c r="C5835" t="s">
        <v>8</v>
      </c>
      <c r="D5835">
        <v>1.869</v>
      </c>
      <c r="E5835">
        <v>598</v>
      </c>
      <c r="F5835" t="str">
        <f>HYPERLINK("https://www.google.com/maps/search/?api=1&amp;query=24.58601231,46.55775525", "View Map")</f>
        <v>View Map</v>
      </c>
    </row>
    <row r="5836" spans="1:7" x14ac:dyDescent="0.3">
      <c r="A5836" t="s">
        <v>8357</v>
      </c>
      <c r="B5836" t="s">
        <v>8358</v>
      </c>
      <c r="C5836" t="s">
        <v>8</v>
      </c>
      <c r="D5836">
        <v>1.8680000000000001</v>
      </c>
      <c r="E5836">
        <v>598</v>
      </c>
      <c r="F5836" t="str">
        <f>HYPERLINK("https://www.google.com/maps/search/?api=1&amp;query=24.81159299,46.88636853", "View Map")</f>
        <v>View Map</v>
      </c>
    </row>
    <row r="5837" spans="1:7" x14ac:dyDescent="0.3">
      <c r="A5837" t="s">
        <v>4881</v>
      </c>
      <c r="B5837" t="s">
        <v>4882</v>
      </c>
      <c r="C5837" t="s">
        <v>883</v>
      </c>
      <c r="D5837">
        <v>1.867</v>
      </c>
      <c r="E5837">
        <v>597</v>
      </c>
      <c r="F5837" t="str">
        <f>HYPERLINK("https://www.google.com/maps/search/?api=1&amp;query=25.54815679,47.16352871", "View Map")</f>
        <v>View Map</v>
      </c>
    </row>
    <row r="5838" spans="1:7" x14ac:dyDescent="0.3">
      <c r="A5838" t="s">
        <v>706</v>
      </c>
      <c r="B5838" t="s">
        <v>12174</v>
      </c>
      <c r="C5838" t="s">
        <v>8</v>
      </c>
      <c r="D5838">
        <v>1.867</v>
      </c>
      <c r="E5838">
        <v>598</v>
      </c>
      <c r="F5838" t="str">
        <f>HYPERLINK("https://www.google.com/maps/search/?api=1&amp;query=24.56088242,46.71798948", "View Map")</f>
        <v>View Map</v>
      </c>
    </row>
    <row r="5839" spans="1:7" x14ac:dyDescent="0.3">
      <c r="A5839" t="s">
        <v>8281</v>
      </c>
      <c r="B5839" t="s">
        <v>8282</v>
      </c>
      <c r="C5839" t="s">
        <v>8</v>
      </c>
      <c r="D5839">
        <v>1.867</v>
      </c>
      <c r="E5839">
        <v>597</v>
      </c>
      <c r="F5839" t="str">
        <f>HYPERLINK("https://www.google.com/maps/search/?api=1&amp;query=24.80240908,46.86235804", "View Map")</f>
        <v>View Map</v>
      </c>
    </row>
    <row r="5840" spans="1:7" x14ac:dyDescent="0.3">
      <c r="A5840" t="s">
        <v>7656</v>
      </c>
      <c r="B5840" t="s">
        <v>7657</v>
      </c>
      <c r="C5840" t="s">
        <v>8</v>
      </c>
      <c r="D5840">
        <v>1.867</v>
      </c>
      <c r="E5840">
        <v>597</v>
      </c>
      <c r="F5840" t="str">
        <f>HYPERLINK("https://www.google.com/maps/search/?api=1&amp;query=24.69520859,46.64810343", "View Map")</f>
        <v>View Map</v>
      </c>
    </row>
    <row r="5841" spans="1:7" x14ac:dyDescent="0.3">
      <c r="A5841" t="s">
        <v>300</v>
      </c>
      <c r="B5841" t="s">
        <v>5826</v>
      </c>
      <c r="C5841" t="s">
        <v>8</v>
      </c>
      <c r="D5841">
        <v>1.867</v>
      </c>
      <c r="E5841">
        <v>597</v>
      </c>
      <c r="F5841" t="str">
        <f>HYPERLINK("https://www.google.com/maps/search/?api=1&amp;query=24.78332153,46.69001095", "View Map")</f>
        <v>View Map</v>
      </c>
    </row>
    <row r="5842" spans="1:7" x14ac:dyDescent="0.3">
      <c r="A5842" t="s">
        <v>7823</v>
      </c>
      <c r="B5842" t="s">
        <v>7824</v>
      </c>
      <c r="C5842" t="s">
        <v>8</v>
      </c>
      <c r="D5842">
        <v>1.867</v>
      </c>
      <c r="E5842">
        <v>597</v>
      </c>
      <c r="F5842" t="str">
        <f>HYPERLINK("https://www.google.com/maps/search/?api=1&amp;query=24.72906862,46.79982067", "View Map")</f>
        <v>View Map</v>
      </c>
    </row>
    <row r="5843" spans="1:7" x14ac:dyDescent="0.3">
      <c r="A5843" t="s">
        <v>259</v>
      </c>
      <c r="B5843" t="s">
        <v>9365</v>
      </c>
      <c r="C5843" t="s">
        <v>8</v>
      </c>
      <c r="D5843">
        <v>1.8660000000000001</v>
      </c>
      <c r="E5843">
        <v>597</v>
      </c>
      <c r="F5843" t="str">
        <f>HYPERLINK("https://www.google.com/maps/search/?api=1&amp;query=24.73576444,46.83910056", "View Map")</f>
        <v>View Map</v>
      </c>
    </row>
    <row r="5844" spans="1:7" x14ac:dyDescent="0.3">
      <c r="A5844" t="s">
        <v>469</v>
      </c>
      <c r="B5844" t="s">
        <v>12175</v>
      </c>
      <c r="C5844" t="s">
        <v>8</v>
      </c>
      <c r="D5844">
        <v>1.8660000000000001</v>
      </c>
      <c r="E5844">
        <v>597</v>
      </c>
      <c r="F5844" t="str">
        <f>HYPERLINK("https://www.google.com/maps/search/?api=1&amp;query=24.64559399,46.54794048", "View Map")</f>
        <v>View Map</v>
      </c>
    </row>
    <row r="5845" spans="1:7" x14ac:dyDescent="0.3">
      <c r="A5845" t="s">
        <v>3595</v>
      </c>
      <c r="B5845" t="s">
        <v>10396</v>
      </c>
      <c r="C5845" t="s">
        <v>241</v>
      </c>
      <c r="D5845">
        <v>1.8660000000000001</v>
      </c>
      <c r="E5845">
        <v>597</v>
      </c>
      <c r="F5845" t="str">
        <f>HYPERLINK("https://www.google.com/maps/search/?api=1&amp;query=20.46896653,44.76785049", "View Map")</f>
        <v>View Map</v>
      </c>
      <c r="G5845" s="2">
        <v>0.92535997164995976</v>
      </c>
    </row>
    <row r="5846" spans="1:7" x14ac:dyDescent="0.3">
      <c r="A5846" t="s">
        <v>11181</v>
      </c>
      <c r="B5846" t="s">
        <v>11182</v>
      </c>
      <c r="C5846" t="s">
        <v>241</v>
      </c>
      <c r="D5846">
        <v>1.8660000000000001</v>
      </c>
      <c r="E5846">
        <v>597</v>
      </c>
      <c r="F5846" t="str">
        <f>HYPERLINK("https://www.google.com/maps/search/?api=1&amp;query=20.43748765,44.81868327", "View Map")</f>
        <v>View Map</v>
      </c>
    </row>
    <row r="5847" spans="1:7" x14ac:dyDescent="0.3">
      <c r="A5847" t="s">
        <v>12176</v>
      </c>
      <c r="B5847" t="s">
        <v>12177</v>
      </c>
      <c r="C5847" t="s">
        <v>255</v>
      </c>
      <c r="D5847">
        <v>1.865</v>
      </c>
      <c r="E5847">
        <v>597</v>
      </c>
      <c r="F5847" t="str">
        <f>HYPERLINK("https://www.google.com/maps/search/?api=1&amp;query=25.18845328,44.5985232", "View Map")</f>
        <v>View Map</v>
      </c>
    </row>
    <row r="5848" spans="1:7" x14ac:dyDescent="0.3">
      <c r="A5848" t="s">
        <v>459</v>
      </c>
      <c r="B5848" t="s">
        <v>6760</v>
      </c>
      <c r="C5848" t="s">
        <v>286</v>
      </c>
      <c r="D5848">
        <v>1.865</v>
      </c>
      <c r="E5848">
        <v>597</v>
      </c>
      <c r="F5848" t="str">
        <f>HYPERLINK("https://www.google.com/maps/search/?api=1&amp;query=25.34249775,45.16838311", "View Map")</f>
        <v>View Map</v>
      </c>
      <c r="G5848" s="2">
        <v>0.39272993101222958</v>
      </c>
    </row>
    <row r="5849" spans="1:7" x14ac:dyDescent="0.3">
      <c r="A5849" t="s">
        <v>7526</v>
      </c>
      <c r="B5849" t="s">
        <v>7527</v>
      </c>
      <c r="C5849" t="s">
        <v>8</v>
      </c>
      <c r="D5849">
        <v>1.865</v>
      </c>
      <c r="E5849">
        <v>597</v>
      </c>
      <c r="F5849" t="str">
        <f>HYPERLINK("https://www.google.com/maps/search/?api=1&amp;query=24.71516667,46.68078879", "View Map")</f>
        <v>View Map</v>
      </c>
    </row>
    <row r="5850" spans="1:7" x14ac:dyDescent="0.3">
      <c r="A5850" t="s">
        <v>459</v>
      </c>
      <c r="B5850" t="s">
        <v>12178</v>
      </c>
      <c r="C5850" t="s">
        <v>286</v>
      </c>
      <c r="D5850">
        <v>1.8640000000000001</v>
      </c>
      <c r="E5850">
        <v>597</v>
      </c>
      <c r="F5850" t="str">
        <f>HYPERLINK("https://www.google.com/maps/search/?api=1&amp;query=25.24233958,45.24204342", "View Map")</f>
        <v>View Map</v>
      </c>
    </row>
    <row r="5851" spans="1:7" x14ac:dyDescent="0.3">
      <c r="A5851" t="s">
        <v>9164</v>
      </c>
      <c r="B5851" t="s">
        <v>9165</v>
      </c>
      <c r="C5851" t="s">
        <v>8</v>
      </c>
      <c r="D5851">
        <v>1.8640000000000001</v>
      </c>
      <c r="E5851">
        <v>597</v>
      </c>
      <c r="F5851" t="str">
        <f>HYPERLINK("https://www.google.com/maps/search/?api=1&amp;query=24.58442523,46.77708401", "View Map")</f>
        <v>View Map</v>
      </c>
    </row>
    <row r="5852" spans="1:7" x14ac:dyDescent="0.3">
      <c r="A5852" t="s">
        <v>46</v>
      </c>
      <c r="B5852" t="s">
        <v>4820</v>
      </c>
      <c r="C5852" t="s">
        <v>8</v>
      </c>
      <c r="D5852">
        <v>1.8640000000000001</v>
      </c>
      <c r="E5852">
        <v>596</v>
      </c>
      <c r="F5852" t="str">
        <f>HYPERLINK("https://www.google.com/maps/search/?api=1&amp;query=24.86569964,46.63802922", "View Map")</f>
        <v>View Map</v>
      </c>
    </row>
    <row r="5853" spans="1:7" x14ac:dyDescent="0.3">
      <c r="A5853" t="s">
        <v>6818</v>
      </c>
      <c r="B5853" t="s">
        <v>6819</v>
      </c>
      <c r="C5853" t="s">
        <v>30</v>
      </c>
      <c r="D5853">
        <v>1.8640000000000001</v>
      </c>
      <c r="E5853">
        <v>596</v>
      </c>
      <c r="F5853" t="str">
        <f>HYPERLINK("https://www.google.com/maps/search/?api=1&amp;query=24.12779657,47.35800702", "View Map")</f>
        <v>View Map</v>
      </c>
    </row>
    <row r="5854" spans="1:7" x14ac:dyDescent="0.3">
      <c r="A5854" t="s">
        <v>12179</v>
      </c>
      <c r="B5854" t="s">
        <v>12180</v>
      </c>
      <c r="C5854" t="s">
        <v>8</v>
      </c>
      <c r="D5854">
        <v>1.863</v>
      </c>
      <c r="E5854">
        <v>596</v>
      </c>
      <c r="F5854" t="str">
        <f>HYPERLINK("https://www.google.com/maps/search/?api=1&amp;query=24.80757243,46.75304778", "View Map")</f>
        <v>View Map</v>
      </c>
    </row>
    <row r="5855" spans="1:7" x14ac:dyDescent="0.3">
      <c r="A5855" t="s">
        <v>9262</v>
      </c>
      <c r="B5855" t="s">
        <v>9263</v>
      </c>
      <c r="C5855" t="s">
        <v>8</v>
      </c>
      <c r="D5855">
        <v>1.863</v>
      </c>
      <c r="E5855">
        <v>596</v>
      </c>
      <c r="F5855" t="str">
        <f>HYPERLINK("https://www.google.com/maps/search/?api=1&amp;query=24.67039111,46.74838018", "View Map")</f>
        <v>View Map</v>
      </c>
    </row>
    <row r="5856" spans="1:7" x14ac:dyDescent="0.3">
      <c r="A5856" t="s">
        <v>10344</v>
      </c>
      <c r="B5856" t="s">
        <v>10345</v>
      </c>
      <c r="C5856" t="s">
        <v>30</v>
      </c>
      <c r="D5856">
        <v>1.863</v>
      </c>
      <c r="E5856">
        <v>596</v>
      </c>
      <c r="F5856" t="str">
        <f>HYPERLINK("https://www.google.com/maps/search/?api=1&amp;query=24.13478606,47.2754049", "View Map")</f>
        <v>View Map</v>
      </c>
    </row>
    <row r="5857" spans="1:7" x14ac:dyDescent="0.3">
      <c r="A5857" t="s">
        <v>2076</v>
      </c>
      <c r="B5857" t="s">
        <v>12181</v>
      </c>
      <c r="C5857" t="s">
        <v>8</v>
      </c>
      <c r="D5857">
        <v>1.863</v>
      </c>
      <c r="E5857">
        <v>596</v>
      </c>
      <c r="F5857" t="str">
        <f>HYPERLINK("https://www.google.com/maps/search/?api=1&amp;query=24.56333971,46.68570701", "View Map")</f>
        <v>View Map</v>
      </c>
    </row>
    <row r="5858" spans="1:7" x14ac:dyDescent="0.3">
      <c r="A5858" t="s">
        <v>10262</v>
      </c>
      <c r="B5858" t="s">
        <v>10263</v>
      </c>
      <c r="C5858" t="s">
        <v>8</v>
      </c>
      <c r="D5858">
        <v>1.863</v>
      </c>
      <c r="E5858">
        <v>596</v>
      </c>
      <c r="F5858" t="str">
        <f>HYPERLINK("https://www.google.com/maps/search/?api=1&amp;query=24.65698403,46.7440842", "View Map")</f>
        <v>View Map</v>
      </c>
    </row>
    <row r="5859" spans="1:7" x14ac:dyDescent="0.3">
      <c r="A5859" t="s">
        <v>5894</v>
      </c>
      <c r="B5859" t="s">
        <v>6304</v>
      </c>
      <c r="C5859" t="s">
        <v>8</v>
      </c>
      <c r="D5859">
        <v>1.8620000000000001</v>
      </c>
      <c r="E5859">
        <v>596</v>
      </c>
      <c r="F5859" t="str">
        <f>HYPERLINK("https://www.google.com/maps/search/?api=1&amp;query=24.58041392,46.60736271", "View Map")</f>
        <v>View Map</v>
      </c>
    </row>
    <row r="5860" spans="1:7" x14ac:dyDescent="0.3">
      <c r="A5860" t="s">
        <v>12182</v>
      </c>
      <c r="B5860" t="s">
        <v>12183</v>
      </c>
      <c r="C5860" t="s">
        <v>296</v>
      </c>
      <c r="D5860">
        <v>1.8620000000000001</v>
      </c>
      <c r="E5860">
        <v>596</v>
      </c>
      <c r="F5860" t="str">
        <f>HYPERLINK("https://www.google.com/maps/search/?api=1&amp;query=24.15258246,46.09772254", "View Map")</f>
        <v>View Map</v>
      </c>
    </row>
    <row r="5861" spans="1:7" x14ac:dyDescent="0.3">
      <c r="A5861" t="s">
        <v>10200</v>
      </c>
      <c r="B5861" t="s">
        <v>10201</v>
      </c>
      <c r="C5861" t="s">
        <v>8</v>
      </c>
      <c r="D5861">
        <v>1.8620000000000001</v>
      </c>
      <c r="E5861">
        <v>596</v>
      </c>
      <c r="F5861" t="str">
        <f>HYPERLINK("https://www.google.com/maps/search/?api=1&amp;query=24.60699233,46.68713834", "View Map")</f>
        <v>View Map</v>
      </c>
    </row>
    <row r="5862" spans="1:7" x14ac:dyDescent="0.3">
      <c r="A5862" t="s">
        <v>7977</v>
      </c>
      <c r="B5862" t="s">
        <v>7978</v>
      </c>
      <c r="C5862" t="s">
        <v>8</v>
      </c>
      <c r="D5862">
        <v>1.8620000000000001</v>
      </c>
      <c r="E5862">
        <v>596</v>
      </c>
      <c r="F5862" t="str">
        <f>HYPERLINK("https://www.google.com/maps/search/?api=1&amp;query=24.78297198,46.78210785", "View Map")</f>
        <v>View Map</v>
      </c>
    </row>
    <row r="5863" spans="1:7" x14ac:dyDescent="0.3">
      <c r="A5863" t="s">
        <v>46</v>
      </c>
      <c r="B5863" t="s">
        <v>7451</v>
      </c>
      <c r="C5863" t="s">
        <v>8</v>
      </c>
      <c r="D5863">
        <v>1.861</v>
      </c>
      <c r="E5863">
        <v>596</v>
      </c>
      <c r="F5863" t="str">
        <f>HYPERLINK("https://www.google.com/maps/search/?api=1&amp;query=24.74721727,46.62628386", "View Map")</f>
        <v>View Map</v>
      </c>
    </row>
    <row r="5864" spans="1:7" x14ac:dyDescent="0.3">
      <c r="A5864" t="s">
        <v>12184</v>
      </c>
      <c r="B5864" t="s">
        <v>12185</v>
      </c>
      <c r="C5864" t="s">
        <v>8</v>
      </c>
      <c r="D5864">
        <v>1.86</v>
      </c>
      <c r="E5864">
        <v>595</v>
      </c>
      <c r="F5864" t="str">
        <f>HYPERLINK("https://www.google.com/maps/search/?api=1&amp;query=24.74159705,46.78374184", "View Map")</f>
        <v>View Map</v>
      </c>
    </row>
    <row r="5865" spans="1:7" x14ac:dyDescent="0.3">
      <c r="A5865" t="s">
        <v>5973</v>
      </c>
      <c r="B5865" t="s">
        <v>5974</v>
      </c>
      <c r="C5865" t="s">
        <v>8</v>
      </c>
      <c r="D5865">
        <v>1.86</v>
      </c>
      <c r="E5865">
        <v>595</v>
      </c>
      <c r="F5865" t="str">
        <f>HYPERLINK("https://www.google.com/maps/search/?api=1&amp;query=24.67759762,46.70784145", "View Map")</f>
        <v>View Map</v>
      </c>
    </row>
    <row r="5866" spans="1:7" x14ac:dyDescent="0.3">
      <c r="A5866" t="s">
        <v>46</v>
      </c>
      <c r="B5866" t="s">
        <v>12186</v>
      </c>
      <c r="C5866" t="s">
        <v>8</v>
      </c>
      <c r="D5866">
        <v>1.86</v>
      </c>
      <c r="E5866">
        <v>595</v>
      </c>
      <c r="F5866" t="str">
        <f>HYPERLINK("https://www.google.com/maps/search/?api=1&amp;query=24.92570141,46.81880472", "View Map")</f>
        <v>View Map</v>
      </c>
    </row>
    <row r="5867" spans="1:7" x14ac:dyDescent="0.3">
      <c r="A5867" t="s">
        <v>12187</v>
      </c>
      <c r="B5867" t="s">
        <v>12188</v>
      </c>
      <c r="C5867" t="s">
        <v>291</v>
      </c>
      <c r="D5867">
        <v>1.859</v>
      </c>
      <c r="E5867">
        <v>595</v>
      </c>
      <c r="F5867" t="str">
        <f>HYPERLINK("https://www.google.com/maps/search/?api=1&amp;query=24.12262963,45.1025702", "View Map")</f>
        <v>View Map</v>
      </c>
    </row>
    <row r="5868" spans="1:7" x14ac:dyDescent="0.3">
      <c r="A5868" t="s">
        <v>12189</v>
      </c>
      <c r="B5868" t="s">
        <v>12190</v>
      </c>
      <c r="C5868" t="s">
        <v>8</v>
      </c>
      <c r="D5868">
        <v>1.859</v>
      </c>
      <c r="E5868">
        <v>595</v>
      </c>
      <c r="F5868" t="str">
        <f>HYPERLINK("https://www.google.com/maps/search/?api=1&amp;query=24.62950809,46.70201958", "View Map")</f>
        <v>View Map</v>
      </c>
    </row>
    <row r="5869" spans="1:7" x14ac:dyDescent="0.3">
      <c r="A5869" t="s">
        <v>9779</v>
      </c>
      <c r="B5869" t="s">
        <v>9780</v>
      </c>
      <c r="C5869" t="s">
        <v>8</v>
      </c>
      <c r="D5869">
        <v>1.859</v>
      </c>
      <c r="E5869">
        <v>595</v>
      </c>
      <c r="F5869" t="str">
        <f>HYPERLINK("https://www.google.com/maps/search/?api=1&amp;query=24.78029907,46.81830926", "View Map")</f>
        <v>View Map</v>
      </c>
    </row>
    <row r="5870" spans="1:7" x14ac:dyDescent="0.3">
      <c r="A5870" t="s">
        <v>46</v>
      </c>
      <c r="B5870" t="s">
        <v>12191</v>
      </c>
      <c r="C5870" t="s">
        <v>55</v>
      </c>
      <c r="D5870">
        <v>1.859</v>
      </c>
      <c r="E5870">
        <v>595</v>
      </c>
      <c r="F5870" t="str">
        <f>HYPERLINK("https://www.google.com/maps/search/?api=1&amp;query=24.7850055,46.56633954", "View Map")</f>
        <v>View Map</v>
      </c>
    </row>
    <row r="5871" spans="1:7" x14ac:dyDescent="0.3">
      <c r="A5871" t="s">
        <v>8541</v>
      </c>
      <c r="B5871" t="s">
        <v>8542</v>
      </c>
      <c r="C5871" t="s">
        <v>214</v>
      </c>
      <c r="D5871">
        <v>1.8580000000000001</v>
      </c>
      <c r="E5871">
        <v>594</v>
      </c>
      <c r="F5871" t="str">
        <f>HYPERLINK("https://www.google.com/maps/search/?api=1&amp;query=26.50855322,45.35301019", "View Map")</f>
        <v>View Map</v>
      </c>
      <c r="G5871" s="2">
        <v>0.4540857520991638</v>
      </c>
    </row>
    <row r="5872" spans="1:7" x14ac:dyDescent="0.3">
      <c r="A5872" t="s">
        <v>7298</v>
      </c>
      <c r="B5872" t="s">
        <v>7299</v>
      </c>
      <c r="C5872" t="s">
        <v>8</v>
      </c>
      <c r="D5872">
        <v>1.8580000000000001</v>
      </c>
      <c r="E5872">
        <v>594</v>
      </c>
      <c r="F5872" t="str">
        <f>HYPERLINK("https://www.google.com/maps/search/?api=1&amp;query=24.59339545,46.71400375", "View Map")</f>
        <v>View Map</v>
      </c>
    </row>
    <row r="5873" spans="1:7" x14ac:dyDescent="0.3">
      <c r="A5873" t="s">
        <v>4256</v>
      </c>
      <c r="B5873" t="s">
        <v>8603</v>
      </c>
      <c r="C5873" t="s">
        <v>8</v>
      </c>
      <c r="D5873">
        <v>1.8580000000000001</v>
      </c>
      <c r="E5873">
        <v>594</v>
      </c>
      <c r="F5873" t="str">
        <f>HYPERLINK("https://www.google.com/maps/search/?api=1&amp;query=24.7913208,46.81571235", "View Map")</f>
        <v>View Map</v>
      </c>
    </row>
    <row r="5874" spans="1:7" x14ac:dyDescent="0.3">
      <c r="A5874" t="s">
        <v>8443</v>
      </c>
      <c r="B5874" t="s">
        <v>8444</v>
      </c>
      <c r="C5874" t="s">
        <v>241</v>
      </c>
      <c r="D5874">
        <v>1.857</v>
      </c>
      <c r="E5874">
        <v>594</v>
      </c>
      <c r="F5874" t="str">
        <f>HYPERLINK("https://www.google.com/maps/search/?api=1&amp;query=20.46153643,44.82962677", "View Map")</f>
        <v>View Map</v>
      </c>
    </row>
    <row r="5875" spans="1:7" x14ac:dyDescent="0.3">
      <c r="A5875" t="s">
        <v>1273</v>
      </c>
      <c r="B5875" t="s">
        <v>12192</v>
      </c>
      <c r="C5875" t="s">
        <v>241</v>
      </c>
      <c r="D5875">
        <v>1.857</v>
      </c>
      <c r="E5875">
        <v>594</v>
      </c>
      <c r="F5875" t="str">
        <f>HYPERLINK("https://www.google.com/maps/search/?api=1&amp;query=20.4503241,44.8405842", "View Map")</f>
        <v>View Map</v>
      </c>
      <c r="G5875" s="2">
        <v>0.82414741797750679</v>
      </c>
    </row>
    <row r="5876" spans="1:7" x14ac:dyDescent="0.3">
      <c r="A5876" t="s">
        <v>12193</v>
      </c>
      <c r="B5876" t="s">
        <v>12194</v>
      </c>
      <c r="C5876" t="s">
        <v>21</v>
      </c>
      <c r="D5876">
        <v>1.857</v>
      </c>
      <c r="E5876">
        <v>594</v>
      </c>
      <c r="F5876" t="str">
        <f>HYPERLINK("https://www.google.com/maps/search/?api=1&amp;query=26.30309303,44.80032171", "View Map")</f>
        <v>View Map</v>
      </c>
    </row>
    <row r="5877" spans="1:7" x14ac:dyDescent="0.3">
      <c r="A5877" t="s">
        <v>46</v>
      </c>
      <c r="B5877" t="s">
        <v>12195</v>
      </c>
      <c r="C5877" t="s">
        <v>8</v>
      </c>
      <c r="D5877">
        <v>1.8560000000000001</v>
      </c>
      <c r="E5877">
        <v>594</v>
      </c>
      <c r="F5877" t="str">
        <f>HYPERLINK("https://www.google.com/maps/search/?api=1&amp;query=24.55423742,46.79322969", "View Map")</f>
        <v>View Map</v>
      </c>
    </row>
    <row r="5878" spans="1:7" x14ac:dyDescent="0.3">
      <c r="A5878" t="s">
        <v>9704</v>
      </c>
      <c r="B5878" t="s">
        <v>9705</v>
      </c>
      <c r="C5878" t="s">
        <v>8</v>
      </c>
      <c r="D5878">
        <v>1.8560000000000001</v>
      </c>
      <c r="E5878">
        <v>594</v>
      </c>
      <c r="F5878" t="str">
        <f>HYPERLINK("https://www.google.com/maps/search/?api=1&amp;query=24.52630983,46.64841684", "View Map")</f>
        <v>View Map</v>
      </c>
    </row>
    <row r="5879" spans="1:7" x14ac:dyDescent="0.3">
      <c r="A5879" t="s">
        <v>271</v>
      </c>
      <c r="B5879" t="s">
        <v>272</v>
      </c>
      <c r="C5879" t="s">
        <v>8</v>
      </c>
      <c r="D5879">
        <v>1.855</v>
      </c>
      <c r="E5879">
        <v>594</v>
      </c>
      <c r="F5879" t="str">
        <f>HYPERLINK("https://www.google.com/maps/search/?api=1&amp;query=24.67094519,46.74232063", "View Map")</f>
        <v>View Map</v>
      </c>
      <c r="G5879" s="2">
        <v>5.964904588662847E-2</v>
      </c>
    </row>
    <row r="5880" spans="1:7" x14ac:dyDescent="0.3">
      <c r="A5880" t="s">
        <v>4033</v>
      </c>
      <c r="B5880" t="s">
        <v>4034</v>
      </c>
      <c r="C5880" t="s">
        <v>270</v>
      </c>
      <c r="D5880">
        <v>1.8540000000000001</v>
      </c>
      <c r="E5880">
        <v>593</v>
      </c>
      <c r="F5880" t="str">
        <f>HYPERLINK("https://www.google.com/maps/search/?api=1&amp;query=24.09510307,47.1771339", "View Map")</f>
        <v>View Map</v>
      </c>
      <c r="G5880" s="2">
        <v>0.21924206604613361</v>
      </c>
    </row>
    <row r="5881" spans="1:7" x14ac:dyDescent="0.3">
      <c r="A5881" t="s">
        <v>8820</v>
      </c>
      <c r="B5881" t="s">
        <v>8821</v>
      </c>
      <c r="C5881" t="s">
        <v>255</v>
      </c>
      <c r="D5881">
        <v>1.8540000000000001</v>
      </c>
      <c r="E5881">
        <v>593</v>
      </c>
      <c r="F5881" t="str">
        <f>HYPERLINK("https://www.google.com/maps/search/?api=1&amp;query=24.61128709,44.31625732", "View Map")</f>
        <v>View Map</v>
      </c>
      <c r="G5881" s="2">
        <v>0.81160159679164001</v>
      </c>
    </row>
    <row r="5882" spans="1:7" x14ac:dyDescent="0.3">
      <c r="A5882" t="s">
        <v>12196</v>
      </c>
      <c r="B5882" t="s">
        <v>12197</v>
      </c>
      <c r="C5882" t="s">
        <v>77</v>
      </c>
      <c r="D5882">
        <v>1.8540000000000001</v>
      </c>
      <c r="E5882">
        <v>593</v>
      </c>
      <c r="F5882" t="str">
        <f>HYPERLINK("https://www.google.com/maps/search/?api=1&amp;query=22.04672455,46.58495079", "View Map")</f>
        <v>View Map</v>
      </c>
    </row>
    <row r="5883" spans="1:7" x14ac:dyDescent="0.3">
      <c r="A5883" t="s">
        <v>8752</v>
      </c>
      <c r="B5883" t="s">
        <v>8753</v>
      </c>
      <c r="C5883" t="s">
        <v>214</v>
      </c>
      <c r="D5883">
        <v>1.8540000000000001</v>
      </c>
      <c r="E5883">
        <v>593</v>
      </c>
      <c r="F5883" t="str">
        <f>HYPERLINK("https://www.google.com/maps/search/?api=1&amp;query=25.61689824,45.58005938", "View Map")</f>
        <v>View Map</v>
      </c>
      <c r="G5883" s="2">
        <v>0.33383174747017069</v>
      </c>
    </row>
    <row r="5884" spans="1:7" x14ac:dyDescent="0.3">
      <c r="A5884" t="s">
        <v>1615</v>
      </c>
      <c r="B5884" t="s">
        <v>2040</v>
      </c>
      <c r="C5884" t="s">
        <v>8</v>
      </c>
      <c r="D5884">
        <v>1.8540000000000001</v>
      </c>
      <c r="E5884">
        <v>593</v>
      </c>
      <c r="F5884" t="str">
        <f>HYPERLINK("https://www.google.com/maps/search/?api=1&amp;query=24.606186,46.63687266", "View Map")</f>
        <v>View Map</v>
      </c>
      <c r="G5884" s="2">
        <v>0.20325144357361119</v>
      </c>
    </row>
    <row r="5885" spans="1:7" x14ac:dyDescent="0.3">
      <c r="A5885" t="s">
        <v>10242</v>
      </c>
      <c r="B5885" t="s">
        <v>10243</v>
      </c>
      <c r="C5885" t="s">
        <v>255</v>
      </c>
      <c r="D5885">
        <v>1.8540000000000001</v>
      </c>
      <c r="E5885">
        <v>593</v>
      </c>
      <c r="F5885" t="str">
        <f>HYPERLINK("https://www.google.com/maps/search/?api=1&amp;query=24.20811766,44.22881196", "View Map")</f>
        <v>View Map</v>
      </c>
      <c r="G5885" s="2">
        <v>0.67321454776832812</v>
      </c>
    </row>
    <row r="5886" spans="1:7" x14ac:dyDescent="0.3">
      <c r="A5886" t="s">
        <v>7987</v>
      </c>
      <c r="B5886" t="s">
        <v>7988</v>
      </c>
      <c r="C5886" t="s">
        <v>8</v>
      </c>
      <c r="D5886">
        <v>1.853</v>
      </c>
      <c r="E5886">
        <v>593</v>
      </c>
      <c r="F5886" t="str">
        <f>HYPERLINK("https://www.google.com/maps/search/?api=1&amp;query=24.70454472,46.74208885", "View Map")</f>
        <v>View Map</v>
      </c>
    </row>
    <row r="5887" spans="1:7" x14ac:dyDescent="0.3">
      <c r="A5887" t="s">
        <v>5511</v>
      </c>
      <c r="B5887" t="s">
        <v>5512</v>
      </c>
      <c r="C5887" t="s">
        <v>8</v>
      </c>
      <c r="D5887">
        <v>1.853</v>
      </c>
      <c r="E5887">
        <v>593</v>
      </c>
      <c r="F5887" t="str">
        <f>HYPERLINK("https://www.google.com/maps/search/?api=1&amp;query=24.6174008,46.53902272", "View Map")</f>
        <v>View Map</v>
      </c>
    </row>
    <row r="5888" spans="1:7" x14ac:dyDescent="0.3">
      <c r="A5888" t="s">
        <v>8218</v>
      </c>
      <c r="B5888" t="s">
        <v>8219</v>
      </c>
      <c r="C5888" t="s">
        <v>1112</v>
      </c>
      <c r="D5888">
        <v>1.8520000000000001</v>
      </c>
      <c r="E5888">
        <v>593</v>
      </c>
      <c r="F5888" t="str">
        <f>HYPERLINK("https://www.google.com/maps/search/?api=1&amp;query=26.03018793,44.95210767", "View Map")</f>
        <v>View Map</v>
      </c>
    </row>
    <row r="5889" spans="1:7" x14ac:dyDescent="0.3">
      <c r="A5889" t="s">
        <v>12198</v>
      </c>
      <c r="B5889" t="s">
        <v>12199</v>
      </c>
      <c r="C5889" t="s">
        <v>466</v>
      </c>
      <c r="D5889">
        <v>1.851</v>
      </c>
      <c r="E5889">
        <v>592</v>
      </c>
      <c r="F5889" t="str">
        <f>HYPERLINK("https://www.google.com/maps/search/?api=1&amp;query=24.48536113,46.16329956", "View Map")</f>
        <v>View Map</v>
      </c>
    </row>
    <row r="5890" spans="1:7" x14ac:dyDescent="0.3">
      <c r="A5890" t="s">
        <v>380</v>
      </c>
      <c r="B5890" t="s">
        <v>9813</v>
      </c>
      <c r="C5890" t="s">
        <v>214</v>
      </c>
      <c r="D5890">
        <v>1.851</v>
      </c>
      <c r="E5890">
        <v>592</v>
      </c>
      <c r="F5890" t="str">
        <f>HYPERLINK("https://www.google.com/maps/search/?api=1&amp;query=25.71415765,45.85595895", "View Map")</f>
        <v>View Map</v>
      </c>
      <c r="G5890" s="2">
        <v>0.82013276335246266</v>
      </c>
    </row>
    <row r="5891" spans="1:7" x14ac:dyDescent="0.3">
      <c r="A5891" t="s">
        <v>12200</v>
      </c>
      <c r="B5891" t="s">
        <v>12201</v>
      </c>
      <c r="C5891" t="s">
        <v>8</v>
      </c>
      <c r="D5891">
        <v>1.851</v>
      </c>
      <c r="E5891">
        <v>592</v>
      </c>
      <c r="F5891" t="str">
        <f>HYPERLINK("https://www.google.com/maps/search/?api=1&amp;query=24.62757191,46.66157155", "View Map")</f>
        <v>View Map</v>
      </c>
    </row>
    <row r="5892" spans="1:7" x14ac:dyDescent="0.3">
      <c r="A5892" t="s">
        <v>8050</v>
      </c>
      <c r="B5892" t="s">
        <v>8051</v>
      </c>
      <c r="C5892" t="s">
        <v>8</v>
      </c>
      <c r="D5892">
        <v>1.851</v>
      </c>
      <c r="E5892">
        <v>592</v>
      </c>
      <c r="F5892" t="str">
        <f>HYPERLINK("https://www.google.com/maps/search/?api=1&amp;query=24.72205847,46.69013546", "View Map")</f>
        <v>View Map</v>
      </c>
    </row>
    <row r="5893" spans="1:7" x14ac:dyDescent="0.3">
      <c r="A5893" t="s">
        <v>1277</v>
      </c>
      <c r="B5893" t="s">
        <v>9765</v>
      </c>
      <c r="C5893" t="s">
        <v>8</v>
      </c>
      <c r="D5893">
        <v>1.85</v>
      </c>
      <c r="E5893">
        <v>592</v>
      </c>
      <c r="F5893" t="str">
        <f>HYPERLINK("https://www.google.com/maps/search/?api=1&amp;query=24.60779395,46.74470817", "View Map")</f>
        <v>View Map</v>
      </c>
    </row>
    <row r="5894" spans="1:7" x14ac:dyDescent="0.3">
      <c r="A5894" t="s">
        <v>12202</v>
      </c>
      <c r="B5894" t="s">
        <v>12203</v>
      </c>
      <c r="C5894" t="s">
        <v>646</v>
      </c>
      <c r="D5894">
        <v>1.85</v>
      </c>
      <c r="E5894">
        <v>592</v>
      </c>
      <c r="F5894" t="str">
        <f>HYPERLINK("https://www.google.com/maps/search/?api=1&amp;query=20.39941084,45.22171465", "View Map")</f>
        <v>View Map</v>
      </c>
      <c r="G5894" s="2">
        <v>0.76151826707382786</v>
      </c>
    </row>
    <row r="5895" spans="1:7" x14ac:dyDescent="0.3">
      <c r="A5895" t="s">
        <v>46</v>
      </c>
      <c r="B5895" t="s">
        <v>8551</v>
      </c>
      <c r="C5895" t="s">
        <v>8</v>
      </c>
      <c r="D5895">
        <v>1.85</v>
      </c>
      <c r="E5895">
        <v>592</v>
      </c>
      <c r="F5895" t="str">
        <f>HYPERLINK("https://www.google.com/maps/search/?api=1&amp;query=24.9089,46.6089", "View Map")</f>
        <v>View Map</v>
      </c>
    </row>
    <row r="5896" spans="1:7" x14ac:dyDescent="0.3">
      <c r="A5896" t="s">
        <v>46</v>
      </c>
      <c r="B5896" t="s">
        <v>12204</v>
      </c>
      <c r="C5896" t="s">
        <v>8</v>
      </c>
      <c r="D5896">
        <v>1.849</v>
      </c>
      <c r="E5896">
        <v>592</v>
      </c>
      <c r="F5896" t="str">
        <f>HYPERLINK("https://www.google.com/maps/search/?api=1&amp;query=24.89739388,46.60215126", "View Map")</f>
        <v>View Map</v>
      </c>
    </row>
    <row r="5897" spans="1:7" x14ac:dyDescent="0.3">
      <c r="A5897" t="s">
        <v>644</v>
      </c>
      <c r="B5897" t="s">
        <v>12205</v>
      </c>
      <c r="C5897" t="s">
        <v>646</v>
      </c>
      <c r="D5897">
        <v>1.849</v>
      </c>
      <c r="E5897">
        <v>592</v>
      </c>
      <c r="F5897" t="str">
        <f>HYPERLINK("https://www.google.com/maps/search/?api=1&amp;query=20.45183915,45.60026249", "View Map")</f>
        <v>View Map</v>
      </c>
    </row>
    <row r="5898" spans="1:7" x14ac:dyDescent="0.3">
      <c r="A5898" t="s">
        <v>146</v>
      </c>
      <c r="B5898" t="s">
        <v>8705</v>
      </c>
      <c r="C5898" t="s">
        <v>8</v>
      </c>
      <c r="D5898">
        <v>1.849</v>
      </c>
      <c r="E5898">
        <v>592</v>
      </c>
      <c r="F5898" t="str">
        <f>HYPERLINK("https://www.google.com/maps/search/?api=1&amp;query=24.56690937,46.54187861", "View Map")</f>
        <v>View Map</v>
      </c>
    </row>
    <row r="5899" spans="1:7" x14ac:dyDescent="0.3">
      <c r="A5899" t="s">
        <v>5182</v>
      </c>
      <c r="B5899" t="s">
        <v>5183</v>
      </c>
      <c r="C5899" t="s">
        <v>137</v>
      </c>
      <c r="D5899">
        <v>1.8480000000000001</v>
      </c>
      <c r="E5899">
        <v>591</v>
      </c>
      <c r="F5899" t="str">
        <f>HYPERLINK("https://www.google.com/maps/search/?api=1&amp;query=23.4854988,46.85071248", "View Map")</f>
        <v>View Map</v>
      </c>
    </row>
    <row r="5900" spans="1:7" x14ac:dyDescent="0.3">
      <c r="A5900" t="s">
        <v>46</v>
      </c>
      <c r="B5900" t="s">
        <v>8028</v>
      </c>
      <c r="C5900" t="s">
        <v>8</v>
      </c>
      <c r="D5900">
        <v>1.8480000000000001</v>
      </c>
      <c r="E5900">
        <v>591</v>
      </c>
      <c r="F5900" t="str">
        <f>HYPERLINK("https://www.google.com/maps/search/?api=1&amp;query=24.691375,46.67529229", "View Map")</f>
        <v>View Map</v>
      </c>
    </row>
    <row r="5901" spans="1:7" x14ac:dyDescent="0.3">
      <c r="A5901" t="s">
        <v>8784</v>
      </c>
      <c r="B5901" t="s">
        <v>8785</v>
      </c>
      <c r="C5901" t="s">
        <v>8</v>
      </c>
      <c r="D5901">
        <v>1.8480000000000001</v>
      </c>
      <c r="E5901">
        <v>591</v>
      </c>
      <c r="F5901" t="str">
        <f>HYPERLINK("https://www.google.com/maps/search/?api=1&amp;query=24.56312587,46.77045025", "View Map")</f>
        <v>View Map</v>
      </c>
    </row>
    <row r="5902" spans="1:7" x14ac:dyDescent="0.3">
      <c r="A5902" t="s">
        <v>305</v>
      </c>
      <c r="B5902" t="s">
        <v>1845</v>
      </c>
      <c r="C5902" t="s">
        <v>8</v>
      </c>
      <c r="D5902">
        <v>1.8480000000000001</v>
      </c>
      <c r="E5902">
        <v>591</v>
      </c>
      <c r="F5902" t="str">
        <f>HYPERLINK("https://www.google.com/maps/search/?api=1&amp;query=24.80367566,46.7790874", "View Map")</f>
        <v>View Map</v>
      </c>
      <c r="G5902" s="2">
        <v>0.1807067892742128</v>
      </c>
    </row>
    <row r="5903" spans="1:7" x14ac:dyDescent="0.3">
      <c r="A5903" t="s">
        <v>10756</v>
      </c>
      <c r="B5903" t="s">
        <v>10757</v>
      </c>
      <c r="C5903" t="s">
        <v>270</v>
      </c>
      <c r="D5903">
        <v>1.847</v>
      </c>
      <c r="E5903">
        <v>591</v>
      </c>
      <c r="F5903" t="str">
        <f>HYPERLINK("https://www.google.com/maps/search/?api=1&amp;query=24.02051376,47.17092184", "View Map")</f>
        <v>View Map</v>
      </c>
      <c r="G5903" s="2">
        <v>0.63920708011188032</v>
      </c>
    </row>
    <row r="5904" spans="1:7" x14ac:dyDescent="0.3">
      <c r="A5904" t="s">
        <v>10455</v>
      </c>
      <c r="B5904" t="s">
        <v>10456</v>
      </c>
      <c r="C5904" t="s">
        <v>8</v>
      </c>
      <c r="D5904">
        <v>1.847</v>
      </c>
      <c r="E5904">
        <v>591</v>
      </c>
      <c r="F5904" t="str">
        <f>HYPERLINK("https://www.google.com/maps/search/?api=1&amp;query=24.63823435,46.80044857", "View Map")</f>
        <v>View Map</v>
      </c>
    </row>
    <row r="5905" spans="1:7" x14ac:dyDescent="0.3">
      <c r="A5905" t="s">
        <v>8923</v>
      </c>
      <c r="B5905" t="s">
        <v>8924</v>
      </c>
      <c r="C5905" t="s">
        <v>21</v>
      </c>
      <c r="D5905">
        <v>1.847</v>
      </c>
      <c r="E5905">
        <v>591</v>
      </c>
      <c r="F5905" t="str">
        <f>HYPERLINK("https://www.google.com/maps/search/?api=1&amp;query=26.26342493,44.80690636", "View Map")</f>
        <v>View Map</v>
      </c>
      <c r="G5905" s="2">
        <v>0.51165652266877604</v>
      </c>
    </row>
    <row r="5906" spans="1:7" x14ac:dyDescent="0.3">
      <c r="A5906" t="s">
        <v>9007</v>
      </c>
      <c r="B5906" t="s">
        <v>9008</v>
      </c>
      <c r="C5906" t="s">
        <v>8</v>
      </c>
      <c r="D5906">
        <v>1.8460000000000001</v>
      </c>
      <c r="E5906">
        <v>591</v>
      </c>
      <c r="F5906" t="str">
        <f>HYPERLINK("https://www.google.com/maps/search/?api=1&amp;query=24.57249031,46.80175256", "View Map")</f>
        <v>View Map</v>
      </c>
    </row>
    <row r="5907" spans="1:7" x14ac:dyDescent="0.3">
      <c r="A5907" t="s">
        <v>6820</v>
      </c>
      <c r="B5907" t="s">
        <v>6821</v>
      </c>
      <c r="C5907" t="s">
        <v>8</v>
      </c>
      <c r="D5907">
        <v>1.845</v>
      </c>
      <c r="E5907">
        <v>590</v>
      </c>
      <c r="F5907" t="str">
        <f>HYPERLINK("https://www.google.com/maps/search/?api=1&amp;query=24.68219712,46.70444767", "View Map")</f>
        <v>View Map</v>
      </c>
    </row>
    <row r="5908" spans="1:7" x14ac:dyDescent="0.3">
      <c r="A5908" t="s">
        <v>150</v>
      </c>
      <c r="B5908" t="s">
        <v>8385</v>
      </c>
      <c r="C5908" t="s">
        <v>8</v>
      </c>
      <c r="D5908">
        <v>1.845</v>
      </c>
      <c r="E5908">
        <v>591</v>
      </c>
      <c r="F5908" t="str">
        <f>HYPERLINK("https://www.google.com/maps/search/?api=1&amp;query=24.64349622,46.56087487", "View Map")</f>
        <v>View Map</v>
      </c>
    </row>
    <row r="5909" spans="1:7" x14ac:dyDescent="0.3">
      <c r="A5909" t="s">
        <v>46</v>
      </c>
      <c r="B5909" t="s">
        <v>8158</v>
      </c>
      <c r="C5909" t="s">
        <v>8</v>
      </c>
      <c r="D5909">
        <v>1.845</v>
      </c>
      <c r="E5909">
        <v>591</v>
      </c>
      <c r="F5909" t="str">
        <f>HYPERLINK("https://www.google.com/maps/search/?api=1&amp;query=24.86718667,46.63469465", "View Map")</f>
        <v>View Map</v>
      </c>
    </row>
    <row r="5910" spans="1:7" x14ac:dyDescent="0.3">
      <c r="A5910" t="s">
        <v>12206</v>
      </c>
      <c r="B5910" t="s">
        <v>12207</v>
      </c>
      <c r="C5910" t="s">
        <v>255</v>
      </c>
      <c r="D5910">
        <v>1.845</v>
      </c>
      <c r="E5910">
        <v>590</v>
      </c>
      <c r="F5910" t="str">
        <f>HYPERLINK("https://www.google.com/maps/search/?api=1&amp;query=24.5826705,43.54882333", "View Map")</f>
        <v>View Map</v>
      </c>
      <c r="G5910" s="2">
        <v>0.44991848971936932</v>
      </c>
    </row>
    <row r="5911" spans="1:7" x14ac:dyDescent="0.3">
      <c r="A5911" t="s">
        <v>5472</v>
      </c>
      <c r="B5911" t="s">
        <v>5473</v>
      </c>
      <c r="C5911" t="s">
        <v>8</v>
      </c>
      <c r="D5911">
        <v>1.845</v>
      </c>
      <c r="E5911">
        <v>590</v>
      </c>
      <c r="F5911" t="str">
        <f>HYPERLINK("https://www.google.com/maps/search/?api=1&amp;query=24.63877396,46.73021688", "View Map")</f>
        <v>View Map</v>
      </c>
      <c r="G5911" s="2">
        <v>0.21660877110861099</v>
      </c>
    </row>
    <row r="5912" spans="1:7" x14ac:dyDescent="0.3">
      <c r="A5912" t="s">
        <v>46</v>
      </c>
      <c r="B5912" t="s">
        <v>7959</v>
      </c>
      <c r="C5912" t="s">
        <v>8</v>
      </c>
      <c r="D5912">
        <v>1.8440000000000001</v>
      </c>
      <c r="E5912">
        <v>590</v>
      </c>
      <c r="F5912" t="str">
        <f>HYPERLINK("https://www.google.com/maps/search/?api=1&amp;query=24.39800554,46.84309455", "View Map")</f>
        <v>View Map</v>
      </c>
      <c r="G5912" s="2">
        <v>0.40477458158043622</v>
      </c>
    </row>
    <row r="5913" spans="1:7" x14ac:dyDescent="0.3">
      <c r="A5913" t="s">
        <v>73</v>
      </c>
      <c r="B5913" t="s">
        <v>11220</v>
      </c>
      <c r="C5913" t="s">
        <v>8</v>
      </c>
      <c r="D5913">
        <v>1.8440000000000001</v>
      </c>
      <c r="E5913">
        <v>590</v>
      </c>
      <c r="F5913" t="str">
        <f>HYPERLINK("https://www.google.com/maps/search/?api=1&amp;query=24.64229549,46.55349158", "View Map")</f>
        <v>View Map</v>
      </c>
    </row>
    <row r="5914" spans="1:7" x14ac:dyDescent="0.3">
      <c r="A5914" t="s">
        <v>46</v>
      </c>
      <c r="B5914" t="s">
        <v>10421</v>
      </c>
      <c r="C5914" t="s">
        <v>55</v>
      </c>
      <c r="D5914">
        <v>1.8440000000000001</v>
      </c>
      <c r="E5914">
        <v>590</v>
      </c>
      <c r="F5914" t="str">
        <f>HYPERLINK("https://www.google.com/maps/search/?api=1&amp;query=24.90235961,46.36975225", "View Map")</f>
        <v>View Map</v>
      </c>
    </row>
    <row r="5915" spans="1:7" x14ac:dyDescent="0.3">
      <c r="A5915" t="s">
        <v>261</v>
      </c>
      <c r="B5915" t="s">
        <v>12208</v>
      </c>
      <c r="C5915" t="s">
        <v>8</v>
      </c>
      <c r="D5915">
        <v>1.843</v>
      </c>
      <c r="E5915">
        <v>590</v>
      </c>
      <c r="F5915" t="str">
        <f>HYPERLINK("https://www.google.com/maps/search/?api=1&amp;query=24.67237059,46.79599262", "View Map")</f>
        <v>View Map</v>
      </c>
    </row>
    <row r="5916" spans="1:7" x14ac:dyDescent="0.3">
      <c r="A5916" t="s">
        <v>9842</v>
      </c>
      <c r="B5916" t="s">
        <v>9843</v>
      </c>
      <c r="C5916" t="s">
        <v>8</v>
      </c>
      <c r="D5916">
        <v>1.8420000000000001</v>
      </c>
      <c r="E5916">
        <v>590</v>
      </c>
      <c r="F5916" t="str">
        <f>HYPERLINK("https://www.google.com/maps/search/?api=1&amp;query=24.6061,46.7211", "View Map")</f>
        <v>View Map</v>
      </c>
    </row>
    <row r="5917" spans="1:7" x14ac:dyDescent="0.3">
      <c r="A5917" t="s">
        <v>12209</v>
      </c>
      <c r="B5917" t="s">
        <v>12210</v>
      </c>
      <c r="C5917" t="s">
        <v>8</v>
      </c>
      <c r="D5917">
        <v>1.8420000000000001</v>
      </c>
      <c r="E5917">
        <v>589</v>
      </c>
      <c r="F5917" t="str">
        <f>HYPERLINK("https://www.google.com/maps/search/?api=1&amp;query=24.63613336,46.72689975", "View Map")</f>
        <v>View Map</v>
      </c>
    </row>
    <row r="5918" spans="1:7" x14ac:dyDescent="0.3">
      <c r="A5918" t="s">
        <v>1232</v>
      </c>
      <c r="B5918" t="s">
        <v>9692</v>
      </c>
      <c r="C5918" t="s">
        <v>8</v>
      </c>
      <c r="D5918">
        <v>1.841</v>
      </c>
      <c r="E5918">
        <v>589</v>
      </c>
      <c r="F5918" t="str">
        <f>HYPERLINK("https://www.google.com/maps/search/?api=1&amp;query=24.62927119,46.54479559", "View Map")</f>
        <v>View Map</v>
      </c>
    </row>
    <row r="5919" spans="1:7" x14ac:dyDescent="0.3">
      <c r="A5919" t="s">
        <v>12211</v>
      </c>
      <c r="B5919" t="s">
        <v>12212</v>
      </c>
      <c r="C5919" t="s">
        <v>738</v>
      </c>
      <c r="D5919">
        <v>1.841</v>
      </c>
      <c r="E5919">
        <v>589</v>
      </c>
      <c r="F5919" t="str">
        <f>HYPERLINK("https://www.google.com/maps/search/?api=1&amp;query=25.17956251,46.3219061", "View Map")</f>
        <v>View Map</v>
      </c>
      <c r="G5919" s="2">
        <v>0.45155247680240401</v>
      </c>
    </row>
    <row r="5920" spans="1:7" x14ac:dyDescent="0.3">
      <c r="A5920" t="s">
        <v>678</v>
      </c>
      <c r="B5920" t="s">
        <v>12213</v>
      </c>
      <c r="C5920" t="s">
        <v>21</v>
      </c>
      <c r="D5920">
        <v>1.841</v>
      </c>
      <c r="E5920">
        <v>589</v>
      </c>
      <c r="F5920" t="str">
        <f>HYPERLINK("https://www.google.com/maps/search/?api=1&amp;query=26.31532499,44.80522651", "View Map")</f>
        <v>View Map</v>
      </c>
    </row>
    <row r="5921" spans="1:7" x14ac:dyDescent="0.3">
      <c r="A5921" t="s">
        <v>9354</v>
      </c>
      <c r="B5921" t="s">
        <v>9355</v>
      </c>
      <c r="C5921" t="s">
        <v>8</v>
      </c>
      <c r="D5921">
        <v>1.84</v>
      </c>
      <c r="E5921">
        <v>589</v>
      </c>
      <c r="F5921" t="str">
        <f>HYPERLINK("https://www.google.com/maps/search/?api=1&amp;query=24.54360843,46.68696656", "View Map")</f>
        <v>View Map</v>
      </c>
    </row>
    <row r="5922" spans="1:7" x14ac:dyDescent="0.3">
      <c r="A5922" t="s">
        <v>10293</v>
      </c>
      <c r="B5922" t="s">
        <v>10294</v>
      </c>
      <c r="C5922" t="s">
        <v>699</v>
      </c>
      <c r="D5922">
        <v>1.84</v>
      </c>
      <c r="E5922">
        <v>589</v>
      </c>
      <c r="F5922" t="str">
        <f>HYPERLINK("https://www.google.com/maps/search/?api=1&amp;query=25.11646891,45.48871868", "View Map")</f>
        <v>View Map</v>
      </c>
    </row>
    <row r="5923" spans="1:7" x14ac:dyDescent="0.3">
      <c r="A5923" t="s">
        <v>1514</v>
      </c>
      <c r="B5923" t="s">
        <v>4361</v>
      </c>
      <c r="C5923" t="s">
        <v>255</v>
      </c>
      <c r="D5923">
        <v>1.8380000000000001</v>
      </c>
      <c r="E5923">
        <v>588</v>
      </c>
      <c r="F5923" t="str">
        <f>HYPERLINK("https://www.google.com/maps/search/?api=1&amp;query=24.4955568,44.38286592", "View Map")</f>
        <v>View Map</v>
      </c>
    </row>
    <row r="5924" spans="1:7" x14ac:dyDescent="0.3">
      <c r="A5924" t="s">
        <v>6647</v>
      </c>
      <c r="B5924" t="s">
        <v>7938</v>
      </c>
      <c r="C5924" t="s">
        <v>8</v>
      </c>
      <c r="D5924">
        <v>1.837</v>
      </c>
      <c r="E5924">
        <v>588</v>
      </c>
      <c r="F5924" t="str">
        <f>HYPERLINK("https://www.google.com/maps/search/?api=1&amp;query=24.73482398,46.81726352", "View Map")</f>
        <v>View Map</v>
      </c>
    </row>
    <row r="5925" spans="1:7" x14ac:dyDescent="0.3">
      <c r="A5925" t="s">
        <v>46</v>
      </c>
      <c r="B5925" t="s">
        <v>8871</v>
      </c>
      <c r="C5925" t="s">
        <v>8</v>
      </c>
      <c r="D5925">
        <v>1.837</v>
      </c>
      <c r="E5925">
        <v>588</v>
      </c>
      <c r="F5925" t="str">
        <f>HYPERLINK("https://www.google.com/maps/search/?api=1&amp;query=24.82437239,46.59852622", "View Map")</f>
        <v>View Map</v>
      </c>
    </row>
    <row r="5926" spans="1:7" x14ac:dyDescent="0.3">
      <c r="A5926" t="s">
        <v>1260</v>
      </c>
      <c r="B5926" t="s">
        <v>1261</v>
      </c>
      <c r="C5926" t="s">
        <v>8</v>
      </c>
      <c r="D5926">
        <v>1.8360000000000001</v>
      </c>
      <c r="E5926">
        <v>588</v>
      </c>
      <c r="F5926" t="str">
        <f>HYPERLINK("https://www.google.com/maps/search/?api=1&amp;query=24.73600851,46.69288173", "View Map")</f>
        <v>View Map</v>
      </c>
      <c r="G5926" s="2">
        <v>7.1873549941257206E-2</v>
      </c>
    </row>
    <row r="5927" spans="1:7" x14ac:dyDescent="0.3">
      <c r="A5927" t="s">
        <v>10462</v>
      </c>
      <c r="B5927" t="s">
        <v>10463</v>
      </c>
      <c r="C5927" t="s">
        <v>255</v>
      </c>
      <c r="D5927">
        <v>1.8360000000000001</v>
      </c>
      <c r="E5927">
        <v>588</v>
      </c>
      <c r="F5927" t="str">
        <f>HYPERLINK("https://www.google.com/maps/search/?api=1&amp;query=24.28526474,43.73408193", "View Map")</f>
        <v>View Map</v>
      </c>
      <c r="G5927" s="2">
        <v>0.83656545849116593</v>
      </c>
    </row>
    <row r="5928" spans="1:7" x14ac:dyDescent="0.3">
      <c r="A5928" t="s">
        <v>9720</v>
      </c>
      <c r="B5928" t="s">
        <v>9721</v>
      </c>
      <c r="C5928" t="s">
        <v>8</v>
      </c>
      <c r="D5928">
        <v>1.8360000000000001</v>
      </c>
      <c r="E5928">
        <v>587</v>
      </c>
      <c r="F5928" t="str">
        <f>HYPERLINK("https://www.google.com/maps/search/?api=1&amp;query=24.73101144,46.83617173", "View Map")</f>
        <v>View Map</v>
      </c>
    </row>
    <row r="5929" spans="1:7" x14ac:dyDescent="0.3">
      <c r="A5929" t="s">
        <v>9659</v>
      </c>
      <c r="B5929" t="s">
        <v>9660</v>
      </c>
      <c r="C5929" t="s">
        <v>8</v>
      </c>
      <c r="D5929">
        <v>1.8360000000000001</v>
      </c>
      <c r="E5929">
        <v>588</v>
      </c>
      <c r="F5929" t="str">
        <f>HYPERLINK("https://www.google.com/maps/search/?api=1&amp;query=24.79670332,46.6409025", "View Map")</f>
        <v>View Map</v>
      </c>
    </row>
    <row r="5930" spans="1:7" x14ac:dyDescent="0.3">
      <c r="A5930" t="s">
        <v>12214</v>
      </c>
      <c r="B5930" t="s">
        <v>12215</v>
      </c>
      <c r="C5930" t="s">
        <v>291</v>
      </c>
      <c r="D5930">
        <v>1.8360000000000001</v>
      </c>
      <c r="E5930">
        <v>588</v>
      </c>
      <c r="F5930" t="str">
        <f>HYPERLINK("https://www.google.com/maps/search/?api=1&amp;query=23.73832169,44.56967965", "View Map")</f>
        <v>View Map</v>
      </c>
    </row>
    <row r="5931" spans="1:7" x14ac:dyDescent="0.3">
      <c r="A5931" t="s">
        <v>12216</v>
      </c>
      <c r="B5931" t="s">
        <v>12217</v>
      </c>
      <c r="C5931" t="s">
        <v>296</v>
      </c>
      <c r="D5931">
        <v>1.8360000000000001</v>
      </c>
      <c r="E5931">
        <v>587</v>
      </c>
      <c r="F5931" t="str">
        <f>HYPERLINK("https://www.google.com/maps/search/?api=1&amp;query=24.49547353,45.97059296", "View Map")</f>
        <v>View Map</v>
      </c>
      <c r="G5931" s="2">
        <v>0.74218031694231268</v>
      </c>
    </row>
    <row r="5932" spans="1:7" x14ac:dyDescent="0.3">
      <c r="A5932" t="s">
        <v>9565</v>
      </c>
      <c r="B5932" t="s">
        <v>9566</v>
      </c>
      <c r="C5932" t="s">
        <v>137</v>
      </c>
      <c r="D5932">
        <v>1.8360000000000001</v>
      </c>
      <c r="E5932">
        <v>587</v>
      </c>
      <c r="F5932" t="str">
        <f>HYPERLINK("https://www.google.com/maps/search/?api=1&amp;query=23.51838433,46.83691924", "View Map")</f>
        <v>View Map</v>
      </c>
      <c r="G5932" s="2">
        <v>0.66838868756048608</v>
      </c>
    </row>
    <row r="5933" spans="1:7" x14ac:dyDescent="0.3">
      <c r="A5933" t="s">
        <v>9352</v>
      </c>
      <c r="B5933" t="s">
        <v>9353</v>
      </c>
      <c r="C5933" t="s">
        <v>21</v>
      </c>
      <c r="D5933">
        <v>1.835</v>
      </c>
      <c r="E5933">
        <v>587</v>
      </c>
      <c r="F5933" t="str">
        <f>HYPERLINK("https://www.google.com/maps/search/?api=1&amp;query=26.27471863,44.81518883", "View Map")</f>
        <v>View Map</v>
      </c>
      <c r="G5933" s="2">
        <v>0.69246709041705357</v>
      </c>
    </row>
    <row r="5934" spans="1:7" x14ac:dyDescent="0.3">
      <c r="A5934" t="s">
        <v>12218</v>
      </c>
      <c r="B5934" t="s">
        <v>12219</v>
      </c>
      <c r="C5934" t="s">
        <v>8</v>
      </c>
      <c r="D5934">
        <v>1.8340000000000001</v>
      </c>
      <c r="E5934">
        <v>587</v>
      </c>
      <c r="F5934" t="str">
        <f>HYPERLINK("https://www.google.com/maps/search/?api=1&amp;query=24.76496575,46.78210153", "View Map")</f>
        <v>View Map</v>
      </c>
    </row>
    <row r="5935" spans="1:7" x14ac:dyDescent="0.3">
      <c r="A5935" t="s">
        <v>1017</v>
      </c>
      <c r="B5935" t="s">
        <v>8833</v>
      </c>
      <c r="C5935" t="s">
        <v>8</v>
      </c>
      <c r="D5935">
        <v>1.8340000000000001</v>
      </c>
      <c r="E5935">
        <v>587</v>
      </c>
      <c r="F5935" t="str">
        <f>HYPERLINK("https://www.google.com/maps/search/?api=1&amp;query=24.5733,46.6656", "View Map")</f>
        <v>View Map</v>
      </c>
    </row>
    <row r="5936" spans="1:7" x14ac:dyDescent="0.3">
      <c r="A5936" t="s">
        <v>7765</v>
      </c>
      <c r="B5936" t="s">
        <v>7766</v>
      </c>
      <c r="C5936" t="s">
        <v>8</v>
      </c>
      <c r="D5936">
        <v>1.833</v>
      </c>
      <c r="E5936">
        <v>587</v>
      </c>
      <c r="F5936" t="str">
        <f>HYPERLINK("https://www.google.com/maps/search/?api=1&amp;query=24.61291787,46.64048646", "View Map")</f>
        <v>View Map</v>
      </c>
    </row>
    <row r="5937" spans="1:7" x14ac:dyDescent="0.3">
      <c r="A5937" t="s">
        <v>289</v>
      </c>
      <c r="B5937" t="s">
        <v>12220</v>
      </c>
      <c r="C5937" t="s">
        <v>291</v>
      </c>
      <c r="D5937">
        <v>1.833</v>
      </c>
      <c r="E5937">
        <v>586</v>
      </c>
      <c r="F5937" t="str">
        <f>HYPERLINK("https://www.google.com/maps/search/?api=1&amp;query=24.35088731,45.36761103", "View Map")</f>
        <v>View Map</v>
      </c>
      <c r="G5937" s="2">
        <v>0.87331530794113721</v>
      </c>
    </row>
    <row r="5938" spans="1:7" x14ac:dyDescent="0.3">
      <c r="A5938" t="s">
        <v>8273</v>
      </c>
      <c r="B5938" t="s">
        <v>8274</v>
      </c>
      <c r="C5938" t="s">
        <v>8</v>
      </c>
      <c r="D5938">
        <v>1.833</v>
      </c>
      <c r="E5938">
        <v>587</v>
      </c>
      <c r="F5938" t="str">
        <f>HYPERLINK("https://www.google.com/maps/search/?api=1&amp;query=24.64344167,46.7303838", "View Map")</f>
        <v>View Map</v>
      </c>
    </row>
    <row r="5939" spans="1:7" x14ac:dyDescent="0.3">
      <c r="A5939" t="s">
        <v>7551</v>
      </c>
      <c r="B5939" t="s">
        <v>7552</v>
      </c>
      <c r="C5939" t="s">
        <v>8</v>
      </c>
      <c r="D5939">
        <v>1.833</v>
      </c>
      <c r="E5939">
        <v>587</v>
      </c>
      <c r="F5939" t="str">
        <f>HYPERLINK("https://www.google.com/maps/search/?api=1&amp;query=24.57364803,46.64415569", "View Map")</f>
        <v>View Map</v>
      </c>
    </row>
    <row r="5940" spans="1:7" x14ac:dyDescent="0.3">
      <c r="A5940" t="s">
        <v>7311</v>
      </c>
      <c r="B5940" t="s">
        <v>7312</v>
      </c>
      <c r="C5940" t="s">
        <v>8</v>
      </c>
      <c r="D5940">
        <v>1.8320000000000001</v>
      </c>
      <c r="E5940">
        <v>586</v>
      </c>
      <c r="F5940" t="str">
        <f>HYPERLINK("https://www.google.com/maps/search/?api=1&amp;query=24.50294325,46.62841406", "View Map")</f>
        <v>View Map</v>
      </c>
    </row>
    <row r="5941" spans="1:7" x14ac:dyDescent="0.3">
      <c r="A5941" t="s">
        <v>46</v>
      </c>
      <c r="B5941" t="s">
        <v>12221</v>
      </c>
      <c r="C5941" t="s">
        <v>8</v>
      </c>
      <c r="D5941">
        <v>1.8320000000000001</v>
      </c>
      <c r="E5941">
        <v>586</v>
      </c>
      <c r="F5941" t="str">
        <f>HYPERLINK("https://www.google.com/maps/search/?api=1&amp;query=24.84796303,46.82736287", "View Map")</f>
        <v>View Map</v>
      </c>
    </row>
    <row r="5942" spans="1:7" x14ac:dyDescent="0.3">
      <c r="A5942" t="s">
        <v>12222</v>
      </c>
      <c r="B5942" t="s">
        <v>12223</v>
      </c>
      <c r="C5942" t="s">
        <v>466</v>
      </c>
      <c r="D5942">
        <v>1.8320000000000001</v>
      </c>
      <c r="E5942">
        <v>586</v>
      </c>
      <c r="F5942" t="str">
        <f>HYPERLINK("https://www.google.com/maps/search/?api=1&amp;query=24.50753869,46.3718704", "View Map")</f>
        <v>View Map</v>
      </c>
      <c r="G5942" s="2">
        <v>0.83620901005044179</v>
      </c>
    </row>
    <row r="5943" spans="1:7" x14ac:dyDescent="0.3">
      <c r="A5943" t="s">
        <v>1639</v>
      </c>
      <c r="B5943" t="s">
        <v>10216</v>
      </c>
      <c r="C5943" t="s">
        <v>8</v>
      </c>
      <c r="D5943">
        <v>1.8320000000000001</v>
      </c>
      <c r="E5943">
        <v>586</v>
      </c>
      <c r="F5943" t="str">
        <f>HYPERLINK("https://www.google.com/maps/search/?api=1&amp;query=24.5670318,46.79597581", "View Map")</f>
        <v>View Map</v>
      </c>
    </row>
    <row r="5944" spans="1:7" x14ac:dyDescent="0.3">
      <c r="A5944" t="s">
        <v>12224</v>
      </c>
      <c r="B5944" t="s">
        <v>12225</v>
      </c>
      <c r="C5944" t="s">
        <v>16</v>
      </c>
      <c r="D5944">
        <v>1.8320000000000001</v>
      </c>
      <c r="E5944">
        <v>586</v>
      </c>
      <c r="F5944" t="str">
        <f>HYPERLINK("https://www.google.com/maps/search/?api=1&amp;query=23.90021174,42.85317638", "View Map")</f>
        <v>View Map</v>
      </c>
    </row>
    <row r="5945" spans="1:7" x14ac:dyDescent="0.3">
      <c r="A5945" t="s">
        <v>12226</v>
      </c>
      <c r="B5945" t="s">
        <v>12227</v>
      </c>
      <c r="C5945" t="s">
        <v>8</v>
      </c>
      <c r="D5945">
        <v>1.8320000000000001</v>
      </c>
      <c r="E5945">
        <v>586</v>
      </c>
      <c r="F5945" t="str">
        <f>HYPERLINK("https://www.google.com/maps/search/?api=1&amp;query=24.7494214,46.83999163", "View Map")</f>
        <v>View Map</v>
      </c>
    </row>
    <row r="5946" spans="1:7" x14ac:dyDescent="0.3">
      <c r="A5946" t="s">
        <v>12228</v>
      </c>
      <c r="B5946" t="s">
        <v>12229</v>
      </c>
      <c r="C5946" t="s">
        <v>8</v>
      </c>
      <c r="D5946">
        <v>1.8320000000000001</v>
      </c>
      <c r="E5946">
        <v>586</v>
      </c>
      <c r="F5946" t="str">
        <f>HYPERLINK("https://www.google.com/maps/search/?api=1&amp;query=24.54986692,46.69962082", "View Map")</f>
        <v>View Map</v>
      </c>
    </row>
    <row r="5947" spans="1:7" x14ac:dyDescent="0.3">
      <c r="A5947" t="s">
        <v>4977</v>
      </c>
      <c r="B5947" t="s">
        <v>9611</v>
      </c>
      <c r="C5947" t="s">
        <v>8</v>
      </c>
      <c r="D5947">
        <v>1.831</v>
      </c>
      <c r="E5947">
        <v>586</v>
      </c>
      <c r="F5947" t="str">
        <f>HYPERLINK("https://www.google.com/maps/search/?api=1&amp;query=24.59095325,46.56002792", "View Map")</f>
        <v>View Map</v>
      </c>
    </row>
    <row r="5948" spans="1:7" x14ac:dyDescent="0.3">
      <c r="A5948" t="s">
        <v>12230</v>
      </c>
      <c r="B5948" t="s">
        <v>12231</v>
      </c>
      <c r="C5948" t="s">
        <v>291</v>
      </c>
      <c r="D5948">
        <v>1.831</v>
      </c>
      <c r="E5948">
        <v>586</v>
      </c>
      <c r="F5948" t="str">
        <f>HYPERLINK("https://www.google.com/maps/search/?api=1&amp;query=24.22451334,45.84338253", "View Map")</f>
        <v>View Map</v>
      </c>
      <c r="G5948" s="2">
        <v>0.6781620927738875</v>
      </c>
    </row>
    <row r="5949" spans="1:7" x14ac:dyDescent="0.3">
      <c r="A5949" t="s">
        <v>4324</v>
      </c>
      <c r="B5949" t="s">
        <v>7425</v>
      </c>
      <c r="C5949" t="s">
        <v>8</v>
      </c>
      <c r="D5949">
        <v>1.83</v>
      </c>
      <c r="E5949">
        <v>586</v>
      </c>
      <c r="F5949" t="str">
        <f>HYPERLINK("https://www.google.com/maps/search/?api=1&amp;query=24.50427467,46.63007483", "View Map")</f>
        <v>View Map</v>
      </c>
    </row>
    <row r="5950" spans="1:7" x14ac:dyDescent="0.3">
      <c r="A5950" t="s">
        <v>12232</v>
      </c>
      <c r="B5950" t="s">
        <v>12233</v>
      </c>
      <c r="C5950" t="s">
        <v>8</v>
      </c>
      <c r="D5950">
        <v>1.83</v>
      </c>
      <c r="E5950">
        <v>586</v>
      </c>
      <c r="F5950" t="str">
        <f>HYPERLINK("https://www.google.com/maps/search/?api=1&amp;query=24.57801161,46.56510858", "View Map")</f>
        <v>View Map</v>
      </c>
    </row>
    <row r="5951" spans="1:7" x14ac:dyDescent="0.3">
      <c r="A5951" t="s">
        <v>12234</v>
      </c>
      <c r="B5951" t="s">
        <v>12235</v>
      </c>
      <c r="C5951" t="s">
        <v>214</v>
      </c>
      <c r="D5951">
        <v>1.83</v>
      </c>
      <c r="E5951">
        <v>586</v>
      </c>
      <c r="F5951" t="str">
        <f>HYPERLINK("https://www.google.com/maps/search/?api=1&amp;query=25.59488249,45.60758634", "View Map")</f>
        <v>View Map</v>
      </c>
    </row>
    <row r="5952" spans="1:7" x14ac:dyDescent="0.3">
      <c r="A5952" t="s">
        <v>6858</v>
      </c>
      <c r="B5952" t="s">
        <v>6859</v>
      </c>
      <c r="C5952" t="s">
        <v>8</v>
      </c>
      <c r="D5952">
        <v>1.829</v>
      </c>
      <c r="E5952">
        <v>585</v>
      </c>
      <c r="F5952" t="str">
        <f>HYPERLINK("https://www.google.com/maps/search/?api=1&amp;query=24.58414059,46.60682294", "View Map")</f>
        <v>View Map</v>
      </c>
    </row>
    <row r="5953" spans="1:7" x14ac:dyDescent="0.3">
      <c r="A5953" t="s">
        <v>12236</v>
      </c>
      <c r="B5953" t="s">
        <v>12237</v>
      </c>
      <c r="C5953" t="s">
        <v>8</v>
      </c>
      <c r="D5953">
        <v>1.829</v>
      </c>
      <c r="E5953">
        <v>585</v>
      </c>
      <c r="F5953" t="str">
        <f>HYPERLINK("https://www.google.com/maps/search/?api=1&amp;query=24.59586588,46.61233113", "View Map")</f>
        <v>View Map</v>
      </c>
    </row>
    <row r="5954" spans="1:7" x14ac:dyDescent="0.3">
      <c r="A5954" t="s">
        <v>12238</v>
      </c>
      <c r="B5954" t="s">
        <v>12239</v>
      </c>
      <c r="C5954" t="s">
        <v>699</v>
      </c>
      <c r="D5954">
        <v>1.829</v>
      </c>
      <c r="E5954">
        <v>585</v>
      </c>
      <c r="F5954" t="str">
        <f>HYPERLINK("https://www.google.com/maps/search/?api=1&amp;query=25.12525207,45.4824387", "View Map")</f>
        <v>View Map</v>
      </c>
      <c r="G5954" s="2">
        <v>0.63662170796064843</v>
      </c>
    </row>
    <row r="5955" spans="1:7" x14ac:dyDescent="0.3">
      <c r="A5955" t="s">
        <v>10850</v>
      </c>
      <c r="B5955" t="s">
        <v>10851</v>
      </c>
      <c r="C5955" t="s">
        <v>393</v>
      </c>
      <c r="D5955">
        <v>1.8280000000000001</v>
      </c>
      <c r="E5955">
        <v>585</v>
      </c>
      <c r="F5955" t="str">
        <f>HYPERLINK("https://www.google.com/maps/search/?api=1&amp;query=23.24670514,45.18755594", "View Map")</f>
        <v>View Map</v>
      </c>
      <c r="G5955" s="2">
        <v>0.71119478311675233</v>
      </c>
    </row>
    <row r="5956" spans="1:7" x14ac:dyDescent="0.3">
      <c r="A5956" t="s">
        <v>12240</v>
      </c>
      <c r="B5956" t="s">
        <v>12241</v>
      </c>
      <c r="C5956" t="s">
        <v>699</v>
      </c>
      <c r="D5956">
        <v>1.8280000000000001</v>
      </c>
      <c r="E5956">
        <v>585</v>
      </c>
      <c r="F5956" t="str">
        <f>HYPERLINK("https://www.google.com/maps/search/?api=1&amp;query=24.61738774,45.25502196", "View Map")</f>
        <v>View Map</v>
      </c>
      <c r="G5956" s="2">
        <v>0.47785633484162893</v>
      </c>
    </row>
    <row r="5957" spans="1:7" x14ac:dyDescent="0.3">
      <c r="A5957" t="s">
        <v>12242</v>
      </c>
      <c r="B5957" t="s">
        <v>12243</v>
      </c>
      <c r="C5957" t="s">
        <v>241</v>
      </c>
      <c r="D5957">
        <v>1.827</v>
      </c>
      <c r="E5957">
        <v>585</v>
      </c>
      <c r="F5957" t="str">
        <f>HYPERLINK("https://www.google.com/maps/search/?api=1&amp;query=20.4503241,44.8405842", "View Map")</f>
        <v>View Map</v>
      </c>
    </row>
    <row r="5958" spans="1:7" x14ac:dyDescent="0.3">
      <c r="A5958" t="s">
        <v>3059</v>
      </c>
      <c r="B5958" t="s">
        <v>12244</v>
      </c>
      <c r="C5958" t="s">
        <v>393</v>
      </c>
      <c r="D5958">
        <v>1.827</v>
      </c>
      <c r="E5958">
        <v>585</v>
      </c>
      <c r="F5958" t="str">
        <f>HYPERLINK("https://www.google.com/maps/search/?api=1&amp;query=23.4936959,45.52746302", "View Map")</f>
        <v>View Map</v>
      </c>
      <c r="G5958" s="2">
        <v>0.72590021230822488</v>
      </c>
    </row>
    <row r="5959" spans="1:7" x14ac:dyDescent="0.3">
      <c r="A5959" t="s">
        <v>12245</v>
      </c>
      <c r="B5959" t="s">
        <v>12246</v>
      </c>
      <c r="C5959" t="s">
        <v>291</v>
      </c>
      <c r="D5959">
        <v>1.827</v>
      </c>
      <c r="E5959">
        <v>585</v>
      </c>
      <c r="F5959" t="str">
        <f>HYPERLINK("https://www.google.com/maps/search/?api=1&amp;query=24.34899879,45.80779992", "View Map")</f>
        <v>View Map</v>
      </c>
    </row>
    <row r="5960" spans="1:7" x14ac:dyDescent="0.3">
      <c r="A5960" t="s">
        <v>5636</v>
      </c>
      <c r="B5960" t="s">
        <v>12247</v>
      </c>
      <c r="C5960" t="s">
        <v>8</v>
      </c>
      <c r="D5960">
        <v>1.827</v>
      </c>
      <c r="E5960">
        <v>584</v>
      </c>
      <c r="F5960" t="str">
        <f>HYPERLINK("https://www.google.com/maps/search/?api=1&amp;query=24.66897998,46.7397091", "View Map")</f>
        <v>View Map</v>
      </c>
    </row>
    <row r="5961" spans="1:7" x14ac:dyDescent="0.3">
      <c r="A5961" t="s">
        <v>3624</v>
      </c>
      <c r="B5961" t="s">
        <v>3625</v>
      </c>
      <c r="C5961" t="s">
        <v>8</v>
      </c>
      <c r="D5961">
        <v>1.827</v>
      </c>
      <c r="E5961">
        <v>585</v>
      </c>
      <c r="F5961" t="str">
        <f>HYPERLINK("https://www.google.com/maps/search/?api=1&amp;query=24.76411792,46.7708659", "View Map")</f>
        <v>View Map</v>
      </c>
    </row>
    <row r="5962" spans="1:7" x14ac:dyDescent="0.3">
      <c r="A5962" t="s">
        <v>12248</v>
      </c>
      <c r="B5962" t="s">
        <v>12249</v>
      </c>
      <c r="C5962" t="s">
        <v>8</v>
      </c>
      <c r="D5962">
        <v>1.8260000000000001</v>
      </c>
      <c r="E5962">
        <v>584</v>
      </c>
      <c r="F5962" t="str">
        <f>HYPERLINK("https://www.google.com/maps/search/?api=1&amp;query=24.54814697,46.69003433", "View Map")</f>
        <v>View Map</v>
      </c>
    </row>
    <row r="5963" spans="1:7" x14ac:dyDescent="0.3">
      <c r="A5963" t="s">
        <v>2919</v>
      </c>
      <c r="B5963" t="s">
        <v>9821</v>
      </c>
      <c r="C5963" t="s">
        <v>8</v>
      </c>
      <c r="D5963">
        <v>1.8260000000000001</v>
      </c>
      <c r="E5963">
        <v>584</v>
      </c>
      <c r="F5963" t="str">
        <f>HYPERLINK("https://www.google.com/maps/search/?api=1&amp;query=24.58080134,46.67239954", "View Map")</f>
        <v>View Map</v>
      </c>
    </row>
    <row r="5964" spans="1:7" x14ac:dyDescent="0.3">
      <c r="A5964" t="s">
        <v>10089</v>
      </c>
      <c r="B5964" t="s">
        <v>10090</v>
      </c>
      <c r="C5964" t="s">
        <v>8</v>
      </c>
      <c r="D5964">
        <v>1.8260000000000001</v>
      </c>
      <c r="E5964">
        <v>584</v>
      </c>
      <c r="F5964" t="str">
        <f>HYPERLINK("https://www.google.com/maps/search/?api=1&amp;query=24.57801037,46.69770333", "View Map")</f>
        <v>View Map</v>
      </c>
    </row>
    <row r="5965" spans="1:7" x14ac:dyDescent="0.3">
      <c r="A5965" t="s">
        <v>8036</v>
      </c>
      <c r="B5965" t="s">
        <v>12250</v>
      </c>
      <c r="C5965" t="s">
        <v>8</v>
      </c>
      <c r="D5965">
        <v>1.825</v>
      </c>
      <c r="E5965">
        <v>584</v>
      </c>
      <c r="F5965" t="str">
        <f>HYPERLINK("https://www.google.com/maps/search/?api=1&amp;query=24.7928,46.6164", "View Map")</f>
        <v>View Map</v>
      </c>
    </row>
    <row r="5966" spans="1:7" x14ac:dyDescent="0.3">
      <c r="A5966" t="s">
        <v>8452</v>
      </c>
      <c r="B5966" t="s">
        <v>8453</v>
      </c>
      <c r="C5966" t="s">
        <v>214</v>
      </c>
      <c r="D5966">
        <v>1.825</v>
      </c>
      <c r="E5966">
        <v>584</v>
      </c>
      <c r="F5966" t="str">
        <f>HYPERLINK("https://www.google.com/maps/search/?api=1&amp;query=25.9185129,45.36163875", "View Map")</f>
        <v>View Map</v>
      </c>
    </row>
    <row r="5967" spans="1:7" x14ac:dyDescent="0.3">
      <c r="A5967" t="s">
        <v>6756</v>
      </c>
      <c r="B5967" t="s">
        <v>6757</v>
      </c>
      <c r="C5967" t="s">
        <v>8</v>
      </c>
      <c r="D5967">
        <v>1.825</v>
      </c>
      <c r="E5967">
        <v>584</v>
      </c>
      <c r="F5967" t="str">
        <f>HYPERLINK("https://www.google.com/maps/search/?api=1&amp;query=24.8247873,46.74452647", "View Map")</f>
        <v>View Map</v>
      </c>
    </row>
    <row r="5968" spans="1:7" x14ac:dyDescent="0.3">
      <c r="A5968" t="s">
        <v>46</v>
      </c>
      <c r="B5968" t="s">
        <v>6870</v>
      </c>
      <c r="C5968" t="s">
        <v>8</v>
      </c>
      <c r="D5968">
        <v>1.8240000000000001</v>
      </c>
      <c r="E5968">
        <v>584</v>
      </c>
      <c r="F5968" t="str">
        <f>HYPERLINK("https://www.google.com/maps/search/?api=1&amp;query=24.81150486,46.78545134", "View Map")</f>
        <v>View Map</v>
      </c>
    </row>
    <row r="5969" spans="1:7" x14ac:dyDescent="0.3">
      <c r="A5969" t="s">
        <v>12251</v>
      </c>
      <c r="B5969" t="s">
        <v>12252</v>
      </c>
      <c r="C5969" t="s">
        <v>8</v>
      </c>
      <c r="D5969">
        <v>1.8240000000000001</v>
      </c>
      <c r="E5969">
        <v>584</v>
      </c>
      <c r="F5969" t="str">
        <f>HYPERLINK("https://www.google.com/maps/search/?api=1&amp;query=24.6008962,46.58917031", "View Map")</f>
        <v>View Map</v>
      </c>
    </row>
    <row r="5970" spans="1:7" x14ac:dyDescent="0.3">
      <c r="A5970" t="s">
        <v>196</v>
      </c>
      <c r="B5970" t="s">
        <v>12253</v>
      </c>
      <c r="C5970" t="s">
        <v>8</v>
      </c>
      <c r="D5970">
        <v>1.8240000000000001</v>
      </c>
      <c r="E5970">
        <v>584</v>
      </c>
      <c r="F5970" t="str">
        <f>HYPERLINK("https://www.google.com/maps/search/?api=1&amp;query=24.79755522,46.78648869", "View Map")</f>
        <v>View Map</v>
      </c>
    </row>
    <row r="5971" spans="1:7" x14ac:dyDescent="0.3">
      <c r="A5971" t="s">
        <v>3164</v>
      </c>
      <c r="B5971" t="s">
        <v>12254</v>
      </c>
      <c r="C5971" t="s">
        <v>255</v>
      </c>
      <c r="D5971">
        <v>1.823</v>
      </c>
      <c r="E5971">
        <v>583</v>
      </c>
      <c r="F5971" t="str">
        <f>HYPERLINK("https://www.google.com/maps/search/?api=1&amp;query=25.16792333,43.529505", "View Map")</f>
        <v>View Map</v>
      </c>
    </row>
    <row r="5972" spans="1:7" x14ac:dyDescent="0.3">
      <c r="A5972" t="s">
        <v>8237</v>
      </c>
      <c r="B5972" t="s">
        <v>8238</v>
      </c>
      <c r="C5972" t="s">
        <v>255</v>
      </c>
      <c r="D5972">
        <v>1.8220000000000001</v>
      </c>
      <c r="E5972">
        <v>583</v>
      </c>
      <c r="F5972" t="str">
        <f>HYPERLINK("https://www.google.com/maps/search/?api=1&amp;query=24.53850248,43.94190747", "View Map")</f>
        <v>View Map</v>
      </c>
      <c r="G5972" s="2">
        <v>0.49644990984908871</v>
      </c>
    </row>
    <row r="5973" spans="1:7" x14ac:dyDescent="0.3">
      <c r="A5973" t="s">
        <v>1273</v>
      </c>
      <c r="B5973" t="s">
        <v>12255</v>
      </c>
      <c r="C5973" t="s">
        <v>241</v>
      </c>
      <c r="D5973">
        <v>1.821</v>
      </c>
      <c r="E5973">
        <v>583</v>
      </c>
      <c r="F5973" t="str">
        <f>HYPERLINK("https://www.google.com/maps/search/?api=1&amp;query=20.4503241,44.8405842", "View Map")</f>
        <v>View Map</v>
      </c>
      <c r="G5973" s="2">
        <v>0.84444148789330653</v>
      </c>
    </row>
    <row r="5974" spans="1:7" x14ac:dyDescent="0.3">
      <c r="A5974" t="s">
        <v>616</v>
      </c>
      <c r="B5974" t="s">
        <v>617</v>
      </c>
      <c r="C5974" t="s">
        <v>8</v>
      </c>
      <c r="D5974">
        <v>1.821</v>
      </c>
      <c r="E5974">
        <v>583</v>
      </c>
      <c r="F5974" t="str">
        <f>HYPERLINK("https://www.google.com/maps/search/?api=1&amp;query=24.55521717,46.7860748", "View Map")</f>
        <v>View Map</v>
      </c>
      <c r="G5974" s="2">
        <v>7.8533729349632694E-2</v>
      </c>
    </row>
    <row r="5975" spans="1:7" x14ac:dyDescent="0.3">
      <c r="A5975" t="s">
        <v>8214</v>
      </c>
      <c r="B5975" t="s">
        <v>8215</v>
      </c>
      <c r="C5975" t="s">
        <v>21</v>
      </c>
      <c r="D5975">
        <v>1.821</v>
      </c>
      <c r="E5975">
        <v>583</v>
      </c>
      <c r="F5975" t="str">
        <f>HYPERLINK("https://www.google.com/maps/search/?api=1&amp;query=26.32621911,44.82480978", "View Map")</f>
        <v>View Map</v>
      </c>
      <c r="G5975" s="2">
        <v>0.40317865388312629</v>
      </c>
    </row>
    <row r="5976" spans="1:7" x14ac:dyDescent="0.3">
      <c r="A5976" t="s">
        <v>12256</v>
      </c>
      <c r="B5976" t="s">
        <v>12257</v>
      </c>
      <c r="C5976" t="s">
        <v>16</v>
      </c>
      <c r="D5976">
        <v>1.82</v>
      </c>
      <c r="E5976">
        <v>582</v>
      </c>
      <c r="F5976" t="str">
        <f>HYPERLINK("https://www.google.com/maps/search/?api=1&amp;query=24.389095,42.14619167", "View Map")</f>
        <v>View Map</v>
      </c>
      <c r="G5976" s="2">
        <v>0.8890522444866289</v>
      </c>
    </row>
    <row r="5977" spans="1:7" x14ac:dyDescent="0.3">
      <c r="A5977" t="s">
        <v>7276</v>
      </c>
      <c r="B5977" t="s">
        <v>7277</v>
      </c>
      <c r="C5977" t="s">
        <v>8</v>
      </c>
      <c r="D5977">
        <v>1.82</v>
      </c>
      <c r="E5977">
        <v>582</v>
      </c>
      <c r="F5977" t="str">
        <f>HYPERLINK("https://www.google.com/maps/search/?api=1&amp;query=24.5781489,46.84223411", "View Map")</f>
        <v>View Map</v>
      </c>
    </row>
    <row r="5978" spans="1:7" x14ac:dyDescent="0.3">
      <c r="A5978" t="s">
        <v>12258</v>
      </c>
      <c r="B5978" t="s">
        <v>12259</v>
      </c>
      <c r="C5978" t="s">
        <v>8</v>
      </c>
      <c r="D5978">
        <v>1.819</v>
      </c>
      <c r="E5978">
        <v>582</v>
      </c>
      <c r="F5978" t="str">
        <f>HYPERLINK("https://www.google.com/maps/search/?api=1&amp;query=24.63692912,46.62290432", "View Map")</f>
        <v>View Map</v>
      </c>
    </row>
    <row r="5979" spans="1:7" x14ac:dyDescent="0.3">
      <c r="A5979" t="s">
        <v>12260</v>
      </c>
      <c r="B5979" t="s">
        <v>12261</v>
      </c>
      <c r="C5979" t="s">
        <v>699</v>
      </c>
      <c r="D5979">
        <v>1.819</v>
      </c>
      <c r="E5979">
        <v>582</v>
      </c>
      <c r="F5979" t="str">
        <f>HYPERLINK("https://www.google.com/maps/search/?api=1&amp;query=25.16647321,45.39416201", "View Map")</f>
        <v>View Map</v>
      </c>
    </row>
    <row r="5980" spans="1:7" x14ac:dyDescent="0.3">
      <c r="A5980" t="s">
        <v>12262</v>
      </c>
      <c r="B5980" t="s">
        <v>12263</v>
      </c>
      <c r="C5980" t="s">
        <v>8</v>
      </c>
      <c r="D5980">
        <v>1.819</v>
      </c>
      <c r="E5980">
        <v>582</v>
      </c>
      <c r="F5980" t="str">
        <f>HYPERLINK("https://www.google.com/maps/search/?api=1&amp;query=24.62574102,46.70422888", "View Map")</f>
        <v>View Map</v>
      </c>
    </row>
    <row r="5981" spans="1:7" x14ac:dyDescent="0.3">
      <c r="A5981" t="s">
        <v>6744</v>
      </c>
      <c r="B5981" t="s">
        <v>6745</v>
      </c>
      <c r="C5981" t="s">
        <v>8</v>
      </c>
      <c r="D5981">
        <v>1.8180000000000001</v>
      </c>
      <c r="E5981">
        <v>582</v>
      </c>
      <c r="F5981" t="str">
        <f>HYPERLINK("https://www.google.com/maps/search/?api=1&amp;query=24.75268964,46.76065876", "View Map")</f>
        <v>View Map</v>
      </c>
    </row>
    <row r="5982" spans="1:7" x14ac:dyDescent="0.3">
      <c r="A5982" t="s">
        <v>6502</v>
      </c>
      <c r="B5982" t="s">
        <v>6503</v>
      </c>
      <c r="C5982" t="s">
        <v>30</v>
      </c>
      <c r="D5982">
        <v>1.8180000000000001</v>
      </c>
      <c r="E5982">
        <v>582</v>
      </c>
      <c r="F5982" t="str">
        <f>HYPERLINK("https://www.google.com/maps/search/?api=1&amp;query=24.14964211,47.34819582", "View Map")</f>
        <v>View Map</v>
      </c>
    </row>
    <row r="5983" spans="1:7" x14ac:dyDescent="0.3">
      <c r="A5983" t="s">
        <v>5211</v>
      </c>
      <c r="B5983" t="s">
        <v>5212</v>
      </c>
      <c r="C5983" t="s">
        <v>8</v>
      </c>
      <c r="D5983">
        <v>1.8180000000000001</v>
      </c>
      <c r="E5983">
        <v>582</v>
      </c>
      <c r="F5983" t="str">
        <f>HYPERLINK("https://www.google.com/maps/search/?api=1&amp;query=24.74200107,46.81140417", "View Map")</f>
        <v>View Map</v>
      </c>
    </row>
    <row r="5984" spans="1:7" x14ac:dyDescent="0.3">
      <c r="A5984" t="s">
        <v>661</v>
      </c>
      <c r="B5984" t="s">
        <v>12264</v>
      </c>
      <c r="C5984" t="s">
        <v>214</v>
      </c>
      <c r="D5984">
        <v>1.8169999999999999</v>
      </c>
      <c r="E5984">
        <v>581</v>
      </c>
      <c r="F5984" t="str">
        <f>HYPERLINK("https://www.google.com/maps/search/?api=1&amp;query=25.70193576,45.46501214", "View Map")</f>
        <v>View Map</v>
      </c>
      <c r="G5984" s="2">
        <v>0.60898043136380797</v>
      </c>
    </row>
    <row r="5985" spans="1:7" x14ac:dyDescent="0.3">
      <c r="A5985" t="s">
        <v>5836</v>
      </c>
      <c r="B5985" t="s">
        <v>5837</v>
      </c>
      <c r="C5985" t="s">
        <v>8</v>
      </c>
      <c r="D5985">
        <v>1.8169999999999999</v>
      </c>
      <c r="E5985">
        <v>582</v>
      </c>
      <c r="F5985" t="str">
        <f>HYPERLINK("https://www.google.com/maps/search/?api=1&amp;query=24.54760624,46.67194083", "View Map")</f>
        <v>View Map</v>
      </c>
    </row>
    <row r="5986" spans="1:7" x14ac:dyDescent="0.3">
      <c r="A5986" t="s">
        <v>4619</v>
      </c>
      <c r="B5986" t="s">
        <v>4620</v>
      </c>
      <c r="C5986" t="s">
        <v>8</v>
      </c>
      <c r="D5986">
        <v>1.8140000000000001</v>
      </c>
      <c r="E5986">
        <v>580</v>
      </c>
      <c r="F5986" t="str">
        <f>HYPERLINK("https://www.google.com/maps/search/?api=1&amp;query=24.56452182,46.54374322", "View Map")</f>
        <v>View Map</v>
      </c>
    </row>
    <row r="5987" spans="1:7" x14ac:dyDescent="0.3">
      <c r="A5987" t="s">
        <v>6494</v>
      </c>
      <c r="B5987" t="s">
        <v>9636</v>
      </c>
      <c r="C5987" t="s">
        <v>1112</v>
      </c>
      <c r="D5987">
        <v>1.8140000000000001</v>
      </c>
      <c r="E5987">
        <v>581</v>
      </c>
      <c r="F5987" t="str">
        <f>HYPERLINK("https://www.google.com/maps/search/?api=1&amp;query=26.02338852,44.96419238", "View Map")</f>
        <v>View Map</v>
      </c>
      <c r="G5987" s="2">
        <v>0.73760087491020432</v>
      </c>
    </row>
    <row r="5988" spans="1:7" x14ac:dyDescent="0.3">
      <c r="A5988" t="s">
        <v>10342</v>
      </c>
      <c r="B5988" t="s">
        <v>10343</v>
      </c>
      <c r="C5988" t="s">
        <v>8</v>
      </c>
      <c r="D5988">
        <v>1.8140000000000001</v>
      </c>
      <c r="E5988">
        <v>581</v>
      </c>
      <c r="F5988" t="str">
        <f>HYPERLINK("https://www.google.com/maps/search/?api=1&amp;query=24.7942456,46.89612415", "View Map")</f>
        <v>View Map</v>
      </c>
    </row>
    <row r="5989" spans="1:7" x14ac:dyDescent="0.3">
      <c r="A5989" t="s">
        <v>12265</v>
      </c>
      <c r="B5989" t="s">
        <v>12266</v>
      </c>
      <c r="C5989" t="s">
        <v>8</v>
      </c>
      <c r="D5989">
        <v>1.8140000000000001</v>
      </c>
      <c r="E5989">
        <v>581</v>
      </c>
      <c r="F5989" t="str">
        <f>HYPERLINK("https://www.google.com/maps/search/?api=1&amp;query=24.74042733,46.84839348", "View Map")</f>
        <v>View Map</v>
      </c>
    </row>
    <row r="5990" spans="1:7" x14ac:dyDescent="0.3">
      <c r="A5990" t="s">
        <v>12267</v>
      </c>
      <c r="B5990" t="s">
        <v>12268</v>
      </c>
      <c r="C5990" t="s">
        <v>8</v>
      </c>
      <c r="D5990">
        <v>1.8129999999999999</v>
      </c>
      <c r="E5990">
        <v>580</v>
      </c>
      <c r="F5990" t="str">
        <f>HYPERLINK("https://www.google.com/maps/search/?api=1&amp;query=24.58064295,46.63884379", "View Map")</f>
        <v>View Map</v>
      </c>
    </row>
    <row r="5991" spans="1:7" x14ac:dyDescent="0.3">
      <c r="A5991" t="s">
        <v>7843</v>
      </c>
      <c r="B5991" t="s">
        <v>7844</v>
      </c>
      <c r="C5991" t="s">
        <v>270</v>
      </c>
      <c r="D5991">
        <v>1.8129999999999999</v>
      </c>
      <c r="E5991">
        <v>580</v>
      </c>
      <c r="F5991" t="str">
        <f>HYPERLINK("https://www.google.com/maps/search/?api=1&amp;query=24.09989848,47.17302828", "View Map")</f>
        <v>View Map</v>
      </c>
      <c r="G5991" s="2">
        <v>0.34640124727391181</v>
      </c>
    </row>
    <row r="5992" spans="1:7" x14ac:dyDescent="0.3">
      <c r="A5992" t="s">
        <v>10875</v>
      </c>
      <c r="B5992" t="s">
        <v>10876</v>
      </c>
      <c r="C5992" t="s">
        <v>8</v>
      </c>
      <c r="D5992">
        <v>1.8120000000000001</v>
      </c>
      <c r="E5992">
        <v>580</v>
      </c>
      <c r="F5992" t="str">
        <f>HYPERLINK("https://www.google.com/maps/search/?api=1&amp;query=24.67328746,46.58223855", "View Map")</f>
        <v>View Map</v>
      </c>
    </row>
    <row r="5993" spans="1:7" x14ac:dyDescent="0.3">
      <c r="A5993" t="s">
        <v>10406</v>
      </c>
      <c r="B5993" t="s">
        <v>10407</v>
      </c>
      <c r="C5993" t="s">
        <v>21</v>
      </c>
      <c r="D5993">
        <v>1.8120000000000001</v>
      </c>
      <c r="E5993">
        <v>580</v>
      </c>
      <c r="F5993" t="str">
        <f>HYPERLINK("https://www.google.com/maps/search/?api=1&amp;query=26.31834558,44.9109559", "View Map")</f>
        <v>View Map</v>
      </c>
      <c r="G5993" s="2">
        <v>0.86536708639670767</v>
      </c>
    </row>
    <row r="5994" spans="1:7" x14ac:dyDescent="0.3">
      <c r="A5994" t="s">
        <v>2570</v>
      </c>
      <c r="B5994" t="s">
        <v>2571</v>
      </c>
      <c r="C5994" t="s">
        <v>8</v>
      </c>
      <c r="D5994">
        <v>1.8120000000000001</v>
      </c>
      <c r="E5994">
        <v>580</v>
      </c>
      <c r="F5994" t="str">
        <f>HYPERLINK("https://www.google.com/maps/search/?api=1&amp;query=24.77880073,46.70693998", "View Map")</f>
        <v>View Map</v>
      </c>
    </row>
    <row r="5995" spans="1:7" x14ac:dyDescent="0.3">
      <c r="A5995" t="s">
        <v>678</v>
      </c>
      <c r="B5995" t="s">
        <v>9898</v>
      </c>
      <c r="C5995" t="s">
        <v>21</v>
      </c>
      <c r="D5995">
        <v>1.8120000000000001</v>
      </c>
      <c r="E5995">
        <v>580</v>
      </c>
      <c r="F5995" t="str">
        <f>HYPERLINK("https://www.google.com/maps/search/?api=1&amp;query=26.3122329,44.90016945", "View Map")</f>
        <v>View Map</v>
      </c>
      <c r="G5995" s="2">
        <v>0.6792040303691762</v>
      </c>
    </row>
    <row r="5996" spans="1:7" x14ac:dyDescent="0.3">
      <c r="A5996" t="s">
        <v>9892</v>
      </c>
      <c r="B5996" t="s">
        <v>9893</v>
      </c>
      <c r="C5996" t="s">
        <v>255</v>
      </c>
      <c r="D5996">
        <v>1.8120000000000001</v>
      </c>
      <c r="E5996">
        <v>580</v>
      </c>
      <c r="F5996" t="str">
        <f>HYPERLINK("https://www.google.com/maps/search/?api=1&amp;query=24.45727667,44.70477", "View Map")</f>
        <v>View Map</v>
      </c>
      <c r="G5996" s="2">
        <v>0.81526018383488508</v>
      </c>
    </row>
    <row r="5997" spans="1:7" x14ac:dyDescent="0.3">
      <c r="A5997" t="s">
        <v>627</v>
      </c>
      <c r="B5997" t="s">
        <v>8802</v>
      </c>
      <c r="C5997" t="s">
        <v>8</v>
      </c>
      <c r="D5997">
        <v>1.8109999999999999</v>
      </c>
      <c r="E5997">
        <v>579</v>
      </c>
      <c r="F5997" t="str">
        <f>HYPERLINK("https://www.google.com/maps/search/?api=1&amp;query=24.62850456,46.53684964", "View Map")</f>
        <v>View Map</v>
      </c>
    </row>
    <row r="5998" spans="1:7" x14ac:dyDescent="0.3">
      <c r="A5998" t="s">
        <v>12269</v>
      </c>
      <c r="B5998" t="s">
        <v>12270</v>
      </c>
      <c r="C5998" t="s">
        <v>8</v>
      </c>
      <c r="D5998">
        <v>1.8109999999999999</v>
      </c>
      <c r="E5998">
        <v>579</v>
      </c>
      <c r="F5998" t="str">
        <f>HYPERLINK("https://www.google.com/maps/search/?api=1&amp;query=24.58465315,46.64525637", "View Map")</f>
        <v>View Map</v>
      </c>
    </row>
    <row r="5999" spans="1:7" x14ac:dyDescent="0.3">
      <c r="A5999" t="s">
        <v>10916</v>
      </c>
      <c r="B5999" t="s">
        <v>10917</v>
      </c>
      <c r="C5999" t="s">
        <v>214</v>
      </c>
      <c r="D5999">
        <v>1.8109999999999999</v>
      </c>
      <c r="E5999">
        <v>579</v>
      </c>
      <c r="F5999" t="str">
        <f>HYPERLINK("https://www.google.com/maps/search/?api=1&amp;query=25.92113663,45.37142969", "View Map")</f>
        <v>View Map</v>
      </c>
      <c r="G5999" s="2">
        <v>0.47800642594263382</v>
      </c>
    </row>
    <row r="6000" spans="1:7" x14ac:dyDescent="0.3">
      <c r="A6000" t="s">
        <v>10195</v>
      </c>
      <c r="B6000" t="s">
        <v>10196</v>
      </c>
      <c r="C6000" t="s">
        <v>291</v>
      </c>
      <c r="D6000">
        <v>1.81</v>
      </c>
      <c r="E6000">
        <v>579</v>
      </c>
      <c r="F6000" t="str">
        <f>HYPERLINK("https://www.google.com/maps/search/?api=1&amp;query=23.99568566,45.07618615", "View Map")</f>
        <v>View Map</v>
      </c>
      <c r="G6000" s="2">
        <v>0.71262915432938811</v>
      </c>
    </row>
    <row r="6001" spans="1:7" x14ac:dyDescent="0.3">
      <c r="A6001" t="s">
        <v>2865</v>
      </c>
      <c r="B6001" t="s">
        <v>2866</v>
      </c>
      <c r="C6001" t="s">
        <v>255</v>
      </c>
      <c r="D6001">
        <v>1.81</v>
      </c>
      <c r="E6001">
        <v>579</v>
      </c>
      <c r="F6001" t="str">
        <f>HYPERLINK("https://www.google.com/maps/search/?api=1&amp;query=24.5783285,43.55278671", "View Map")</f>
        <v>View Map</v>
      </c>
      <c r="G6001" s="2">
        <v>0.3031913199976744</v>
      </c>
    </row>
    <row r="6002" spans="1:7" x14ac:dyDescent="0.3">
      <c r="A6002" t="s">
        <v>10649</v>
      </c>
      <c r="B6002" t="s">
        <v>10650</v>
      </c>
      <c r="C6002" t="s">
        <v>8</v>
      </c>
      <c r="D6002">
        <v>1.81</v>
      </c>
      <c r="E6002">
        <v>579</v>
      </c>
      <c r="F6002" t="str">
        <f>HYPERLINK("https://www.google.com/maps/search/?api=1&amp;query=24.61330567,46.72329158", "View Map")</f>
        <v>View Map</v>
      </c>
    </row>
    <row r="6003" spans="1:7" x14ac:dyDescent="0.3">
      <c r="A6003" t="s">
        <v>3554</v>
      </c>
      <c r="B6003" t="s">
        <v>8426</v>
      </c>
      <c r="C6003" t="s">
        <v>8</v>
      </c>
      <c r="D6003">
        <v>1.8089999999999999</v>
      </c>
      <c r="E6003">
        <v>579</v>
      </c>
      <c r="F6003" t="str">
        <f>HYPERLINK("https://www.google.com/maps/search/?api=1&amp;query=24.58009907,46.79938808", "View Map")</f>
        <v>View Map</v>
      </c>
    </row>
    <row r="6004" spans="1:7" x14ac:dyDescent="0.3">
      <c r="A6004" t="s">
        <v>2575</v>
      </c>
      <c r="B6004" t="s">
        <v>2576</v>
      </c>
      <c r="C6004" t="s">
        <v>8</v>
      </c>
      <c r="D6004">
        <v>1.8089999999999999</v>
      </c>
      <c r="E6004">
        <v>579</v>
      </c>
      <c r="F6004" t="str">
        <f>HYPERLINK("https://www.google.com/maps/search/?api=1&amp;query=24.82270876,46.63974852", "View Map")</f>
        <v>View Map</v>
      </c>
      <c r="G6004" s="2">
        <v>0.17517234885166749</v>
      </c>
    </row>
    <row r="6005" spans="1:7" x14ac:dyDescent="0.3">
      <c r="A6005" t="s">
        <v>12271</v>
      </c>
      <c r="B6005" t="s">
        <v>12272</v>
      </c>
      <c r="C6005" t="s">
        <v>16</v>
      </c>
      <c r="D6005">
        <v>1.8089999999999999</v>
      </c>
      <c r="E6005">
        <v>579</v>
      </c>
      <c r="F6005" t="str">
        <f>HYPERLINK("https://www.google.com/maps/search/?api=1&amp;query=23.90450825,42.90811335", "View Map")</f>
        <v>View Map</v>
      </c>
    </row>
    <row r="6006" spans="1:7" x14ac:dyDescent="0.3">
      <c r="A6006" t="s">
        <v>10950</v>
      </c>
      <c r="B6006" t="s">
        <v>10951</v>
      </c>
      <c r="C6006" t="s">
        <v>699</v>
      </c>
      <c r="D6006">
        <v>1.8080000000000001</v>
      </c>
      <c r="E6006">
        <v>578</v>
      </c>
      <c r="F6006" t="str">
        <f>HYPERLINK("https://www.google.com/maps/search/?api=1&amp;query=24.5089364,45.38098373", "View Map")</f>
        <v>View Map</v>
      </c>
      <c r="G6006" s="2">
        <v>0.7849181986385958</v>
      </c>
    </row>
    <row r="6007" spans="1:7" x14ac:dyDescent="0.3">
      <c r="A6007" t="s">
        <v>2030</v>
      </c>
      <c r="B6007" t="s">
        <v>2031</v>
      </c>
      <c r="C6007" t="s">
        <v>30</v>
      </c>
      <c r="D6007">
        <v>1.8080000000000001</v>
      </c>
      <c r="E6007">
        <v>579</v>
      </c>
      <c r="F6007" t="str">
        <f>HYPERLINK("https://www.google.com/maps/search/?api=1&amp;query=24.10605295,47.26321264", "View Map")</f>
        <v>View Map</v>
      </c>
      <c r="G6007" s="2">
        <v>0.1103256302495795</v>
      </c>
    </row>
    <row r="6008" spans="1:7" x14ac:dyDescent="0.3">
      <c r="A6008" t="s">
        <v>12273</v>
      </c>
      <c r="B6008" t="s">
        <v>12274</v>
      </c>
      <c r="C6008" t="s">
        <v>255</v>
      </c>
      <c r="D6008">
        <v>1.8080000000000001</v>
      </c>
      <c r="E6008">
        <v>579</v>
      </c>
      <c r="F6008" t="str">
        <f>HYPERLINK("https://www.google.com/maps/search/?api=1&amp;query=24.92799129,43.59300034", "View Map")</f>
        <v>View Map</v>
      </c>
      <c r="G6008" s="2">
        <v>0.43618476365867831</v>
      </c>
    </row>
    <row r="6009" spans="1:7" x14ac:dyDescent="0.3">
      <c r="A6009" t="s">
        <v>12275</v>
      </c>
      <c r="B6009" t="s">
        <v>12276</v>
      </c>
      <c r="C6009" t="s">
        <v>241</v>
      </c>
      <c r="D6009">
        <v>1.8080000000000001</v>
      </c>
      <c r="E6009">
        <v>578</v>
      </c>
      <c r="F6009" t="str">
        <f>HYPERLINK("https://www.google.com/maps/search/?api=1&amp;query=20.47413393,44.78735902", "View Map")</f>
        <v>View Map</v>
      </c>
    </row>
    <row r="6010" spans="1:7" x14ac:dyDescent="0.3">
      <c r="A6010" t="s">
        <v>12277</v>
      </c>
      <c r="B6010" t="s">
        <v>12278</v>
      </c>
      <c r="C6010" t="s">
        <v>8</v>
      </c>
      <c r="D6010">
        <v>1.8069999999999999</v>
      </c>
      <c r="E6010">
        <v>578</v>
      </c>
      <c r="F6010" t="str">
        <f>HYPERLINK("https://www.google.com/maps/search/?api=1&amp;query=24.55156087,46.71997612", "View Map")</f>
        <v>View Map</v>
      </c>
    </row>
    <row r="6011" spans="1:7" x14ac:dyDescent="0.3">
      <c r="A6011" t="s">
        <v>12279</v>
      </c>
      <c r="B6011" t="s">
        <v>12280</v>
      </c>
      <c r="C6011" t="s">
        <v>393</v>
      </c>
      <c r="D6011">
        <v>1.8069999999999999</v>
      </c>
      <c r="E6011">
        <v>578</v>
      </c>
      <c r="F6011" t="str">
        <f>HYPERLINK("https://www.google.com/maps/search/?api=1&amp;query=23.61764317,45.40762776", "View Map")</f>
        <v>View Map</v>
      </c>
    </row>
    <row r="6012" spans="1:7" x14ac:dyDescent="0.3">
      <c r="A6012" t="s">
        <v>146</v>
      </c>
      <c r="B6012" t="s">
        <v>8361</v>
      </c>
      <c r="C6012" t="s">
        <v>8</v>
      </c>
      <c r="D6012">
        <v>1.806</v>
      </c>
      <c r="E6012">
        <v>578</v>
      </c>
      <c r="F6012" t="str">
        <f>HYPERLINK("https://www.google.com/maps/search/?api=1&amp;query=24.55601913,46.60418898", "View Map")</f>
        <v>View Map</v>
      </c>
    </row>
    <row r="6013" spans="1:7" x14ac:dyDescent="0.3">
      <c r="A6013" t="s">
        <v>10715</v>
      </c>
      <c r="B6013" t="s">
        <v>10716</v>
      </c>
      <c r="C6013" t="s">
        <v>699</v>
      </c>
      <c r="D6013">
        <v>1.8049999999999999</v>
      </c>
      <c r="E6013">
        <v>578</v>
      </c>
      <c r="F6013" t="str">
        <f>HYPERLINK("https://www.google.com/maps/search/?api=1&amp;query=25.07173314,45.46418569", "View Map")</f>
        <v>View Map</v>
      </c>
    </row>
    <row r="6014" spans="1:7" x14ac:dyDescent="0.3">
      <c r="A6014" t="s">
        <v>11076</v>
      </c>
      <c r="B6014" t="s">
        <v>11077</v>
      </c>
      <c r="C6014" t="s">
        <v>883</v>
      </c>
      <c r="D6014">
        <v>1.8049999999999999</v>
      </c>
      <c r="E6014">
        <v>578</v>
      </c>
      <c r="F6014" t="str">
        <f>HYPERLINK("https://www.google.com/maps/search/?api=1&amp;query=25.92163699,46.52327456", "View Map")</f>
        <v>View Map</v>
      </c>
    </row>
    <row r="6015" spans="1:7" x14ac:dyDescent="0.3">
      <c r="A6015" t="s">
        <v>10031</v>
      </c>
      <c r="B6015" t="s">
        <v>10032</v>
      </c>
      <c r="C6015" t="s">
        <v>8</v>
      </c>
      <c r="D6015">
        <v>1.804</v>
      </c>
      <c r="E6015">
        <v>577</v>
      </c>
      <c r="F6015" t="str">
        <f>HYPERLINK("https://www.google.com/maps/search/?api=1&amp;query=24.67451059,46.74260757", "View Map")</f>
        <v>View Map</v>
      </c>
    </row>
    <row r="6016" spans="1:7" x14ac:dyDescent="0.3">
      <c r="A6016" t="s">
        <v>28</v>
      </c>
      <c r="B6016" t="s">
        <v>4286</v>
      </c>
      <c r="C6016" t="s">
        <v>30</v>
      </c>
      <c r="D6016">
        <v>1.804</v>
      </c>
      <c r="E6016">
        <v>577</v>
      </c>
      <c r="F6016" t="str">
        <f>HYPERLINK("https://www.google.com/maps/search/?api=1&amp;query=24.11072902,47.26231676", "View Map")</f>
        <v>View Map</v>
      </c>
      <c r="G6016" s="2">
        <v>0.20696978207079081</v>
      </c>
    </row>
    <row r="6017" spans="1:7" x14ac:dyDescent="0.3">
      <c r="A6017" t="s">
        <v>9217</v>
      </c>
      <c r="B6017" t="s">
        <v>9218</v>
      </c>
      <c r="C6017" t="s">
        <v>270</v>
      </c>
      <c r="D6017">
        <v>1.8029999999999999</v>
      </c>
      <c r="E6017">
        <v>577</v>
      </c>
      <c r="F6017" t="str">
        <f>HYPERLINK("https://www.google.com/maps/search/?api=1&amp;query=23.9864387,47.13158391", "View Map")</f>
        <v>View Map</v>
      </c>
    </row>
    <row r="6018" spans="1:7" x14ac:dyDescent="0.3">
      <c r="A6018" t="s">
        <v>2485</v>
      </c>
      <c r="B6018" t="s">
        <v>9610</v>
      </c>
      <c r="C6018" t="s">
        <v>255</v>
      </c>
      <c r="D6018">
        <v>1.8029999999999999</v>
      </c>
      <c r="E6018">
        <v>577</v>
      </c>
      <c r="F6018" t="str">
        <f>HYPERLINK("https://www.google.com/maps/search/?api=1&amp;query=24.71659265,43.79040719", "View Map")</f>
        <v>View Map</v>
      </c>
      <c r="G6018" s="2">
        <v>0.81777442036713244</v>
      </c>
    </row>
    <row r="6019" spans="1:7" x14ac:dyDescent="0.3">
      <c r="A6019" t="s">
        <v>1774</v>
      </c>
      <c r="B6019" t="s">
        <v>10213</v>
      </c>
      <c r="C6019" t="s">
        <v>55</v>
      </c>
      <c r="D6019">
        <v>1.8029999999999999</v>
      </c>
      <c r="E6019">
        <v>577</v>
      </c>
      <c r="F6019" t="str">
        <f>HYPERLINK("https://www.google.com/maps/search/?api=1&amp;query=24.75584955,46.54914048", "View Map")</f>
        <v>View Map</v>
      </c>
    </row>
    <row r="6020" spans="1:7" x14ac:dyDescent="0.3">
      <c r="A6020" t="s">
        <v>8747</v>
      </c>
      <c r="B6020" t="s">
        <v>8748</v>
      </c>
      <c r="C6020" t="s">
        <v>214</v>
      </c>
      <c r="D6020">
        <v>1.802</v>
      </c>
      <c r="E6020">
        <v>577</v>
      </c>
      <c r="F6020" t="str">
        <f>HYPERLINK("https://www.google.com/maps/search/?api=1&amp;query=26.21894027,45.388835", "View Map")</f>
        <v>View Map</v>
      </c>
      <c r="G6020" s="2">
        <v>0.9232912566321646</v>
      </c>
    </row>
    <row r="6021" spans="1:7" x14ac:dyDescent="0.3">
      <c r="A6021" t="s">
        <v>12281</v>
      </c>
      <c r="B6021" t="s">
        <v>12282</v>
      </c>
      <c r="C6021" t="s">
        <v>30</v>
      </c>
      <c r="D6021">
        <v>1.8009999999999999</v>
      </c>
      <c r="E6021">
        <v>576</v>
      </c>
      <c r="F6021" t="str">
        <f>HYPERLINK("https://www.google.com/maps/search/?api=1&amp;query=24.10250686,47.26900889", "View Map")</f>
        <v>View Map</v>
      </c>
    </row>
    <row r="6022" spans="1:7" x14ac:dyDescent="0.3">
      <c r="A6022" t="s">
        <v>3495</v>
      </c>
      <c r="B6022" t="s">
        <v>3496</v>
      </c>
      <c r="C6022" t="s">
        <v>8</v>
      </c>
      <c r="D6022">
        <v>1.8</v>
      </c>
      <c r="E6022">
        <v>576</v>
      </c>
      <c r="F6022" t="str">
        <f>HYPERLINK("https://www.google.com/maps/search/?api=1&amp;query=24.80308317,46.68861468", "View Map")</f>
        <v>View Map</v>
      </c>
      <c r="G6022" s="2">
        <v>0.15590943433399099</v>
      </c>
    </row>
    <row r="6023" spans="1:7" x14ac:dyDescent="0.3">
      <c r="A6023" t="s">
        <v>1277</v>
      </c>
      <c r="B6023" t="s">
        <v>9884</v>
      </c>
      <c r="C6023" t="s">
        <v>8</v>
      </c>
      <c r="D6023">
        <v>1.8</v>
      </c>
      <c r="E6023">
        <v>576</v>
      </c>
      <c r="F6023" t="str">
        <f>HYPERLINK("https://www.google.com/maps/search/?api=1&amp;query=24.60547967,46.74862502", "View Map")</f>
        <v>View Map</v>
      </c>
    </row>
    <row r="6024" spans="1:7" x14ac:dyDescent="0.3">
      <c r="A6024" t="s">
        <v>5485</v>
      </c>
      <c r="B6024" t="s">
        <v>5486</v>
      </c>
      <c r="C6024" t="s">
        <v>16</v>
      </c>
      <c r="D6024">
        <v>1.798</v>
      </c>
      <c r="E6024">
        <v>576</v>
      </c>
      <c r="F6024" t="str">
        <f>HYPERLINK("https://www.google.com/maps/search/?api=1&amp;query=23.913949,42.92772947", "View Map")</f>
        <v>View Map</v>
      </c>
    </row>
    <row r="6025" spans="1:7" x14ac:dyDescent="0.3">
      <c r="A6025" t="s">
        <v>464</v>
      </c>
      <c r="B6025" t="s">
        <v>465</v>
      </c>
      <c r="C6025" t="s">
        <v>466</v>
      </c>
      <c r="D6025">
        <v>1.7969999999999999</v>
      </c>
      <c r="E6025">
        <v>575</v>
      </c>
      <c r="F6025" t="str">
        <f>HYPERLINK("https://www.google.com/maps/search/?api=1&amp;query=24.5908024,46.13035834", "View Map")</f>
        <v>View Map</v>
      </c>
      <c r="G6025" s="2">
        <v>5.971351500216298E-2</v>
      </c>
    </row>
    <row r="6026" spans="1:7" x14ac:dyDescent="0.3">
      <c r="A6026" t="s">
        <v>8468</v>
      </c>
      <c r="B6026" t="s">
        <v>8469</v>
      </c>
      <c r="C6026" t="s">
        <v>8</v>
      </c>
      <c r="D6026">
        <v>1.7969999999999999</v>
      </c>
      <c r="E6026">
        <v>575</v>
      </c>
      <c r="F6026" t="str">
        <f>HYPERLINK("https://www.google.com/maps/search/?api=1&amp;query=24.77459634,46.81577275", "View Map")</f>
        <v>View Map</v>
      </c>
    </row>
    <row r="6027" spans="1:7" x14ac:dyDescent="0.3">
      <c r="A6027" t="s">
        <v>12283</v>
      </c>
      <c r="B6027" t="s">
        <v>12284</v>
      </c>
      <c r="C6027" t="s">
        <v>8</v>
      </c>
      <c r="D6027">
        <v>1.796</v>
      </c>
      <c r="E6027">
        <v>575</v>
      </c>
      <c r="F6027" t="str">
        <f>HYPERLINK("https://www.google.com/maps/search/?api=1&amp;query=24.77633701,46.72770281", "View Map")</f>
        <v>View Map</v>
      </c>
    </row>
    <row r="6028" spans="1:7" x14ac:dyDescent="0.3">
      <c r="A6028" t="s">
        <v>12285</v>
      </c>
      <c r="B6028" t="s">
        <v>12286</v>
      </c>
      <c r="C6028" t="s">
        <v>466</v>
      </c>
      <c r="D6028">
        <v>1.796</v>
      </c>
      <c r="E6028">
        <v>575</v>
      </c>
      <c r="F6028" t="str">
        <f>HYPERLINK("https://www.google.com/maps/search/?api=1&amp;query=24.61125442,46.12891205", "View Map")</f>
        <v>View Map</v>
      </c>
    </row>
    <row r="6029" spans="1:7" x14ac:dyDescent="0.3">
      <c r="A6029" t="s">
        <v>12287</v>
      </c>
      <c r="B6029" t="s">
        <v>12288</v>
      </c>
      <c r="C6029" t="s">
        <v>8</v>
      </c>
      <c r="D6029">
        <v>1.796</v>
      </c>
      <c r="E6029">
        <v>575</v>
      </c>
      <c r="F6029" t="str">
        <f>HYPERLINK("https://www.google.com/maps/search/?api=1&amp;query=24.59324726,46.78274989", "View Map")</f>
        <v>View Map</v>
      </c>
    </row>
    <row r="6030" spans="1:7" x14ac:dyDescent="0.3">
      <c r="A6030" t="s">
        <v>46</v>
      </c>
      <c r="B6030" t="s">
        <v>12289</v>
      </c>
      <c r="C6030" t="s">
        <v>8</v>
      </c>
      <c r="D6030">
        <v>1.7949999999999999</v>
      </c>
      <c r="E6030">
        <v>575</v>
      </c>
      <c r="F6030" t="str">
        <f>HYPERLINK("https://www.google.com/maps/search/?api=1&amp;query=24.89336,46.62087", "View Map")</f>
        <v>View Map</v>
      </c>
    </row>
    <row r="6031" spans="1:7" x14ac:dyDescent="0.3">
      <c r="A6031" t="s">
        <v>8220</v>
      </c>
      <c r="B6031" t="s">
        <v>8221</v>
      </c>
      <c r="C6031" t="s">
        <v>8</v>
      </c>
      <c r="D6031">
        <v>1.7949999999999999</v>
      </c>
      <c r="E6031">
        <v>574</v>
      </c>
      <c r="F6031" t="str">
        <f>HYPERLINK("https://www.google.com/maps/search/?api=1&amp;query=24.61778779,46.67445399", "View Map")</f>
        <v>View Map</v>
      </c>
    </row>
    <row r="6032" spans="1:7" x14ac:dyDescent="0.3">
      <c r="A6032" t="s">
        <v>8787</v>
      </c>
      <c r="B6032" t="s">
        <v>8788</v>
      </c>
      <c r="C6032" t="s">
        <v>8</v>
      </c>
      <c r="D6032">
        <v>1.7949999999999999</v>
      </c>
      <c r="E6032">
        <v>574</v>
      </c>
      <c r="F6032" t="str">
        <f>HYPERLINK("https://www.google.com/maps/search/?api=1&amp;query=24.73366415,46.69160974", "View Map")</f>
        <v>View Map</v>
      </c>
    </row>
    <row r="6033" spans="1:7" x14ac:dyDescent="0.3">
      <c r="A6033" t="s">
        <v>146</v>
      </c>
      <c r="B6033" t="s">
        <v>5083</v>
      </c>
      <c r="C6033" t="s">
        <v>8</v>
      </c>
      <c r="D6033">
        <v>1.7949999999999999</v>
      </c>
      <c r="E6033">
        <v>575</v>
      </c>
      <c r="F6033" t="str">
        <f>HYPERLINK("https://www.google.com/maps/search/?api=1&amp;query=24.5883757,46.69042881", "View Map")</f>
        <v>View Map</v>
      </c>
    </row>
    <row r="6034" spans="1:7" x14ac:dyDescent="0.3">
      <c r="A6034" t="s">
        <v>667</v>
      </c>
      <c r="B6034" t="s">
        <v>668</v>
      </c>
      <c r="C6034" t="s">
        <v>8</v>
      </c>
      <c r="D6034">
        <v>1.7949999999999999</v>
      </c>
      <c r="E6034">
        <v>574</v>
      </c>
      <c r="F6034" t="str">
        <f>HYPERLINK("https://www.google.com/maps/search/?api=1&amp;query=24.67720409,46.72228396", "View Map")</f>
        <v>View Map</v>
      </c>
      <c r="G6034" s="2">
        <v>0.101211414517906</v>
      </c>
    </row>
    <row r="6035" spans="1:7" x14ac:dyDescent="0.3">
      <c r="A6035" t="s">
        <v>3017</v>
      </c>
      <c r="B6035" t="s">
        <v>3018</v>
      </c>
      <c r="C6035" t="s">
        <v>214</v>
      </c>
      <c r="D6035">
        <v>1.794</v>
      </c>
      <c r="E6035">
        <v>574</v>
      </c>
      <c r="F6035" t="str">
        <f>HYPERLINK("https://www.google.com/maps/search/?api=1&amp;query=26.64913678,45.33288793", "View Map")</f>
        <v>View Map</v>
      </c>
      <c r="G6035" s="2">
        <v>0.24213399625965051</v>
      </c>
    </row>
    <row r="6036" spans="1:7" x14ac:dyDescent="0.3">
      <c r="A6036" t="s">
        <v>12290</v>
      </c>
      <c r="B6036" t="s">
        <v>12291</v>
      </c>
      <c r="C6036" t="s">
        <v>270</v>
      </c>
      <c r="D6036">
        <v>1.794</v>
      </c>
      <c r="E6036">
        <v>574</v>
      </c>
      <c r="F6036" t="str">
        <f>HYPERLINK("https://www.google.com/maps/search/?api=1&amp;query=23.95785994,47.16422041", "View Map")</f>
        <v>View Map</v>
      </c>
    </row>
    <row r="6037" spans="1:7" x14ac:dyDescent="0.3">
      <c r="A6037" t="s">
        <v>1637</v>
      </c>
      <c r="B6037" t="s">
        <v>1638</v>
      </c>
      <c r="C6037" t="s">
        <v>646</v>
      </c>
      <c r="D6037">
        <v>1.794</v>
      </c>
      <c r="E6037">
        <v>574</v>
      </c>
      <c r="F6037" t="str">
        <f>HYPERLINK("https://www.google.com/maps/search/?api=1&amp;query=20.40545676,45.3999102", "View Map")</f>
        <v>View Map</v>
      </c>
      <c r="G6037" s="2">
        <v>0.1211578664351661</v>
      </c>
    </row>
    <row r="6038" spans="1:7" x14ac:dyDescent="0.3">
      <c r="A6038" t="s">
        <v>10863</v>
      </c>
      <c r="B6038" t="s">
        <v>10864</v>
      </c>
      <c r="C6038" t="s">
        <v>214</v>
      </c>
      <c r="D6038">
        <v>1.794</v>
      </c>
      <c r="E6038">
        <v>574</v>
      </c>
      <c r="F6038" t="str">
        <f>HYPERLINK("https://www.google.com/maps/search/?api=1&amp;query=25.90242905,45.36431455", "View Map")</f>
        <v>View Map</v>
      </c>
      <c r="G6038" s="2">
        <v>0.49398930432460247</v>
      </c>
    </row>
    <row r="6039" spans="1:7" x14ac:dyDescent="0.3">
      <c r="A6039" t="s">
        <v>12292</v>
      </c>
      <c r="B6039" t="s">
        <v>12293</v>
      </c>
      <c r="C6039" t="s">
        <v>646</v>
      </c>
      <c r="D6039">
        <v>1.792</v>
      </c>
      <c r="E6039">
        <v>573</v>
      </c>
      <c r="F6039" t="str">
        <f>HYPERLINK("https://www.google.com/maps/search/?api=1&amp;query=20.46166137,45.58968033", "View Map")</f>
        <v>View Map</v>
      </c>
      <c r="G6039" s="2">
        <v>0.6659929124459445</v>
      </c>
    </row>
    <row r="6040" spans="1:7" x14ac:dyDescent="0.3">
      <c r="A6040" t="s">
        <v>661</v>
      </c>
      <c r="B6040" t="s">
        <v>10037</v>
      </c>
      <c r="C6040" t="s">
        <v>214</v>
      </c>
      <c r="D6040">
        <v>1.7909999999999999</v>
      </c>
      <c r="E6040">
        <v>573</v>
      </c>
      <c r="F6040" t="str">
        <f>HYPERLINK("https://www.google.com/maps/search/?api=1&amp;query=25.62463033,45.55000901", "View Map")</f>
        <v>View Map</v>
      </c>
      <c r="G6040" s="2">
        <v>0.81758066171913069</v>
      </c>
    </row>
    <row r="6041" spans="1:7" x14ac:dyDescent="0.3">
      <c r="A6041" t="s">
        <v>11169</v>
      </c>
      <c r="B6041" t="s">
        <v>11170</v>
      </c>
      <c r="C6041" t="s">
        <v>393</v>
      </c>
      <c r="D6041">
        <v>1.7909999999999999</v>
      </c>
      <c r="E6041">
        <v>573</v>
      </c>
      <c r="F6041" t="str">
        <f>HYPERLINK("https://www.google.com/maps/search/?api=1&amp;query=23.54860338,45.49559448", "View Map")</f>
        <v>View Map</v>
      </c>
      <c r="G6041" s="2">
        <v>0.57980344474796741</v>
      </c>
    </row>
    <row r="6042" spans="1:7" x14ac:dyDescent="0.3">
      <c r="A6042" t="s">
        <v>28</v>
      </c>
      <c r="B6042" t="s">
        <v>12294</v>
      </c>
      <c r="C6042" t="s">
        <v>30</v>
      </c>
      <c r="D6042">
        <v>1.788</v>
      </c>
      <c r="E6042">
        <v>572</v>
      </c>
      <c r="F6042" t="str">
        <f>HYPERLINK("https://www.google.com/maps/search/?api=1&amp;query=24.18956234,47.40389924", "View Map")</f>
        <v>View Map</v>
      </c>
    </row>
    <row r="6043" spans="1:7" x14ac:dyDescent="0.3">
      <c r="A6043" t="s">
        <v>10973</v>
      </c>
      <c r="B6043" t="s">
        <v>10974</v>
      </c>
      <c r="C6043" t="s">
        <v>8</v>
      </c>
      <c r="D6043">
        <v>1.788</v>
      </c>
      <c r="E6043">
        <v>572</v>
      </c>
      <c r="F6043" t="str">
        <f>HYPERLINK("https://www.google.com/maps/search/?api=1&amp;query=24.56176108,46.71209041", "View Map")</f>
        <v>View Map</v>
      </c>
    </row>
    <row r="6044" spans="1:7" x14ac:dyDescent="0.3">
      <c r="A6044" t="s">
        <v>433</v>
      </c>
      <c r="B6044" t="s">
        <v>12295</v>
      </c>
      <c r="C6044" t="s">
        <v>137</v>
      </c>
      <c r="D6044">
        <v>1.788</v>
      </c>
      <c r="E6044">
        <v>572</v>
      </c>
      <c r="F6044" t="str">
        <f>HYPERLINK("https://www.google.com/maps/search/?api=1&amp;query=23.50108989,46.87524702", "View Map")</f>
        <v>View Map</v>
      </c>
    </row>
    <row r="6045" spans="1:7" x14ac:dyDescent="0.3">
      <c r="A6045" t="s">
        <v>8265</v>
      </c>
      <c r="B6045" t="s">
        <v>8266</v>
      </c>
      <c r="C6045" t="s">
        <v>8</v>
      </c>
      <c r="D6045">
        <v>1.788</v>
      </c>
      <c r="E6045">
        <v>572</v>
      </c>
      <c r="F6045" t="str">
        <f>HYPERLINK("https://www.google.com/maps/search/?api=1&amp;query=24.54927959,46.66424803", "View Map")</f>
        <v>View Map</v>
      </c>
    </row>
    <row r="6046" spans="1:7" x14ac:dyDescent="0.3">
      <c r="A6046" t="s">
        <v>2485</v>
      </c>
      <c r="B6046" t="s">
        <v>10439</v>
      </c>
      <c r="C6046" t="s">
        <v>255</v>
      </c>
      <c r="D6046">
        <v>1.788</v>
      </c>
      <c r="E6046">
        <v>572</v>
      </c>
      <c r="F6046" t="str">
        <f>HYPERLINK("https://www.google.com/maps/search/?api=1&amp;query=25.13643382,43.47864151", "View Map")</f>
        <v>View Map</v>
      </c>
      <c r="G6046" s="2">
        <v>0.92067271071463541</v>
      </c>
    </row>
    <row r="6047" spans="1:7" x14ac:dyDescent="0.3">
      <c r="A6047" t="s">
        <v>46</v>
      </c>
      <c r="B6047" t="s">
        <v>12296</v>
      </c>
      <c r="C6047" t="s">
        <v>8</v>
      </c>
      <c r="D6047">
        <v>1.7869999999999999</v>
      </c>
      <c r="E6047">
        <v>572</v>
      </c>
      <c r="F6047" t="str">
        <f>HYPERLINK("https://www.google.com/maps/search/?api=1&amp;query=24.86958532,46.62467536", "View Map")</f>
        <v>View Map</v>
      </c>
    </row>
    <row r="6048" spans="1:7" x14ac:dyDescent="0.3">
      <c r="A6048" t="s">
        <v>8513</v>
      </c>
      <c r="B6048" t="s">
        <v>8514</v>
      </c>
      <c r="C6048" t="s">
        <v>8</v>
      </c>
      <c r="D6048">
        <v>1.786</v>
      </c>
      <c r="E6048">
        <v>572</v>
      </c>
      <c r="F6048" t="str">
        <f>HYPERLINK("https://www.google.com/maps/search/?api=1&amp;query=24.5936651,46.62377144", "View Map")</f>
        <v>View Map</v>
      </c>
    </row>
    <row r="6049" spans="1:7" x14ac:dyDescent="0.3">
      <c r="A6049" t="s">
        <v>464</v>
      </c>
      <c r="B6049" t="s">
        <v>12297</v>
      </c>
      <c r="C6049" t="s">
        <v>466</v>
      </c>
      <c r="D6049">
        <v>1.786</v>
      </c>
      <c r="E6049">
        <v>571</v>
      </c>
      <c r="F6049" t="str">
        <f>HYPERLINK("https://www.google.com/maps/search/?api=1&amp;query=24.66996188,45.91387333", "View Map")</f>
        <v>View Map</v>
      </c>
    </row>
    <row r="6050" spans="1:7" x14ac:dyDescent="0.3">
      <c r="A6050" t="s">
        <v>6538</v>
      </c>
      <c r="B6050" t="s">
        <v>6539</v>
      </c>
      <c r="C6050" t="s">
        <v>8</v>
      </c>
      <c r="D6050">
        <v>1.786</v>
      </c>
      <c r="E6050">
        <v>572</v>
      </c>
      <c r="F6050" t="str">
        <f>HYPERLINK("https://www.google.com/maps/search/?api=1&amp;query=24.58713577,46.63702516", "View Map")</f>
        <v>View Map</v>
      </c>
    </row>
    <row r="6051" spans="1:7" x14ac:dyDescent="0.3">
      <c r="A6051" t="s">
        <v>5854</v>
      </c>
      <c r="B6051" t="s">
        <v>5855</v>
      </c>
      <c r="C6051" t="s">
        <v>364</v>
      </c>
      <c r="D6051">
        <v>1.786</v>
      </c>
      <c r="E6051">
        <v>572</v>
      </c>
      <c r="F6051" t="str">
        <f>HYPERLINK("https://www.google.com/maps/search/?api=1&amp;query=25.25897869,45.86708908", "View Map")</f>
        <v>View Map</v>
      </c>
      <c r="G6051" s="2">
        <v>0.26560348747837692</v>
      </c>
    </row>
    <row r="6052" spans="1:7" x14ac:dyDescent="0.3">
      <c r="A6052" t="s">
        <v>12298</v>
      </c>
      <c r="B6052" t="s">
        <v>12299</v>
      </c>
      <c r="C6052" t="s">
        <v>255</v>
      </c>
      <c r="D6052">
        <v>1.786</v>
      </c>
      <c r="E6052">
        <v>572</v>
      </c>
      <c r="F6052" t="str">
        <f>HYPERLINK("https://www.google.com/maps/search/?api=1&amp;query=24.73439751,44.30720472", "View Map")</f>
        <v>View Map</v>
      </c>
      <c r="G6052" s="2">
        <v>0.69090183411301709</v>
      </c>
    </row>
    <row r="6053" spans="1:7" x14ac:dyDescent="0.3">
      <c r="A6053" t="s">
        <v>2685</v>
      </c>
      <c r="B6053" t="s">
        <v>2686</v>
      </c>
      <c r="C6053" t="s">
        <v>8</v>
      </c>
      <c r="D6053">
        <v>1.7849999999999999</v>
      </c>
      <c r="E6053">
        <v>571</v>
      </c>
      <c r="F6053" t="str">
        <f>HYPERLINK("https://www.google.com/maps/search/?api=1&amp;query=24.71130372,46.85292816", "View Map")</f>
        <v>View Map</v>
      </c>
      <c r="G6053" s="2">
        <v>0.2112163451599546</v>
      </c>
    </row>
    <row r="6054" spans="1:7" x14ac:dyDescent="0.3">
      <c r="A6054" t="s">
        <v>12300</v>
      </c>
      <c r="B6054" t="s">
        <v>12301</v>
      </c>
      <c r="C6054" t="s">
        <v>8</v>
      </c>
      <c r="D6054">
        <v>1.7849999999999999</v>
      </c>
      <c r="E6054">
        <v>571</v>
      </c>
      <c r="F6054" t="str">
        <f>HYPERLINK("https://www.google.com/maps/search/?api=1&amp;query=24.63177313,46.71107902", "View Map")</f>
        <v>View Map</v>
      </c>
    </row>
    <row r="6055" spans="1:7" x14ac:dyDescent="0.3">
      <c r="A6055" t="s">
        <v>10985</v>
      </c>
      <c r="B6055" t="s">
        <v>10986</v>
      </c>
      <c r="C6055" t="s">
        <v>286</v>
      </c>
      <c r="D6055">
        <v>1.7849999999999999</v>
      </c>
      <c r="E6055">
        <v>571</v>
      </c>
      <c r="F6055" t="str">
        <f>HYPERLINK("https://www.google.com/maps/search/?api=1&amp;query=25.21674146,45.24002907", "View Map")</f>
        <v>View Map</v>
      </c>
    </row>
    <row r="6056" spans="1:7" x14ac:dyDescent="0.3">
      <c r="A6056" t="s">
        <v>2867</v>
      </c>
      <c r="B6056" t="s">
        <v>8152</v>
      </c>
      <c r="C6056" t="s">
        <v>8</v>
      </c>
      <c r="D6056">
        <v>1.784</v>
      </c>
      <c r="E6056">
        <v>571</v>
      </c>
      <c r="F6056" t="str">
        <f>HYPERLINK("https://www.google.com/maps/search/?api=1&amp;query=24.77823981,46.8270548", "View Map")</f>
        <v>View Map</v>
      </c>
    </row>
    <row r="6057" spans="1:7" x14ac:dyDescent="0.3">
      <c r="A6057" t="s">
        <v>46</v>
      </c>
      <c r="B6057" t="s">
        <v>6992</v>
      </c>
      <c r="C6057" t="s">
        <v>8</v>
      </c>
      <c r="D6057">
        <v>1.7829999999999999</v>
      </c>
      <c r="E6057">
        <v>571</v>
      </c>
      <c r="F6057" t="str">
        <f>HYPERLINK("https://www.google.com/maps/search/?api=1&amp;query=24.73259865,46.74387485", "View Map")</f>
        <v>View Map</v>
      </c>
    </row>
    <row r="6058" spans="1:7" x14ac:dyDescent="0.3">
      <c r="A6058" t="s">
        <v>2867</v>
      </c>
      <c r="B6058" t="s">
        <v>11156</v>
      </c>
      <c r="C6058" t="s">
        <v>241</v>
      </c>
      <c r="D6058">
        <v>1.7829999999999999</v>
      </c>
      <c r="E6058">
        <v>571</v>
      </c>
      <c r="F6058" t="str">
        <f>HYPERLINK("https://www.google.com/maps/search/?api=1&amp;query=20.42945696,44.81975227", "View Map")</f>
        <v>View Map</v>
      </c>
      <c r="G6058" s="2">
        <v>0.52225451621070274</v>
      </c>
    </row>
    <row r="6059" spans="1:7" x14ac:dyDescent="0.3">
      <c r="A6059" t="s">
        <v>6863</v>
      </c>
      <c r="B6059" t="s">
        <v>8629</v>
      </c>
      <c r="C6059" t="s">
        <v>255</v>
      </c>
      <c r="D6059">
        <v>1.7829999999999999</v>
      </c>
      <c r="E6059">
        <v>571</v>
      </c>
      <c r="F6059" t="str">
        <f>HYPERLINK("https://www.google.com/maps/search/?api=1&amp;query=24.52566878,44.40377173", "View Map")</f>
        <v>View Map</v>
      </c>
    </row>
    <row r="6060" spans="1:7" x14ac:dyDescent="0.3">
      <c r="A6060" t="s">
        <v>4256</v>
      </c>
      <c r="B6060" t="s">
        <v>10969</v>
      </c>
      <c r="C6060" t="s">
        <v>8</v>
      </c>
      <c r="D6060">
        <v>1.7829999999999999</v>
      </c>
      <c r="E6060">
        <v>571</v>
      </c>
      <c r="F6060" t="str">
        <f>HYPERLINK("https://www.google.com/maps/search/?api=1&amp;query=24.77996929,46.82535386", "View Map")</f>
        <v>View Map</v>
      </c>
    </row>
    <row r="6061" spans="1:7" x14ac:dyDescent="0.3">
      <c r="A6061" t="s">
        <v>28</v>
      </c>
      <c r="B6061" t="s">
        <v>6201</v>
      </c>
      <c r="C6061" t="s">
        <v>30</v>
      </c>
      <c r="D6061">
        <v>1.7829999999999999</v>
      </c>
      <c r="E6061">
        <v>570</v>
      </c>
      <c r="F6061" t="str">
        <f>HYPERLINK("https://www.google.com/maps/search/?api=1&amp;query=24.14763152,47.27696649", "View Map")</f>
        <v>View Map</v>
      </c>
    </row>
    <row r="6062" spans="1:7" x14ac:dyDescent="0.3">
      <c r="A6062" t="s">
        <v>7020</v>
      </c>
      <c r="B6062" t="s">
        <v>12302</v>
      </c>
      <c r="C6062" t="s">
        <v>270</v>
      </c>
      <c r="D6062">
        <v>1.7829999999999999</v>
      </c>
      <c r="E6062">
        <v>571</v>
      </c>
      <c r="F6062" t="str">
        <f>HYPERLINK("https://www.google.com/maps/search/?api=1&amp;query=23.96690129,47.14568851", "View Map")</f>
        <v>View Map</v>
      </c>
    </row>
    <row r="6063" spans="1:7" x14ac:dyDescent="0.3">
      <c r="A6063" t="s">
        <v>6526</v>
      </c>
      <c r="B6063" t="s">
        <v>6527</v>
      </c>
      <c r="C6063" t="s">
        <v>16</v>
      </c>
      <c r="D6063">
        <v>1.782</v>
      </c>
      <c r="E6063">
        <v>570</v>
      </c>
      <c r="F6063" t="str">
        <f>HYPERLINK("https://www.google.com/maps/search/?api=1&amp;query=23.87524101,42.90851051", "View Map")</f>
        <v>View Map</v>
      </c>
      <c r="G6063" s="2">
        <v>0.38939103370264272</v>
      </c>
    </row>
    <row r="6064" spans="1:7" x14ac:dyDescent="0.3">
      <c r="A6064" t="s">
        <v>10029</v>
      </c>
      <c r="B6064" t="s">
        <v>10030</v>
      </c>
      <c r="C6064" t="s">
        <v>8</v>
      </c>
      <c r="D6064">
        <v>1.7809999999999999</v>
      </c>
      <c r="E6064">
        <v>570</v>
      </c>
      <c r="F6064" t="str">
        <f>HYPERLINK("https://www.google.com/maps/search/?api=1&amp;query=24.72791224,46.81771026", "View Map")</f>
        <v>View Map</v>
      </c>
    </row>
    <row r="6065" spans="1:7" x14ac:dyDescent="0.3">
      <c r="A6065" t="s">
        <v>12303</v>
      </c>
      <c r="B6065" t="s">
        <v>12304</v>
      </c>
      <c r="C6065" t="s">
        <v>8</v>
      </c>
      <c r="D6065">
        <v>1.7809999999999999</v>
      </c>
      <c r="E6065">
        <v>570</v>
      </c>
      <c r="F6065" t="str">
        <f>HYPERLINK("https://www.google.com/maps/search/?api=1&amp;query=24.82866537,46.75032105", "View Map")</f>
        <v>View Map</v>
      </c>
    </row>
    <row r="6066" spans="1:7" x14ac:dyDescent="0.3">
      <c r="A6066" t="s">
        <v>9281</v>
      </c>
      <c r="B6066" t="s">
        <v>9744</v>
      </c>
      <c r="C6066" t="s">
        <v>393</v>
      </c>
      <c r="D6066">
        <v>1.7809999999999999</v>
      </c>
      <c r="E6066">
        <v>570</v>
      </c>
      <c r="F6066" t="str">
        <f>HYPERLINK("https://www.google.com/maps/search/?api=1&amp;query=23.49220473,45.52424705", "View Map")</f>
        <v>View Map</v>
      </c>
      <c r="G6066" s="2">
        <v>0.8637395972625781</v>
      </c>
    </row>
    <row r="6067" spans="1:7" x14ac:dyDescent="0.3">
      <c r="A6067" t="s">
        <v>4718</v>
      </c>
      <c r="B6067" t="s">
        <v>4719</v>
      </c>
      <c r="C6067" t="s">
        <v>30</v>
      </c>
      <c r="D6067">
        <v>1.7809999999999999</v>
      </c>
      <c r="E6067">
        <v>570</v>
      </c>
      <c r="F6067" t="str">
        <f>HYPERLINK("https://www.google.com/maps/search/?api=1&amp;query=24.1530248,47.34529481", "View Map")</f>
        <v>View Map</v>
      </c>
    </row>
    <row r="6068" spans="1:7" x14ac:dyDescent="0.3">
      <c r="A6068" t="s">
        <v>661</v>
      </c>
      <c r="B6068" t="s">
        <v>9090</v>
      </c>
      <c r="C6068" t="s">
        <v>214</v>
      </c>
      <c r="D6068">
        <v>1.78</v>
      </c>
      <c r="E6068">
        <v>569</v>
      </c>
      <c r="F6068" t="str">
        <f>HYPERLINK("https://www.google.com/maps/search/?api=1&amp;query=25.70290708,45.45487016", "View Map")</f>
        <v>View Map</v>
      </c>
      <c r="G6068" s="2">
        <v>0.6101761117091602</v>
      </c>
    </row>
    <row r="6069" spans="1:7" x14ac:dyDescent="0.3">
      <c r="A6069" t="s">
        <v>1959</v>
      </c>
      <c r="B6069" t="s">
        <v>12305</v>
      </c>
      <c r="C6069" t="s">
        <v>8</v>
      </c>
      <c r="D6069">
        <v>1.78</v>
      </c>
      <c r="E6069">
        <v>570</v>
      </c>
      <c r="F6069" t="str">
        <f>HYPERLINK("https://www.google.com/maps/search/?api=1&amp;query=24.67100013,46.84986766", "View Map")</f>
        <v>View Map</v>
      </c>
    </row>
    <row r="6070" spans="1:7" x14ac:dyDescent="0.3">
      <c r="A6070" t="s">
        <v>46</v>
      </c>
      <c r="B6070" t="s">
        <v>4055</v>
      </c>
      <c r="C6070" t="s">
        <v>55</v>
      </c>
      <c r="D6070">
        <v>1.78</v>
      </c>
      <c r="E6070">
        <v>569</v>
      </c>
      <c r="F6070" t="str">
        <f>HYPERLINK("https://www.google.com/maps/search/?api=1&amp;query=24.90337,46.43857", "View Map")</f>
        <v>View Map</v>
      </c>
    </row>
    <row r="6071" spans="1:7" x14ac:dyDescent="0.3">
      <c r="A6071" t="s">
        <v>12306</v>
      </c>
      <c r="B6071" t="s">
        <v>12307</v>
      </c>
      <c r="C6071" t="s">
        <v>255</v>
      </c>
      <c r="D6071">
        <v>1.78</v>
      </c>
      <c r="E6071">
        <v>569</v>
      </c>
      <c r="F6071" t="str">
        <f>HYPERLINK("https://www.google.com/maps/search/?api=1&amp;query=24.51921092,44.41136858", "View Map")</f>
        <v>View Map</v>
      </c>
    </row>
    <row r="6072" spans="1:7" x14ac:dyDescent="0.3">
      <c r="A6072" t="s">
        <v>46</v>
      </c>
      <c r="B6072" t="s">
        <v>10712</v>
      </c>
      <c r="C6072" t="s">
        <v>8</v>
      </c>
      <c r="D6072">
        <v>1.7789999999999999</v>
      </c>
      <c r="E6072">
        <v>569</v>
      </c>
      <c r="F6072" t="str">
        <f>HYPERLINK("https://www.google.com/maps/search/?api=1&amp;query=24.81787382,46.65766194", "View Map")</f>
        <v>View Map</v>
      </c>
    </row>
    <row r="6073" spans="1:7" x14ac:dyDescent="0.3">
      <c r="A6073" t="s">
        <v>146</v>
      </c>
      <c r="B6073" t="s">
        <v>7906</v>
      </c>
      <c r="C6073" t="s">
        <v>8</v>
      </c>
      <c r="D6073">
        <v>1.7789999999999999</v>
      </c>
      <c r="E6073">
        <v>569</v>
      </c>
      <c r="F6073" t="str">
        <f>HYPERLINK("https://www.google.com/maps/search/?api=1&amp;query=24.6159935,46.71311427", "View Map")</f>
        <v>View Map</v>
      </c>
    </row>
    <row r="6074" spans="1:7" x14ac:dyDescent="0.3">
      <c r="A6074" t="s">
        <v>7953</v>
      </c>
      <c r="B6074" t="s">
        <v>7954</v>
      </c>
      <c r="C6074" t="s">
        <v>255</v>
      </c>
      <c r="D6074">
        <v>1.778</v>
      </c>
      <c r="E6074">
        <v>569</v>
      </c>
      <c r="F6074" t="str">
        <f>HYPERLINK("https://www.google.com/maps/search/?api=1&amp;query=24.53278433,44.28076299", "View Map")</f>
        <v>View Map</v>
      </c>
      <c r="G6074" s="2">
        <v>0.35016134880979161</v>
      </c>
    </row>
    <row r="6075" spans="1:7" x14ac:dyDescent="0.3">
      <c r="A6075" t="s">
        <v>12308</v>
      </c>
      <c r="B6075" t="s">
        <v>12309</v>
      </c>
      <c r="C6075" t="s">
        <v>442</v>
      </c>
      <c r="D6075">
        <v>1.778</v>
      </c>
      <c r="E6075">
        <v>569</v>
      </c>
      <c r="F6075" t="str">
        <f>HYPERLINK("https://www.google.com/maps/search/?api=1&amp;query=23.63313246,46.50165001", "View Map")</f>
        <v>View Map</v>
      </c>
    </row>
    <row r="6076" spans="1:7" x14ac:dyDescent="0.3">
      <c r="A6076" t="s">
        <v>10328</v>
      </c>
      <c r="B6076" t="s">
        <v>10329</v>
      </c>
      <c r="C6076" t="s">
        <v>8</v>
      </c>
      <c r="D6076">
        <v>1.7769999999999999</v>
      </c>
      <c r="E6076">
        <v>569</v>
      </c>
      <c r="F6076" t="str">
        <f>HYPERLINK("https://www.google.com/maps/search/?api=1&amp;query=24.7304454,46.67497269", "View Map")</f>
        <v>View Map</v>
      </c>
    </row>
    <row r="6077" spans="1:7" x14ac:dyDescent="0.3">
      <c r="A6077" t="s">
        <v>46</v>
      </c>
      <c r="B6077" t="s">
        <v>7655</v>
      </c>
      <c r="C6077" t="s">
        <v>55</v>
      </c>
      <c r="D6077">
        <v>1.7769999999999999</v>
      </c>
      <c r="E6077">
        <v>569</v>
      </c>
      <c r="F6077" t="str">
        <f>HYPERLINK("https://www.google.com/maps/search/?api=1&amp;query=24.7453,46.5272", "View Map")</f>
        <v>View Map</v>
      </c>
    </row>
    <row r="6078" spans="1:7" x14ac:dyDescent="0.3">
      <c r="A6078" t="s">
        <v>12310</v>
      </c>
      <c r="B6078" t="s">
        <v>12311</v>
      </c>
      <c r="C6078" t="s">
        <v>255</v>
      </c>
      <c r="D6078">
        <v>1.7769999999999999</v>
      </c>
      <c r="E6078">
        <v>569</v>
      </c>
      <c r="F6078" t="str">
        <f>HYPERLINK("https://www.google.com/maps/search/?api=1&amp;query=24.54146542,44.43305801", "View Map")</f>
        <v>View Map</v>
      </c>
    </row>
    <row r="6079" spans="1:7" x14ac:dyDescent="0.3">
      <c r="A6079" t="s">
        <v>6835</v>
      </c>
      <c r="B6079" t="s">
        <v>6836</v>
      </c>
      <c r="C6079" t="s">
        <v>8</v>
      </c>
      <c r="D6079">
        <v>1.776</v>
      </c>
      <c r="E6079">
        <v>568</v>
      </c>
      <c r="F6079" t="str">
        <f>HYPERLINK("https://www.google.com/maps/search/?api=1&amp;query=24.74428286,46.84156262", "View Map")</f>
        <v>View Map</v>
      </c>
    </row>
    <row r="6080" spans="1:7" x14ac:dyDescent="0.3">
      <c r="A6080" t="s">
        <v>5219</v>
      </c>
      <c r="B6080" t="s">
        <v>5220</v>
      </c>
      <c r="C6080" t="s">
        <v>255</v>
      </c>
      <c r="D6080">
        <v>1.7749999999999999</v>
      </c>
      <c r="E6080">
        <v>568</v>
      </c>
      <c r="F6080" t="str">
        <f>HYPERLINK("https://www.google.com/maps/search/?api=1&amp;query=24.98558652,44.7264751", "View Map")</f>
        <v>View Map</v>
      </c>
      <c r="G6080" s="2">
        <v>0.3715665622702703</v>
      </c>
    </row>
    <row r="6081" spans="1:7" x14ac:dyDescent="0.3">
      <c r="A6081" t="s">
        <v>1273</v>
      </c>
      <c r="B6081" t="s">
        <v>8362</v>
      </c>
      <c r="C6081" t="s">
        <v>241</v>
      </c>
      <c r="D6081">
        <v>1.774</v>
      </c>
      <c r="E6081">
        <v>568</v>
      </c>
      <c r="F6081" t="str">
        <f>HYPERLINK("https://www.google.com/maps/search/?api=1&amp;query=20.45147964,44.77945128", "View Map")</f>
        <v>View Map</v>
      </c>
    </row>
    <row r="6082" spans="1:7" x14ac:dyDescent="0.3">
      <c r="A6082" t="s">
        <v>12312</v>
      </c>
      <c r="B6082" t="s">
        <v>12313</v>
      </c>
      <c r="C6082" t="s">
        <v>8</v>
      </c>
      <c r="D6082">
        <v>1.774</v>
      </c>
      <c r="E6082">
        <v>568</v>
      </c>
      <c r="F6082" t="str">
        <f>HYPERLINK("https://www.google.com/maps/search/?api=1&amp;query=24.6517,46.70295", "View Map")</f>
        <v>View Map</v>
      </c>
    </row>
    <row r="6083" spans="1:7" x14ac:dyDescent="0.3">
      <c r="A6083" t="s">
        <v>9374</v>
      </c>
      <c r="B6083" t="s">
        <v>9375</v>
      </c>
      <c r="C6083" t="s">
        <v>214</v>
      </c>
      <c r="D6083">
        <v>1.774</v>
      </c>
      <c r="E6083">
        <v>568</v>
      </c>
      <c r="F6083" t="str">
        <f>HYPERLINK("https://www.google.com/maps/search/?api=1&amp;query=25.92681914,45.3922486", "View Map")</f>
        <v>View Map</v>
      </c>
      <c r="G6083" s="2">
        <v>0.34129057850012068</v>
      </c>
    </row>
    <row r="6084" spans="1:7" x14ac:dyDescent="0.3">
      <c r="A6084" t="s">
        <v>2485</v>
      </c>
      <c r="B6084" t="s">
        <v>12314</v>
      </c>
      <c r="C6084" t="s">
        <v>255</v>
      </c>
      <c r="D6084">
        <v>1.7729999999999999</v>
      </c>
      <c r="E6084">
        <v>567</v>
      </c>
      <c r="F6084" t="str">
        <f>HYPERLINK("https://www.google.com/maps/search/?api=1&amp;query=24.67852572,43.65852073", "View Map")</f>
        <v>View Map</v>
      </c>
      <c r="G6084" s="2">
        <v>0.85748581342183749</v>
      </c>
    </row>
    <row r="6085" spans="1:7" x14ac:dyDescent="0.3">
      <c r="A6085" t="s">
        <v>7408</v>
      </c>
      <c r="B6085" t="s">
        <v>7409</v>
      </c>
      <c r="C6085" t="s">
        <v>8</v>
      </c>
      <c r="D6085">
        <v>1.7729999999999999</v>
      </c>
      <c r="E6085">
        <v>567</v>
      </c>
      <c r="F6085" t="str">
        <f>HYPERLINK("https://www.google.com/maps/search/?api=1&amp;query=24.64448808,46.78393456", "View Map")</f>
        <v>View Map</v>
      </c>
    </row>
    <row r="6086" spans="1:7" x14ac:dyDescent="0.3">
      <c r="A6086" t="s">
        <v>10848</v>
      </c>
      <c r="B6086" t="s">
        <v>10849</v>
      </c>
      <c r="C6086" t="s">
        <v>286</v>
      </c>
      <c r="D6086">
        <v>1.772</v>
      </c>
      <c r="E6086">
        <v>567</v>
      </c>
      <c r="F6086" t="str">
        <f>HYPERLINK("https://www.google.com/maps/search/?api=1&amp;query=25.23809755,45.25055733", "View Map")</f>
        <v>View Map</v>
      </c>
    </row>
    <row r="6087" spans="1:7" x14ac:dyDescent="0.3">
      <c r="A6087" t="s">
        <v>938</v>
      </c>
      <c r="B6087" t="s">
        <v>12315</v>
      </c>
      <c r="C6087" t="s">
        <v>8</v>
      </c>
      <c r="D6087">
        <v>1.772</v>
      </c>
      <c r="E6087">
        <v>567</v>
      </c>
      <c r="F6087" t="str">
        <f>HYPERLINK("https://www.google.com/maps/search/?api=1&amp;query=24.7399,46.80751", "View Map")</f>
        <v>View Map</v>
      </c>
    </row>
    <row r="6088" spans="1:7" x14ac:dyDescent="0.3">
      <c r="A6088" t="s">
        <v>11201</v>
      </c>
      <c r="B6088" t="s">
        <v>11202</v>
      </c>
      <c r="C6088" t="s">
        <v>4447</v>
      </c>
      <c r="D6088">
        <v>1.772</v>
      </c>
      <c r="E6088">
        <v>567</v>
      </c>
      <c r="F6088" t="str">
        <f>HYPERLINK("https://www.google.com/maps/search/?api=1&amp;query=24.30993577,42.09035105", "View Map")</f>
        <v>View Map</v>
      </c>
      <c r="G6088" s="2">
        <v>0.70228380795078882</v>
      </c>
    </row>
    <row r="6089" spans="1:7" x14ac:dyDescent="0.3">
      <c r="A6089" t="s">
        <v>12316</v>
      </c>
      <c r="B6089" t="s">
        <v>12317</v>
      </c>
      <c r="C6089" t="s">
        <v>291</v>
      </c>
      <c r="D6089">
        <v>1.7709999999999999</v>
      </c>
      <c r="E6089">
        <v>567</v>
      </c>
      <c r="F6089" t="str">
        <f>HYPERLINK("https://www.google.com/maps/search/?api=1&amp;query=24.37553573,45.29262543", "View Map")</f>
        <v>View Map</v>
      </c>
      <c r="G6089" s="2">
        <v>0.72078413382604811</v>
      </c>
    </row>
    <row r="6090" spans="1:7" x14ac:dyDescent="0.3">
      <c r="A6090" t="s">
        <v>12318</v>
      </c>
      <c r="B6090" t="s">
        <v>12319</v>
      </c>
      <c r="C6090" t="s">
        <v>291</v>
      </c>
      <c r="D6090">
        <v>1.7709999999999999</v>
      </c>
      <c r="E6090">
        <v>567</v>
      </c>
      <c r="F6090" t="str">
        <f>HYPERLINK("https://www.google.com/maps/search/?api=1&amp;query=23.64956018,44.75453311", "View Map")</f>
        <v>View Map</v>
      </c>
    </row>
    <row r="6091" spans="1:7" x14ac:dyDescent="0.3">
      <c r="A6091" t="s">
        <v>2867</v>
      </c>
      <c r="B6091" t="s">
        <v>9247</v>
      </c>
      <c r="C6091" t="s">
        <v>8</v>
      </c>
      <c r="D6091">
        <v>1.7709999999999999</v>
      </c>
      <c r="E6091">
        <v>567</v>
      </c>
      <c r="F6091" t="str">
        <f>HYPERLINK("https://www.google.com/maps/search/?api=1&amp;query=24.70904876,46.76774814", "View Map")</f>
        <v>View Map</v>
      </c>
    </row>
    <row r="6092" spans="1:7" x14ac:dyDescent="0.3">
      <c r="A6092" t="s">
        <v>3290</v>
      </c>
      <c r="B6092" t="s">
        <v>3291</v>
      </c>
      <c r="C6092" t="s">
        <v>30</v>
      </c>
      <c r="D6092">
        <v>1.77</v>
      </c>
      <c r="E6092">
        <v>566</v>
      </c>
      <c r="F6092" t="str">
        <f>HYPERLINK("https://www.google.com/maps/search/?api=1&amp;query=24.15263076,47.36839676", "View Map")</f>
        <v>View Map</v>
      </c>
      <c r="G6092" s="2">
        <v>0.21960893003780599</v>
      </c>
    </row>
    <row r="6093" spans="1:7" x14ac:dyDescent="0.3">
      <c r="A6093" t="s">
        <v>46</v>
      </c>
      <c r="B6093" t="s">
        <v>12320</v>
      </c>
      <c r="C6093" t="s">
        <v>55</v>
      </c>
      <c r="D6093">
        <v>1.7689999999999999</v>
      </c>
      <c r="E6093">
        <v>566</v>
      </c>
      <c r="F6093" t="str">
        <f>HYPERLINK("https://www.google.com/maps/search/?api=1&amp;query=24.74598087,46.51343717", "View Map")</f>
        <v>View Map</v>
      </c>
    </row>
    <row r="6094" spans="1:7" x14ac:dyDescent="0.3">
      <c r="A6094" t="s">
        <v>12321</v>
      </c>
      <c r="B6094" t="s">
        <v>12322</v>
      </c>
      <c r="C6094" t="s">
        <v>21</v>
      </c>
      <c r="D6094">
        <v>1.768</v>
      </c>
      <c r="E6094">
        <v>566</v>
      </c>
      <c r="F6094" t="str">
        <f>HYPERLINK("https://www.google.com/maps/search/?api=1&amp;query=26.33087903,44.80602208", "View Map")</f>
        <v>View Map</v>
      </c>
    </row>
    <row r="6095" spans="1:7" x14ac:dyDescent="0.3">
      <c r="A6095" t="s">
        <v>12323</v>
      </c>
      <c r="B6095" t="s">
        <v>12324</v>
      </c>
      <c r="C6095" t="s">
        <v>291</v>
      </c>
      <c r="D6095">
        <v>1.768</v>
      </c>
      <c r="E6095">
        <v>566</v>
      </c>
      <c r="F6095" t="str">
        <f>HYPERLINK("https://www.google.com/maps/search/?api=1&amp;query=23.26799332,44.65533402", "View Map")</f>
        <v>View Map</v>
      </c>
    </row>
    <row r="6096" spans="1:7" x14ac:dyDescent="0.3">
      <c r="A6096" t="s">
        <v>12325</v>
      </c>
      <c r="B6096" t="s">
        <v>12326</v>
      </c>
      <c r="C6096" t="s">
        <v>8</v>
      </c>
      <c r="D6096">
        <v>1.768</v>
      </c>
      <c r="E6096">
        <v>566</v>
      </c>
      <c r="F6096" t="str">
        <f>HYPERLINK("https://www.google.com/maps/search/?api=1&amp;query=24.56447941,46.71867503", "View Map")</f>
        <v>View Map</v>
      </c>
    </row>
    <row r="6097" spans="1:7" x14ac:dyDescent="0.3">
      <c r="A6097" t="s">
        <v>12327</v>
      </c>
      <c r="B6097" t="s">
        <v>12328</v>
      </c>
      <c r="C6097" t="s">
        <v>8</v>
      </c>
      <c r="D6097">
        <v>1.7669999999999999</v>
      </c>
      <c r="E6097">
        <v>566</v>
      </c>
      <c r="F6097" t="str">
        <f>HYPERLINK("https://www.google.com/maps/search/?api=1&amp;query=24.55985519,46.69391101", "View Map")</f>
        <v>View Map</v>
      </c>
    </row>
    <row r="6098" spans="1:7" x14ac:dyDescent="0.3">
      <c r="A6098" t="s">
        <v>1273</v>
      </c>
      <c r="B6098" t="s">
        <v>9820</v>
      </c>
      <c r="C6098" t="s">
        <v>241</v>
      </c>
      <c r="D6098">
        <v>1.766</v>
      </c>
      <c r="E6098">
        <v>565</v>
      </c>
      <c r="F6098" t="str">
        <f>HYPERLINK("https://www.google.com/maps/search/?api=1&amp;query=20.40024402,44.62519994", "View Map")</f>
        <v>View Map</v>
      </c>
      <c r="G6098" s="2">
        <v>0.71060609791207308</v>
      </c>
    </row>
    <row r="6099" spans="1:7" x14ac:dyDescent="0.3">
      <c r="A6099" t="s">
        <v>428</v>
      </c>
      <c r="B6099" t="s">
        <v>12329</v>
      </c>
      <c r="C6099" t="s">
        <v>8</v>
      </c>
      <c r="D6099">
        <v>1.766</v>
      </c>
      <c r="E6099">
        <v>565</v>
      </c>
      <c r="F6099" t="str">
        <f>HYPERLINK("https://www.google.com/maps/search/?api=1&amp;query=24.71419882,46.77090112", "View Map")</f>
        <v>View Map</v>
      </c>
    </row>
    <row r="6100" spans="1:7" x14ac:dyDescent="0.3">
      <c r="A6100" t="s">
        <v>12330</v>
      </c>
      <c r="B6100" t="s">
        <v>12331</v>
      </c>
      <c r="C6100" t="s">
        <v>286</v>
      </c>
      <c r="D6100">
        <v>1.766</v>
      </c>
      <c r="E6100">
        <v>565</v>
      </c>
      <c r="F6100" t="str">
        <f>HYPERLINK("https://www.google.com/maps/search/?api=1&amp;query=25.29523374,45.51734499", "View Map")</f>
        <v>View Map</v>
      </c>
      <c r="G6100" s="2">
        <v>0.42428364104655919</v>
      </c>
    </row>
    <row r="6101" spans="1:7" x14ac:dyDescent="0.3">
      <c r="A6101" t="s">
        <v>2020</v>
      </c>
      <c r="B6101" t="s">
        <v>11223</v>
      </c>
      <c r="C6101" t="s">
        <v>8</v>
      </c>
      <c r="D6101">
        <v>1.766</v>
      </c>
      <c r="E6101">
        <v>565</v>
      </c>
      <c r="F6101" t="str">
        <f>HYPERLINK("https://www.google.com/maps/search/?api=1&amp;query=24.5556,46.5514", "View Map")</f>
        <v>View Map</v>
      </c>
      <c r="G6101" s="2">
        <v>0.43169183030299407</v>
      </c>
    </row>
    <row r="6102" spans="1:7" x14ac:dyDescent="0.3">
      <c r="A6102" t="s">
        <v>46</v>
      </c>
      <c r="B6102" t="s">
        <v>3201</v>
      </c>
      <c r="C6102" t="s">
        <v>8</v>
      </c>
      <c r="D6102">
        <v>1.7649999999999999</v>
      </c>
      <c r="E6102">
        <v>565</v>
      </c>
      <c r="F6102" t="str">
        <f>HYPERLINK("https://www.google.com/maps/search/?api=1&amp;query=24.87893936,46.87002482", "View Map")</f>
        <v>View Map</v>
      </c>
    </row>
    <row r="6103" spans="1:7" x14ac:dyDescent="0.3">
      <c r="A6103" t="s">
        <v>10930</v>
      </c>
      <c r="B6103" t="s">
        <v>10931</v>
      </c>
      <c r="C6103" t="s">
        <v>8</v>
      </c>
      <c r="D6103">
        <v>1.7649999999999999</v>
      </c>
      <c r="E6103">
        <v>565</v>
      </c>
      <c r="F6103" t="str">
        <f>HYPERLINK("https://www.google.com/maps/search/?api=1&amp;query=24.68333919,46.75265711", "View Map")</f>
        <v>View Map</v>
      </c>
    </row>
    <row r="6104" spans="1:7" x14ac:dyDescent="0.3">
      <c r="A6104" t="s">
        <v>12332</v>
      </c>
      <c r="B6104" t="s">
        <v>12333</v>
      </c>
      <c r="C6104" t="s">
        <v>8</v>
      </c>
      <c r="D6104">
        <v>1.7629999999999999</v>
      </c>
      <c r="E6104">
        <v>564</v>
      </c>
      <c r="F6104" t="str">
        <f>HYPERLINK("https://www.google.com/maps/search/?api=1&amp;query=24.78942235,46.90010618", "View Map")</f>
        <v>View Map</v>
      </c>
    </row>
    <row r="6105" spans="1:7" x14ac:dyDescent="0.3">
      <c r="A6105" t="s">
        <v>4135</v>
      </c>
      <c r="B6105" t="s">
        <v>4136</v>
      </c>
      <c r="C6105" t="s">
        <v>77</v>
      </c>
      <c r="D6105">
        <v>1.7629999999999999</v>
      </c>
      <c r="E6105">
        <v>564</v>
      </c>
      <c r="F6105" t="str">
        <f>HYPERLINK("https://www.google.com/maps/search/?api=1&amp;query=21.98018917,45.9596398", "View Map")</f>
        <v>View Map</v>
      </c>
      <c r="G6105" s="2">
        <v>0.25713742028460351</v>
      </c>
    </row>
    <row r="6106" spans="1:7" x14ac:dyDescent="0.3">
      <c r="A6106" t="s">
        <v>12334</v>
      </c>
      <c r="B6106" t="s">
        <v>12335</v>
      </c>
      <c r="C6106" t="s">
        <v>30</v>
      </c>
      <c r="D6106">
        <v>1.7629999999999999</v>
      </c>
      <c r="E6106">
        <v>564</v>
      </c>
      <c r="F6106" t="str">
        <f>HYPERLINK("https://www.google.com/maps/search/?api=1&amp;query=24.15499071,47.31498239", "View Map")</f>
        <v>View Map</v>
      </c>
    </row>
    <row r="6107" spans="1:7" x14ac:dyDescent="0.3">
      <c r="A6107" t="s">
        <v>12336</v>
      </c>
      <c r="B6107" t="s">
        <v>12337</v>
      </c>
      <c r="C6107" t="s">
        <v>8</v>
      </c>
      <c r="D6107">
        <v>1.7629999999999999</v>
      </c>
      <c r="E6107">
        <v>564</v>
      </c>
      <c r="F6107" t="str">
        <f>HYPERLINK("https://www.google.com/maps/search/?api=1&amp;query=24.58781328,46.67193337", "View Map")</f>
        <v>View Map</v>
      </c>
    </row>
    <row r="6108" spans="1:7" x14ac:dyDescent="0.3">
      <c r="A6108" t="s">
        <v>7268</v>
      </c>
      <c r="B6108" t="s">
        <v>10886</v>
      </c>
      <c r="C6108" t="s">
        <v>364</v>
      </c>
      <c r="D6108">
        <v>1.762</v>
      </c>
      <c r="E6108">
        <v>564</v>
      </c>
      <c r="F6108" t="str">
        <f>HYPERLINK("https://www.google.com/maps/search/?api=1&amp;query=25.25005793,45.86888571", "View Map")</f>
        <v>View Map</v>
      </c>
      <c r="G6108" s="2">
        <v>0.57554473396246597</v>
      </c>
    </row>
    <row r="6109" spans="1:7" x14ac:dyDescent="0.3">
      <c r="A6109" t="s">
        <v>3092</v>
      </c>
      <c r="B6109" t="s">
        <v>12338</v>
      </c>
      <c r="C6109" t="s">
        <v>738</v>
      </c>
      <c r="D6109">
        <v>1.762</v>
      </c>
      <c r="E6109">
        <v>564</v>
      </c>
      <c r="F6109" t="str">
        <f>HYPERLINK("https://www.google.com/maps/search/?api=1&amp;query=25.12677411,46.0945121", "View Map")</f>
        <v>View Map</v>
      </c>
      <c r="G6109" s="2">
        <v>0.47379266826644417</v>
      </c>
    </row>
    <row r="6110" spans="1:7" x14ac:dyDescent="0.3">
      <c r="A6110" t="s">
        <v>10435</v>
      </c>
      <c r="B6110" t="s">
        <v>10436</v>
      </c>
      <c r="C6110" t="s">
        <v>8</v>
      </c>
      <c r="D6110">
        <v>1.7609999999999999</v>
      </c>
      <c r="E6110">
        <v>564</v>
      </c>
      <c r="F6110" t="str">
        <f>HYPERLINK("https://www.google.com/maps/search/?api=1&amp;query=24.62518095,46.80412896", "View Map")</f>
        <v>View Map</v>
      </c>
    </row>
    <row r="6111" spans="1:7" x14ac:dyDescent="0.3">
      <c r="A6111" t="s">
        <v>10671</v>
      </c>
      <c r="B6111" t="s">
        <v>10672</v>
      </c>
      <c r="C6111" t="s">
        <v>8</v>
      </c>
      <c r="D6111">
        <v>1.7609999999999999</v>
      </c>
      <c r="E6111">
        <v>563</v>
      </c>
      <c r="F6111" t="str">
        <f>HYPERLINK("https://www.google.com/maps/search/?api=1&amp;query=24.5378,46.6692", "View Map")</f>
        <v>View Map</v>
      </c>
    </row>
    <row r="6112" spans="1:7" x14ac:dyDescent="0.3">
      <c r="A6112" t="s">
        <v>150</v>
      </c>
      <c r="B6112" t="s">
        <v>6063</v>
      </c>
      <c r="C6112" t="s">
        <v>8</v>
      </c>
      <c r="D6112">
        <v>1.76</v>
      </c>
      <c r="E6112">
        <v>563</v>
      </c>
      <c r="F6112" t="str">
        <f>HYPERLINK("https://www.google.com/maps/search/?api=1&amp;query=24.75509541,46.84141647", "View Map")</f>
        <v>View Map</v>
      </c>
    </row>
    <row r="6113" spans="1:7" x14ac:dyDescent="0.3">
      <c r="A6113" t="s">
        <v>4157</v>
      </c>
      <c r="B6113" t="s">
        <v>4158</v>
      </c>
      <c r="C6113" t="s">
        <v>8</v>
      </c>
      <c r="D6113">
        <v>1.76</v>
      </c>
      <c r="E6113">
        <v>563</v>
      </c>
      <c r="F6113" t="str">
        <f>HYPERLINK("https://www.google.com/maps/search/?api=1&amp;query=24.82716125,46.62098908", "View Map")</f>
        <v>View Map</v>
      </c>
    </row>
    <row r="6114" spans="1:7" x14ac:dyDescent="0.3">
      <c r="A6114" t="s">
        <v>7974</v>
      </c>
      <c r="B6114" t="s">
        <v>7975</v>
      </c>
      <c r="C6114" t="s">
        <v>646</v>
      </c>
      <c r="D6114">
        <v>1.76</v>
      </c>
      <c r="E6114">
        <v>563</v>
      </c>
      <c r="F6114" t="str">
        <f>HYPERLINK("https://www.google.com/maps/search/?api=1&amp;query=20.44945717,45.58450984", "View Map")</f>
        <v>View Map</v>
      </c>
      <c r="G6114" s="2">
        <v>0.34397635443592389</v>
      </c>
    </row>
    <row r="6115" spans="1:7" x14ac:dyDescent="0.3">
      <c r="A6115" t="s">
        <v>10398</v>
      </c>
      <c r="B6115" t="s">
        <v>10399</v>
      </c>
      <c r="C6115" t="s">
        <v>291</v>
      </c>
      <c r="D6115">
        <v>1.76</v>
      </c>
      <c r="E6115">
        <v>563</v>
      </c>
      <c r="F6115" t="str">
        <f>HYPERLINK("https://www.google.com/maps/search/?api=1&amp;query=23.9893458,45.11420791", "View Map")</f>
        <v>View Map</v>
      </c>
      <c r="G6115" s="2">
        <v>0.89601518333757402</v>
      </c>
    </row>
    <row r="6116" spans="1:7" x14ac:dyDescent="0.3">
      <c r="A6116" t="s">
        <v>3374</v>
      </c>
      <c r="B6116" t="s">
        <v>12339</v>
      </c>
      <c r="C6116" t="s">
        <v>8</v>
      </c>
      <c r="D6116">
        <v>1.7589999999999999</v>
      </c>
      <c r="E6116">
        <v>563</v>
      </c>
      <c r="F6116" t="str">
        <f>HYPERLINK("https://www.google.com/maps/search/?api=1&amp;query=24.68870433,46.7880236", "View Map")</f>
        <v>View Map</v>
      </c>
      <c r="G6116" s="2">
        <v>0.65600621787150015</v>
      </c>
    </row>
    <row r="6117" spans="1:7" x14ac:dyDescent="0.3">
      <c r="A6117" t="s">
        <v>12340</v>
      </c>
      <c r="B6117" t="s">
        <v>12341</v>
      </c>
      <c r="C6117" t="s">
        <v>255</v>
      </c>
      <c r="D6117">
        <v>1.7569999999999999</v>
      </c>
      <c r="E6117">
        <v>562</v>
      </c>
      <c r="F6117" t="str">
        <f>HYPERLINK("https://www.google.com/maps/search/?api=1&amp;query=24.76875909,43.76839086", "View Map")</f>
        <v>View Map</v>
      </c>
      <c r="G6117" s="2">
        <v>0.5546724039522003</v>
      </c>
    </row>
    <row r="6118" spans="1:7" x14ac:dyDescent="0.3">
      <c r="A6118" t="s">
        <v>3523</v>
      </c>
      <c r="B6118" t="s">
        <v>3524</v>
      </c>
      <c r="C6118" t="s">
        <v>21</v>
      </c>
      <c r="D6118">
        <v>1.756</v>
      </c>
      <c r="E6118">
        <v>562</v>
      </c>
      <c r="F6118" t="str">
        <f>HYPERLINK("https://www.google.com/maps/search/?api=1&amp;query=26.28890267,44.82152195", "View Map")</f>
        <v>View Map</v>
      </c>
      <c r="G6118" s="2">
        <v>0.2410570923574745</v>
      </c>
    </row>
    <row r="6119" spans="1:7" x14ac:dyDescent="0.3">
      <c r="A6119" t="s">
        <v>1349</v>
      </c>
      <c r="B6119" t="s">
        <v>6056</v>
      </c>
      <c r="C6119" t="s">
        <v>270</v>
      </c>
      <c r="D6119">
        <v>1.7549999999999999</v>
      </c>
      <c r="E6119">
        <v>562</v>
      </c>
      <c r="F6119" t="str">
        <f>HYPERLINK("https://www.google.com/maps/search/?api=1&amp;query=24.00010263,47.11130975", "View Map")</f>
        <v>View Map</v>
      </c>
      <c r="G6119" s="2">
        <v>0.37966047823329918</v>
      </c>
    </row>
    <row r="6120" spans="1:7" x14ac:dyDescent="0.3">
      <c r="A6120" t="s">
        <v>12342</v>
      </c>
      <c r="B6120" t="s">
        <v>12343</v>
      </c>
      <c r="C6120" t="s">
        <v>137</v>
      </c>
      <c r="D6120">
        <v>1.754</v>
      </c>
      <c r="E6120">
        <v>561</v>
      </c>
      <c r="F6120" t="str">
        <f>HYPERLINK("https://www.google.com/maps/search/?api=1&amp;query=23.49755326,46.81618351", "View Map")</f>
        <v>View Map</v>
      </c>
      <c r="G6120" s="2">
        <v>0.70001639992319598</v>
      </c>
    </row>
    <row r="6121" spans="1:7" x14ac:dyDescent="0.3">
      <c r="A6121" t="s">
        <v>433</v>
      </c>
      <c r="B6121" t="s">
        <v>10509</v>
      </c>
      <c r="C6121" t="s">
        <v>137</v>
      </c>
      <c r="D6121">
        <v>1.754</v>
      </c>
      <c r="E6121">
        <v>561</v>
      </c>
      <c r="F6121" t="str">
        <f>HYPERLINK("https://www.google.com/maps/search/?api=1&amp;query=23.43246151,46.79009905", "View Map")</f>
        <v>View Map</v>
      </c>
      <c r="G6121" s="2">
        <v>0.7160016726470082</v>
      </c>
    </row>
    <row r="6122" spans="1:7" x14ac:dyDescent="0.3">
      <c r="A6122" t="s">
        <v>9827</v>
      </c>
      <c r="B6122" t="s">
        <v>9828</v>
      </c>
      <c r="C6122" t="s">
        <v>286</v>
      </c>
      <c r="D6122">
        <v>1.754</v>
      </c>
      <c r="E6122">
        <v>561</v>
      </c>
      <c r="F6122" t="str">
        <f>HYPERLINK("https://www.google.com/maps/search/?api=1&amp;query=25.34063249,45.17601513", "View Map")</f>
        <v>View Map</v>
      </c>
      <c r="G6122" s="2">
        <v>0.58164445337663229</v>
      </c>
    </row>
    <row r="6123" spans="1:7" x14ac:dyDescent="0.3">
      <c r="A6123" t="s">
        <v>9232</v>
      </c>
      <c r="B6123" t="s">
        <v>9233</v>
      </c>
      <c r="C6123" t="s">
        <v>8</v>
      </c>
      <c r="D6123">
        <v>1.7529999999999999</v>
      </c>
      <c r="E6123">
        <v>561</v>
      </c>
      <c r="F6123" t="str">
        <f>HYPERLINK("https://www.google.com/maps/search/?api=1&amp;query=24.80172691,46.77864945", "View Map")</f>
        <v>View Map</v>
      </c>
    </row>
    <row r="6124" spans="1:7" x14ac:dyDescent="0.3">
      <c r="A6124" t="s">
        <v>8731</v>
      </c>
      <c r="B6124" t="s">
        <v>8732</v>
      </c>
      <c r="C6124" t="s">
        <v>255</v>
      </c>
      <c r="D6124">
        <v>1.7529999999999999</v>
      </c>
      <c r="E6124">
        <v>561</v>
      </c>
      <c r="F6124" t="str">
        <f>HYPERLINK("https://www.google.com/maps/search/?api=1&amp;query=24.81912264,43.4800049", "View Map")</f>
        <v>View Map</v>
      </c>
      <c r="G6124" s="2">
        <v>0.3075731221727257</v>
      </c>
    </row>
    <row r="6125" spans="1:7" x14ac:dyDescent="0.3">
      <c r="A6125" t="s">
        <v>12344</v>
      </c>
      <c r="B6125" t="s">
        <v>12345</v>
      </c>
      <c r="C6125" t="s">
        <v>255</v>
      </c>
      <c r="D6125">
        <v>1.7529999999999999</v>
      </c>
      <c r="E6125">
        <v>561</v>
      </c>
      <c r="F6125" t="str">
        <f>HYPERLINK("https://www.google.com/maps/search/?api=1&amp;query=24.14135182,43.90989983", "View Map")</f>
        <v>View Map</v>
      </c>
      <c r="G6125" s="2">
        <v>0.46448630277093261</v>
      </c>
    </row>
    <row r="6126" spans="1:7" x14ac:dyDescent="0.3">
      <c r="A6126" t="s">
        <v>2485</v>
      </c>
      <c r="B6126" t="s">
        <v>9515</v>
      </c>
      <c r="C6126" t="s">
        <v>255</v>
      </c>
      <c r="D6126">
        <v>1.7529999999999999</v>
      </c>
      <c r="E6126">
        <v>561</v>
      </c>
      <c r="F6126" t="str">
        <f>HYPERLINK("https://www.google.com/maps/search/?api=1&amp;query=24.66678089,43.70601006", "View Map")</f>
        <v>View Map</v>
      </c>
      <c r="G6126" s="2">
        <v>0.52682570639113369</v>
      </c>
    </row>
    <row r="6127" spans="1:7" x14ac:dyDescent="0.3">
      <c r="A6127" t="s">
        <v>12346</v>
      </c>
      <c r="B6127" t="s">
        <v>12347</v>
      </c>
      <c r="C6127" t="s">
        <v>8</v>
      </c>
      <c r="D6127">
        <v>1.752</v>
      </c>
      <c r="E6127">
        <v>561</v>
      </c>
      <c r="F6127" t="str">
        <f>HYPERLINK("https://www.google.com/maps/search/?api=1&amp;query=24.78931086,46.86826942", "View Map")</f>
        <v>View Map</v>
      </c>
    </row>
    <row r="6128" spans="1:7" x14ac:dyDescent="0.3">
      <c r="A6128" t="s">
        <v>999</v>
      </c>
      <c r="B6128" t="s">
        <v>11206</v>
      </c>
      <c r="C6128" t="s">
        <v>8</v>
      </c>
      <c r="D6128">
        <v>1.752</v>
      </c>
      <c r="E6128">
        <v>561</v>
      </c>
      <c r="F6128" t="str">
        <f>HYPERLINK("https://www.google.com/maps/search/?api=1&amp;query=24.59573145,46.75077188", "View Map")</f>
        <v>View Map</v>
      </c>
    </row>
    <row r="6129" spans="1:7" x14ac:dyDescent="0.3">
      <c r="A6129" t="s">
        <v>9140</v>
      </c>
      <c r="B6129" t="s">
        <v>9141</v>
      </c>
      <c r="C6129" t="s">
        <v>8</v>
      </c>
      <c r="D6129">
        <v>1.7509999999999999</v>
      </c>
      <c r="E6129">
        <v>560</v>
      </c>
      <c r="F6129" t="str">
        <f>HYPERLINK("https://www.google.com/maps/search/?api=1&amp;query=24.40902446,46.83896622", "View Map")</f>
        <v>View Map</v>
      </c>
    </row>
    <row r="6130" spans="1:7" x14ac:dyDescent="0.3">
      <c r="A6130" t="s">
        <v>12348</v>
      </c>
      <c r="B6130" t="s">
        <v>12349</v>
      </c>
      <c r="C6130" t="s">
        <v>8</v>
      </c>
      <c r="D6130">
        <v>1.7509999999999999</v>
      </c>
      <c r="E6130">
        <v>560</v>
      </c>
      <c r="F6130" t="str">
        <f>HYPERLINK("https://www.google.com/maps/search/?api=1&amp;query=24.63453178,46.79341288", "View Map")</f>
        <v>View Map</v>
      </c>
    </row>
    <row r="6131" spans="1:7" x14ac:dyDescent="0.3">
      <c r="A6131" t="s">
        <v>5219</v>
      </c>
      <c r="B6131" t="s">
        <v>7096</v>
      </c>
      <c r="C6131" t="s">
        <v>241</v>
      </c>
      <c r="D6131">
        <v>1.75</v>
      </c>
      <c r="E6131">
        <v>560</v>
      </c>
      <c r="F6131" t="str">
        <f>HYPERLINK("https://www.google.com/maps/search/?api=1&amp;query=20.46249339,44.81624768", "View Map")</f>
        <v>View Map</v>
      </c>
      <c r="G6131" s="2">
        <v>0.50401445095520137</v>
      </c>
    </row>
    <row r="6132" spans="1:7" x14ac:dyDescent="0.3">
      <c r="A6132" t="s">
        <v>9531</v>
      </c>
      <c r="B6132" t="s">
        <v>9532</v>
      </c>
      <c r="C6132" t="s">
        <v>241</v>
      </c>
      <c r="D6132">
        <v>1.75</v>
      </c>
      <c r="E6132">
        <v>560</v>
      </c>
      <c r="F6132" t="str">
        <f>HYPERLINK("https://www.google.com/maps/search/?api=1&amp;query=20.46083347,44.78000477", "View Map")</f>
        <v>View Map</v>
      </c>
    </row>
    <row r="6133" spans="1:7" x14ac:dyDescent="0.3">
      <c r="A6133" t="s">
        <v>12350</v>
      </c>
      <c r="B6133" t="s">
        <v>12351</v>
      </c>
      <c r="C6133" t="s">
        <v>8</v>
      </c>
      <c r="D6133">
        <v>1.75</v>
      </c>
      <c r="E6133">
        <v>560</v>
      </c>
      <c r="F6133" t="str">
        <f>HYPERLINK("https://www.google.com/maps/search/?api=1&amp;query=24.73503003,46.68704132", "View Map")</f>
        <v>View Map</v>
      </c>
    </row>
    <row r="6134" spans="1:7" x14ac:dyDescent="0.3">
      <c r="A6134" t="s">
        <v>12352</v>
      </c>
      <c r="B6134" t="s">
        <v>12353</v>
      </c>
      <c r="C6134" t="s">
        <v>8</v>
      </c>
      <c r="D6134">
        <v>1.75</v>
      </c>
      <c r="E6134">
        <v>560</v>
      </c>
      <c r="F6134" t="str">
        <f>HYPERLINK("https://www.google.com/maps/search/?api=1&amp;query=24.575798,46.59163608", "View Map")</f>
        <v>View Map</v>
      </c>
    </row>
    <row r="6135" spans="1:7" x14ac:dyDescent="0.3">
      <c r="A6135" t="s">
        <v>10831</v>
      </c>
      <c r="B6135" t="s">
        <v>10832</v>
      </c>
      <c r="C6135" t="s">
        <v>21</v>
      </c>
      <c r="D6135">
        <v>1.75</v>
      </c>
      <c r="E6135">
        <v>560</v>
      </c>
      <c r="F6135" t="str">
        <f>HYPERLINK("https://www.google.com/maps/search/?api=1&amp;query=26.32371509,44.78584087", "View Map")</f>
        <v>View Map</v>
      </c>
      <c r="G6135" s="2">
        <v>0.56017944726472946</v>
      </c>
    </row>
    <row r="6136" spans="1:7" x14ac:dyDescent="0.3">
      <c r="A6136" t="s">
        <v>12354</v>
      </c>
      <c r="B6136" t="s">
        <v>12355</v>
      </c>
      <c r="C6136" t="s">
        <v>255</v>
      </c>
      <c r="D6136">
        <v>1.75</v>
      </c>
      <c r="E6136">
        <v>560</v>
      </c>
      <c r="F6136" t="str">
        <f>HYPERLINK("https://www.google.com/maps/search/?api=1&amp;query=24.36772988,43.63462479", "View Map")</f>
        <v>View Map</v>
      </c>
    </row>
    <row r="6137" spans="1:7" x14ac:dyDescent="0.3">
      <c r="A6137" t="s">
        <v>10619</v>
      </c>
      <c r="B6137" t="s">
        <v>10620</v>
      </c>
      <c r="C6137" t="s">
        <v>255</v>
      </c>
      <c r="D6137">
        <v>1.75</v>
      </c>
      <c r="E6137">
        <v>560</v>
      </c>
      <c r="F6137" t="str">
        <f>HYPERLINK("https://www.google.com/maps/search/?api=1&amp;query=25.06583061,44.70447139", "View Map")</f>
        <v>View Map</v>
      </c>
    </row>
    <row r="6138" spans="1:7" x14ac:dyDescent="0.3">
      <c r="A6138" t="s">
        <v>2982</v>
      </c>
      <c r="B6138" t="s">
        <v>12356</v>
      </c>
      <c r="C6138" t="s">
        <v>8</v>
      </c>
      <c r="D6138">
        <v>1.7490000000000001</v>
      </c>
      <c r="E6138">
        <v>560</v>
      </c>
      <c r="F6138" t="str">
        <f>HYPERLINK("https://www.google.com/maps/search/?api=1&amp;query=24.77320054,46.73422514", "View Map")</f>
        <v>View Map</v>
      </c>
    </row>
    <row r="6139" spans="1:7" x14ac:dyDescent="0.3">
      <c r="A6139" t="s">
        <v>12357</v>
      </c>
      <c r="B6139" t="s">
        <v>12358</v>
      </c>
      <c r="C6139" t="s">
        <v>16</v>
      </c>
      <c r="D6139">
        <v>1.7490000000000001</v>
      </c>
      <c r="E6139">
        <v>560</v>
      </c>
      <c r="F6139" t="str">
        <f>HYPERLINK("https://www.google.com/maps/search/?api=1&amp;query=23.90548573,42.88271814", "View Map")</f>
        <v>View Map</v>
      </c>
    </row>
    <row r="6140" spans="1:7" x14ac:dyDescent="0.3">
      <c r="A6140" t="s">
        <v>1696</v>
      </c>
      <c r="B6140" t="s">
        <v>1697</v>
      </c>
      <c r="C6140" t="s">
        <v>8</v>
      </c>
      <c r="D6140">
        <v>1.7490000000000001</v>
      </c>
      <c r="E6140">
        <v>560</v>
      </c>
      <c r="F6140" t="str">
        <f>HYPERLINK("https://www.google.com/maps/search/?api=1&amp;query=24.80897569,46.88102771", "View Map")</f>
        <v>View Map</v>
      </c>
    </row>
    <row r="6141" spans="1:7" x14ac:dyDescent="0.3">
      <c r="A6141" t="s">
        <v>7344</v>
      </c>
      <c r="B6141" t="s">
        <v>7345</v>
      </c>
      <c r="C6141" t="s">
        <v>8</v>
      </c>
      <c r="D6141">
        <v>1.748</v>
      </c>
      <c r="E6141">
        <v>560</v>
      </c>
      <c r="F6141" t="str">
        <f>HYPERLINK("https://www.google.com/maps/search/?api=1&amp;query=24.7584119,46.70393947", "View Map")</f>
        <v>View Map</v>
      </c>
    </row>
    <row r="6142" spans="1:7" x14ac:dyDescent="0.3">
      <c r="A6142" t="s">
        <v>8497</v>
      </c>
      <c r="B6142" t="s">
        <v>8498</v>
      </c>
      <c r="C6142" t="s">
        <v>255</v>
      </c>
      <c r="D6142">
        <v>1.748</v>
      </c>
      <c r="E6142">
        <v>559</v>
      </c>
      <c r="F6142" t="str">
        <f>HYPERLINK("https://www.google.com/maps/search/?api=1&amp;query=24.51743885,44.41548492", "View Map")</f>
        <v>View Map</v>
      </c>
    </row>
    <row r="6143" spans="1:7" x14ac:dyDescent="0.3">
      <c r="A6143" t="s">
        <v>1349</v>
      </c>
      <c r="B6143" t="s">
        <v>12359</v>
      </c>
      <c r="C6143" t="s">
        <v>270</v>
      </c>
      <c r="D6143">
        <v>1.748</v>
      </c>
      <c r="E6143">
        <v>560</v>
      </c>
      <c r="F6143" t="str">
        <f>HYPERLINK("https://www.google.com/maps/search/?api=1&amp;query=23.96111,47.17606", "View Map")</f>
        <v>View Map</v>
      </c>
    </row>
    <row r="6144" spans="1:7" x14ac:dyDescent="0.3">
      <c r="A6144" t="s">
        <v>146</v>
      </c>
      <c r="B6144" t="s">
        <v>12360</v>
      </c>
      <c r="C6144" t="s">
        <v>8</v>
      </c>
      <c r="D6144">
        <v>1.7470000000000001</v>
      </c>
      <c r="E6144">
        <v>559</v>
      </c>
      <c r="F6144" t="str">
        <f>HYPERLINK("https://www.google.com/maps/search/?api=1&amp;query=24.56677111,46.56418492", "View Map")</f>
        <v>View Map</v>
      </c>
    </row>
    <row r="6145" spans="1:7" x14ac:dyDescent="0.3">
      <c r="A6145" t="s">
        <v>146</v>
      </c>
      <c r="B6145" t="s">
        <v>4503</v>
      </c>
      <c r="C6145" t="s">
        <v>8</v>
      </c>
      <c r="D6145">
        <v>1.7470000000000001</v>
      </c>
      <c r="E6145">
        <v>559</v>
      </c>
      <c r="F6145" t="str">
        <f>HYPERLINK("https://www.google.com/maps/search/?api=1&amp;query=24.55068893,46.63014862", "View Map")</f>
        <v>View Map</v>
      </c>
    </row>
    <row r="6146" spans="1:7" x14ac:dyDescent="0.3">
      <c r="A6146" t="s">
        <v>9983</v>
      </c>
      <c r="B6146" t="s">
        <v>9984</v>
      </c>
      <c r="C6146" t="s">
        <v>8</v>
      </c>
      <c r="D6146">
        <v>1.7470000000000001</v>
      </c>
      <c r="E6146">
        <v>559</v>
      </c>
      <c r="F6146" t="str">
        <f>HYPERLINK("https://www.google.com/maps/search/?api=1&amp;query=24.69632084,46.85240821", "View Map")</f>
        <v>View Map</v>
      </c>
    </row>
    <row r="6147" spans="1:7" x14ac:dyDescent="0.3">
      <c r="A6147" t="s">
        <v>12361</v>
      </c>
      <c r="B6147" t="s">
        <v>12362</v>
      </c>
      <c r="C6147" t="s">
        <v>8</v>
      </c>
      <c r="D6147">
        <v>1.746</v>
      </c>
      <c r="E6147">
        <v>559</v>
      </c>
      <c r="F6147" t="str">
        <f>HYPERLINK("https://www.google.com/maps/search/?api=1&amp;query=24.63998854,46.72619668", "View Map")</f>
        <v>View Map</v>
      </c>
    </row>
    <row r="6148" spans="1:7" x14ac:dyDescent="0.3">
      <c r="A6148" t="s">
        <v>10523</v>
      </c>
      <c r="B6148" t="s">
        <v>10524</v>
      </c>
      <c r="C6148" t="s">
        <v>291</v>
      </c>
      <c r="D6148">
        <v>1.7450000000000001</v>
      </c>
      <c r="E6148">
        <v>558</v>
      </c>
      <c r="F6148" t="str">
        <f>HYPERLINK("https://www.google.com/maps/search/?api=1&amp;query=23.47268564,44.36219286", "View Map")</f>
        <v>View Map</v>
      </c>
      <c r="G6148" s="2">
        <v>0.86853238640770736</v>
      </c>
    </row>
    <row r="6149" spans="1:7" x14ac:dyDescent="0.3">
      <c r="A6149" t="s">
        <v>12363</v>
      </c>
      <c r="B6149" t="s">
        <v>12364</v>
      </c>
      <c r="C6149" t="s">
        <v>8</v>
      </c>
      <c r="D6149">
        <v>1.7450000000000001</v>
      </c>
      <c r="E6149">
        <v>558</v>
      </c>
      <c r="F6149" t="str">
        <f>HYPERLINK("https://www.google.com/maps/search/?api=1&amp;query=24.81726158,46.71684647", "View Map")</f>
        <v>View Map</v>
      </c>
    </row>
    <row r="6150" spans="1:7" x14ac:dyDescent="0.3">
      <c r="A6150" t="s">
        <v>46</v>
      </c>
      <c r="B6150" t="s">
        <v>12365</v>
      </c>
      <c r="C6150" t="s">
        <v>8</v>
      </c>
      <c r="D6150">
        <v>1.7450000000000001</v>
      </c>
      <c r="E6150">
        <v>558</v>
      </c>
      <c r="F6150" t="str">
        <f>HYPERLINK("https://www.google.com/maps/search/?api=1&amp;query=24.63720649,46.54201781", "View Map")</f>
        <v>View Map</v>
      </c>
    </row>
    <row r="6151" spans="1:7" x14ac:dyDescent="0.3">
      <c r="A6151" t="s">
        <v>73</v>
      </c>
      <c r="B6151" t="s">
        <v>10689</v>
      </c>
      <c r="C6151" t="s">
        <v>8</v>
      </c>
      <c r="D6151">
        <v>1.744</v>
      </c>
      <c r="E6151">
        <v>558</v>
      </c>
      <c r="F6151" t="str">
        <f>HYPERLINK("https://www.google.com/maps/search/?api=1&amp;query=24.59165539,46.76811321", "View Map")</f>
        <v>View Map</v>
      </c>
      <c r="G6151" s="2">
        <v>0.8692517090641998</v>
      </c>
    </row>
    <row r="6152" spans="1:7" x14ac:dyDescent="0.3">
      <c r="A6152" t="s">
        <v>3311</v>
      </c>
      <c r="B6152" t="s">
        <v>12366</v>
      </c>
      <c r="C6152" t="s">
        <v>8</v>
      </c>
      <c r="D6152">
        <v>1.744</v>
      </c>
      <c r="E6152">
        <v>558</v>
      </c>
      <c r="F6152" t="str">
        <f>HYPERLINK("https://www.google.com/maps/search/?api=1&amp;query=24.73427158,46.67331046", "View Map")</f>
        <v>View Map</v>
      </c>
    </row>
    <row r="6153" spans="1:7" x14ac:dyDescent="0.3">
      <c r="A6153" t="s">
        <v>12367</v>
      </c>
      <c r="B6153" t="s">
        <v>12368</v>
      </c>
      <c r="C6153" t="s">
        <v>270</v>
      </c>
      <c r="D6153">
        <v>1.744</v>
      </c>
      <c r="E6153">
        <v>558</v>
      </c>
      <c r="F6153" t="str">
        <f>HYPERLINK("https://www.google.com/maps/search/?api=1&amp;query=23.99279259,47.11241641", "View Map")</f>
        <v>View Map</v>
      </c>
    </row>
    <row r="6154" spans="1:7" x14ac:dyDescent="0.3">
      <c r="A6154" t="s">
        <v>12369</v>
      </c>
      <c r="B6154" t="s">
        <v>12370</v>
      </c>
      <c r="C6154" t="s">
        <v>55</v>
      </c>
      <c r="D6154">
        <v>1.744</v>
      </c>
      <c r="E6154">
        <v>558</v>
      </c>
      <c r="F6154" t="str">
        <f>HYPERLINK("https://www.google.com/maps/search/?api=1&amp;query=24.74521792,46.56490203", "View Map")</f>
        <v>View Map</v>
      </c>
      <c r="G6154" s="2">
        <v>0.47679291643592309</v>
      </c>
    </row>
    <row r="6155" spans="1:7" x14ac:dyDescent="0.3">
      <c r="A6155" t="s">
        <v>46</v>
      </c>
      <c r="B6155" t="s">
        <v>12371</v>
      </c>
      <c r="C6155" t="s">
        <v>8</v>
      </c>
      <c r="D6155">
        <v>1.744</v>
      </c>
      <c r="E6155">
        <v>558</v>
      </c>
      <c r="F6155" t="str">
        <f>HYPERLINK("https://www.google.com/maps/search/?api=1&amp;query=24.59964257,46.76786411", "View Map")</f>
        <v>View Map</v>
      </c>
    </row>
    <row r="6156" spans="1:7" x14ac:dyDescent="0.3">
      <c r="A6156" t="s">
        <v>2485</v>
      </c>
      <c r="B6156" t="s">
        <v>10621</v>
      </c>
      <c r="C6156" t="s">
        <v>255</v>
      </c>
      <c r="D6156">
        <v>1.744</v>
      </c>
      <c r="E6156">
        <v>558</v>
      </c>
      <c r="F6156" t="str">
        <f>HYPERLINK("https://www.google.com/maps/search/?api=1&amp;query=24.54969595,43.62206058", "View Map")</f>
        <v>View Map</v>
      </c>
      <c r="G6156" s="2">
        <v>0.44958232484989058</v>
      </c>
    </row>
    <row r="6157" spans="1:7" x14ac:dyDescent="0.3">
      <c r="A6157" t="s">
        <v>1788</v>
      </c>
      <c r="B6157" t="s">
        <v>12372</v>
      </c>
      <c r="C6157" t="s">
        <v>393</v>
      </c>
      <c r="D6157">
        <v>1.744</v>
      </c>
      <c r="E6157">
        <v>558</v>
      </c>
      <c r="F6157" t="str">
        <f>HYPERLINK("https://www.google.com/maps/search/?api=1&amp;query=23.07742028,45.5044392", "View Map")</f>
        <v>View Map</v>
      </c>
      <c r="G6157" s="2">
        <v>0.78105477965376136</v>
      </c>
    </row>
    <row r="6158" spans="1:7" x14ac:dyDescent="0.3">
      <c r="A6158" t="s">
        <v>46</v>
      </c>
      <c r="B6158" t="s">
        <v>12373</v>
      </c>
      <c r="C6158" t="s">
        <v>8</v>
      </c>
      <c r="D6158">
        <v>1.7430000000000001</v>
      </c>
      <c r="E6158">
        <v>558</v>
      </c>
      <c r="F6158" t="str">
        <f>HYPERLINK("https://www.google.com/maps/search/?api=1&amp;query=24.70610104,46.82965481", "View Map")</f>
        <v>View Map</v>
      </c>
    </row>
    <row r="6159" spans="1:7" x14ac:dyDescent="0.3">
      <c r="A6159" t="s">
        <v>7360</v>
      </c>
      <c r="B6159" t="s">
        <v>7361</v>
      </c>
      <c r="C6159" t="s">
        <v>255</v>
      </c>
      <c r="D6159">
        <v>1.7430000000000001</v>
      </c>
      <c r="E6159">
        <v>558</v>
      </c>
      <c r="F6159" t="str">
        <f>HYPERLINK("https://www.google.com/maps/search/?api=1&amp;query=25.49400449,44.4118385", "View Map")</f>
        <v>View Map</v>
      </c>
      <c r="G6159" s="2">
        <v>0.32818312253785897</v>
      </c>
    </row>
    <row r="6160" spans="1:7" x14ac:dyDescent="0.3">
      <c r="A6160" t="s">
        <v>10048</v>
      </c>
      <c r="B6160" t="s">
        <v>10049</v>
      </c>
      <c r="C6160" t="s">
        <v>699</v>
      </c>
      <c r="D6160">
        <v>1.7430000000000001</v>
      </c>
      <c r="E6160">
        <v>558</v>
      </c>
      <c r="F6160" t="str">
        <f>HYPERLINK("https://www.google.com/maps/search/?api=1&amp;query=25.11995825,45.49277008", "View Map")</f>
        <v>View Map</v>
      </c>
    </row>
    <row r="6161" spans="1:7" x14ac:dyDescent="0.3">
      <c r="A6161" t="s">
        <v>7388</v>
      </c>
      <c r="B6161" t="s">
        <v>7389</v>
      </c>
      <c r="C6161" t="s">
        <v>8</v>
      </c>
      <c r="D6161">
        <v>1.7430000000000001</v>
      </c>
      <c r="E6161">
        <v>558</v>
      </c>
      <c r="F6161" t="str">
        <f>HYPERLINK("https://www.google.com/maps/search/?api=1&amp;query=24.78796894,46.79437624", "View Map")</f>
        <v>View Map</v>
      </c>
    </row>
    <row r="6162" spans="1:7" x14ac:dyDescent="0.3">
      <c r="A6162" t="s">
        <v>9223</v>
      </c>
      <c r="B6162" t="s">
        <v>9224</v>
      </c>
      <c r="C6162" t="s">
        <v>8</v>
      </c>
      <c r="D6162">
        <v>1.742</v>
      </c>
      <c r="E6162">
        <v>557</v>
      </c>
      <c r="F6162" t="str">
        <f>HYPERLINK("https://www.google.com/maps/search/?api=1&amp;query=24.772485,46.799542", "View Map")</f>
        <v>View Map</v>
      </c>
    </row>
    <row r="6163" spans="1:7" x14ac:dyDescent="0.3">
      <c r="A6163" t="s">
        <v>12374</v>
      </c>
      <c r="B6163" t="s">
        <v>12375</v>
      </c>
      <c r="C6163" t="s">
        <v>442</v>
      </c>
      <c r="D6163">
        <v>1.7410000000000001</v>
      </c>
      <c r="E6163">
        <v>557</v>
      </c>
      <c r="F6163" t="str">
        <f>HYPERLINK("https://www.google.com/maps/search/?api=1&amp;query=23.61535501,46.63847241", "View Map")</f>
        <v>View Map</v>
      </c>
      <c r="G6163" s="2">
        <v>0.64133908681432028</v>
      </c>
    </row>
    <row r="6164" spans="1:7" x14ac:dyDescent="0.3">
      <c r="A6164" t="s">
        <v>12376</v>
      </c>
      <c r="B6164" t="s">
        <v>12377</v>
      </c>
      <c r="C6164" t="s">
        <v>255</v>
      </c>
      <c r="D6164">
        <v>1.7410000000000001</v>
      </c>
      <c r="E6164">
        <v>557</v>
      </c>
      <c r="F6164" t="str">
        <f>HYPERLINK("https://www.google.com/maps/search/?api=1&amp;query=24.55255824,44.40827228", "View Map")</f>
        <v>View Map</v>
      </c>
    </row>
    <row r="6165" spans="1:7" x14ac:dyDescent="0.3">
      <c r="A6165" t="s">
        <v>28</v>
      </c>
      <c r="B6165" t="s">
        <v>5668</v>
      </c>
      <c r="C6165" t="s">
        <v>30</v>
      </c>
      <c r="D6165">
        <v>1.7410000000000001</v>
      </c>
      <c r="E6165">
        <v>557</v>
      </c>
      <c r="F6165" t="str">
        <f>HYPERLINK("https://www.google.com/maps/search/?api=1&amp;query=24.19379252,47.29725278", "View Map")</f>
        <v>View Map</v>
      </c>
      <c r="G6165" s="2">
        <v>0.22053527803524831</v>
      </c>
    </row>
    <row r="6166" spans="1:7" x14ac:dyDescent="0.3">
      <c r="A6166" t="s">
        <v>9047</v>
      </c>
      <c r="B6166" t="s">
        <v>10395</v>
      </c>
      <c r="C6166" t="s">
        <v>8</v>
      </c>
      <c r="D6166">
        <v>1.7410000000000001</v>
      </c>
      <c r="E6166">
        <v>557</v>
      </c>
      <c r="F6166" t="str">
        <f>HYPERLINK("https://www.google.com/maps/search/?api=1&amp;query=24.70330615,46.80677754", "View Map")</f>
        <v>View Map</v>
      </c>
    </row>
    <row r="6167" spans="1:7" x14ac:dyDescent="0.3">
      <c r="A6167" t="s">
        <v>6842</v>
      </c>
      <c r="B6167" t="s">
        <v>6843</v>
      </c>
      <c r="C6167" t="s">
        <v>8</v>
      </c>
      <c r="D6167">
        <v>1.7410000000000001</v>
      </c>
      <c r="E6167">
        <v>557</v>
      </c>
      <c r="F6167" t="str">
        <f>HYPERLINK("https://www.google.com/maps/search/?api=1&amp;query=24.58386773,46.52970913", "View Map")</f>
        <v>View Map</v>
      </c>
    </row>
    <row r="6168" spans="1:7" x14ac:dyDescent="0.3">
      <c r="A6168" t="s">
        <v>12378</v>
      </c>
      <c r="B6168" t="s">
        <v>12379</v>
      </c>
      <c r="C6168" t="s">
        <v>8</v>
      </c>
      <c r="D6168">
        <v>1.7410000000000001</v>
      </c>
      <c r="E6168">
        <v>557</v>
      </c>
      <c r="F6168" t="str">
        <f>HYPERLINK("https://www.google.com/maps/search/?api=1&amp;query=24.61794281,46.69453709", "View Map")</f>
        <v>View Map</v>
      </c>
    </row>
    <row r="6169" spans="1:7" x14ac:dyDescent="0.3">
      <c r="A6169" t="s">
        <v>10860</v>
      </c>
      <c r="B6169" t="s">
        <v>10861</v>
      </c>
      <c r="C6169" t="s">
        <v>393</v>
      </c>
      <c r="D6169">
        <v>1.74</v>
      </c>
      <c r="E6169">
        <v>557</v>
      </c>
      <c r="F6169" t="str">
        <f>HYPERLINK("https://www.google.com/maps/search/?api=1&amp;query=23.5609193,45.46670423", "View Map")</f>
        <v>View Map</v>
      </c>
      <c r="G6169" s="2">
        <v>0.784010148782599</v>
      </c>
    </row>
    <row r="6170" spans="1:7" x14ac:dyDescent="0.3">
      <c r="A6170" t="s">
        <v>9722</v>
      </c>
      <c r="B6170" t="s">
        <v>9723</v>
      </c>
      <c r="C6170" t="s">
        <v>883</v>
      </c>
      <c r="D6170">
        <v>1.7390000000000001</v>
      </c>
      <c r="E6170">
        <v>556</v>
      </c>
      <c r="F6170" t="str">
        <f>HYPERLINK("https://www.google.com/maps/search/?api=1&amp;query=25.5583522,47.16905335", "View Map")</f>
        <v>View Map</v>
      </c>
    </row>
    <row r="6171" spans="1:7" x14ac:dyDescent="0.3">
      <c r="A6171" t="s">
        <v>12380</v>
      </c>
      <c r="B6171" t="s">
        <v>12381</v>
      </c>
      <c r="C6171" t="s">
        <v>255</v>
      </c>
      <c r="D6171">
        <v>1.7390000000000001</v>
      </c>
      <c r="E6171">
        <v>557</v>
      </c>
      <c r="F6171" t="str">
        <f>HYPERLINK("https://www.google.com/maps/search/?api=1&amp;query=24.47161004,44.36229193", "View Map")</f>
        <v>View Map</v>
      </c>
      <c r="G6171" s="2">
        <v>0.47565147566992111</v>
      </c>
    </row>
    <row r="6172" spans="1:7" x14ac:dyDescent="0.3">
      <c r="A6172" t="s">
        <v>12382</v>
      </c>
      <c r="B6172" t="s">
        <v>12383</v>
      </c>
      <c r="C6172" t="s">
        <v>255</v>
      </c>
      <c r="D6172">
        <v>1.7390000000000001</v>
      </c>
      <c r="E6172">
        <v>556</v>
      </c>
      <c r="F6172" t="str">
        <f>HYPERLINK("https://www.google.com/maps/search/?api=1&amp;query=24.44792145,44.70665781", "View Map")</f>
        <v>View Map</v>
      </c>
      <c r="G6172" s="2">
        <v>0.49636836855899519</v>
      </c>
    </row>
    <row r="6173" spans="1:7" x14ac:dyDescent="0.3">
      <c r="A6173" t="s">
        <v>10698</v>
      </c>
      <c r="B6173" t="s">
        <v>10699</v>
      </c>
      <c r="C6173" t="s">
        <v>8</v>
      </c>
      <c r="D6173">
        <v>1.738</v>
      </c>
      <c r="E6173">
        <v>556</v>
      </c>
      <c r="F6173" t="str">
        <f>HYPERLINK("https://www.google.com/maps/search/?api=1&amp;query=24.76217442,46.71804277", "View Map")</f>
        <v>View Map</v>
      </c>
    </row>
    <row r="6174" spans="1:7" x14ac:dyDescent="0.3">
      <c r="A6174" t="s">
        <v>10742</v>
      </c>
      <c r="B6174" t="s">
        <v>10743</v>
      </c>
      <c r="C6174" t="s">
        <v>55</v>
      </c>
      <c r="D6174">
        <v>1.738</v>
      </c>
      <c r="E6174">
        <v>556</v>
      </c>
      <c r="F6174" t="str">
        <f>HYPERLINK("https://www.google.com/maps/search/?api=1&amp;query=24.73528109,46.51283494", "View Map")</f>
        <v>View Map</v>
      </c>
    </row>
    <row r="6175" spans="1:7" x14ac:dyDescent="0.3">
      <c r="A6175" t="s">
        <v>12384</v>
      </c>
      <c r="B6175" t="s">
        <v>12385</v>
      </c>
      <c r="C6175" t="s">
        <v>8</v>
      </c>
      <c r="D6175">
        <v>1.738</v>
      </c>
      <c r="E6175">
        <v>556</v>
      </c>
      <c r="F6175" t="str">
        <f>HYPERLINK("https://www.google.com/maps/search/?api=1&amp;query=24.6189616,46.75325021", "View Map")</f>
        <v>View Map</v>
      </c>
    </row>
    <row r="6176" spans="1:7" x14ac:dyDescent="0.3">
      <c r="A6176" t="s">
        <v>12386</v>
      </c>
      <c r="B6176" t="s">
        <v>12387</v>
      </c>
      <c r="C6176" t="s">
        <v>30</v>
      </c>
      <c r="D6176">
        <v>1.738</v>
      </c>
      <c r="E6176">
        <v>556</v>
      </c>
      <c r="F6176" t="str">
        <f>HYPERLINK("https://www.google.com/maps/search/?api=1&amp;query=24.16235224,47.35458438", "View Map")</f>
        <v>View Map</v>
      </c>
    </row>
    <row r="6177" spans="1:7" x14ac:dyDescent="0.3">
      <c r="A6177" t="s">
        <v>12388</v>
      </c>
      <c r="B6177" t="s">
        <v>12389</v>
      </c>
      <c r="C6177" t="s">
        <v>214</v>
      </c>
      <c r="D6177">
        <v>1.738</v>
      </c>
      <c r="E6177">
        <v>556</v>
      </c>
      <c r="F6177" t="str">
        <f>HYPERLINK("https://www.google.com/maps/search/?api=1&amp;query=26.86940434,45.2427869", "View Map")</f>
        <v>View Map</v>
      </c>
      <c r="G6177" s="2">
        <v>0.98241517514303245</v>
      </c>
    </row>
    <row r="6178" spans="1:7" x14ac:dyDescent="0.3">
      <c r="A6178" t="s">
        <v>10062</v>
      </c>
      <c r="B6178" t="s">
        <v>10063</v>
      </c>
      <c r="C6178" t="s">
        <v>8</v>
      </c>
      <c r="D6178">
        <v>1.7370000000000001</v>
      </c>
      <c r="E6178">
        <v>556</v>
      </c>
      <c r="F6178" t="str">
        <f>HYPERLINK("https://www.google.com/maps/search/?api=1&amp;query=24.79823311,46.62257654", "View Map")</f>
        <v>View Map</v>
      </c>
    </row>
    <row r="6179" spans="1:7" x14ac:dyDescent="0.3">
      <c r="A6179" t="s">
        <v>949</v>
      </c>
      <c r="B6179" t="s">
        <v>950</v>
      </c>
      <c r="C6179" t="s">
        <v>442</v>
      </c>
      <c r="D6179">
        <v>1.7370000000000001</v>
      </c>
      <c r="E6179">
        <v>556</v>
      </c>
      <c r="F6179" t="str">
        <f>HYPERLINK("https://www.google.com/maps/search/?api=1&amp;query=23.63773281,46.51039062", "View Map")</f>
        <v>View Map</v>
      </c>
      <c r="G6179" s="2">
        <v>0.1225619793649441</v>
      </c>
    </row>
    <row r="6180" spans="1:7" x14ac:dyDescent="0.3">
      <c r="A6180" t="s">
        <v>7919</v>
      </c>
      <c r="B6180" t="s">
        <v>7920</v>
      </c>
      <c r="C6180" t="s">
        <v>364</v>
      </c>
      <c r="D6180">
        <v>1.736</v>
      </c>
      <c r="E6180">
        <v>556</v>
      </c>
      <c r="F6180" t="str">
        <f>HYPERLINK("https://www.google.com/maps/search/?api=1&amp;query=25.26363987,45.86755789", "View Map")</f>
        <v>View Map</v>
      </c>
      <c r="G6180" s="2">
        <v>0.28199323694650802</v>
      </c>
    </row>
    <row r="6181" spans="1:7" x14ac:dyDescent="0.3">
      <c r="A6181" t="s">
        <v>11188</v>
      </c>
      <c r="B6181" t="s">
        <v>11189</v>
      </c>
      <c r="C6181" t="s">
        <v>241</v>
      </c>
      <c r="D6181">
        <v>1.736</v>
      </c>
      <c r="E6181">
        <v>556</v>
      </c>
      <c r="F6181" t="str">
        <f>HYPERLINK("https://www.google.com/maps/search/?api=1&amp;query=20.44554512,44.86089673", "View Map")</f>
        <v>View Map</v>
      </c>
    </row>
    <row r="6182" spans="1:7" x14ac:dyDescent="0.3">
      <c r="A6182" t="s">
        <v>10299</v>
      </c>
      <c r="B6182" t="s">
        <v>10300</v>
      </c>
      <c r="C6182" t="s">
        <v>241</v>
      </c>
      <c r="D6182">
        <v>1.736</v>
      </c>
      <c r="E6182">
        <v>556</v>
      </c>
      <c r="F6182" t="str">
        <f>HYPERLINK("https://www.google.com/maps/search/?api=1&amp;query=20.44769901,44.85665624", "View Map")</f>
        <v>View Map</v>
      </c>
    </row>
    <row r="6183" spans="1:7" x14ac:dyDescent="0.3">
      <c r="A6183" t="s">
        <v>12390</v>
      </c>
      <c r="B6183" t="s">
        <v>12391</v>
      </c>
      <c r="C6183" t="s">
        <v>8</v>
      </c>
      <c r="D6183">
        <v>1.7350000000000001</v>
      </c>
      <c r="E6183">
        <v>555</v>
      </c>
      <c r="F6183" t="str">
        <f>HYPERLINK("https://www.google.com/maps/search/?api=1&amp;query=24.75822186,46.72899636", "View Map")</f>
        <v>View Map</v>
      </c>
    </row>
    <row r="6184" spans="1:7" x14ac:dyDescent="0.3">
      <c r="A6184" t="s">
        <v>146</v>
      </c>
      <c r="B6184" t="s">
        <v>12392</v>
      </c>
      <c r="C6184" t="s">
        <v>8</v>
      </c>
      <c r="D6184">
        <v>1.7350000000000001</v>
      </c>
      <c r="E6184">
        <v>555</v>
      </c>
      <c r="F6184" t="str">
        <f>HYPERLINK("https://www.google.com/maps/search/?api=1&amp;query=24.51085352,46.68135624", "View Map")</f>
        <v>View Map</v>
      </c>
    </row>
    <row r="6185" spans="1:7" x14ac:dyDescent="0.3">
      <c r="A6185" t="s">
        <v>5380</v>
      </c>
      <c r="B6185" t="s">
        <v>5381</v>
      </c>
      <c r="C6185" t="s">
        <v>255</v>
      </c>
      <c r="D6185">
        <v>1.7350000000000001</v>
      </c>
      <c r="E6185">
        <v>555</v>
      </c>
      <c r="F6185" t="str">
        <f>HYPERLINK("https://www.google.com/maps/search/?api=1&amp;query=24.49331024,44.36183798", "View Map")</f>
        <v>View Map</v>
      </c>
    </row>
    <row r="6186" spans="1:7" x14ac:dyDescent="0.3">
      <c r="A6186" t="s">
        <v>881</v>
      </c>
      <c r="B6186" t="s">
        <v>12393</v>
      </c>
      <c r="C6186" t="s">
        <v>883</v>
      </c>
      <c r="D6186">
        <v>1.734</v>
      </c>
      <c r="E6186">
        <v>555</v>
      </c>
      <c r="F6186" t="str">
        <f>HYPERLINK("https://www.google.com/maps/search/?api=1&amp;query=25.54753271,47.16383414", "View Map")</f>
        <v>View Map</v>
      </c>
    </row>
    <row r="6187" spans="1:7" x14ac:dyDescent="0.3">
      <c r="A6187" t="s">
        <v>12394</v>
      </c>
      <c r="B6187" t="s">
        <v>12395</v>
      </c>
      <c r="C6187" t="s">
        <v>55</v>
      </c>
      <c r="D6187">
        <v>1.7330000000000001</v>
      </c>
      <c r="E6187">
        <v>555</v>
      </c>
      <c r="F6187" t="str">
        <f>HYPERLINK("https://www.google.com/maps/search/?api=1&amp;query=24.75422669,46.56276034", "View Map")</f>
        <v>View Map</v>
      </c>
    </row>
    <row r="6188" spans="1:7" x14ac:dyDescent="0.3">
      <c r="A6188" t="s">
        <v>12396</v>
      </c>
      <c r="B6188" t="s">
        <v>12397</v>
      </c>
      <c r="C6188" t="s">
        <v>8</v>
      </c>
      <c r="D6188">
        <v>1.7330000000000001</v>
      </c>
      <c r="E6188">
        <v>555</v>
      </c>
      <c r="F6188" t="str">
        <f>HYPERLINK("https://www.google.com/maps/search/?api=1&amp;query=24.74409323,46.83774115", "View Map")</f>
        <v>View Map</v>
      </c>
    </row>
    <row r="6189" spans="1:7" x14ac:dyDescent="0.3">
      <c r="A6189" t="s">
        <v>4366</v>
      </c>
      <c r="B6189" t="s">
        <v>4367</v>
      </c>
      <c r="C6189" t="s">
        <v>30</v>
      </c>
      <c r="D6189">
        <v>1.7330000000000001</v>
      </c>
      <c r="E6189">
        <v>555</v>
      </c>
      <c r="F6189" t="str">
        <f>HYPERLINK("https://www.google.com/maps/search/?api=1&amp;query=24.14510379,47.36378974", "View Map")</f>
        <v>View Map</v>
      </c>
      <c r="G6189" s="2">
        <v>0.21741760407274599</v>
      </c>
    </row>
    <row r="6190" spans="1:7" x14ac:dyDescent="0.3">
      <c r="A6190" t="s">
        <v>10661</v>
      </c>
      <c r="B6190" t="s">
        <v>10662</v>
      </c>
      <c r="C6190" t="s">
        <v>8</v>
      </c>
      <c r="D6190">
        <v>1.7330000000000001</v>
      </c>
      <c r="E6190">
        <v>555</v>
      </c>
      <c r="F6190" t="str">
        <f>HYPERLINK("https://www.google.com/maps/search/?api=1&amp;query=24.81312836,46.81106884", "View Map")</f>
        <v>View Map</v>
      </c>
    </row>
    <row r="6191" spans="1:7" x14ac:dyDescent="0.3">
      <c r="A6191" t="s">
        <v>73</v>
      </c>
      <c r="B6191" t="s">
        <v>9071</v>
      </c>
      <c r="C6191" t="s">
        <v>8</v>
      </c>
      <c r="D6191">
        <v>1.732</v>
      </c>
      <c r="E6191">
        <v>554</v>
      </c>
      <c r="F6191" t="str">
        <f>HYPERLINK("https://www.google.com/maps/search/?api=1&amp;query=24.81570469,46.6055563", "View Map")</f>
        <v>View Map</v>
      </c>
    </row>
    <row r="6192" spans="1:7" x14ac:dyDescent="0.3">
      <c r="A6192" t="s">
        <v>8765</v>
      </c>
      <c r="B6192" t="s">
        <v>8766</v>
      </c>
      <c r="C6192" t="s">
        <v>8</v>
      </c>
      <c r="D6192">
        <v>1.732</v>
      </c>
      <c r="E6192">
        <v>554</v>
      </c>
      <c r="F6192" t="str">
        <f>HYPERLINK("https://www.google.com/maps/search/?api=1&amp;query=24.5867,46.6811", "View Map")</f>
        <v>View Map</v>
      </c>
    </row>
    <row r="6193" spans="1:7" x14ac:dyDescent="0.3">
      <c r="A6193" t="s">
        <v>9122</v>
      </c>
      <c r="B6193" t="s">
        <v>9123</v>
      </c>
      <c r="C6193" t="s">
        <v>8</v>
      </c>
      <c r="D6193">
        <v>1.732</v>
      </c>
      <c r="E6193">
        <v>554</v>
      </c>
      <c r="F6193" t="str">
        <f>HYPERLINK("https://www.google.com/maps/search/?api=1&amp;query=24.59998717,46.72112617", "View Map")</f>
        <v>View Map</v>
      </c>
    </row>
    <row r="6194" spans="1:7" x14ac:dyDescent="0.3">
      <c r="A6194" t="s">
        <v>7481</v>
      </c>
      <c r="B6194" t="s">
        <v>7482</v>
      </c>
      <c r="C6194" t="s">
        <v>21</v>
      </c>
      <c r="D6194">
        <v>1.732</v>
      </c>
      <c r="E6194">
        <v>554</v>
      </c>
      <c r="F6194" t="str">
        <f>HYPERLINK("https://www.google.com/maps/search/?api=1&amp;query=26.29082864,44.81532607", "View Map")</f>
        <v>View Map</v>
      </c>
    </row>
    <row r="6195" spans="1:7" x14ac:dyDescent="0.3">
      <c r="A6195" t="s">
        <v>12398</v>
      </c>
      <c r="B6195" t="s">
        <v>12399</v>
      </c>
      <c r="C6195" t="s">
        <v>8</v>
      </c>
      <c r="D6195">
        <v>1.7310000000000001</v>
      </c>
      <c r="E6195">
        <v>554</v>
      </c>
      <c r="F6195" t="str">
        <f>HYPERLINK("https://www.google.com/maps/search/?api=1&amp;query=24.47583251,46.80562268", "View Map")</f>
        <v>View Map</v>
      </c>
    </row>
    <row r="6196" spans="1:7" x14ac:dyDescent="0.3">
      <c r="A6196" t="s">
        <v>411</v>
      </c>
      <c r="B6196" t="s">
        <v>8843</v>
      </c>
      <c r="C6196" t="s">
        <v>77</v>
      </c>
      <c r="D6196">
        <v>1.7310000000000001</v>
      </c>
      <c r="E6196">
        <v>554</v>
      </c>
      <c r="F6196" t="str">
        <f>HYPERLINK("https://www.google.com/maps/search/?api=1&amp;query=22.32206347,46.70301756", "View Map")</f>
        <v>View Map</v>
      </c>
      <c r="G6196" s="2">
        <v>0.43608893051382502</v>
      </c>
    </row>
    <row r="6197" spans="1:7" x14ac:dyDescent="0.3">
      <c r="A6197" t="s">
        <v>10360</v>
      </c>
      <c r="B6197" t="s">
        <v>10361</v>
      </c>
      <c r="C6197" t="s">
        <v>8</v>
      </c>
      <c r="D6197">
        <v>1.7310000000000001</v>
      </c>
      <c r="E6197">
        <v>554</v>
      </c>
      <c r="F6197" t="str">
        <f>HYPERLINK("https://www.google.com/maps/search/?api=1&amp;query=24.79634876,46.85507738", "View Map")</f>
        <v>View Map</v>
      </c>
      <c r="G6197" s="2">
        <v>0.92463842498703597</v>
      </c>
    </row>
    <row r="6198" spans="1:7" x14ac:dyDescent="0.3">
      <c r="A6198" t="s">
        <v>9021</v>
      </c>
      <c r="B6198" t="s">
        <v>9022</v>
      </c>
      <c r="C6198" t="s">
        <v>286</v>
      </c>
      <c r="D6198">
        <v>1.73</v>
      </c>
      <c r="E6198">
        <v>554</v>
      </c>
      <c r="F6198" t="str">
        <f>HYPERLINK("https://www.google.com/maps/search/?api=1&amp;query=25.29597092,45.53238578", "View Map")</f>
        <v>View Map</v>
      </c>
      <c r="G6198" s="2">
        <v>0.3811816774166048</v>
      </c>
    </row>
    <row r="6199" spans="1:7" x14ac:dyDescent="0.3">
      <c r="A6199" t="s">
        <v>12400</v>
      </c>
      <c r="B6199" t="s">
        <v>12401</v>
      </c>
      <c r="C6199" t="s">
        <v>291</v>
      </c>
      <c r="D6199">
        <v>1.73</v>
      </c>
      <c r="E6199">
        <v>554</v>
      </c>
      <c r="F6199" t="str">
        <f>HYPERLINK("https://www.google.com/maps/search/?api=1&amp;query=24.08744384,45.30158854", "View Map")</f>
        <v>View Map</v>
      </c>
    </row>
    <row r="6200" spans="1:7" x14ac:dyDescent="0.3">
      <c r="A6200" t="s">
        <v>1498</v>
      </c>
      <c r="B6200" t="s">
        <v>1499</v>
      </c>
      <c r="C6200" t="s">
        <v>77</v>
      </c>
      <c r="D6200">
        <v>1.73</v>
      </c>
      <c r="E6200">
        <v>553</v>
      </c>
      <c r="F6200" t="str">
        <f>HYPERLINK("https://www.google.com/maps/search/?api=1&amp;query=22.30408799,46.71432615", "View Map")</f>
        <v>View Map</v>
      </c>
      <c r="G6200" s="2">
        <v>7.9499163784024773E-2</v>
      </c>
    </row>
    <row r="6201" spans="1:7" x14ac:dyDescent="0.3">
      <c r="A6201" t="s">
        <v>12402</v>
      </c>
      <c r="B6201" t="s">
        <v>12403</v>
      </c>
      <c r="C6201" t="s">
        <v>8</v>
      </c>
      <c r="D6201">
        <v>1.73</v>
      </c>
      <c r="E6201">
        <v>554</v>
      </c>
      <c r="F6201" t="str">
        <f>HYPERLINK("https://www.google.com/maps/search/?api=1&amp;query=24.56301245,46.84785748", "View Map")</f>
        <v>View Map</v>
      </c>
    </row>
    <row r="6202" spans="1:7" x14ac:dyDescent="0.3">
      <c r="A6202" t="s">
        <v>12404</v>
      </c>
      <c r="B6202" t="s">
        <v>12405</v>
      </c>
      <c r="C6202" t="s">
        <v>255</v>
      </c>
      <c r="D6202">
        <v>1.73</v>
      </c>
      <c r="E6202">
        <v>554</v>
      </c>
      <c r="F6202" t="str">
        <f>HYPERLINK("https://www.google.com/maps/search/?api=1&amp;query=24.50785092,44.3850194", "View Map")</f>
        <v>View Map</v>
      </c>
    </row>
    <row r="6203" spans="1:7" x14ac:dyDescent="0.3">
      <c r="A6203" t="s">
        <v>10552</v>
      </c>
      <c r="B6203" t="s">
        <v>10553</v>
      </c>
      <c r="C6203" t="s">
        <v>1112</v>
      </c>
      <c r="D6203">
        <v>1.7290000000000001</v>
      </c>
      <c r="E6203">
        <v>553</v>
      </c>
      <c r="F6203" t="str">
        <f>HYPERLINK("https://www.google.com/maps/search/?api=1&amp;query=26.02190702,44.96110111", "View Map")</f>
        <v>View Map</v>
      </c>
      <c r="G6203" s="2">
        <v>0.73508784511542702</v>
      </c>
    </row>
    <row r="6204" spans="1:7" x14ac:dyDescent="0.3">
      <c r="A6204" t="s">
        <v>289</v>
      </c>
      <c r="B6204" t="s">
        <v>12406</v>
      </c>
      <c r="C6204" t="s">
        <v>291</v>
      </c>
      <c r="D6204">
        <v>1.7290000000000001</v>
      </c>
      <c r="E6204">
        <v>553</v>
      </c>
      <c r="F6204" t="str">
        <f>HYPERLINK("https://www.google.com/maps/search/?api=1&amp;query=24.08927063,45.29323712", "View Map")</f>
        <v>View Map</v>
      </c>
    </row>
    <row r="6205" spans="1:7" x14ac:dyDescent="0.3">
      <c r="A6205" t="s">
        <v>1137</v>
      </c>
      <c r="B6205" t="s">
        <v>9612</v>
      </c>
      <c r="C6205" t="s">
        <v>8</v>
      </c>
      <c r="D6205">
        <v>1.7290000000000001</v>
      </c>
      <c r="E6205">
        <v>553</v>
      </c>
      <c r="F6205" t="str">
        <f>HYPERLINK("https://www.google.com/maps/search/?api=1&amp;query=24.71148921,46.77371637", "View Map")</f>
        <v>View Map</v>
      </c>
    </row>
    <row r="6206" spans="1:7" x14ac:dyDescent="0.3">
      <c r="A6206" t="s">
        <v>10638</v>
      </c>
      <c r="B6206" t="s">
        <v>10639</v>
      </c>
      <c r="C6206" t="s">
        <v>8</v>
      </c>
      <c r="D6206">
        <v>1.7290000000000001</v>
      </c>
      <c r="E6206">
        <v>553</v>
      </c>
      <c r="F6206" t="str">
        <f>HYPERLINK("https://www.google.com/maps/search/?api=1&amp;query=24.6127797,46.71968801", "View Map")</f>
        <v>View Map</v>
      </c>
    </row>
    <row r="6207" spans="1:7" x14ac:dyDescent="0.3">
      <c r="A6207" t="s">
        <v>10738</v>
      </c>
      <c r="B6207" t="s">
        <v>10739</v>
      </c>
      <c r="C6207" t="s">
        <v>214</v>
      </c>
      <c r="D6207">
        <v>1.7290000000000001</v>
      </c>
      <c r="E6207">
        <v>553</v>
      </c>
      <c r="F6207" t="str">
        <f>HYPERLINK("https://www.google.com/maps/search/?api=1&amp;query=26.41641002,45.35911031", "View Map")</f>
        <v>View Map</v>
      </c>
      <c r="G6207" s="2">
        <v>0.78681563395626641</v>
      </c>
    </row>
    <row r="6208" spans="1:7" x14ac:dyDescent="0.3">
      <c r="A6208" t="s">
        <v>10507</v>
      </c>
      <c r="B6208" t="s">
        <v>10508</v>
      </c>
      <c r="C6208" t="s">
        <v>21</v>
      </c>
      <c r="D6208">
        <v>1.728</v>
      </c>
      <c r="E6208">
        <v>553</v>
      </c>
      <c r="F6208" t="str">
        <f>HYPERLINK("https://www.google.com/maps/search/?api=1&amp;query=26.24563633,44.8073106", "View Map")</f>
        <v>View Map</v>
      </c>
      <c r="G6208" s="2">
        <v>0.51050123668646741</v>
      </c>
    </row>
    <row r="6209" spans="1:7" x14ac:dyDescent="0.3">
      <c r="A6209" t="s">
        <v>12407</v>
      </c>
      <c r="B6209" t="s">
        <v>12408</v>
      </c>
      <c r="C6209" t="s">
        <v>241</v>
      </c>
      <c r="D6209">
        <v>1.728</v>
      </c>
      <c r="E6209">
        <v>553</v>
      </c>
      <c r="F6209" t="str">
        <f>HYPERLINK("https://www.google.com/maps/search/?api=1&amp;query=20.46543835,44.79142872", "View Map")</f>
        <v>View Map</v>
      </c>
      <c r="G6209" s="2">
        <v>0.51614618951366531</v>
      </c>
    </row>
    <row r="6210" spans="1:7" x14ac:dyDescent="0.3">
      <c r="A6210" t="s">
        <v>12409</v>
      </c>
      <c r="B6210" t="s">
        <v>12410</v>
      </c>
      <c r="C6210" t="s">
        <v>8</v>
      </c>
      <c r="D6210">
        <v>1.728</v>
      </c>
      <c r="E6210">
        <v>553</v>
      </c>
      <c r="F6210" t="str">
        <f>HYPERLINK("https://www.google.com/maps/search/?api=1&amp;query=24.81802007,46.63605442", "View Map")</f>
        <v>View Map</v>
      </c>
    </row>
    <row r="6211" spans="1:7" x14ac:dyDescent="0.3">
      <c r="A6211" t="s">
        <v>8377</v>
      </c>
      <c r="B6211" t="s">
        <v>8378</v>
      </c>
      <c r="C6211" t="s">
        <v>364</v>
      </c>
      <c r="D6211">
        <v>1.728</v>
      </c>
      <c r="E6211">
        <v>553</v>
      </c>
      <c r="F6211" t="str">
        <f>HYPERLINK("https://www.google.com/maps/search/?api=1&amp;query=25.26962625,45.861341", "View Map")</f>
        <v>View Map</v>
      </c>
      <c r="G6211" s="2">
        <v>0.42427113792937809</v>
      </c>
    </row>
    <row r="6212" spans="1:7" x14ac:dyDescent="0.3">
      <c r="A6212" t="s">
        <v>7706</v>
      </c>
      <c r="B6212" t="s">
        <v>7707</v>
      </c>
      <c r="C6212" t="s">
        <v>30</v>
      </c>
      <c r="D6212">
        <v>1.7270000000000001</v>
      </c>
      <c r="E6212">
        <v>553</v>
      </c>
      <c r="F6212" t="str">
        <f>HYPERLINK("https://www.google.com/maps/search/?api=1&amp;query=24.14735591,47.36999387", "View Map")</f>
        <v>View Map</v>
      </c>
      <c r="G6212" s="2">
        <v>0.30660256119116669</v>
      </c>
    </row>
    <row r="6213" spans="1:7" x14ac:dyDescent="0.3">
      <c r="A6213" t="s">
        <v>9525</v>
      </c>
      <c r="B6213" t="s">
        <v>9526</v>
      </c>
      <c r="C6213" t="s">
        <v>8</v>
      </c>
      <c r="D6213">
        <v>1.7270000000000001</v>
      </c>
      <c r="E6213">
        <v>553</v>
      </c>
      <c r="F6213" t="str">
        <f>HYPERLINK("https://www.google.com/maps/search/?api=1&amp;query=24.61047923,46.63983702", "View Map")</f>
        <v>View Map</v>
      </c>
    </row>
    <row r="6214" spans="1:7" x14ac:dyDescent="0.3">
      <c r="A6214" t="s">
        <v>11163</v>
      </c>
      <c r="B6214" t="s">
        <v>11164</v>
      </c>
      <c r="C6214" t="s">
        <v>137</v>
      </c>
      <c r="D6214">
        <v>1.7270000000000001</v>
      </c>
      <c r="E6214">
        <v>553</v>
      </c>
      <c r="F6214" t="str">
        <f>HYPERLINK("https://www.google.com/maps/search/?api=1&amp;query=23.4563538,46.80694246", "View Map")</f>
        <v>View Map</v>
      </c>
      <c r="G6214" s="2">
        <v>0.81226205371045423</v>
      </c>
    </row>
    <row r="6215" spans="1:7" x14ac:dyDescent="0.3">
      <c r="A6215" t="s">
        <v>9959</v>
      </c>
      <c r="B6215" t="s">
        <v>9960</v>
      </c>
      <c r="C6215" t="s">
        <v>214</v>
      </c>
      <c r="D6215">
        <v>1.7270000000000001</v>
      </c>
      <c r="E6215">
        <v>553</v>
      </c>
      <c r="F6215" t="str">
        <f>HYPERLINK("https://www.google.com/maps/search/?api=1&amp;query=25.91433329,45.35995208", "View Map")</f>
        <v>View Map</v>
      </c>
      <c r="G6215" s="2">
        <v>0.37931763000868102</v>
      </c>
    </row>
    <row r="6216" spans="1:7" x14ac:dyDescent="0.3">
      <c r="A6216" t="s">
        <v>6988</v>
      </c>
      <c r="B6216" t="s">
        <v>6989</v>
      </c>
      <c r="C6216" t="s">
        <v>255</v>
      </c>
      <c r="D6216">
        <v>1.726</v>
      </c>
      <c r="E6216">
        <v>552</v>
      </c>
      <c r="F6216" t="str">
        <f>HYPERLINK("https://www.google.com/maps/search/?api=1&amp;query=24.49154112,44.36429884", "View Map")</f>
        <v>View Map</v>
      </c>
    </row>
    <row r="6217" spans="1:7" x14ac:dyDescent="0.3">
      <c r="A6217" t="s">
        <v>12411</v>
      </c>
      <c r="B6217" t="s">
        <v>12412</v>
      </c>
      <c r="C6217" t="s">
        <v>255</v>
      </c>
      <c r="D6217">
        <v>1.726</v>
      </c>
      <c r="E6217">
        <v>552</v>
      </c>
      <c r="F6217" t="str">
        <f>HYPERLINK("https://www.google.com/maps/search/?api=1&amp;query=24.91256888,44.72028515", "View Map")</f>
        <v>View Map</v>
      </c>
      <c r="G6217" s="2">
        <v>0.52875485511840137</v>
      </c>
    </row>
    <row r="6218" spans="1:7" x14ac:dyDescent="0.3">
      <c r="A6218" t="s">
        <v>10527</v>
      </c>
      <c r="B6218" t="s">
        <v>10528</v>
      </c>
      <c r="C6218" t="s">
        <v>77</v>
      </c>
      <c r="D6218">
        <v>1.726</v>
      </c>
      <c r="E6218">
        <v>552</v>
      </c>
      <c r="F6218" t="str">
        <f>HYPERLINK("https://www.google.com/maps/search/?api=1&amp;query=22.09111335,46.70330382", "View Map")</f>
        <v>View Map</v>
      </c>
    </row>
    <row r="6219" spans="1:7" x14ac:dyDescent="0.3">
      <c r="A6219" t="s">
        <v>12413</v>
      </c>
      <c r="B6219" t="s">
        <v>12414</v>
      </c>
      <c r="C6219" t="s">
        <v>30</v>
      </c>
      <c r="D6219">
        <v>1.7250000000000001</v>
      </c>
      <c r="E6219">
        <v>552</v>
      </c>
      <c r="F6219" t="str">
        <f>HYPERLINK("https://www.google.com/maps/search/?api=1&amp;query=24.19052819,47.27971791", "View Map")</f>
        <v>View Map</v>
      </c>
    </row>
    <row r="6220" spans="1:7" x14ac:dyDescent="0.3">
      <c r="A6220" t="s">
        <v>3059</v>
      </c>
      <c r="B6220" t="s">
        <v>9654</v>
      </c>
      <c r="C6220" t="s">
        <v>291</v>
      </c>
      <c r="D6220">
        <v>1.7250000000000001</v>
      </c>
      <c r="E6220">
        <v>552</v>
      </c>
      <c r="F6220" t="str">
        <f>HYPERLINK("https://www.google.com/maps/search/?api=1&amp;query=24.13331271,45.15689465", "View Map")</f>
        <v>View Map</v>
      </c>
      <c r="G6220" s="2">
        <v>0.51477973178401104</v>
      </c>
    </row>
    <row r="6221" spans="1:7" x14ac:dyDescent="0.3">
      <c r="A6221" t="s">
        <v>146</v>
      </c>
      <c r="B6221" t="s">
        <v>10318</v>
      </c>
      <c r="C6221" t="s">
        <v>8</v>
      </c>
      <c r="D6221">
        <v>1.724</v>
      </c>
      <c r="E6221">
        <v>552</v>
      </c>
      <c r="F6221" t="str">
        <f>HYPERLINK("https://www.google.com/maps/search/?api=1&amp;query=24.68186405,46.57806454", "View Map")</f>
        <v>View Map</v>
      </c>
      <c r="G6221" s="2">
        <v>0.84717576564654051</v>
      </c>
    </row>
    <row r="6222" spans="1:7" x14ac:dyDescent="0.3">
      <c r="A6222" t="s">
        <v>7253</v>
      </c>
      <c r="B6222" t="s">
        <v>7254</v>
      </c>
      <c r="C6222" t="s">
        <v>8</v>
      </c>
      <c r="D6222">
        <v>1.724</v>
      </c>
      <c r="E6222">
        <v>552</v>
      </c>
      <c r="F6222" t="str">
        <f>HYPERLINK("https://www.google.com/maps/search/?api=1&amp;query=24.80233229,46.77597799", "View Map")</f>
        <v>View Map</v>
      </c>
    </row>
    <row r="6223" spans="1:7" x14ac:dyDescent="0.3">
      <c r="A6223" t="s">
        <v>10459</v>
      </c>
      <c r="B6223" t="s">
        <v>10460</v>
      </c>
      <c r="C6223" t="s">
        <v>8</v>
      </c>
      <c r="D6223">
        <v>1.724</v>
      </c>
      <c r="E6223">
        <v>552</v>
      </c>
      <c r="F6223" t="str">
        <f>HYPERLINK("https://www.google.com/maps/search/?api=1&amp;query=24.7525709,46.74424847", "View Map")</f>
        <v>View Map</v>
      </c>
    </row>
    <row r="6224" spans="1:7" x14ac:dyDescent="0.3">
      <c r="A6224" t="s">
        <v>10842</v>
      </c>
      <c r="B6224" t="s">
        <v>10843</v>
      </c>
      <c r="C6224" t="s">
        <v>21</v>
      </c>
      <c r="D6224">
        <v>1.7230000000000001</v>
      </c>
      <c r="E6224">
        <v>551</v>
      </c>
      <c r="F6224" t="str">
        <f>HYPERLINK("https://www.google.com/maps/search/?api=1&amp;query=26.27968848,44.81491035", "View Map")</f>
        <v>View Map</v>
      </c>
      <c r="G6224" s="2">
        <v>0.68726804920988593</v>
      </c>
    </row>
    <row r="6225" spans="1:7" x14ac:dyDescent="0.3">
      <c r="A6225" t="s">
        <v>12415</v>
      </c>
      <c r="B6225" t="s">
        <v>12416</v>
      </c>
      <c r="C6225" t="s">
        <v>241</v>
      </c>
      <c r="D6225">
        <v>1.7230000000000001</v>
      </c>
      <c r="E6225">
        <v>551</v>
      </c>
      <c r="F6225" t="str">
        <f>HYPERLINK("https://www.google.com/maps/search/?api=1&amp;query=20.46730866,44.78926345", "View Map")</f>
        <v>View Map</v>
      </c>
    </row>
    <row r="6226" spans="1:7" x14ac:dyDescent="0.3">
      <c r="A6226" t="s">
        <v>8202</v>
      </c>
      <c r="B6226" t="s">
        <v>8203</v>
      </c>
      <c r="C6226" t="s">
        <v>8</v>
      </c>
      <c r="D6226">
        <v>1.7230000000000001</v>
      </c>
      <c r="E6226">
        <v>551</v>
      </c>
      <c r="F6226" t="str">
        <f>HYPERLINK("https://www.google.com/maps/search/?api=1&amp;query=24.77463122,46.7550923", "View Map")</f>
        <v>View Map</v>
      </c>
    </row>
    <row r="6227" spans="1:7" x14ac:dyDescent="0.3">
      <c r="A6227" t="s">
        <v>10282</v>
      </c>
      <c r="B6227" t="s">
        <v>10283</v>
      </c>
      <c r="C6227" t="s">
        <v>214</v>
      </c>
      <c r="D6227">
        <v>1.7230000000000001</v>
      </c>
      <c r="E6227">
        <v>551</v>
      </c>
      <c r="F6227" t="str">
        <f>HYPERLINK("https://www.google.com/maps/search/?api=1&amp;query=25.69590528,45.88815379", "View Map")</f>
        <v>View Map</v>
      </c>
    </row>
    <row r="6228" spans="1:7" x14ac:dyDescent="0.3">
      <c r="A6228" t="s">
        <v>1277</v>
      </c>
      <c r="B6228" t="s">
        <v>12417</v>
      </c>
      <c r="C6228" t="s">
        <v>8</v>
      </c>
      <c r="D6228">
        <v>1.722</v>
      </c>
      <c r="E6228">
        <v>551</v>
      </c>
      <c r="F6228" t="str">
        <f>HYPERLINK("https://www.google.com/maps/search/?api=1&amp;query=24.60469011,46.75045154", "View Map")</f>
        <v>View Map</v>
      </c>
    </row>
    <row r="6229" spans="1:7" x14ac:dyDescent="0.3">
      <c r="A6229" t="s">
        <v>12418</v>
      </c>
      <c r="B6229" t="s">
        <v>12419</v>
      </c>
      <c r="C6229" t="s">
        <v>8</v>
      </c>
      <c r="D6229">
        <v>1.722</v>
      </c>
      <c r="E6229">
        <v>551</v>
      </c>
      <c r="F6229" t="str">
        <f>HYPERLINK("https://www.google.com/maps/search/?api=1&amp;query=24.61865942,46.70584327", "View Map")</f>
        <v>View Map</v>
      </c>
    </row>
    <row r="6230" spans="1:7" x14ac:dyDescent="0.3">
      <c r="A6230" t="s">
        <v>12420</v>
      </c>
      <c r="B6230" t="s">
        <v>12421</v>
      </c>
      <c r="C6230" t="s">
        <v>137</v>
      </c>
      <c r="D6230">
        <v>1.7210000000000001</v>
      </c>
      <c r="E6230">
        <v>551</v>
      </c>
      <c r="F6230" t="str">
        <f>HYPERLINK("https://www.google.com/maps/search/?api=1&amp;query=23.44207731,46.79425624", "View Map")</f>
        <v>View Map</v>
      </c>
    </row>
    <row r="6231" spans="1:7" x14ac:dyDescent="0.3">
      <c r="A6231" t="s">
        <v>4338</v>
      </c>
      <c r="B6231" t="s">
        <v>4339</v>
      </c>
      <c r="C6231" t="s">
        <v>291</v>
      </c>
      <c r="D6231">
        <v>1.7210000000000001</v>
      </c>
      <c r="E6231">
        <v>551</v>
      </c>
      <c r="F6231" t="str">
        <f>HYPERLINK("https://www.google.com/maps/search/?api=1&amp;query=24.34791713,45.82786863", "View Map")</f>
        <v>View Map</v>
      </c>
      <c r="G6231" s="2">
        <v>0.51626932050339636</v>
      </c>
    </row>
    <row r="6232" spans="1:7" x14ac:dyDescent="0.3">
      <c r="A6232" t="s">
        <v>12422</v>
      </c>
      <c r="B6232" t="s">
        <v>12423</v>
      </c>
      <c r="C6232" t="s">
        <v>214</v>
      </c>
      <c r="D6232">
        <v>1.72</v>
      </c>
      <c r="E6232">
        <v>550</v>
      </c>
      <c r="F6232" t="str">
        <f>HYPERLINK("https://www.google.com/maps/search/?api=1&amp;query=25.82810063,45.8069828", "View Map")</f>
        <v>View Map</v>
      </c>
      <c r="G6232" s="2">
        <v>0.6228065772636151</v>
      </c>
    </row>
    <row r="6233" spans="1:7" x14ac:dyDescent="0.3">
      <c r="A6233" t="s">
        <v>46</v>
      </c>
      <c r="B6233" t="s">
        <v>12424</v>
      </c>
      <c r="C6233" t="s">
        <v>820</v>
      </c>
      <c r="D6233">
        <v>1.72</v>
      </c>
      <c r="E6233">
        <v>550</v>
      </c>
      <c r="F6233" t="str">
        <f>HYPERLINK("https://www.google.com/maps/search/?api=1&amp;query=0.0,0.0", "View Map")</f>
        <v>View Map</v>
      </c>
    </row>
    <row r="6234" spans="1:7" x14ac:dyDescent="0.3">
      <c r="A6234" t="s">
        <v>12425</v>
      </c>
      <c r="B6234" t="s">
        <v>12426</v>
      </c>
      <c r="C6234" t="s">
        <v>820</v>
      </c>
      <c r="D6234">
        <v>1.7190000000000001</v>
      </c>
      <c r="E6234">
        <v>550</v>
      </c>
      <c r="F6234" t="str">
        <f>HYPERLINK("https://www.google.com/maps/search/?api=1&amp;query=0.0,0.0", "View Map")</f>
        <v>View Map</v>
      </c>
    </row>
    <row r="6235" spans="1:7" x14ac:dyDescent="0.3">
      <c r="A6235" t="s">
        <v>8780</v>
      </c>
      <c r="B6235" t="s">
        <v>8781</v>
      </c>
      <c r="C6235" t="s">
        <v>8</v>
      </c>
      <c r="D6235">
        <v>1.7190000000000001</v>
      </c>
      <c r="E6235">
        <v>550</v>
      </c>
      <c r="F6235" t="str">
        <f>HYPERLINK("https://www.google.com/maps/search/?api=1&amp;query=24.57890297,46.65670012", "View Map")</f>
        <v>View Map</v>
      </c>
    </row>
    <row r="6236" spans="1:7" x14ac:dyDescent="0.3">
      <c r="A6236" t="s">
        <v>678</v>
      </c>
      <c r="B6236" t="s">
        <v>9173</v>
      </c>
      <c r="C6236" t="s">
        <v>21</v>
      </c>
      <c r="D6236">
        <v>1.7190000000000001</v>
      </c>
      <c r="E6236">
        <v>550</v>
      </c>
      <c r="F6236" t="str">
        <f>HYPERLINK("https://www.google.com/maps/search/?api=1&amp;query=26.32287771,44.80793044", "View Map")</f>
        <v>View Map</v>
      </c>
    </row>
    <row r="6237" spans="1:7" x14ac:dyDescent="0.3">
      <c r="A6237" t="s">
        <v>7323</v>
      </c>
      <c r="B6237" t="s">
        <v>7324</v>
      </c>
      <c r="C6237" t="s">
        <v>137</v>
      </c>
      <c r="D6237">
        <v>1.7190000000000001</v>
      </c>
      <c r="E6237">
        <v>550</v>
      </c>
      <c r="F6237" t="str">
        <f>HYPERLINK("https://www.google.com/maps/search/?api=1&amp;query=23.48582135,46.87168117", "View Map")</f>
        <v>View Map</v>
      </c>
      <c r="G6237" s="2">
        <v>0.2627148219918527</v>
      </c>
    </row>
    <row r="6238" spans="1:7" x14ac:dyDescent="0.3">
      <c r="A6238" t="s">
        <v>12427</v>
      </c>
      <c r="B6238" t="s">
        <v>12428</v>
      </c>
      <c r="C6238" t="s">
        <v>291</v>
      </c>
      <c r="D6238">
        <v>1.7190000000000001</v>
      </c>
      <c r="E6238">
        <v>550</v>
      </c>
      <c r="F6238" t="str">
        <f>HYPERLINK("https://www.google.com/maps/search/?api=1&amp;query=23.49114061,44.38875764", "View Map")</f>
        <v>View Map</v>
      </c>
    </row>
    <row r="6239" spans="1:7" x14ac:dyDescent="0.3">
      <c r="A6239" t="s">
        <v>10234</v>
      </c>
      <c r="B6239" t="s">
        <v>10235</v>
      </c>
      <c r="C6239" t="s">
        <v>8</v>
      </c>
      <c r="D6239">
        <v>1.7190000000000001</v>
      </c>
      <c r="E6239">
        <v>550</v>
      </c>
      <c r="F6239" t="str">
        <f>HYPERLINK("https://www.google.com/maps/search/?api=1&amp;query=24.59669837,46.60896618", "View Map")</f>
        <v>View Map</v>
      </c>
    </row>
    <row r="6240" spans="1:7" x14ac:dyDescent="0.3">
      <c r="A6240" t="s">
        <v>7405</v>
      </c>
      <c r="B6240" t="s">
        <v>12429</v>
      </c>
      <c r="C6240" t="s">
        <v>8</v>
      </c>
      <c r="D6240">
        <v>1.718</v>
      </c>
      <c r="E6240">
        <v>550</v>
      </c>
      <c r="F6240" t="str">
        <f>HYPERLINK("https://www.google.com/maps/search/?api=1&amp;query=24.59645823,46.62096853", "View Map")</f>
        <v>View Map</v>
      </c>
    </row>
    <row r="6241" spans="1:7" x14ac:dyDescent="0.3">
      <c r="A6241" t="s">
        <v>8063</v>
      </c>
      <c r="B6241" t="s">
        <v>8064</v>
      </c>
      <c r="C6241" t="s">
        <v>270</v>
      </c>
      <c r="D6241">
        <v>1.718</v>
      </c>
      <c r="E6241">
        <v>550</v>
      </c>
      <c r="F6241" t="str">
        <f>HYPERLINK("https://www.google.com/maps/search/?api=1&amp;query=24.02042264,47.13575054", "View Map")</f>
        <v>View Map</v>
      </c>
      <c r="G6241" s="2">
        <v>0.29528553661115642</v>
      </c>
    </row>
    <row r="6242" spans="1:7" x14ac:dyDescent="0.3">
      <c r="A6242" t="s">
        <v>12430</v>
      </c>
      <c r="B6242" t="s">
        <v>12431</v>
      </c>
      <c r="C6242" t="s">
        <v>30</v>
      </c>
      <c r="D6242">
        <v>1.718</v>
      </c>
      <c r="E6242">
        <v>550</v>
      </c>
      <c r="F6242" t="str">
        <f>HYPERLINK("https://www.google.com/maps/search/?api=1&amp;query=24.1268909,47.28494747", "View Map")</f>
        <v>View Map</v>
      </c>
    </row>
    <row r="6243" spans="1:7" x14ac:dyDescent="0.3">
      <c r="A6243" t="s">
        <v>12432</v>
      </c>
      <c r="B6243" t="s">
        <v>12433</v>
      </c>
      <c r="C6243" t="s">
        <v>466</v>
      </c>
      <c r="D6243">
        <v>1.7170000000000001</v>
      </c>
      <c r="E6243">
        <v>550</v>
      </c>
      <c r="F6243" t="str">
        <f>HYPERLINK("https://www.google.com/maps/search/?api=1&amp;query=24.57926808,46.12416894", "View Map")</f>
        <v>View Map</v>
      </c>
      <c r="G6243" s="2">
        <v>0.9168424266602202</v>
      </c>
    </row>
    <row r="6244" spans="1:7" x14ac:dyDescent="0.3">
      <c r="A6244" t="s">
        <v>11151</v>
      </c>
      <c r="B6244" t="s">
        <v>11152</v>
      </c>
      <c r="C6244" t="s">
        <v>8</v>
      </c>
      <c r="D6244">
        <v>1.716</v>
      </c>
      <c r="E6244">
        <v>549</v>
      </c>
      <c r="F6244" t="str">
        <f>HYPERLINK("https://www.google.com/maps/search/?api=1&amp;query=24.59376315,46.63743831", "View Map")</f>
        <v>View Map</v>
      </c>
    </row>
    <row r="6245" spans="1:7" x14ac:dyDescent="0.3">
      <c r="A6245" t="s">
        <v>12434</v>
      </c>
      <c r="B6245" t="s">
        <v>12435</v>
      </c>
      <c r="C6245" t="s">
        <v>8</v>
      </c>
      <c r="D6245">
        <v>1.716</v>
      </c>
      <c r="E6245">
        <v>549</v>
      </c>
      <c r="F6245" t="str">
        <f>HYPERLINK("https://www.google.com/maps/search/?api=1&amp;query=24.63922296,46.74766584", "View Map")</f>
        <v>View Map</v>
      </c>
    </row>
    <row r="6246" spans="1:7" x14ac:dyDescent="0.3">
      <c r="A6246" t="s">
        <v>46</v>
      </c>
      <c r="B6246" t="s">
        <v>12436</v>
      </c>
      <c r="C6246" t="s">
        <v>8</v>
      </c>
      <c r="D6246">
        <v>1.7150000000000001</v>
      </c>
      <c r="E6246">
        <v>549</v>
      </c>
      <c r="F6246" t="str">
        <f>HYPERLINK("https://www.google.com/maps/search/?api=1&amp;query=24.80337768,46.59003903", "View Map")</f>
        <v>View Map</v>
      </c>
    </row>
    <row r="6247" spans="1:7" x14ac:dyDescent="0.3">
      <c r="A6247" t="s">
        <v>4202</v>
      </c>
      <c r="B6247" t="s">
        <v>4203</v>
      </c>
      <c r="C6247" t="s">
        <v>8</v>
      </c>
      <c r="D6247">
        <v>1.7150000000000001</v>
      </c>
      <c r="E6247">
        <v>549</v>
      </c>
      <c r="F6247" t="str">
        <f>HYPERLINK("https://www.google.com/maps/search/?api=1&amp;query=24.73570389,46.6666034", "View Map")</f>
        <v>View Map</v>
      </c>
    </row>
    <row r="6248" spans="1:7" x14ac:dyDescent="0.3">
      <c r="A6248" t="s">
        <v>12437</v>
      </c>
      <c r="B6248" t="s">
        <v>12438</v>
      </c>
      <c r="C6248" t="s">
        <v>738</v>
      </c>
      <c r="D6248">
        <v>1.7150000000000001</v>
      </c>
      <c r="E6248">
        <v>549</v>
      </c>
      <c r="F6248" t="str">
        <f>HYPERLINK("https://www.google.com/maps/search/?api=1&amp;query=25.12635917,46.12079128", "View Map")</f>
        <v>View Map</v>
      </c>
      <c r="G6248" s="2">
        <v>0.60080056077892374</v>
      </c>
    </row>
    <row r="6249" spans="1:7" x14ac:dyDescent="0.3">
      <c r="A6249" t="s">
        <v>7930</v>
      </c>
      <c r="B6249" t="s">
        <v>7931</v>
      </c>
      <c r="C6249" t="s">
        <v>21</v>
      </c>
      <c r="D6249">
        <v>1.714</v>
      </c>
      <c r="E6249">
        <v>549</v>
      </c>
      <c r="F6249" t="str">
        <f>HYPERLINK("https://www.google.com/maps/search/?api=1&amp;query=26.32035751,44.82305807", "View Map")</f>
        <v>View Map</v>
      </c>
      <c r="G6249" s="2">
        <v>0.37004280061012812</v>
      </c>
    </row>
    <row r="6250" spans="1:7" x14ac:dyDescent="0.3">
      <c r="A6250" t="s">
        <v>12439</v>
      </c>
      <c r="B6250" t="s">
        <v>12440</v>
      </c>
      <c r="C6250" t="s">
        <v>241</v>
      </c>
      <c r="D6250">
        <v>1.714</v>
      </c>
      <c r="E6250">
        <v>548</v>
      </c>
      <c r="F6250" t="str">
        <f>HYPERLINK("https://www.google.com/maps/search/?api=1&amp;query=20.48128,44.77271", "View Map")</f>
        <v>View Map</v>
      </c>
      <c r="G6250" s="2">
        <v>0.49987704449656539</v>
      </c>
    </row>
    <row r="6251" spans="1:7" x14ac:dyDescent="0.3">
      <c r="A6251" t="s">
        <v>9000</v>
      </c>
      <c r="B6251" t="s">
        <v>9001</v>
      </c>
      <c r="C6251" t="s">
        <v>646</v>
      </c>
      <c r="D6251">
        <v>1.714</v>
      </c>
      <c r="E6251">
        <v>549</v>
      </c>
      <c r="F6251" t="str">
        <f>HYPERLINK("https://www.google.com/maps/search/?api=1&amp;query=20.46625664,45.57730155", "View Map")</f>
        <v>View Map</v>
      </c>
      <c r="G6251" s="2">
        <v>0.45000970245155408</v>
      </c>
    </row>
    <row r="6252" spans="1:7" x14ac:dyDescent="0.3">
      <c r="A6252" t="s">
        <v>9639</v>
      </c>
      <c r="B6252" t="s">
        <v>9640</v>
      </c>
      <c r="C6252" t="s">
        <v>8</v>
      </c>
      <c r="D6252">
        <v>1.714</v>
      </c>
      <c r="E6252">
        <v>549</v>
      </c>
      <c r="F6252" t="str">
        <f>HYPERLINK("https://www.google.com/maps/search/?api=1&amp;query=24.56793027,46.79165612", "View Map")</f>
        <v>View Map</v>
      </c>
    </row>
    <row r="6253" spans="1:7" x14ac:dyDescent="0.3">
      <c r="A6253" t="s">
        <v>3923</v>
      </c>
      <c r="B6253" t="s">
        <v>3924</v>
      </c>
      <c r="C6253" t="s">
        <v>883</v>
      </c>
      <c r="D6253">
        <v>1.7130000000000001</v>
      </c>
      <c r="E6253">
        <v>548</v>
      </c>
      <c r="F6253" t="str">
        <f>HYPERLINK("https://www.google.com/maps/search/?api=1&amp;query=25.55212705,47.17628852", "View Map")</f>
        <v>View Map</v>
      </c>
      <c r="G6253" s="2">
        <v>0.1629959071041201</v>
      </c>
    </row>
    <row r="6254" spans="1:7" x14ac:dyDescent="0.3">
      <c r="A6254" t="s">
        <v>28</v>
      </c>
      <c r="B6254" t="s">
        <v>12441</v>
      </c>
      <c r="C6254" t="s">
        <v>30</v>
      </c>
      <c r="D6254">
        <v>1.7130000000000001</v>
      </c>
      <c r="E6254">
        <v>548</v>
      </c>
      <c r="F6254" t="str">
        <f>HYPERLINK("https://www.google.com/maps/search/?api=1&amp;query=24.14157071,47.36937217", "View Map")</f>
        <v>View Map</v>
      </c>
    </row>
    <row r="6255" spans="1:7" x14ac:dyDescent="0.3">
      <c r="A6255" t="s">
        <v>2901</v>
      </c>
      <c r="B6255" t="s">
        <v>12442</v>
      </c>
      <c r="C6255" t="s">
        <v>8</v>
      </c>
      <c r="D6255">
        <v>1.7130000000000001</v>
      </c>
      <c r="E6255">
        <v>548</v>
      </c>
      <c r="F6255" t="str">
        <f>HYPERLINK("https://www.google.com/maps/search/?api=1&amp;query=24.59025004,46.70867529", "View Map")</f>
        <v>View Map</v>
      </c>
    </row>
    <row r="6256" spans="1:7" x14ac:dyDescent="0.3">
      <c r="A6256" t="s">
        <v>9643</v>
      </c>
      <c r="B6256" t="s">
        <v>9644</v>
      </c>
      <c r="C6256" t="s">
        <v>8</v>
      </c>
      <c r="D6256">
        <v>1.7130000000000001</v>
      </c>
      <c r="E6256">
        <v>548</v>
      </c>
      <c r="F6256" t="str">
        <f>HYPERLINK("https://www.google.com/maps/search/?api=1&amp;query=24.59289513,46.65811925", "View Map")</f>
        <v>View Map</v>
      </c>
    </row>
    <row r="6257" spans="1:7" x14ac:dyDescent="0.3">
      <c r="A6257" t="s">
        <v>46</v>
      </c>
      <c r="B6257" t="s">
        <v>10965</v>
      </c>
      <c r="C6257" t="s">
        <v>8</v>
      </c>
      <c r="D6257">
        <v>1.712</v>
      </c>
      <c r="E6257">
        <v>548</v>
      </c>
      <c r="F6257" t="str">
        <f>HYPERLINK("https://www.google.com/maps/search/?api=1&amp;query=24.59916556,46.76453003", "View Map")</f>
        <v>View Map</v>
      </c>
    </row>
    <row r="6258" spans="1:7" x14ac:dyDescent="0.3">
      <c r="A6258" t="s">
        <v>11000</v>
      </c>
      <c r="B6258" t="s">
        <v>11001</v>
      </c>
      <c r="C6258" t="s">
        <v>8</v>
      </c>
      <c r="D6258">
        <v>1.712</v>
      </c>
      <c r="E6258">
        <v>548</v>
      </c>
      <c r="F6258" t="str">
        <f>HYPERLINK("https://www.google.com/maps/search/?api=1&amp;query=24.67392879,46.77770846", "View Map")</f>
        <v>View Map</v>
      </c>
    </row>
    <row r="6259" spans="1:7" x14ac:dyDescent="0.3">
      <c r="A6259" t="s">
        <v>9766</v>
      </c>
      <c r="B6259" t="s">
        <v>9767</v>
      </c>
      <c r="C6259" t="s">
        <v>8</v>
      </c>
      <c r="D6259">
        <v>1.712</v>
      </c>
      <c r="E6259">
        <v>548</v>
      </c>
      <c r="F6259" t="str">
        <f>HYPERLINK("https://www.google.com/maps/search/?api=1&amp;query=24.81240703,46.80444557", "View Map")</f>
        <v>View Map</v>
      </c>
    </row>
    <row r="6260" spans="1:7" x14ac:dyDescent="0.3">
      <c r="A6260" t="s">
        <v>12443</v>
      </c>
      <c r="B6260" t="s">
        <v>12444</v>
      </c>
      <c r="C6260" t="s">
        <v>214</v>
      </c>
      <c r="D6260">
        <v>1.712</v>
      </c>
      <c r="E6260">
        <v>548</v>
      </c>
      <c r="F6260" t="str">
        <f>HYPERLINK("https://www.google.com/maps/search/?api=1&amp;query=25.90544739,45.35453401", "View Map")</f>
        <v>View Map</v>
      </c>
    </row>
    <row r="6261" spans="1:7" x14ac:dyDescent="0.3">
      <c r="A6261" t="s">
        <v>10134</v>
      </c>
      <c r="B6261" t="s">
        <v>10135</v>
      </c>
      <c r="C6261" t="s">
        <v>255</v>
      </c>
      <c r="D6261">
        <v>1.712</v>
      </c>
      <c r="E6261">
        <v>548</v>
      </c>
      <c r="F6261" t="str">
        <f>HYPERLINK("https://www.google.com/maps/search/?api=1&amp;query=24.66204796,44.31512671", "View Map")</f>
        <v>View Map</v>
      </c>
      <c r="G6261" s="2">
        <v>0.44345723177344848</v>
      </c>
    </row>
    <row r="6262" spans="1:7" x14ac:dyDescent="0.3">
      <c r="A6262" t="s">
        <v>2597</v>
      </c>
      <c r="B6262" t="s">
        <v>12445</v>
      </c>
      <c r="C6262" t="s">
        <v>291</v>
      </c>
      <c r="D6262">
        <v>1.712</v>
      </c>
      <c r="E6262">
        <v>548</v>
      </c>
      <c r="F6262" t="str">
        <f>HYPERLINK("https://www.google.com/maps/search/?api=1&amp;query=23.66501354,44.80269059", "View Map")</f>
        <v>View Map</v>
      </c>
      <c r="G6262" s="2">
        <v>0.86084976272903357</v>
      </c>
    </row>
    <row r="6263" spans="1:7" x14ac:dyDescent="0.3">
      <c r="A6263" t="s">
        <v>9454</v>
      </c>
      <c r="B6263" t="s">
        <v>9455</v>
      </c>
      <c r="C6263" t="s">
        <v>8</v>
      </c>
      <c r="D6263">
        <v>1.7110000000000001</v>
      </c>
      <c r="E6263">
        <v>548</v>
      </c>
      <c r="F6263" t="str">
        <f>HYPERLINK("https://www.google.com/maps/search/?api=1&amp;query=24.56871453,46.77826887", "View Map")</f>
        <v>View Map</v>
      </c>
    </row>
    <row r="6264" spans="1:7" x14ac:dyDescent="0.3">
      <c r="A6264" t="s">
        <v>8401</v>
      </c>
      <c r="B6264" t="s">
        <v>8402</v>
      </c>
      <c r="C6264" t="s">
        <v>8</v>
      </c>
      <c r="D6264">
        <v>1.7110000000000001</v>
      </c>
      <c r="E6264">
        <v>548</v>
      </c>
      <c r="F6264" t="str">
        <f>HYPERLINK("https://www.google.com/maps/search/?api=1&amp;query=24.7347096,46.67005411", "View Map")</f>
        <v>View Map</v>
      </c>
    </row>
    <row r="6265" spans="1:7" x14ac:dyDescent="0.3">
      <c r="A6265" t="s">
        <v>146</v>
      </c>
      <c r="B6265" t="s">
        <v>10403</v>
      </c>
      <c r="C6265" t="s">
        <v>8</v>
      </c>
      <c r="D6265">
        <v>1.7110000000000001</v>
      </c>
      <c r="E6265">
        <v>548</v>
      </c>
      <c r="F6265" t="str">
        <f>HYPERLINK("https://www.google.com/maps/search/?api=1&amp;query=24.5607347,46.53351707", "View Map")</f>
        <v>View Map</v>
      </c>
    </row>
    <row r="6266" spans="1:7" x14ac:dyDescent="0.3">
      <c r="A6266" t="s">
        <v>1273</v>
      </c>
      <c r="B6266" t="s">
        <v>12446</v>
      </c>
      <c r="C6266" t="s">
        <v>241</v>
      </c>
      <c r="D6266">
        <v>1.71</v>
      </c>
      <c r="E6266">
        <v>547</v>
      </c>
      <c r="F6266" t="str">
        <f>HYPERLINK("https://www.google.com/maps/search/?api=1&amp;query=20.39515631,44.7866667", "View Map")</f>
        <v>View Map</v>
      </c>
      <c r="G6266" s="2">
        <v>0.69112125138553671</v>
      </c>
    </row>
    <row r="6267" spans="1:7" x14ac:dyDescent="0.3">
      <c r="A6267" t="s">
        <v>10177</v>
      </c>
      <c r="B6267" t="s">
        <v>10178</v>
      </c>
      <c r="C6267" t="s">
        <v>8</v>
      </c>
      <c r="D6267">
        <v>1.7090000000000001</v>
      </c>
      <c r="E6267">
        <v>547</v>
      </c>
      <c r="F6267" t="str">
        <f>HYPERLINK("https://www.google.com/maps/search/?api=1&amp;query=24.73044357,46.82668979", "View Map")</f>
        <v>View Map</v>
      </c>
    </row>
    <row r="6268" spans="1:7" x14ac:dyDescent="0.3">
      <c r="A6268" t="s">
        <v>12447</v>
      </c>
      <c r="B6268" t="s">
        <v>12448</v>
      </c>
      <c r="C6268" t="s">
        <v>30</v>
      </c>
      <c r="D6268">
        <v>1.7090000000000001</v>
      </c>
      <c r="E6268">
        <v>547</v>
      </c>
      <c r="F6268" t="str">
        <f>HYPERLINK("https://www.google.com/maps/search/?api=1&amp;query=24.11030665,47.28935773", "View Map")</f>
        <v>View Map</v>
      </c>
    </row>
    <row r="6269" spans="1:7" x14ac:dyDescent="0.3">
      <c r="A6269" t="s">
        <v>10806</v>
      </c>
      <c r="B6269" t="s">
        <v>10807</v>
      </c>
      <c r="C6269" t="s">
        <v>255</v>
      </c>
      <c r="D6269">
        <v>1.708</v>
      </c>
      <c r="E6269">
        <v>546</v>
      </c>
      <c r="F6269" t="str">
        <f>HYPERLINK("https://www.google.com/maps/search/?api=1&amp;query=24.49797362,43.55316932", "View Map")</f>
        <v>View Map</v>
      </c>
      <c r="G6269" s="2">
        <v>0.48216578420472728</v>
      </c>
    </row>
    <row r="6270" spans="1:7" x14ac:dyDescent="0.3">
      <c r="A6270" t="s">
        <v>3709</v>
      </c>
      <c r="B6270" t="s">
        <v>12449</v>
      </c>
      <c r="C6270" t="s">
        <v>8</v>
      </c>
      <c r="D6270">
        <v>1.708</v>
      </c>
      <c r="E6270">
        <v>547</v>
      </c>
      <c r="F6270" t="str">
        <f>HYPERLINK("https://www.google.com/maps/search/?api=1&amp;query=24.67385182,46.66534662", "View Map")</f>
        <v>View Map</v>
      </c>
    </row>
    <row r="6271" spans="1:7" x14ac:dyDescent="0.3">
      <c r="A6271" t="s">
        <v>28</v>
      </c>
      <c r="B6271" t="s">
        <v>12450</v>
      </c>
      <c r="C6271" t="s">
        <v>30</v>
      </c>
      <c r="D6271">
        <v>1.708</v>
      </c>
      <c r="E6271">
        <v>547</v>
      </c>
      <c r="F6271" t="str">
        <f>HYPERLINK("https://www.google.com/maps/search/?api=1&amp;query=24.17282968,47.34624853", "View Map")</f>
        <v>View Map</v>
      </c>
    </row>
    <row r="6272" spans="1:7" x14ac:dyDescent="0.3">
      <c r="A6272" t="s">
        <v>28</v>
      </c>
      <c r="B6272" t="s">
        <v>9431</v>
      </c>
      <c r="C6272" t="s">
        <v>30</v>
      </c>
      <c r="D6272">
        <v>1.708</v>
      </c>
      <c r="E6272">
        <v>546</v>
      </c>
      <c r="F6272" t="str">
        <f>HYPERLINK("https://www.google.com/maps/search/?api=1&amp;query=24.0945035,47.27503035", "View Map")</f>
        <v>View Map</v>
      </c>
    </row>
    <row r="6273" spans="1:7" x14ac:dyDescent="0.3">
      <c r="A6273" t="s">
        <v>8681</v>
      </c>
      <c r="B6273" t="s">
        <v>8682</v>
      </c>
      <c r="C6273" t="s">
        <v>16</v>
      </c>
      <c r="D6273">
        <v>1.7070000000000001</v>
      </c>
      <c r="E6273">
        <v>546</v>
      </c>
      <c r="F6273" t="str">
        <f>HYPERLINK("https://www.google.com/maps/search/?api=1&amp;query=23.87838412,42.91211277", "View Map")</f>
        <v>View Map</v>
      </c>
      <c r="G6273" s="2">
        <v>0.47176836749951712</v>
      </c>
    </row>
    <row r="6274" spans="1:7" x14ac:dyDescent="0.3">
      <c r="A6274" t="s">
        <v>12451</v>
      </c>
      <c r="B6274" t="s">
        <v>12452</v>
      </c>
      <c r="C6274" t="s">
        <v>255</v>
      </c>
      <c r="D6274">
        <v>1.706</v>
      </c>
      <c r="E6274">
        <v>546</v>
      </c>
      <c r="F6274" t="str">
        <f>HYPERLINK("https://www.google.com/maps/search/?api=1&amp;query=24.55618761,44.4447462", "View Map")</f>
        <v>View Map</v>
      </c>
    </row>
    <row r="6275" spans="1:7" x14ac:dyDescent="0.3">
      <c r="A6275" t="s">
        <v>10056</v>
      </c>
      <c r="B6275" t="s">
        <v>10057</v>
      </c>
      <c r="C6275" t="s">
        <v>8</v>
      </c>
      <c r="D6275">
        <v>1.706</v>
      </c>
      <c r="E6275">
        <v>546</v>
      </c>
      <c r="F6275" t="str">
        <f>HYPERLINK("https://www.google.com/maps/search/?api=1&amp;query=24.5394457,46.73131103", "View Map")</f>
        <v>View Map</v>
      </c>
    </row>
    <row r="6276" spans="1:7" x14ac:dyDescent="0.3">
      <c r="A6276" t="s">
        <v>10532</v>
      </c>
      <c r="B6276" t="s">
        <v>10533</v>
      </c>
      <c r="C6276" t="s">
        <v>393</v>
      </c>
      <c r="D6276">
        <v>1.7050000000000001</v>
      </c>
      <c r="E6276">
        <v>546</v>
      </c>
      <c r="F6276" t="str">
        <f>HYPERLINK("https://www.google.com/maps/search/?api=1&amp;query=22.92876782,45.45121733", "View Map")</f>
        <v>View Map</v>
      </c>
      <c r="G6276" s="2">
        <v>0.81346753515650283</v>
      </c>
    </row>
    <row r="6277" spans="1:7" x14ac:dyDescent="0.3">
      <c r="A6277" t="s">
        <v>4101</v>
      </c>
      <c r="B6277" t="s">
        <v>4102</v>
      </c>
      <c r="C6277" t="s">
        <v>8</v>
      </c>
      <c r="D6277">
        <v>1.7050000000000001</v>
      </c>
      <c r="E6277">
        <v>546</v>
      </c>
      <c r="F6277" t="str">
        <f>HYPERLINK("https://www.google.com/maps/search/?api=1&amp;query=24.57384886,46.71337917", "View Map")</f>
        <v>View Map</v>
      </c>
    </row>
    <row r="6278" spans="1:7" x14ac:dyDescent="0.3">
      <c r="A6278" t="s">
        <v>869</v>
      </c>
      <c r="B6278" t="s">
        <v>5443</v>
      </c>
      <c r="C6278" t="s">
        <v>8</v>
      </c>
      <c r="D6278">
        <v>1.7050000000000001</v>
      </c>
      <c r="E6278">
        <v>546</v>
      </c>
      <c r="F6278" t="str">
        <f>HYPERLINK("https://www.google.com/maps/search/?api=1&amp;query=24.56840849,46.78635256", "View Map")</f>
        <v>View Map</v>
      </c>
    </row>
    <row r="6279" spans="1:7" x14ac:dyDescent="0.3">
      <c r="A6279" t="s">
        <v>12453</v>
      </c>
      <c r="B6279" t="s">
        <v>12454</v>
      </c>
      <c r="C6279" t="s">
        <v>21</v>
      </c>
      <c r="D6279">
        <v>1.7050000000000001</v>
      </c>
      <c r="E6279">
        <v>545</v>
      </c>
      <c r="F6279" t="str">
        <f>HYPERLINK("https://www.google.com/maps/search/?api=1&amp;query=26.28630093,44.8260212", "View Map")</f>
        <v>View Map</v>
      </c>
      <c r="G6279" s="2">
        <v>0.68076891384746574</v>
      </c>
    </row>
    <row r="6280" spans="1:7" x14ac:dyDescent="0.3">
      <c r="A6280" t="s">
        <v>1594</v>
      </c>
      <c r="B6280" t="s">
        <v>12455</v>
      </c>
      <c r="C6280" t="s">
        <v>296</v>
      </c>
      <c r="D6280">
        <v>1.704</v>
      </c>
      <c r="E6280">
        <v>545</v>
      </c>
      <c r="F6280" t="str">
        <f>HYPERLINK("https://www.google.com/maps/search/?api=1&amp;query=24.48079764,46.27765316", "View Map")</f>
        <v>View Map</v>
      </c>
    </row>
    <row r="6281" spans="1:7" x14ac:dyDescent="0.3">
      <c r="A6281" t="s">
        <v>12456</v>
      </c>
      <c r="B6281" t="s">
        <v>12457</v>
      </c>
      <c r="C6281" t="s">
        <v>393</v>
      </c>
      <c r="D6281">
        <v>1.7030000000000001</v>
      </c>
      <c r="E6281">
        <v>545</v>
      </c>
      <c r="F6281" t="str">
        <f>HYPERLINK("https://www.google.com/maps/search/?api=1&amp;query=23.81971553,45.26074422", "View Map")</f>
        <v>View Map</v>
      </c>
      <c r="G6281" s="2">
        <v>0.76790674437540607</v>
      </c>
    </row>
    <row r="6282" spans="1:7" x14ac:dyDescent="0.3">
      <c r="A6282" t="s">
        <v>9200</v>
      </c>
      <c r="B6282" t="s">
        <v>9201</v>
      </c>
      <c r="C6282" t="s">
        <v>646</v>
      </c>
      <c r="D6282">
        <v>1.7030000000000001</v>
      </c>
      <c r="E6282">
        <v>545</v>
      </c>
      <c r="F6282" t="str">
        <f>HYPERLINK("https://www.google.com/maps/search/?api=1&amp;query=20.47047306,45.58039175", "View Map")</f>
        <v>View Map</v>
      </c>
    </row>
    <row r="6283" spans="1:7" x14ac:dyDescent="0.3">
      <c r="A6283" t="s">
        <v>12458</v>
      </c>
      <c r="B6283" t="s">
        <v>12459</v>
      </c>
      <c r="C6283" t="s">
        <v>883</v>
      </c>
      <c r="D6283">
        <v>1.7030000000000001</v>
      </c>
      <c r="E6283">
        <v>545</v>
      </c>
      <c r="F6283" t="str">
        <f>HYPERLINK("https://www.google.com/maps/search/?api=1&amp;query=25.53915073,47.18483454", "View Map")</f>
        <v>View Map</v>
      </c>
    </row>
    <row r="6284" spans="1:7" x14ac:dyDescent="0.3">
      <c r="A6284" t="s">
        <v>12460</v>
      </c>
      <c r="B6284" t="s">
        <v>12461</v>
      </c>
      <c r="C6284" t="s">
        <v>8</v>
      </c>
      <c r="D6284">
        <v>1.7030000000000001</v>
      </c>
      <c r="E6284">
        <v>545</v>
      </c>
      <c r="F6284" t="str">
        <f>HYPERLINK("https://www.google.com/maps/search/?api=1&amp;query=24.69938349,46.80608213", "View Map")</f>
        <v>View Map</v>
      </c>
    </row>
    <row r="6285" spans="1:7" x14ac:dyDescent="0.3">
      <c r="A6285" t="s">
        <v>12462</v>
      </c>
      <c r="B6285" t="s">
        <v>12463</v>
      </c>
      <c r="C6285" t="s">
        <v>241</v>
      </c>
      <c r="D6285">
        <v>1.702</v>
      </c>
      <c r="E6285">
        <v>545</v>
      </c>
      <c r="F6285" t="str">
        <f>HYPERLINK("https://www.google.com/maps/search/?api=1&amp;query=20.38271155,45.08122189", "View Map")</f>
        <v>View Map</v>
      </c>
      <c r="G6285" s="2">
        <v>0.55167703565657189</v>
      </c>
    </row>
    <row r="6286" spans="1:7" x14ac:dyDescent="0.3">
      <c r="A6286" t="s">
        <v>10654</v>
      </c>
      <c r="B6286" t="s">
        <v>10655</v>
      </c>
      <c r="C6286" t="s">
        <v>255</v>
      </c>
      <c r="D6286">
        <v>1.702</v>
      </c>
      <c r="E6286">
        <v>545</v>
      </c>
      <c r="F6286" t="str">
        <f>HYPERLINK("https://www.google.com/maps/search/?api=1&amp;query=24.27338534,44.18764969", "View Map")</f>
        <v>View Map</v>
      </c>
    </row>
    <row r="6287" spans="1:7" x14ac:dyDescent="0.3">
      <c r="A6287" t="s">
        <v>1788</v>
      </c>
      <c r="B6287" t="s">
        <v>11012</v>
      </c>
      <c r="C6287" t="s">
        <v>393</v>
      </c>
      <c r="D6287">
        <v>1.702</v>
      </c>
      <c r="E6287">
        <v>545</v>
      </c>
      <c r="F6287" t="str">
        <f>HYPERLINK("https://www.google.com/maps/search/?api=1&amp;query=23.68014878,45.24605677", "View Map")</f>
        <v>View Map</v>
      </c>
      <c r="G6287" s="2">
        <v>0.91582992972720201</v>
      </c>
    </row>
    <row r="6288" spans="1:7" x14ac:dyDescent="0.3">
      <c r="A6288" t="s">
        <v>7685</v>
      </c>
      <c r="B6288" t="s">
        <v>7686</v>
      </c>
      <c r="C6288" t="s">
        <v>21</v>
      </c>
      <c r="D6288">
        <v>1.702</v>
      </c>
      <c r="E6288">
        <v>545</v>
      </c>
      <c r="F6288" t="str">
        <f>HYPERLINK("https://www.google.com/maps/search/?api=1&amp;query=26.30076037,44.7985471", "View Map")</f>
        <v>View Map</v>
      </c>
      <c r="G6288" s="2">
        <v>0.32450702527735598</v>
      </c>
    </row>
    <row r="6289" spans="1:7" x14ac:dyDescent="0.3">
      <c r="A6289" t="s">
        <v>12464</v>
      </c>
      <c r="B6289" t="s">
        <v>12465</v>
      </c>
      <c r="C6289" t="s">
        <v>8</v>
      </c>
      <c r="D6289">
        <v>1.7010000000000001</v>
      </c>
      <c r="E6289">
        <v>544</v>
      </c>
      <c r="F6289" t="str">
        <f>HYPERLINK("https://www.google.com/maps/search/?api=1&amp;query=24.59955274,46.77810022", "View Map")</f>
        <v>View Map</v>
      </c>
    </row>
    <row r="6290" spans="1:7" x14ac:dyDescent="0.3">
      <c r="A6290" t="s">
        <v>12466</v>
      </c>
      <c r="B6290" t="s">
        <v>12467</v>
      </c>
      <c r="C6290" t="s">
        <v>8</v>
      </c>
      <c r="D6290">
        <v>1.7010000000000001</v>
      </c>
      <c r="E6290">
        <v>544</v>
      </c>
      <c r="F6290" t="str">
        <f>HYPERLINK("https://www.google.com/maps/search/?api=1&amp;query=24.57619682,46.77591652", "View Map")</f>
        <v>View Map</v>
      </c>
    </row>
    <row r="6291" spans="1:7" x14ac:dyDescent="0.3">
      <c r="A6291" t="s">
        <v>12468</v>
      </c>
      <c r="B6291" t="s">
        <v>12469</v>
      </c>
      <c r="C6291" t="s">
        <v>291</v>
      </c>
      <c r="D6291">
        <v>1.7010000000000001</v>
      </c>
      <c r="E6291">
        <v>544</v>
      </c>
      <c r="F6291" t="str">
        <f>HYPERLINK("https://www.google.com/maps/search/?api=1&amp;query=22.59560947,44.68015516", "View Map")</f>
        <v>View Map</v>
      </c>
      <c r="G6291" s="2">
        <v>0.75353868520556166</v>
      </c>
    </row>
    <row r="6292" spans="1:7" x14ac:dyDescent="0.3">
      <c r="A6292" t="s">
        <v>10240</v>
      </c>
      <c r="B6292" t="s">
        <v>10241</v>
      </c>
      <c r="C6292" t="s">
        <v>214</v>
      </c>
      <c r="D6292">
        <v>1.7</v>
      </c>
      <c r="E6292">
        <v>544</v>
      </c>
      <c r="F6292" t="str">
        <f>HYPERLINK("https://www.google.com/maps/search/?api=1&amp;query=25.62308728,45.57784672", "View Map")</f>
        <v>View Map</v>
      </c>
      <c r="G6292" s="2">
        <v>0.60325710435649282</v>
      </c>
    </row>
    <row r="6293" spans="1:7" x14ac:dyDescent="0.3">
      <c r="A6293" t="s">
        <v>46</v>
      </c>
      <c r="B6293" t="s">
        <v>10859</v>
      </c>
      <c r="C6293" t="s">
        <v>8</v>
      </c>
      <c r="D6293">
        <v>1.7</v>
      </c>
      <c r="E6293">
        <v>544</v>
      </c>
      <c r="F6293" t="str">
        <f>HYPERLINK("https://www.google.com/maps/search/?api=1&amp;query=24.60827865,46.5058625", "View Map")</f>
        <v>View Map</v>
      </c>
    </row>
    <row r="6294" spans="1:7" x14ac:dyDescent="0.3">
      <c r="A6294" t="s">
        <v>4566</v>
      </c>
      <c r="B6294" t="s">
        <v>4567</v>
      </c>
      <c r="C6294" t="s">
        <v>296</v>
      </c>
      <c r="D6294">
        <v>1.7</v>
      </c>
      <c r="E6294">
        <v>544</v>
      </c>
      <c r="F6294" t="str">
        <f>HYPERLINK("https://www.google.com/maps/search/?api=1&amp;query=24.47678497,46.27644237", "View Map")</f>
        <v>View Map</v>
      </c>
    </row>
    <row r="6295" spans="1:7" x14ac:dyDescent="0.3">
      <c r="A6295" t="s">
        <v>1813</v>
      </c>
      <c r="B6295" t="s">
        <v>1814</v>
      </c>
      <c r="C6295" t="s">
        <v>442</v>
      </c>
      <c r="D6295">
        <v>1.7</v>
      </c>
      <c r="E6295">
        <v>544</v>
      </c>
      <c r="F6295" t="str">
        <f>HYPERLINK("https://www.google.com/maps/search/?api=1&amp;query=23.63658891,46.50142543", "View Map")</f>
        <v>View Map</v>
      </c>
      <c r="G6295" s="2">
        <v>0.1575666361542454</v>
      </c>
    </row>
    <row r="6296" spans="1:7" x14ac:dyDescent="0.3">
      <c r="A6296" t="s">
        <v>9774</v>
      </c>
      <c r="B6296" t="s">
        <v>9775</v>
      </c>
      <c r="C6296" t="s">
        <v>214</v>
      </c>
      <c r="D6296">
        <v>1.6990000000000001</v>
      </c>
      <c r="E6296">
        <v>544</v>
      </c>
      <c r="F6296" t="str">
        <f>HYPERLINK("https://www.google.com/maps/search/?api=1&amp;query=26.86940434,45.2427869", "View Map")</f>
        <v>View Map</v>
      </c>
      <c r="G6296" s="2">
        <v>0.60911926851281473</v>
      </c>
    </row>
    <row r="6297" spans="1:7" x14ac:dyDescent="0.3">
      <c r="A6297" t="s">
        <v>10289</v>
      </c>
      <c r="B6297" t="s">
        <v>10290</v>
      </c>
      <c r="C6297" t="s">
        <v>55</v>
      </c>
      <c r="D6297">
        <v>1.6990000000000001</v>
      </c>
      <c r="E6297">
        <v>544</v>
      </c>
      <c r="F6297" t="str">
        <f>HYPERLINK("https://www.google.com/maps/search/?api=1&amp;query=24.90268,46.38495", "View Map")</f>
        <v>View Map</v>
      </c>
    </row>
    <row r="6298" spans="1:7" x14ac:dyDescent="0.3">
      <c r="A6298" t="s">
        <v>7510</v>
      </c>
      <c r="B6298" t="s">
        <v>7511</v>
      </c>
      <c r="C6298" t="s">
        <v>364</v>
      </c>
      <c r="D6298">
        <v>1.698</v>
      </c>
      <c r="E6298">
        <v>543</v>
      </c>
      <c r="F6298" t="str">
        <f>HYPERLINK("https://www.google.com/maps/search/?api=1&amp;query=25.17511556,45.80038916", "View Map")</f>
        <v>View Map</v>
      </c>
    </row>
    <row r="6299" spans="1:7" x14ac:dyDescent="0.3">
      <c r="A6299" t="s">
        <v>8913</v>
      </c>
      <c r="B6299" t="s">
        <v>8914</v>
      </c>
      <c r="C6299" t="s">
        <v>8</v>
      </c>
      <c r="D6299">
        <v>1.6970000000000001</v>
      </c>
      <c r="E6299">
        <v>543</v>
      </c>
      <c r="F6299" t="str">
        <f>HYPERLINK("https://www.google.com/maps/search/?api=1&amp;query=24.76615888,46.70065001", "View Map")</f>
        <v>View Map</v>
      </c>
    </row>
    <row r="6300" spans="1:7" x14ac:dyDescent="0.3">
      <c r="A6300" t="s">
        <v>2525</v>
      </c>
      <c r="B6300" t="s">
        <v>2526</v>
      </c>
      <c r="C6300" t="s">
        <v>8</v>
      </c>
      <c r="D6300">
        <v>1.696</v>
      </c>
      <c r="E6300">
        <v>543</v>
      </c>
      <c r="F6300" t="str">
        <f>HYPERLINK("https://www.google.com/maps/search/?api=1&amp;query=24.7564232,46.6780316", "View Map")</f>
        <v>View Map</v>
      </c>
      <c r="G6300" s="2">
        <v>0.1273873259579541</v>
      </c>
    </row>
    <row r="6301" spans="1:7" x14ac:dyDescent="0.3">
      <c r="A6301" t="s">
        <v>12470</v>
      </c>
      <c r="B6301" t="s">
        <v>12471</v>
      </c>
      <c r="C6301" t="s">
        <v>8</v>
      </c>
      <c r="D6301">
        <v>1.696</v>
      </c>
      <c r="E6301">
        <v>543</v>
      </c>
      <c r="F6301" t="str">
        <f>HYPERLINK("https://www.google.com/maps/search/?api=1&amp;query=24.65561352,46.70763406", "View Map")</f>
        <v>View Map</v>
      </c>
    </row>
    <row r="6302" spans="1:7" x14ac:dyDescent="0.3">
      <c r="A6302" t="s">
        <v>8937</v>
      </c>
      <c r="B6302" t="s">
        <v>8938</v>
      </c>
      <c r="C6302" t="s">
        <v>270</v>
      </c>
      <c r="D6302">
        <v>1.6950000000000001</v>
      </c>
      <c r="E6302">
        <v>542</v>
      </c>
      <c r="F6302" t="str">
        <f>HYPERLINK("https://www.google.com/maps/search/?api=1&amp;query=23.98908146,47.16605428", "View Map")</f>
        <v>View Map</v>
      </c>
    </row>
    <row r="6303" spans="1:7" x14ac:dyDescent="0.3">
      <c r="A6303" t="s">
        <v>9047</v>
      </c>
      <c r="B6303" t="s">
        <v>9048</v>
      </c>
      <c r="C6303" t="s">
        <v>8</v>
      </c>
      <c r="D6303">
        <v>1.6950000000000001</v>
      </c>
      <c r="E6303">
        <v>542</v>
      </c>
      <c r="F6303" t="str">
        <f>HYPERLINK("https://www.google.com/maps/search/?api=1&amp;query=24.67184734,46.66423716", "View Map")</f>
        <v>View Map</v>
      </c>
    </row>
    <row r="6304" spans="1:7" x14ac:dyDescent="0.3">
      <c r="A6304" t="s">
        <v>12472</v>
      </c>
      <c r="B6304" t="s">
        <v>12473</v>
      </c>
      <c r="C6304" t="s">
        <v>8</v>
      </c>
      <c r="D6304">
        <v>1.6950000000000001</v>
      </c>
      <c r="E6304">
        <v>542</v>
      </c>
      <c r="F6304" t="str">
        <f>HYPERLINK("https://www.google.com/maps/search/?api=1&amp;query=24.53164516,46.70992695", "View Map")</f>
        <v>View Map</v>
      </c>
    </row>
    <row r="6305" spans="1:7" x14ac:dyDescent="0.3">
      <c r="A6305" t="s">
        <v>10634</v>
      </c>
      <c r="B6305" t="s">
        <v>10635</v>
      </c>
      <c r="C6305" t="s">
        <v>270</v>
      </c>
      <c r="D6305">
        <v>1.694</v>
      </c>
      <c r="E6305">
        <v>542</v>
      </c>
      <c r="F6305" t="str">
        <f>HYPERLINK("https://www.google.com/maps/search/?api=1&amp;query=24.00774477,47.17275254", "View Map")</f>
        <v>View Map</v>
      </c>
      <c r="G6305" s="2">
        <v>0.63657438481210382</v>
      </c>
    </row>
    <row r="6306" spans="1:7" x14ac:dyDescent="0.3">
      <c r="A6306" t="s">
        <v>12474</v>
      </c>
      <c r="B6306" t="s">
        <v>12475</v>
      </c>
      <c r="C6306" t="s">
        <v>55</v>
      </c>
      <c r="D6306">
        <v>1.694</v>
      </c>
      <c r="E6306">
        <v>542</v>
      </c>
      <c r="F6306" t="str">
        <f>HYPERLINK("https://www.google.com/maps/search/?api=1&amp;query=24.90907686,46.44611664", "View Map")</f>
        <v>View Map</v>
      </c>
    </row>
    <row r="6307" spans="1:7" x14ac:dyDescent="0.3">
      <c r="A6307" t="s">
        <v>7624</v>
      </c>
      <c r="B6307" t="s">
        <v>7625</v>
      </c>
      <c r="C6307" t="s">
        <v>8</v>
      </c>
      <c r="D6307">
        <v>1.6930000000000001</v>
      </c>
      <c r="E6307">
        <v>542</v>
      </c>
      <c r="F6307" t="str">
        <f>HYPERLINK("https://www.google.com/maps/search/?api=1&amp;query=24.70077596,46.8495959", "View Map")</f>
        <v>View Map</v>
      </c>
    </row>
    <row r="6308" spans="1:7" x14ac:dyDescent="0.3">
      <c r="A6308" t="s">
        <v>6777</v>
      </c>
      <c r="B6308" t="s">
        <v>6778</v>
      </c>
      <c r="C6308" t="s">
        <v>8</v>
      </c>
      <c r="D6308">
        <v>1.6930000000000001</v>
      </c>
      <c r="E6308">
        <v>542</v>
      </c>
      <c r="F6308" t="str">
        <f>HYPERLINK("https://www.google.com/maps/search/?api=1&amp;query=24.81102076,46.90438785", "View Map")</f>
        <v>View Map</v>
      </c>
    </row>
    <row r="6309" spans="1:7" x14ac:dyDescent="0.3">
      <c r="A6309" t="s">
        <v>12476</v>
      </c>
      <c r="B6309" t="s">
        <v>12477</v>
      </c>
      <c r="C6309" t="s">
        <v>8</v>
      </c>
      <c r="D6309">
        <v>1.6919999999999999</v>
      </c>
      <c r="E6309">
        <v>541</v>
      </c>
      <c r="F6309" t="str">
        <f>HYPERLINK("https://www.google.com/maps/search/?api=1&amp;query=24.63184549,46.70601154", "View Map")</f>
        <v>View Map</v>
      </c>
    </row>
    <row r="6310" spans="1:7" x14ac:dyDescent="0.3">
      <c r="A6310" t="s">
        <v>46</v>
      </c>
      <c r="B6310" t="s">
        <v>10704</v>
      </c>
      <c r="C6310" t="s">
        <v>8</v>
      </c>
      <c r="D6310">
        <v>1.6910000000000001</v>
      </c>
      <c r="E6310">
        <v>541</v>
      </c>
      <c r="F6310" t="str">
        <f>HYPERLINK("https://www.google.com/maps/search/?api=1&amp;query=24.59235485,46.7855268", "View Map")</f>
        <v>View Map</v>
      </c>
      <c r="G6310" s="2">
        <v>0.78493492854525015</v>
      </c>
    </row>
    <row r="6311" spans="1:7" x14ac:dyDescent="0.3">
      <c r="A6311" t="s">
        <v>6601</v>
      </c>
      <c r="B6311" t="s">
        <v>6602</v>
      </c>
      <c r="C6311" t="s">
        <v>8</v>
      </c>
      <c r="D6311">
        <v>1.6910000000000001</v>
      </c>
      <c r="E6311">
        <v>541</v>
      </c>
      <c r="F6311" t="str">
        <f>HYPERLINK("https://www.google.com/maps/search/?api=1&amp;query=24.74523668,46.69850195", "View Map")</f>
        <v>View Map</v>
      </c>
    </row>
    <row r="6312" spans="1:7" x14ac:dyDescent="0.3">
      <c r="A6312" t="s">
        <v>6068</v>
      </c>
      <c r="B6312" t="s">
        <v>8435</v>
      </c>
      <c r="C6312" t="s">
        <v>16</v>
      </c>
      <c r="D6312">
        <v>1.6910000000000001</v>
      </c>
      <c r="E6312">
        <v>541</v>
      </c>
      <c r="F6312" t="str">
        <f>HYPERLINK("https://www.google.com/maps/search/?api=1&amp;query=23.90664407,42.90713494", "View Map")</f>
        <v>View Map</v>
      </c>
    </row>
    <row r="6313" spans="1:7" x14ac:dyDescent="0.3">
      <c r="A6313" t="s">
        <v>146</v>
      </c>
      <c r="B6313" t="s">
        <v>12478</v>
      </c>
      <c r="C6313" t="s">
        <v>8</v>
      </c>
      <c r="D6313">
        <v>1.69</v>
      </c>
      <c r="E6313">
        <v>541</v>
      </c>
      <c r="F6313" t="str">
        <f>HYPERLINK("https://www.google.com/maps/search/?api=1&amp;query=24.5533,46.5428", "View Map")</f>
        <v>View Map</v>
      </c>
    </row>
    <row r="6314" spans="1:7" x14ac:dyDescent="0.3">
      <c r="A6314" t="s">
        <v>11161</v>
      </c>
      <c r="B6314" t="s">
        <v>11162</v>
      </c>
      <c r="C6314" t="s">
        <v>214</v>
      </c>
      <c r="D6314">
        <v>1.69</v>
      </c>
      <c r="E6314">
        <v>541</v>
      </c>
      <c r="F6314" t="str">
        <f>HYPERLINK("https://www.google.com/maps/search/?api=1&amp;query=25.91176436,45.37060117", "View Map")</f>
        <v>View Map</v>
      </c>
    </row>
    <row r="6315" spans="1:7" x14ac:dyDescent="0.3">
      <c r="A6315" t="s">
        <v>12479</v>
      </c>
      <c r="B6315" t="s">
        <v>12480</v>
      </c>
      <c r="C6315" t="s">
        <v>883</v>
      </c>
      <c r="D6315">
        <v>1.69</v>
      </c>
      <c r="E6315">
        <v>541</v>
      </c>
      <c r="F6315" t="str">
        <f>HYPERLINK("https://www.google.com/maps/search/?api=1&amp;query=25.54150927,47.18015444", "View Map")</f>
        <v>View Map</v>
      </c>
    </row>
    <row r="6316" spans="1:7" x14ac:dyDescent="0.3">
      <c r="A6316" t="s">
        <v>46</v>
      </c>
      <c r="B6316" t="s">
        <v>7322</v>
      </c>
      <c r="C6316" t="s">
        <v>8</v>
      </c>
      <c r="D6316">
        <v>1.6890000000000001</v>
      </c>
      <c r="E6316">
        <v>540</v>
      </c>
      <c r="F6316" t="str">
        <f>HYPERLINK("https://www.google.com/maps/search/?api=1&amp;query=24.81638137,46.59606545", "View Map")</f>
        <v>View Map</v>
      </c>
    </row>
    <row r="6317" spans="1:7" x14ac:dyDescent="0.3">
      <c r="A6317" t="s">
        <v>12481</v>
      </c>
      <c r="B6317" t="s">
        <v>12482</v>
      </c>
      <c r="C6317" t="s">
        <v>241</v>
      </c>
      <c r="D6317">
        <v>1.6879999999999999</v>
      </c>
      <c r="E6317">
        <v>540</v>
      </c>
      <c r="F6317" t="str">
        <f>HYPERLINK("https://www.google.com/maps/search/?api=1&amp;query=20.45518368,44.7937321", "View Map")</f>
        <v>View Map</v>
      </c>
      <c r="G6317" s="2">
        <v>0.86807373304231716</v>
      </c>
    </row>
    <row r="6318" spans="1:7" x14ac:dyDescent="0.3">
      <c r="A6318" t="s">
        <v>4412</v>
      </c>
      <c r="B6318" t="s">
        <v>12483</v>
      </c>
      <c r="C6318" t="s">
        <v>16</v>
      </c>
      <c r="D6318">
        <v>1.6879999999999999</v>
      </c>
      <c r="E6318">
        <v>540</v>
      </c>
      <c r="F6318" t="str">
        <f>HYPERLINK("https://www.google.com/maps/search/?api=1&amp;query=23.8825246,42.88010277", "View Map")</f>
        <v>View Map</v>
      </c>
    </row>
    <row r="6319" spans="1:7" x14ac:dyDescent="0.3">
      <c r="A6319" t="s">
        <v>12484</v>
      </c>
      <c r="B6319" t="s">
        <v>12485</v>
      </c>
      <c r="C6319" t="s">
        <v>291</v>
      </c>
      <c r="D6319">
        <v>1.6879999999999999</v>
      </c>
      <c r="E6319">
        <v>540</v>
      </c>
      <c r="F6319" t="str">
        <f>HYPERLINK("https://www.google.com/maps/search/?api=1&amp;query=24.04849356,45.2583506", "View Map")</f>
        <v>View Map</v>
      </c>
    </row>
    <row r="6320" spans="1:7" x14ac:dyDescent="0.3">
      <c r="A6320" t="s">
        <v>146</v>
      </c>
      <c r="B6320" t="s">
        <v>12486</v>
      </c>
      <c r="C6320" t="s">
        <v>8</v>
      </c>
      <c r="D6320">
        <v>1.6879999999999999</v>
      </c>
      <c r="E6320">
        <v>540</v>
      </c>
      <c r="F6320" t="str">
        <f>HYPERLINK("https://www.google.com/maps/search/?api=1&amp;query=24.55825237,46.53394679", "View Map")</f>
        <v>View Map</v>
      </c>
    </row>
    <row r="6321" spans="1:7" x14ac:dyDescent="0.3">
      <c r="A6321" t="s">
        <v>9583</v>
      </c>
      <c r="B6321" t="s">
        <v>9584</v>
      </c>
      <c r="C6321" t="s">
        <v>8</v>
      </c>
      <c r="D6321">
        <v>1.6879999999999999</v>
      </c>
      <c r="E6321">
        <v>540</v>
      </c>
      <c r="F6321" t="str">
        <f>HYPERLINK("https://www.google.com/maps/search/?api=1&amp;query=24.56979084,46.78934587", "View Map")</f>
        <v>View Map</v>
      </c>
    </row>
    <row r="6322" spans="1:7" x14ac:dyDescent="0.3">
      <c r="A6322" t="s">
        <v>7194</v>
      </c>
      <c r="B6322" t="s">
        <v>7195</v>
      </c>
      <c r="C6322" t="s">
        <v>8</v>
      </c>
      <c r="D6322">
        <v>1.6870000000000001</v>
      </c>
      <c r="E6322">
        <v>540</v>
      </c>
      <c r="F6322" t="str">
        <f>HYPERLINK("https://www.google.com/maps/search/?api=1&amp;query=24.81081046,46.869733", "View Map")</f>
        <v>View Map</v>
      </c>
    </row>
    <row r="6323" spans="1:7" x14ac:dyDescent="0.3">
      <c r="A6323" t="s">
        <v>2698</v>
      </c>
      <c r="B6323" t="s">
        <v>2699</v>
      </c>
      <c r="C6323" t="s">
        <v>8</v>
      </c>
      <c r="D6323">
        <v>1.6870000000000001</v>
      </c>
      <c r="E6323">
        <v>540</v>
      </c>
      <c r="F6323" t="str">
        <f>HYPERLINK("https://www.google.com/maps/search/?api=1&amp;query=24.75338127,46.74998884", "View Map")</f>
        <v>View Map</v>
      </c>
    </row>
    <row r="6324" spans="1:7" x14ac:dyDescent="0.3">
      <c r="A6324" t="s">
        <v>73</v>
      </c>
      <c r="B6324" t="s">
        <v>9148</v>
      </c>
      <c r="C6324" t="s">
        <v>8</v>
      </c>
      <c r="D6324">
        <v>1.6870000000000001</v>
      </c>
      <c r="E6324">
        <v>540</v>
      </c>
      <c r="F6324" t="str">
        <f>HYPERLINK("https://www.google.com/maps/search/?api=1&amp;query=24.81874096,46.65453281", "View Map")</f>
        <v>View Map</v>
      </c>
    </row>
    <row r="6325" spans="1:7" x14ac:dyDescent="0.3">
      <c r="A6325" t="s">
        <v>46</v>
      </c>
      <c r="B6325" t="s">
        <v>12487</v>
      </c>
      <c r="C6325" t="s">
        <v>8</v>
      </c>
      <c r="D6325">
        <v>1.6870000000000001</v>
      </c>
      <c r="E6325">
        <v>540</v>
      </c>
      <c r="F6325" t="str">
        <f>HYPERLINK("https://www.google.com/maps/search/?api=1&amp;query=24.91581198,46.77978704", "View Map")</f>
        <v>View Map</v>
      </c>
    </row>
    <row r="6326" spans="1:7" x14ac:dyDescent="0.3">
      <c r="A6326" t="s">
        <v>12488</v>
      </c>
      <c r="B6326" t="s">
        <v>12489</v>
      </c>
      <c r="C6326" t="s">
        <v>8</v>
      </c>
      <c r="D6326">
        <v>1.6870000000000001</v>
      </c>
      <c r="E6326">
        <v>540</v>
      </c>
      <c r="F6326" t="str">
        <f>HYPERLINK("https://www.google.com/maps/search/?api=1&amp;query=24.62049335,46.69247666", "View Map")</f>
        <v>View Map</v>
      </c>
    </row>
    <row r="6327" spans="1:7" x14ac:dyDescent="0.3">
      <c r="A6327" t="s">
        <v>12490</v>
      </c>
      <c r="B6327" t="s">
        <v>12491</v>
      </c>
      <c r="C6327" t="s">
        <v>214</v>
      </c>
      <c r="D6327">
        <v>1.6870000000000001</v>
      </c>
      <c r="E6327">
        <v>540</v>
      </c>
      <c r="F6327" t="str">
        <f>HYPERLINK("https://www.google.com/maps/search/?api=1&amp;query=25.70102713,45.59384034", "View Map")</f>
        <v>View Map</v>
      </c>
      <c r="G6327" s="2">
        <v>0.83688684368934418</v>
      </c>
    </row>
    <row r="6328" spans="1:7" x14ac:dyDescent="0.3">
      <c r="A6328" t="s">
        <v>9919</v>
      </c>
      <c r="B6328" t="s">
        <v>9920</v>
      </c>
      <c r="C6328" t="s">
        <v>8</v>
      </c>
      <c r="D6328">
        <v>1.6870000000000001</v>
      </c>
      <c r="E6328">
        <v>540</v>
      </c>
      <c r="F6328" t="str">
        <f>HYPERLINK("https://www.google.com/maps/search/?api=1&amp;query=24.68089277,46.68395598", "View Map")</f>
        <v>View Map</v>
      </c>
    </row>
    <row r="6329" spans="1:7" x14ac:dyDescent="0.3">
      <c r="A6329" t="s">
        <v>12492</v>
      </c>
      <c r="B6329" t="s">
        <v>12493</v>
      </c>
      <c r="C6329" t="s">
        <v>883</v>
      </c>
      <c r="D6329">
        <v>1.6859999999999999</v>
      </c>
      <c r="E6329">
        <v>540</v>
      </c>
      <c r="F6329" t="str">
        <f>HYPERLINK("https://www.google.com/maps/search/?api=1&amp;query=25.57024846,47.16985285", "View Map")</f>
        <v>View Map</v>
      </c>
      <c r="G6329" s="2">
        <v>0.54632712792298055</v>
      </c>
    </row>
    <row r="6330" spans="1:7" x14ac:dyDescent="0.3">
      <c r="A6330" t="s">
        <v>11108</v>
      </c>
      <c r="B6330" t="s">
        <v>11109</v>
      </c>
      <c r="C6330" t="s">
        <v>270</v>
      </c>
      <c r="D6330">
        <v>1.6859999999999999</v>
      </c>
      <c r="E6330">
        <v>539</v>
      </c>
      <c r="F6330" t="str">
        <f>HYPERLINK("https://www.google.com/maps/search/?api=1&amp;query=24.00574219,47.10597871", "View Map")</f>
        <v>View Map</v>
      </c>
      <c r="G6330" s="2">
        <v>0.47894014829265241</v>
      </c>
    </row>
    <row r="6331" spans="1:7" x14ac:dyDescent="0.3">
      <c r="A6331" t="s">
        <v>2968</v>
      </c>
      <c r="B6331" t="s">
        <v>2969</v>
      </c>
      <c r="C6331" t="s">
        <v>30</v>
      </c>
      <c r="D6331">
        <v>1.6859999999999999</v>
      </c>
      <c r="E6331">
        <v>539</v>
      </c>
      <c r="F6331" t="str">
        <f>HYPERLINK("https://www.google.com/maps/search/?api=1&amp;query=24.15622105,47.37319424", "View Map")</f>
        <v>View Map</v>
      </c>
      <c r="G6331" s="2">
        <v>0.19538874039198451</v>
      </c>
    </row>
    <row r="6332" spans="1:7" x14ac:dyDescent="0.3">
      <c r="A6332" t="s">
        <v>12494</v>
      </c>
      <c r="B6332" t="s">
        <v>12495</v>
      </c>
      <c r="C6332" t="s">
        <v>8</v>
      </c>
      <c r="D6332">
        <v>1.6839999999999999</v>
      </c>
      <c r="E6332">
        <v>539</v>
      </c>
      <c r="F6332" t="str">
        <f>HYPERLINK("https://www.google.com/maps/search/?api=1&amp;query=24.71114465,46.8492759", "View Map")</f>
        <v>View Map</v>
      </c>
    </row>
    <row r="6333" spans="1:7" x14ac:dyDescent="0.3">
      <c r="A6333" t="s">
        <v>12496</v>
      </c>
      <c r="B6333" t="s">
        <v>12497</v>
      </c>
      <c r="C6333" t="s">
        <v>291</v>
      </c>
      <c r="D6333">
        <v>1.6839999999999999</v>
      </c>
      <c r="E6333">
        <v>539</v>
      </c>
      <c r="F6333" t="str">
        <f>HYPERLINK("https://www.google.com/maps/search/?api=1&amp;query=24.01623286,45.21226233", "View Map")</f>
        <v>View Map</v>
      </c>
      <c r="G6333" s="2">
        <v>0.67053398252121243</v>
      </c>
    </row>
    <row r="6334" spans="1:7" x14ac:dyDescent="0.3">
      <c r="A6334" t="s">
        <v>7202</v>
      </c>
      <c r="B6334" t="s">
        <v>7203</v>
      </c>
      <c r="C6334" t="s">
        <v>8</v>
      </c>
      <c r="D6334">
        <v>1.6839999999999999</v>
      </c>
      <c r="E6334">
        <v>539</v>
      </c>
      <c r="F6334" t="str">
        <f>HYPERLINK("https://www.google.com/maps/search/?api=1&amp;query=24.59384368,46.64208415", "View Map")</f>
        <v>View Map</v>
      </c>
    </row>
    <row r="6335" spans="1:7" x14ac:dyDescent="0.3">
      <c r="A6335" t="s">
        <v>479</v>
      </c>
      <c r="B6335" t="s">
        <v>10244</v>
      </c>
      <c r="C6335" t="s">
        <v>738</v>
      </c>
      <c r="D6335">
        <v>1.6830000000000001</v>
      </c>
      <c r="E6335">
        <v>539</v>
      </c>
      <c r="F6335" t="str">
        <f>HYPERLINK("https://www.google.com/maps/search/?api=1&amp;query=25.11783538,46.15459488", "View Map")</f>
        <v>View Map</v>
      </c>
      <c r="G6335" s="2">
        <v>0.49250106550467432</v>
      </c>
    </row>
    <row r="6336" spans="1:7" x14ac:dyDescent="0.3">
      <c r="A6336" t="s">
        <v>46</v>
      </c>
      <c r="B6336" t="s">
        <v>8347</v>
      </c>
      <c r="C6336" t="s">
        <v>8</v>
      </c>
      <c r="D6336">
        <v>1.6830000000000001</v>
      </c>
      <c r="E6336">
        <v>538</v>
      </c>
      <c r="F6336" t="str">
        <f>HYPERLINK("https://www.google.com/maps/search/?api=1&amp;query=24.89153858,46.63123524", "View Map")</f>
        <v>View Map</v>
      </c>
    </row>
    <row r="6337" spans="1:7" x14ac:dyDescent="0.3">
      <c r="A6337" t="s">
        <v>150</v>
      </c>
      <c r="B6337" t="s">
        <v>12498</v>
      </c>
      <c r="C6337" t="s">
        <v>8</v>
      </c>
      <c r="D6337">
        <v>1.6819999999999999</v>
      </c>
      <c r="E6337">
        <v>538</v>
      </c>
      <c r="F6337" t="str">
        <f>HYPERLINK("https://www.google.com/maps/search/?api=1&amp;query=24.71129652,46.6781532", "View Map")</f>
        <v>View Map</v>
      </c>
    </row>
    <row r="6338" spans="1:7" x14ac:dyDescent="0.3">
      <c r="A6338" t="s">
        <v>12499</v>
      </c>
      <c r="B6338" t="s">
        <v>12500</v>
      </c>
      <c r="C6338" t="s">
        <v>291</v>
      </c>
      <c r="D6338">
        <v>1.6819999999999999</v>
      </c>
      <c r="E6338">
        <v>538</v>
      </c>
      <c r="F6338" t="str">
        <f>HYPERLINK("https://www.google.com/maps/search/?api=1&amp;query=24.00603144,45.19362641", "View Map")</f>
        <v>View Map</v>
      </c>
    </row>
    <row r="6339" spans="1:7" x14ac:dyDescent="0.3">
      <c r="A6339" t="s">
        <v>46</v>
      </c>
      <c r="B6339" t="s">
        <v>12501</v>
      </c>
      <c r="C6339" t="s">
        <v>8</v>
      </c>
      <c r="D6339">
        <v>1.681</v>
      </c>
      <c r="E6339">
        <v>538</v>
      </c>
      <c r="F6339" t="str">
        <f>HYPERLINK("https://www.google.com/maps/search/?api=1&amp;query=24.62431564,46.57222066", "View Map")</f>
        <v>View Map</v>
      </c>
    </row>
    <row r="6340" spans="1:7" x14ac:dyDescent="0.3">
      <c r="A6340" t="s">
        <v>46</v>
      </c>
      <c r="B6340" t="s">
        <v>12502</v>
      </c>
      <c r="C6340" t="s">
        <v>8</v>
      </c>
      <c r="D6340">
        <v>1.681</v>
      </c>
      <c r="E6340">
        <v>538</v>
      </c>
      <c r="F6340" t="str">
        <f>HYPERLINK("https://www.google.com/maps/search/?api=1&amp;query=24.73091,46.84381", "View Map")</f>
        <v>View Map</v>
      </c>
    </row>
    <row r="6341" spans="1:7" x14ac:dyDescent="0.3">
      <c r="A6341" t="s">
        <v>1788</v>
      </c>
      <c r="B6341" t="s">
        <v>10587</v>
      </c>
      <c r="C6341" t="s">
        <v>393</v>
      </c>
      <c r="D6341">
        <v>1.679</v>
      </c>
      <c r="E6341">
        <v>537</v>
      </c>
      <c r="F6341" t="str">
        <f>HYPERLINK("https://www.google.com/maps/search/?api=1&amp;query=23.5732873,45.57676162", "View Map")</f>
        <v>View Map</v>
      </c>
      <c r="G6341" s="2">
        <v>0.80104725998001214</v>
      </c>
    </row>
    <row r="6342" spans="1:7" x14ac:dyDescent="0.3">
      <c r="A6342" t="s">
        <v>12503</v>
      </c>
      <c r="B6342" t="s">
        <v>12504</v>
      </c>
      <c r="C6342" t="s">
        <v>8</v>
      </c>
      <c r="D6342">
        <v>1.679</v>
      </c>
      <c r="E6342">
        <v>537</v>
      </c>
      <c r="F6342" t="str">
        <f>HYPERLINK("https://www.google.com/maps/search/?api=1&amp;query=24.55404279,46.68418143", "View Map")</f>
        <v>View Map</v>
      </c>
    </row>
    <row r="6343" spans="1:7" x14ac:dyDescent="0.3">
      <c r="A6343" t="s">
        <v>46</v>
      </c>
      <c r="B6343" t="s">
        <v>12505</v>
      </c>
      <c r="C6343" t="s">
        <v>8</v>
      </c>
      <c r="D6343">
        <v>1.679</v>
      </c>
      <c r="E6343">
        <v>537</v>
      </c>
      <c r="F6343" t="str">
        <f>HYPERLINK("https://www.google.com/maps/search/?api=1&amp;query=24.84567701,46.83004067", "View Map")</f>
        <v>View Map</v>
      </c>
    </row>
    <row r="6344" spans="1:7" x14ac:dyDescent="0.3">
      <c r="A6344" t="s">
        <v>150</v>
      </c>
      <c r="B6344" t="s">
        <v>6726</v>
      </c>
      <c r="C6344" t="s">
        <v>8</v>
      </c>
      <c r="D6344">
        <v>1.679</v>
      </c>
      <c r="E6344">
        <v>537</v>
      </c>
      <c r="F6344" t="str">
        <f>HYPERLINK("https://www.google.com/maps/search/?api=1&amp;query=24.7176634,46.83329429", "View Map")</f>
        <v>View Map</v>
      </c>
    </row>
    <row r="6345" spans="1:7" x14ac:dyDescent="0.3">
      <c r="A6345" t="s">
        <v>10652</v>
      </c>
      <c r="B6345" t="s">
        <v>10653</v>
      </c>
      <c r="C6345" t="s">
        <v>8</v>
      </c>
      <c r="D6345">
        <v>1.6779999999999999</v>
      </c>
      <c r="E6345">
        <v>537</v>
      </c>
      <c r="F6345" t="str">
        <f>HYPERLINK("https://www.google.com/maps/search/?api=1&amp;query=24.5788622,46.5376003", "View Map")</f>
        <v>View Map</v>
      </c>
    </row>
    <row r="6346" spans="1:7" x14ac:dyDescent="0.3">
      <c r="A6346" t="s">
        <v>385</v>
      </c>
      <c r="B6346" t="s">
        <v>8777</v>
      </c>
      <c r="C6346" t="s">
        <v>255</v>
      </c>
      <c r="D6346">
        <v>1.6779999999999999</v>
      </c>
      <c r="E6346">
        <v>537</v>
      </c>
      <c r="F6346" t="str">
        <f>HYPERLINK("https://www.google.com/maps/search/?api=1&amp;query=24.49304333,43.89204167", "View Map")</f>
        <v>View Map</v>
      </c>
      <c r="G6346" s="2">
        <v>0.31061433381755349</v>
      </c>
    </row>
    <row r="6347" spans="1:7" x14ac:dyDescent="0.3">
      <c r="A6347" t="s">
        <v>12506</v>
      </c>
      <c r="B6347" t="s">
        <v>12507</v>
      </c>
      <c r="C6347" t="s">
        <v>16</v>
      </c>
      <c r="D6347">
        <v>1.677</v>
      </c>
      <c r="E6347">
        <v>537</v>
      </c>
      <c r="F6347" t="str">
        <f>HYPERLINK("https://www.google.com/maps/search/?api=1&amp;query=24.1063988,42.91576489", "View Map")</f>
        <v>View Map</v>
      </c>
      <c r="G6347" s="2">
        <v>0.51565892914227129</v>
      </c>
    </row>
    <row r="6348" spans="1:7" x14ac:dyDescent="0.3">
      <c r="A6348" t="s">
        <v>12508</v>
      </c>
      <c r="B6348" t="s">
        <v>12509</v>
      </c>
      <c r="C6348" t="s">
        <v>393</v>
      </c>
      <c r="D6348">
        <v>1.677</v>
      </c>
      <c r="E6348">
        <v>537</v>
      </c>
      <c r="F6348" t="str">
        <f>HYPERLINK("https://www.google.com/maps/search/?api=1&amp;query=23.67236601,45.33092061", "View Map")</f>
        <v>View Map</v>
      </c>
    </row>
    <row r="6349" spans="1:7" x14ac:dyDescent="0.3">
      <c r="A6349" t="s">
        <v>12510</v>
      </c>
      <c r="B6349" t="s">
        <v>12511</v>
      </c>
      <c r="C6349" t="s">
        <v>466</v>
      </c>
      <c r="D6349">
        <v>1.677</v>
      </c>
      <c r="E6349">
        <v>537</v>
      </c>
      <c r="F6349" t="str">
        <f>HYPERLINK("https://www.google.com/maps/search/?api=1&amp;query=24.49870293,46.13917281", "View Map")</f>
        <v>View Map</v>
      </c>
    </row>
    <row r="6350" spans="1:7" x14ac:dyDescent="0.3">
      <c r="A6350" t="s">
        <v>999</v>
      </c>
      <c r="B6350" t="s">
        <v>8331</v>
      </c>
      <c r="C6350" t="s">
        <v>8</v>
      </c>
      <c r="D6350">
        <v>1.6759999999999999</v>
      </c>
      <c r="E6350">
        <v>536</v>
      </c>
      <c r="F6350" t="str">
        <f>HYPERLINK("https://www.google.com/maps/search/?api=1&amp;query=24.59426827,46.77897917", "View Map")</f>
        <v>View Map</v>
      </c>
    </row>
    <row r="6351" spans="1:7" x14ac:dyDescent="0.3">
      <c r="A6351" t="s">
        <v>9683</v>
      </c>
      <c r="B6351" t="s">
        <v>9684</v>
      </c>
      <c r="C6351" t="s">
        <v>30</v>
      </c>
      <c r="D6351">
        <v>1.6759999999999999</v>
      </c>
      <c r="E6351">
        <v>536</v>
      </c>
      <c r="F6351" t="str">
        <f>HYPERLINK("https://www.google.com/maps/search/?api=1&amp;query=24.14664111,47.29348137", "View Map")</f>
        <v>View Map</v>
      </c>
    </row>
    <row r="6352" spans="1:7" x14ac:dyDescent="0.3">
      <c r="A6352" t="s">
        <v>1594</v>
      </c>
      <c r="B6352" t="s">
        <v>12512</v>
      </c>
      <c r="C6352" t="s">
        <v>296</v>
      </c>
      <c r="D6352">
        <v>1.675</v>
      </c>
      <c r="E6352">
        <v>536</v>
      </c>
      <c r="F6352" t="str">
        <f>HYPERLINK("https://www.google.com/maps/search/?api=1&amp;query=23.99297413,46.11165541", "View Map")</f>
        <v>View Map</v>
      </c>
      <c r="G6352" s="2">
        <v>0.76895782451294603</v>
      </c>
    </row>
    <row r="6353" spans="1:7" x14ac:dyDescent="0.3">
      <c r="A6353" t="s">
        <v>12513</v>
      </c>
      <c r="B6353" t="s">
        <v>12514</v>
      </c>
      <c r="C6353" t="s">
        <v>255</v>
      </c>
      <c r="D6353">
        <v>1.675</v>
      </c>
      <c r="E6353">
        <v>536</v>
      </c>
      <c r="F6353" t="str">
        <f>HYPERLINK("https://www.google.com/maps/search/?api=1&amp;query=24.71321011,44.30193282", "View Map")</f>
        <v>View Map</v>
      </c>
      <c r="G6353" s="2">
        <v>0.80043008792266379</v>
      </c>
    </row>
    <row r="6354" spans="1:7" x14ac:dyDescent="0.3">
      <c r="A6354" t="s">
        <v>2721</v>
      </c>
      <c r="B6354" t="s">
        <v>2722</v>
      </c>
      <c r="C6354" t="s">
        <v>8</v>
      </c>
      <c r="D6354">
        <v>1.675</v>
      </c>
      <c r="E6354">
        <v>536</v>
      </c>
      <c r="F6354" t="str">
        <f>HYPERLINK("https://www.google.com/maps/search/?api=1&amp;query=24.80379941,46.71917251", "View Map")</f>
        <v>View Map</v>
      </c>
      <c r="G6354" s="2">
        <v>0.1655336901489009</v>
      </c>
    </row>
    <row r="6355" spans="1:7" x14ac:dyDescent="0.3">
      <c r="A6355" t="s">
        <v>9979</v>
      </c>
      <c r="B6355" t="s">
        <v>9980</v>
      </c>
      <c r="C6355" t="s">
        <v>21</v>
      </c>
      <c r="D6355">
        <v>1.675</v>
      </c>
      <c r="E6355">
        <v>536</v>
      </c>
      <c r="F6355" t="str">
        <f>HYPERLINK("https://www.google.com/maps/search/?api=1&amp;query=26.79735161,44.62553418", "View Map")</f>
        <v>View Map</v>
      </c>
      <c r="G6355" s="2">
        <v>0.69620660985512917</v>
      </c>
    </row>
    <row r="6356" spans="1:7" x14ac:dyDescent="0.3">
      <c r="A6356" t="s">
        <v>10932</v>
      </c>
      <c r="B6356" t="s">
        <v>10933</v>
      </c>
      <c r="C6356" t="s">
        <v>214</v>
      </c>
      <c r="D6356">
        <v>1.6739999999999999</v>
      </c>
      <c r="E6356">
        <v>536</v>
      </c>
      <c r="F6356" t="str">
        <f>HYPERLINK("https://www.google.com/maps/search/?api=1&amp;query=25.82045123,45.78523459", "View Map")</f>
        <v>View Map</v>
      </c>
      <c r="G6356" s="2">
        <v>0.78823496190853393</v>
      </c>
    </row>
    <row r="6357" spans="1:7" x14ac:dyDescent="0.3">
      <c r="A6357" t="s">
        <v>12515</v>
      </c>
      <c r="B6357" t="s">
        <v>12516</v>
      </c>
      <c r="C6357" t="s">
        <v>255</v>
      </c>
      <c r="D6357">
        <v>1.673</v>
      </c>
      <c r="E6357">
        <v>535</v>
      </c>
      <c r="F6357" t="str">
        <f>HYPERLINK("https://www.google.com/maps/search/?api=1&amp;query=24.67593894,43.71670728", "View Map")</f>
        <v>View Map</v>
      </c>
    </row>
    <row r="6358" spans="1:7" x14ac:dyDescent="0.3">
      <c r="A6358" t="s">
        <v>12517</v>
      </c>
      <c r="B6358" t="s">
        <v>12518</v>
      </c>
      <c r="C6358" t="s">
        <v>393</v>
      </c>
      <c r="D6358">
        <v>1.673</v>
      </c>
      <c r="E6358">
        <v>535</v>
      </c>
      <c r="F6358" t="str">
        <f>HYPERLINK("https://www.google.com/maps/search/?api=1&amp;query=23.63043308,45.9058424", "View Map")</f>
        <v>View Map</v>
      </c>
      <c r="G6358" s="2">
        <v>0.89220220686139518</v>
      </c>
    </row>
    <row r="6359" spans="1:7" x14ac:dyDescent="0.3">
      <c r="A6359" t="s">
        <v>11253</v>
      </c>
      <c r="B6359" t="s">
        <v>11254</v>
      </c>
      <c r="C6359" t="s">
        <v>255</v>
      </c>
      <c r="D6359">
        <v>1.673</v>
      </c>
      <c r="E6359">
        <v>535</v>
      </c>
      <c r="F6359" t="str">
        <f>HYPERLINK("https://www.google.com/maps/search/?api=1&amp;query=25.02457623,43.81349745", "View Map")</f>
        <v>View Map</v>
      </c>
    </row>
    <row r="6360" spans="1:7" x14ac:dyDescent="0.3">
      <c r="A6360" t="s">
        <v>9149</v>
      </c>
      <c r="B6360" t="s">
        <v>9150</v>
      </c>
      <c r="C6360" t="s">
        <v>30</v>
      </c>
      <c r="D6360">
        <v>1.6719999999999999</v>
      </c>
      <c r="E6360">
        <v>535</v>
      </c>
      <c r="F6360" t="str">
        <f>HYPERLINK("https://www.google.com/maps/search/?api=1&amp;query=24.19486954,47.28440174", "View Map")</f>
        <v>View Map</v>
      </c>
      <c r="G6360" s="2">
        <v>0.3197086595875368</v>
      </c>
    </row>
    <row r="6361" spans="1:7" x14ac:dyDescent="0.3">
      <c r="A6361" t="s">
        <v>2681</v>
      </c>
      <c r="B6361" t="s">
        <v>2682</v>
      </c>
      <c r="C6361" t="s">
        <v>8</v>
      </c>
      <c r="D6361">
        <v>1.6719999999999999</v>
      </c>
      <c r="E6361">
        <v>535</v>
      </c>
      <c r="F6361" t="str">
        <f>HYPERLINK("https://www.google.com/maps/search/?api=1&amp;query=24.77888061,46.67934118", "View Map")</f>
        <v>View Map</v>
      </c>
      <c r="G6361" s="2">
        <v>0.44623949166953059</v>
      </c>
    </row>
    <row r="6362" spans="1:7" x14ac:dyDescent="0.3">
      <c r="A6362" t="s">
        <v>12519</v>
      </c>
      <c r="B6362" t="s">
        <v>12520</v>
      </c>
      <c r="C6362" t="s">
        <v>241</v>
      </c>
      <c r="D6362">
        <v>1.671</v>
      </c>
      <c r="E6362">
        <v>535</v>
      </c>
      <c r="F6362" t="str">
        <f>HYPERLINK("https://www.google.com/maps/search/?api=1&amp;query=20.46401179,44.77955688", "View Map")</f>
        <v>View Map</v>
      </c>
    </row>
    <row r="6363" spans="1:7" x14ac:dyDescent="0.3">
      <c r="A6363" t="s">
        <v>8504</v>
      </c>
      <c r="B6363" t="s">
        <v>8505</v>
      </c>
      <c r="C6363" t="s">
        <v>8</v>
      </c>
      <c r="D6363">
        <v>1.671</v>
      </c>
      <c r="E6363">
        <v>535</v>
      </c>
      <c r="F6363" t="str">
        <f>HYPERLINK("https://www.google.com/maps/search/?api=1&amp;query=24.79951214,46.86380815", "View Map")</f>
        <v>View Map</v>
      </c>
    </row>
    <row r="6364" spans="1:7" x14ac:dyDescent="0.3">
      <c r="A6364" t="s">
        <v>5345</v>
      </c>
      <c r="B6364" t="s">
        <v>5346</v>
      </c>
      <c r="C6364" t="s">
        <v>270</v>
      </c>
      <c r="D6364">
        <v>1.671</v>
      </c>
      <c r="E6364">
        <v>535</v>
      </c>
      <c r="F6364" t="str">
        <f>HYPERLINK("https://www.google.com/maps/search/?api=1&amp;query=24.01173015,47.12913811", "View Map")</f>
        <v>View Map</v>
      </c>
    </row>
    <row r="6365" spans="1:7" x14ac:dyDescent="0.3">
      <c r="A6365" t="s">
        <v>12521</v>
      </c>
      <c r="B6365" t="s">
        <v>12522</v>
      </c>
      <c r="C6365" t="s">
        <v>8</v>
      </c>
      <c r="D6365">
        <v>1.671</v>
      </c>
      <c r="E6365">
        <v>535</v>
      </c>
      <c r="F6365" t="str">
        <f>HYPERLINK("https://www.google.com/maps/search/?api=1&amp;query=24.54657576,46.72721536", "View Map")</f>
        <v>View Map</v>
      </c>
    </row>
    <row r="6366" spans="1:7" x14ac:dyDescent="0.3">
      <c r="A6366" t="s">
        <v>12523</v>
      </c>
      <c r="B6366" t="s">
        <v>12524</v>
      </c>
      <c r="C6366" t="s">
        <v>255</v>
      </c>
      <c r="D6366">
        <v>1.67</v>
      </c>
      <c r="E6366">
        <v>535</v>
      </c>
      <c r="F6366" t="str">
        <f>HYPERLINK("https://www.google.com/maps/search/?api=1&amp;query=24.48202453,44.56350069", "View Map")</f>
        <v>View Map</v>
      </c>
      <c r="G6366" s="2">
        <v>0.67546371664085247</v>
      </c>
    </row>
    <row r="6367" spans="1:7" x14ac:dyDescent="0.3">
      <c r="A6367" t="s">
        <v>12525</v>
      </c>
      <c r="B6367" t="s">
        <v>12526</v>
      </c>
      <c r="C6367" t="s">
        <v>8</v>
      </c>
      <c r="D6367">
        <v>1.67</v>
      </c>
      <c r="E6367">
        <v>534</v>
      </c>
      <c r="F6367" t="str">
        <f>HYPERLINK("https://www.google.com/maps/search/?api=1&amp;query=24.61455755,46.73262125", "View Map")</f>
        <v>View Map</v>
      </c>
    </row>
    <row r="6368" spans="1:7" x14ac:dyDescent="0.3">
      <c r="A6368" t="s">
        <v>6622</v>
      </c>
      <c r="B6368" t="s">
        <v>10069</v>
      </c>
      <c r="C6368" t="s">
        <v>137</v>
      </c>
      <c r="D6368">
        <v>1.67</v>
      </c>
      <c r="E6368">
        <v>534</v>
      </c>
      <c r="F6368" t="str">
        <f>HYPERLINK("https://www.google.com/maps/search/?api=1&amp;query=23.49321066,46.85493617", "View Map")</f>
        <v>View Map</v>
      </c>
    </row>
    <row r="6369" spans="1:7" x14ac:dyDescent="0.3">
      <c r="A6369" t="s">
        <v>12527</v>
      </c>
      <c r="B6369" t="s">
        <v>12528</v>
      </c>
      <c r="C6369" t="s">
        <v>16</v>
      </c>
      <c r="D6369">
        <v>1.669</v>
      </c>
      <c r="E6369">
        <v>534</v>
      </c>
      <c r="F6369" t="str">
        <f>HYPERLINK("https://www.google.com/maps/search/?api=1&amp;query=23.90718814,42.91404049", "View Map")</f>
        <v>View Map</v>
      </c>
    </row>
    <row r="6370" spans="1:7" x14ac:dyDescent="0.3">
      <c r="A6370" t="s">
        <v>12529</v>
      </c>
      <c r="B6370" t="s">
        <v>12530</v>
      </c>
      <c r="C6370" t="s">
        <v>214</v>
      </c>
      <c r="D6370">
        <v>1.669</v>
      </c>
      <c r="E6370">
        <v>534</v>
      </c>
      <c r="F6370" t="str">
        <f>HYPERLINK("https://www.google.com/maps/search/?api=1&amp;query=26.64937765,45.33054332", "View Map")</f>
        <v>View Map</v>
      </c>
      <c r="G6370" s="2">
        <v>0.54604334351704131</v>
      </c>
    </row>
    <row r="6371" spans="1:7" x14ac:dyDescent="0.3">
      <c r="A6371" t="s">
        <v>4835</v>
      </c>
      <c r="B6371" t="s">
        <v>8910</v>
      </c>
      <c r="C6371" t="s">
        <v>8</v>
      </c>
      <c r="D6371">
        <v>1.669</v>
      </c>
      <c r="E6371">
        <v>534</v>
      </c>
      <c r="F6371" t="str">
        <f>HYPERLINK("https://www.google.com/maps/search/?api=1&amp;query=24.67877319,46.77162856", "View Map")</f>
        <v>View Map</v>
      </c>
    </row>
    <row r="6372" spans="1:7" x14ac:dyDescent="0.3">
      <c r="A6372" t="s">
        <v>12531</v>
      </c>
      <c r="B6372" t="s">
        <v>12532</v>
      </c>
      <c r="C6372" t="s">
        <v>255</v>
      </c>
      <c r="D6372">
        <v>1.669</v>
      </c>
      <c r="E6372">
        <v>534</v>
      </c>
      <c r="F6372" t="str">
        <f>HYPERLINK("https://www.google.com/maps/search/?api=1&amp;query=24.54570738,43.63297006", "View Map")</f>
        <v>View Map</v>
      </c>
      <c r="G6372" s="2">
        <v>0.46211403670170059</v>
      </c>
    </row>
    <row r="6373" spans="1:7" x14ac:dyDescent="0.3">
      <c r="A6373" t="s">
        <v>7220</v>
      </c>
      <c r="B6373" t="s">
        <v>7221</v>
      </c>
      <c r="C6373" t="s">
        <v>77</v>
      </c>
      <c r="D6373">
        <v>1.669</v>
      </c>
      <c r="E6373">
        <v>534</v>
      </c>
      <c r="F6373" t="str">
        <f>HYPERLINK("https://www.google.com/maps/search/?api=1&amp;query=22.29468787,46.72562696", "View Map")</f>
        <v>View Map</v>
      </c>
    </row>
    <row r="6374" spans="1:7" x14ac:dyDescent="0.3">
      <c r="A6374" t="s">
        <v>2452</v>
      </c>
      <c r="B6374" t="s">
        <v>2453</v>
      </c>
      <c r="C6374" t="s">
        <v>8</v>
      </c>
      <c r="D6374">
        <v>1.6679999999999999</v>
      </c>
      <c r="E6374">
        <v>534</v>
      </c>
      <c r="F6374" t="str">
        <f>HYPERLINK("https://www.google.com/maps/search/?api=1&amp;query=24.6782855,46.81130859", "View Map")</f>
        <v>View Map</v>
      </c>
      <c r="G6374" s="2">
        <v>0.1117835590969149</v>
      </c>
    </row>
    <row r="6375" spans="1:7" x14ac:dyDescent="0.3">
      <c r="A6375" t="s">
        <v>12533</v>
      </c>
      <c r="B6375" t="s">
        <v>12534</v>
      </c>
      <c r="C6375" t="s">
        <v>393</v>
      </c>
      <c r="D6375">
        <v>1.667</v>
      </c>
      <c r="E6375">
        <v>533</v>
      </c>
      <c r="F6375" t="str">
        <f>HYPERLINK("https://www.google.com/maps/search/?api=1&amp;query=23.69214015,45.22274835", "View Map")</f>
        <v>View Map</v>
      </c>
      <c r="G6375" s="2">
        <v>0.66718695297061292</v>
      </c>
    </row>
    <row r="6376" spans="1:7" x14ac:dyDescent="0.3">
      <c r="A6376" t="s">
        <v>146</v>
      </c>
      <c r="B6376" t="s">
        <v>12535</v>
      </c>
      <c r="C6376" t="s">
        <v>8</v>
      </c>
      <c r="D6376">
        <v>1.667</v>
      </c>
      <c r="E6376">
        <v>534</v>
      </c>
      <c r="F6376" t="str">
        <f>HYPERLINK("https://www.google.com/maps/search/?api=1&amp;query=24.55212048,46.51575089", "View Map")</f>
        <v>View Map</v>
      </c>
    </row>
    <row r="6377" spans="1:7" x14ac:dyDescent="0.3">
      <c r="A6377" t="s">
        <v>3819</v>
      </c>
      <c r="B6377" t="s">
        <v>3820</v>
      </c>
      <c r="C6377" t="s">
        <v>8</v>
      </c>
      <c r="D6377">
        <v>1.667</v>
      </c>
      <c r="E6377">
        <v>533</v>
      </c>
      <c r="F6377" t="str">
        <f>HYPERLINK("https://www.google.com/maps/search/?api=1&amp;query=24.56253719,46.80417442", "View Map")</f>
        <v>View Map</v>
      </c>
    </row>
    <row r="6378" spans="1:7" x14ac:dyDescent="0.3">
      <c r="A6378" t="s">
        <v>46</v>
      </c>
      <c r="B6378" t="s">
        <v>996</v>
      </c>
      <c r="C6378" t="s">
        <v>8</v>
      </c>
      <c r="D6378">
        <v>1.667</v>
      </c>
      <c r="E6378">
        <v>533</v>
      </c>
      <c r="F6378" t="str">
        <f>HYPERLINK("https://www.google.com/maps/search/?api=1&amp;query=24.83047201,46.60662697", "View Map")</f>
        <v>View Map</v>
      </c>
      <c r="G6378" s="2">
        <v>7.799376677819414E-2</v>
      </c>
    </row>
    <row r="6379" spans="1:7" x14ac:dyDescent="0.3">
      <c r="A6379" t="s">
        <v>146</v>
      </c>
      <c r="B6379" t="s">
        <v>12536</v>
      </c>
      <c r="C6379" t="s">
        <v>8</v>
      </c>
      <c r="D6379">
        <v>1.6659999999999999</v>
      </c>
      <c r="E6379">
        <v>533</v>
      </c>
      <c r="F6379" t="str">
        <f>HYPERLINK("https://www.google.com/maps/search/?api=1&amp;query=24.55363955,46.6674507", "View Map")</f>
        <v>View Map</v>
      </c>
    </row>
    <row r="6380" spans="1:7" x14ac:dyDescent="0.3">
      <c r="A6380" t="s">
        <v>9695</v>
      </c>
      <c r="B6380" t="s">
        <v>9696</v>
      </c>
      <c r="C6380" t="s">
        <v>8</v>
      </c>
      <c r="D6380">
        <v>1.6659999999999999</v>
      </c>
      <c r="E6380">
        <v>533</v>
      </c>
      <c r="F6380" t="str">
        <f>HYPERLINK("https://www.google.com/maps/search/?api=1&amp;query=24.58329154,46.63128856", "View Map")</f>
        <v>View Map</v>
      </c>
    </row>
    <row r="6381" spans="1:7" x14ac:dyDescent="0.3">
      <c r="A6381" t="s">
        <v>12537</v>
      </c>
      <c r="B6381" t="s">
        <v>12538</v>
      </c>
      <c r="C6381" t="s">
        <v>291</v>
      </c>
      <c r="D6381">
        <v>1.6659999999999999</v>
      </c>
      <c r="E6381">
        <v>533</v>
      </c>
      <c r="F6381" t="str">
        <f>HYPERLINK("https://www.google.com/maps/search/?api=1&amp;query=23.67905012,44.87950586", "View Map")</f>
        <v>View Map</v>
      </c>
    </row>
    <row r="6382" spans="1:7" x14ac:dyDescent="0.3">
      <c r="A6382" t="s">
        <v>146</v>
      </c>
      <c r="B6382" t="s">
        <v>12539</v>
      </c>
      <c r="C6382" t="s">
        <v>55</v>
      </c>
      <c r="D6382">
        <v>1.6659999999999999</v>
      </c>
      <c r="E6382">
        <v>533</v>
      </c>
      <c r="F6382" t="str">
        <f>HYPERLINK("https://www.google.com/maps/search/?api=1&amp;query=24.7572,46.5453", "View Map")</f>
        <v>View Map</v>
      </c>
      <c r="G6382" s="2">
        <v>0.92023035258802965</v>
      </c>
    </row>
    <row r="6383" spans="1:7" x14ac:dyDescent="0.3">
      <c r="A6383" t="s">
        <v>9439</v>
      </c>
      <c r="B6383" t="s">
        <v>9440</v>
      </c>
      <c r="C6383" t="s">
        <v>738</v>
      </c>
      <c r="D6383">
        <v>1.6659999999999999</v>
      </c>
      <c r="E6383">
        <v>533</v>
      </c>
      <c r="F6383" t="str">
        <f>HYPERLINK("https://www.google.com/maps/search/?api=1&amp;query=25.17553451,46.34057276", "View Map")</f>
        <v>View Map</v>
      </c>
    </row>
    <row r="6384" spans="1:7" x14ac:dyDescent="0.3">
      <c r="A6384" t="s">
        <v>1101</v>
      </c>
      <c r="B6384" t="s">
        <v>10709</v>
      </c>
      <c r="C6384" t="s">
        <v>8</v>
      </c>
      <c r="D6384">
        <v>1.665</v>
      </c>
      <c r="E6384">
        <v>533</v>
      </c>
      <c r="F6384" t="str">
        <f>HYPERLINK("https://www.google.com/maps/search/?api=1&amp;query=24.80594966,46.60508266", "View Map")</f>
        <v>View Map</v>
      </c>
    </row>
    <row r="6385" spans="1:7" x14ac:dyDescent="0.3">
      <c r="A6385" t="s">
        <v>678</v>
      </c>
      <c r="B6385" t="s">
        <v>12540</v>
      </c>
      <c r="C6385" t="s">
        <v>21</v>
      </c>
      <c r="D6385">
        <v>1.665</v>
      </c>
      <c r="E6385">
        <v>533</v>
      </c>
      <c r="F6385" t="str">
        <f>HYPERLINK("https://www.google.com/maps/search/?api=1&amp;query=26.21383888,44.82975052", "View Map")</f>
        <v>View Map</v>
      </c>
      <c r="G6385" s="2">
        <v>0.4133949564946664</v>
      </c>
    </row>
    <row r="6386" spans="1:7" x14ac:dyDescent="0.3">
      <c r="A6386" t="s">
        <v>4362</v>
      </c>
      <c r="B6386" t="s">
        <v>4363</v>
      </c>
      <c r="C6386" t="s">
        <v>8</v>
      </c>
      <c r="D6386">
        <v>1.665</v>
      </c>
      <c r="E6386">
        <v>533</v>
      </c>
      <c r="F6386" t="str">
        <f>HYPERLINK("https://www.google.com/maps/search/?api=1&amp;query=24.63378414,46.7244641", "View Map")</f>
        <v>View Map</v>
      </c>
      <c r="G6386" s="2">
        <v>0.28271835386111238</v>
      </c>
    </row>
    <row r="6387" spans="1:7" x14ac:dyDescent="0.3">
      <c r="A6387" t="s">
        <v>46</v>
      </c>
      <c r="B6387" t="s">
        <v>12541</v>
      </c>
      <c r="C6387" t="s">
        <v>8</v>
      </c>
      <c r="D6387">
        <v>1.665</v>
      </c>
      <c r="E6387">
        <v>533</v>
      </c>
      <c r="F6387" t="str">
        <f>HYPERLINK("https://www.google.com/maps/search/?api=1&amp;query=24.67616537,46.6844032", "View Map")</f>
        <v>View Map</v>
      </c>
    </row>
    <row r="6388" spans="1:7" x14ac:dyDescent="0.3">
      <c r="A6388" t="s">
        <v>12542</v>
      </c>
      <c r="B6388" t="s">
        <v>12543</v>
      </c>
      <c r="C6388" t="s">
        <v>8</v>
      </c>
      <c r="D6388">
        <v>1.665</v>
      </c>
      <c r="E6388">
        <v>533</v>
      </c>
      <c r="F6388" t="str">
        <f>HYPERLINK("https://www.google.com/maps/search/?api=1&amp;query=24.6814561,46.75487675", "View Map")</f>
        <v>View Map</v>
      </c>
    </row>
    <row r="6389" spans="1:7" x14ac:dyDescent="0.3">
      <c r="A6389" t="s">
        <v>11146</v>
      </c>
      <c r="B6389" t="s">
        <v>11147</v>
      </c>
      <c r="C6389" t="s">
        <v>255</v>
      </c>
      <c r="D6389">
        <v>1.6639999999999999</v>
      </c>
      <c r="E6389">
        <v>533</v>
      </c>
      <c r="F6389" t="str">
        <f>HYPERLINK("https://www.google.com/maps/search/?api=1&amp;query=24.50767407,44.38969435", "View Map")</f>
        <v>View Map</v>
      </c>
    </row>
    <row r="6390" spans="1:7" x14ac:dyDescent="0.3">
      <c r="A6390" t="s">
        <v>10726</v>
      </c>
      <c r="B6390" t="s">
        <v>10727</v>
      </c>
      <c r="C6390" t="s">
        <v>393</v>
      </c>
      <c r="D6390">
        <v>1.663</v>
      </c>
      <c r="E6390">
        <v>532</v>
      </c>
      <c r="F6390" t="str">
        <f>HYPERLINK("https://www.google.com/maps/search/?api=1&amp;query=23.55207734,45.53391292", "View Map")</f>
        <v>View Map</v>
      </c>
      <c r="G6390" s="2">
        <v>0.94686903953421331</v>
      </c>
    </row>
    <row r="6391" spans="1:7" x14ac:dyDescent="0.3">
      <c r="A6391" t="s">
        <v>12544</v>
      </c>
      <c r="B6391" t="s">
        <v>12545</v>
      </c>
      <c r="C6391" t="s">
        <v>214</v>
      </c>
      <c r="D6391">
        <v>1.663</v>
      </c>
      <c r="E6391">
        <v>532</v>
      </c>
      <c r="F6391" t="str">
        <f>HYPERLINK("https://www.google.com/maps/search/?api=1&amp;query=25.92426242,45.37278044", "View Map")</f>
        <v>View Map</v>
      </c>
    </row>
    <row r="6392" spans="1:7" x14ac:dyDescent="0.3">
      <c r="A6392" t="s">
        <v>12546</v>
      </c>
      <c r="B6392" t="s">
        <v>12547</v>
      </c>
      <c r="C6392" t="s">
        <v>296</v>
      </c>
      <c r="D6392">
        <v>1.6619999999999999</v>
      </c>
      <c r="E6392">
        <v>532</v>
      </c>
      <c r="F6392" t="str">
        <f>HYPERLINK("https://www.google.com/maps/search/?api=1&amp;query=24.4871515,46.32104372", "View Map")</f>
        <v>View Map</v>
      </c>
      <c r="G6392" s="2">
        <v>0.42638164415857882</v>
      </c>
    </row>
    <row r="6393" spans="1:7" x14ac:dyDescent="0.3">
      <c r="A6393" t="s">
        <v>12548</v>
      </c>
      <c r="B6393" t="s">
        <v>12549</v>
      </c>
      <c r="C6393" t="s">
        <v>241</v>
      </c>
      <c r="D6393">
        <v>1.6619999999999999</v>
      </c>
      <c r="E6393">
        <v>532</v>
      </c>
      <c r="F6393" t="str">
        <f>HYPERLINK("https://www.google.com/maps/search/?api=1&amp;query=20.40053407,44.72526149", "View Map")</f>
        <v>View Map</v>
      </c>
    </row>
    <row r="6394" spans="1:7" x14ac:dyDescent="0.3">
      <c r="A6394" t="s">
        <v>7135</v>
      </c>
      <c r="B6394" t="s">
        <v>7136</v>
      </c>
      <c r="C6394" t="s">
        <v>30</v>
      </c>
      <c r="D6394">
        <v>1.6619999999999999</v>
      </c>
      <c r="E6394">
        <v>532</v>
      </c>
      <c r="F6394" t="str">
        <f>HYPERLINK("https://www.google.com/maps/search/?api=1&amp;query=24.14865334,47.35248476", "View Map")</f>
        <v>View Map</v>
      </c>
    </row>
    <row r="6395" spans="1:7" x14ac:dyDescent="0.3">
      <c r="A6395" t="s">
        <v>12550</v>
      </c>
      <c r="B6395" t="s">
        <v>12551</v>
      </c>
      <c r="C6395" t="s">
        <v>255</v>
      </c>
      <c r="D6395">
        <v>1.6619999999999999</v>
      </c>
      <c r="E6395">
        <v>532</v>
      </c>
      <c r="F6395" t="str">
        <f>HYPERLINK("https://www.google.com/maps/search/?api=1&amp;query=24.65204466,44.86794781", "View Map")</f>
        <v>View Map</v>
      </c>
    </row>
    <row r="6396" spans="1:7" x14ac:dyDescent="0.3">
      <c r="A6396" t="s">
        <v>46</v>
      </c>
      <c r="B6396" t="s">
        <v>12552</v>
      </c>
      <c r="C6396" t="s">
        <v>8</v>
      </c>
      <c r="D6396">
        <v>1.661</v>
      </c>
      <c r="E6396">
        <v>531</v>
      </c>
      <c r="F6396" t="str">
        <f>HYPERLINK("https://www.google.com/maps/search/?api=1&amp;query=24.83272479,46.58616136", "View Map")</f>
        <v>View Map</v>
      </c>
    </row>
    <row r="6397" spans="1:7" x14ac:dyDescent="0.3">
      <c r="A6397" t="s">
        <v>12553</v>
      </c>
      <c r="B6397" t="s">
        <v>12554</v>
      </c>
      <c r="C6397" t="s">
        <v>255</v>
      </c>
      <c r="D6397">
        <v>1.661</v>
      </c>
      <c r="E6397">
        <v>532</v>
      </c>
      <c r="F6397" t="str">
        <f>HYPERLINK("https://www.google.com/maps/search/?api=1&amp;query=24.59398158,43.62714307", "View Map")</f>
        <v>View Map</v>
      </c>
    </row>
    <row r="6398" spans="1:7" x14ac:dyDescent="0.3">
      <c r="A6398" t="s">
        <v>12555</v>
      </c>
      <c r="B6398" t="s">
        <v>12556</v>
      </c>
      <c r="C6398" t="s">
        <v>296</v>
      </c>
      <c r="D6398">
        <v>1.661</v>
      </c>
      <c r="E6398">
        <v>532</v>
      </c>
      <c r="F6398" t="str">
        <f>HYPERLINK("https://www.google.com/maps/search/?api=1&amp;query=24.46641889,46.29853749", "View Map")</f>
        <v>View Map</v>
      </c>
    </row>
    <row r="6399" spans="1:7" x14ac:dyDescent="0.3">
      <c r="A6399" t="s">
        <v>6412</v>
      </c>
      <c r="B6399" t="s">
        <v>6413</v>
      </c>
      <c r="C6399" t="s">
        <v>8</v>
      </c>
      <c r="D6399">
        <v>1.661</v>
      </c>
      <c r="E6399">
        <v>531</v>
      </c>
      <c r="F6399" t="str">
        <f>HYPERLINK("https://www.google.com/maps/search/?api=1&amp;query=24.58374663,46.77050141", "View Map")</f>
        <v>View Map</v>
      </c>
    </row>
    <row r="6400" spans="1:7" x14ac:dyDescent="0.3">
      <c r="A6400" t="s">
        <v>4595</v>
      </c>
      <c r="B6400" t="s">
        <v>12557</v>
      </c>
      <c r="C6400" t="s">
        <v>8</v>
      </c>
      <c r="D6400">
        <v>1.659</v>
      </c>
      <c r="E6400">
        <v>531</v>
      </c>
      <c r="F6400" t="str">
        <f>HYPERLINK("https://www.google.com/maps/search/?api=1&amp;query=24.72665343,46.83547074", "View Map")</f>
        <v>View Map</v>
      </c>
    </row>
    <row r="6401" spans="1:7" x14ac:dyDescent="0.3">
      <c r="A6401" t="s">
        <v>8994</v>
      </c>
      <c r="B6401" t="s">
        <v>12558</v>
      </c>
      <c r="C6401" t="s">
        <v>8</v>
      </c>
      <c r="D6401">
        <v>1.659</v>
      </c>
      <c r="E6401">
        <v>531</v>
      </c>
      <c r="F6401" t="str">
        <f>HYPERLINK("https://www.google.com/maps/search/?api=1&amp;query=24.57927856,46.54873551", "View Map")</f>
        <v>View Map</v>
      </c>
    </row>
    <row r="6402" spans="1:7" x14ac:dyDescent="0.3">
      <c r="A6402" t="s">
        <v>52</v>
      </c>
      <c r="B6402" t="s">
        <v>7507</v>
      </c>
      <c r="C6402" t="s">
        <v>8</v>
      </c>
      <c r="D6402">
        <v>1.6579999999999999</v>
      </c>
      <c r="E6402">
        <v>531</v>
      </c>
      <c r="F6402" t="str">
        <f>HYPERLINK("https://www.google.com/maps/search/?api=1&amp;query=24.71499473,46.67692544", "View Map")</f>
        <v>View Map</v>
      </c>
    </row>
    <row r="6403" spans="1:7" x14ac:dyDescent="0.3">
      <c r="A6403" t="s">
        <v>9005</v>
      </c>
      <c r="B6403" t="s">
        <v>9006</v>
      </c>
      <c r="C6403" t="s">
        <v>364</v>
      </c>
      <c r="D6403">
        <v>1.6579999999999999</v>
      </c>
      <c r="E6403">
        <v>531</v>
      </c>
      <c r="F6403" t="str">
        <f>HYPERLINK("https://www.google.com/maps/search/?api=1&amp;query=25.26694782,45.86183713", "View Map")</f>
        <v>View Map</v>
      </c>
    </row>
    <row r="6404" spans="1:7" x14ac:dyDescent="0.3">
      <c r="A6404" t="s">
        <v>1774</v>
      </c>
      <c r="B6404" t="s">
        <v>12559</v>
      </c>
      <c r="C6404" t="s">
        <v>8</v>
      </c>
      <c r="D6404">
        <v>1.6579999999999999</v>
      </c>
      <c r="E6404">
        <v>531</v>
      </c>
      <c r="F6404" t="str">
        <f>HYPERLINK("https://www.google.com/maps/search/?api=1&amp;query=24.63119387,46.84648481", "View Map")</f>
        <v>View Map</v>
      </c>
    </row>
    <row r="6405" spans="1:7" x14ac:dyDescent="0.3">
      <c r="A6405" t="s">
        <v>12560</v>
      </c>
      <c r="B6405" t="s">
        <v>12561</v>
      </c>
      <c r="C6405" t="s">
        <v>364</v>
      </c>
      <c r="D6405">
        <v>1.6579999999999999</v>
      </c>
      <c r="E6405">
        <v>531</v>
      </c>
      <c r="F6405" t="str">
        <f>HYPERLINK("https://www.google.com/maps/search/?api=1&amp;query=25.29019379,45.78472444", "View Map")</f>
        <v>View Map</v>
      </c>
      <c r="G6405" s="2">
        <v>0.88096414976416848</v>
      </c>
    </row>
    <row r="6406" spans="1:7" x14ac:dyDescent="0.3">
      <c r="A6406" t="s">
        <v>4511</v>
      </c>
      <c r="B6406" t="s">
        <v>4512</v>
      </c>
      <c r="C6406" t="s">
        <v>270</v>
      </c>
      <c r="D6406">
        <v>1.6579999999999999</v>
      </c>
      <c r="E6406">
        <v>531</v>
      </c>
      <c r="F6406" t="str">
        <f>HYPERLINK("https://www.google.com/maps/search/?api=1&amp;query=24.00328167,47.11321407", "View Map")</f>
        <v>View Map</v>
      </c>
    </row>
    <row r="6407" spans="1:7" x14ac:dyDescent="0.3">
      <c r="A6407" t="s">
        <v>12562</v>
      </c>
      <c r="B6407" t="s">
        <v>12563</v>
      </c>
      <c r="C6407" t="s">
        <v>291</v>
      </c>
      <c r="D6407">
        <v>1.6579999999999999</v>
      </c>
      <c r="E6407">
        <v>531</v>
      </c>
      <c r="F6407" t="str">
        <f>HYPERLINK("https://www.google.com/maps/search/?api=1&amp;query=23.9470726,45.55627199", "View Map")</f>
        <v>View Map</v>
      </c>
    </row>
    <row r="6408" spans="1:7" x14ac:dyDescent="0.3">
      <c r="A6408" t="s">
        <v>8184</v>
      </c>
      <c r="B6408" t="s">
        <v>8185</v>
      </c>
      <c r="C6408" t="s">
        <v>883</v>
      </c>
      <c r="D6408">
        <v>1.6579999999999999</v>
      </c>
      <c r="E6408">
        <v>531</v>
      </c>
      <c r="F6408" t="str">
        <f>HYPERLINK("https://www.google.com/maps/search/?api=1&amp;query=25.57110227,47.15455723", "View Map")</f>
        <v>View Map</v>
      </c>
      <c r="G6408" s="2">
        <v>0.40890765978499533</v>
      </c>
    </row>
    <row r="6409" spans="1:7" x14ac:dyDescent="0.3">
      <c r="A6409" t="s">
        <v>12564</v>
      </c>
      <c r="B6409" t="s">
        <v>12565</v>
      </c>
      <c r="C6409" t="s">
        <v>8</v>
      </c>
      <c r="D6409">
        <v>1.6579999999999999</v>
      </c>
      <c r="E6409">
        <v>530</v>
      </c>
      <c r="F6409" t="str">
        <f>HYPERLINK("https://www.google.com/maps/search/?api=1&amp;query=24.59686212,46.58142196", "View Map")</f>
        <v>View Map</v>
      </c>
    </row>
    <row r="6410" spans="1:7" x14ac:dyDescent="0.3">
      <c r="A6410" t="s">
        <v>11013</v>
      </c>
      <c r="B6410" t="s">
        <v>11014</v>
      </c>
      <c r="C6410" t="s">
        <v>8</v>
      </c>
      <c r="D6410">
        <v>1.657</v>
      </c>
      <c r="E6410">
        <v>530</v>
      </c>
      <c r="F6410" t="str">
        <f>HYPERLINK("https://www.google.com/maps/search/?api=1&amp;query=24.49893441,46.62787922", "View Map")</f>
        <v>View Map</v>
      </c>
    </row>
    <row r="6411" spans="1:7" x14ac:dyDescent="0.3">
      <c r="A6411" t="s">
        <v>8901</v>
      </c>
      <c r="B6411" t="s">
        <v>8902</v>
      </c>
      <c r="C6411" t="s">
        <v>8</v>
      </c>
      <c r="D6411">
        <v>1.657</v>
      </c>
      <c r="E6411">
        <v>530</v>
      </c>
      <c r="F6411" t="str">
        <f>HYPERLINK("https://www.google.com/maps/search/?api=1&amp;query=24.59168432,46.71777495", "View Map")</f>
        <v>View Map</v>
      </c>
    </row>
    <row r="6412" spans="1:7" x14ac:dyDescent="0.3">
      <c r="A6412" t="s">
        <v>6893</v>
      </c>
      <c r="B6412" t="s">
        <v>6894</v>
      </c>
      <c r="C6412" t="s">
        <v>8</v>
      </c>
      <c r="D6412">
        <v>1.657</v>
      </c>
      <c r="E6412">
        <v>530</v>
      </c>
      <c r="F6412" t="str">
        <f>HYPERLINK("https://www.google.com/maps/search/?api=1&amp;query=24.78312611,46.81997389", "View Map")</f>
        <v>View Map</v>
      </c>
      <c r="G6412" s="2">
        <v>0.47160640226398931</v>
      </c>
    </row>
    <row r="6413" spans="1:7" x14ac:dyDescent="0.3">
      <c r="A6413" t="s">
        <v>12566</v>
      </c>
      <c r="B6413" t="s">
        <v>12567</v>
      </c>
      <c r="C6413" t="s">
        <v>8</v>
      </c>
      <c r="D6413">
        <v>1.657</v>
      </c>
      <c r="E6413">
        <v>530</v>
      </c>
      <c r="F6413" t="str">
        <f>HYPERLINK("https://www.google.com/maps/search/?api=1&amp;query=24.67690116,46.66857011", "View Map")</f>
        <v>View Map</v>
      </c>
    </row>
    <row r="6414" spans="1:7" x14ac:dyDescent="0.3">
      <c r="A6414" t="s">
        <v>627</v>
      </c>
      <c r="B6414" t="s">
        <v>9252</v>
      </c>
      <c r="C6414" t="s">
        <v>8</v>
      </c>
      <c r="D6414">
        <v>1.6559999999999999</v>
      </c>
      <c r="E6414">
        <v>530</v>
      </c>
      <c r="F6414" t="str">
        <f>HYPERLINK("https://www.google.com/maps/search/?api=1&amp;query=24.61589163,46.51286171", "View Map")</f>
        <v>View Map</v>
      </c>
    </row>
    <row r="6415" spans="1:7" x14ac:dyDescent="0.3">
      <c r="A6415" t="s">
        <v>46</v>
      </c>
      <c r="B6415" t="s">
        <v>5782</v>
      </c>
      <c r="C6415" t="s">
        <v>8</v>
      </c>
      <c r="D6415">
        <v>1.6559999999999999</v>
      </c>
      <c r="E6415">
        <v>530</v>
      </c>
      <c r="F6415" t="str">
        <f>HYPERLINK("https://www.google.com/maps/search/?api=1&amp;query=24.84282029,46.80261087", "View Map")</f>
        <v>View Map</v>
      </c>
    </row>
    <row r="6416" spans="1:7" x14ac:dyDescent="0.3">
      <c r="A6416" t="s">
        <v>46</v>
      </c>
      <c r="B6416" t="s">
        <v>12568</v>
      </c>
      <c r="C6416" t="s">
        <v>8</v>
      </c>
      <c r="D6416">
        <v>1.6559999999999999</v>
      </c>
      <c r="E6416">
        <v>530</v>
      </c>
      <c r="F6416" t="str">
        <f>HYPERLINK("https://www.google.com/maps/search/?api=1&amp;query=24.80848354,46.88071208", "View Map")</f>
        <v>View Map</v>
      </c>
    </row>
    <row r="6417" spans="1:7" x14ac:dyDescent="0.3">
      <c r="A6417" t="s">
        <v>8077</v>
      </c>
      <c r="B6417" t="s">
        <v>8078</v>
      </c>
      <c r="C6417" t="s">
        <v>30</v>
      </c>
      <c r="D6417">
        <v>1.6559999999999999</v>
      </c>
      <c r="E6417">
        <v>530</v>
      </c>
      <c r="F6417" t="str">
        <f>HYPERLINK("https://www.google.com/maps/search/?api=1&amp;query=24.15499071,47.31498239", "View Map")</f>
        <v>View Map</v>
      </c>
    </row>
    <row r="6418" spans="1:7" x14ac:dyDescent="0.3">
      <c r="A6418" t="s">
        <v>12569</v>
      </c>
      <c r="B6418" t="s">
        <v>12570</v>
      </c>
      <c r="C6418" t="s">
        <v>255</v>
      </c>
      <c r="D6418">
        <v>1.6559999999999999</v>
      </c>
      <c r="E6418">
        <v>530</v>
      </c>
      <c r="F6418" t="str">
        <f>HYPERLINK("https://www.google.com/maps/search/?api=1&amp;query=24.63477975,43.63843791", "View Map")</f>
        <v>View Map</v>
      </c>
      <c r="G6418" s="2">
        <v>0.90887833748585134</v>
      </c>
    </row>
    <row r="6419" spans="1:7" x14ac:dyDescent="0.3">
      <c r="A6419" t="s">
        <v>12571</v>
      </c>
      <c r="B6419" t="s">
        <v>12572</v>
      </c>
      <c r="C6419" t="s">
        <v>8</v>
      </c>
      <c r="D6419">
        <v>1.6559999999999999</v>
      </c>
      <c r="E6419">
        <v>530</v>
      </c>
      <c r="F6419" t="str">
        <f>HYPERLINK("https://www.google.com/maps/search/?api=1&amp;query=24.752848,46.796467", "View Map")</f>
        <v>View Map</v>
      </c>
    </row>
    <row r="6420" spans="1:7" x14ac:dyDescent="0.3">
      <c r="A6420" t="s">
        <v>12573</v>
      </c>
      <c r="B6420" t="s">
        <v>12574</v>
      </c>
      <c r="C6420" t="s">
        <v>255</v>
      </c>
      <c r="D6420">
        <v>1.655</v>
      </c>
      <c r="E6420">
        <v>530</v>
      </c>
      <c r="F6420" t="str">
        <f>HYPERLINK("https://www.google.com/maps/search/?api=1&amp;query=24.71113567,43.53851981", "View Map")</f>
        <v>View Map</v>
      </c>
      <c r="G6420" s="2">
        <v>0.86479555249748374</v>
      </c>
    </row>
    <row r="6421" spans="1:7" x14ac:dyDescent="0.3">
      <c r="A6421" t="s">
        <v>46</v>
      </c>
      <c r="B6421" t="s">
        <v>12575</v>
      </c>
      <c r="C6421" t="s">
        <v>8</v>
      </c>
      <c r="D6421">
        <v>1.655</v>
      </c>
      <c r="E6421">
        <v>530</v>
      </c>
      <c r="F6421" t="str">
        <f>HYPERLINK("https://www.google.com/maps/search/?api=1&amp;query=24.8227143,46.75396866", "View Map")</f>
        <v>View Map</v>
      </c>
    </row>
    <row r="6422" spans="1:7" x14ac:dyDescent="0.3">
      <c r="A6422" t="s">
        <v>661</v>
      </c>
      <c r="B6422" t="s">
        <v>12576</v>
      </c>
      <c r="C6422" t="s">
        <v>214</v>
      </c>
      <c r="D6422">
        <v>1.6539999999999999</v>
      </c>
      <c r="E6422">
        <v>529</v>
      </c>
      <c r="F6422" t="str">
        <f>HYPERLINK("https://www.google.com/maps/search/?api=1&amp;query=25.72143353,45.4645001", "View Map")</f>
        <v>View Map</v>
      </c>
      <c r="G6422" s="2">
        <v>0.56247525504332041</v>
      </c>
    </row>
    <row r="6423" spans="1:7" x14ac:dyDescent="0.3">
      <c r="A6423" t="s">
        <v>12577</v>
      </c>
      <c r="B6423" t="s">
        <v>12578</v>
      </c>
      <c r="C6423" t="s">
        <v>8</v>
      </c>
      <c r="D6423">
        <v>1.6539999999999999</v>
      </c>
      <c r="E6423">
        <v>529</v>
      </c>
      <c r="F6423" t="str">
        <f>HYPERLINK("https://www.google.com/maps/search/?api=1&amp;query=24.54530851,46.72444126", "View Map")</f>
        <v>View Map</v>
      </c>
    </row>
    <row r="6424" spans="1:7" x14ac:dyDescent="0.3">
      <c r="A6424" t="s">
        <v>12579</v>
      </c>
      <c r="B6424" t="s">
        <v>12580</v>
      </c>
      <c r="C6424" t="s">
        <v>8</v>
      </c>
      <c r="D6424">
        <v>1.653</v>
      </c>
      <c r="E6424">
        <v>529</v>
      </c>
      <c r="F6424" t="str">
        <f>HYPERLINK("https://www.google.com/maps/search/?api=1&amp;query=24.70062768,46.84662285", "View Map")</f>
        <v>View Map</v>
      </c>
    </row>
    <row r="6425" spans="1:7" x14ac:dyDescent="0.3">
      <c r="A6425" t="s">
        <v>8853</v>
      </c>
      <c r="B6425" t="s">
        <v>8854</v>
      </c>
      <c r="C6425" t="s">
        <v>21</v>
      </c>
      <c r="D6425">
        <v>1.6519999999999999</v>
      </c>
      <c r="E6425">
        <v>529</v>
      </c>
      <c r="F6425" t="str">
        <f>HYPERLINK("https://www.google.com/maps/search/?api=1&amp;query=26.28890267,44.81689563", "View Map")</f>
        <v>View Map</v>
      </c>
    </row>
    <row r="6426" spans="1:7" x14ac:dyDescent="0.3">
      <c r="A6426" t="s">
        <v>10270</v>
      </c>
      <c r="B6426" t="s">
        <v>10271</v>
      </c>
      <c r="C6426" t="s">
        <v>8</v>
      </c>
      <c r="D6426">
        <v>1.6519999999999999</v>
      </c>
      <c r="E6426">
        <v>529</v>
      </c>
      <c r="F6426" t="str">
        <f>HYPERLINK("https://www.google.com/maps/search/?api=1&amp;query=24.65275801,46.69929603", "View Map")</f>
        <v>View Map</v>
      </c>
    </row>
    <row r="6427" spans="1:7" x14ac:dyDescent="0.3">
      <c r="A6427" t="s">
        <v>9049</v>
      </c>
      <c r="B6427" t="s">
        <v>9050</v>
      </c>
      <c r="C6427" t="s">
        <v>270</v>
      </c>
      <c r="D6427">
        <v>1.6519999999999999</v>
      </c>
      <c r="E6427">
        <v>529</v>
      </c>
      <c r="F6427" t="str">
        <f>HYPERLINK("https://www.google.com/maps/search/?api=1&amp;query=24.07117148,47.17845737", "View Map")</f>
        <v>View Map</v>
      </c>
      <c r="G6427" s="2">
        <v>0.47834247452237338</v>
      </c>
    </row>
    <row r="6428" spans="1:7" x14ac:dyDescent="0.3">
      <c r="A6428" t="s">
        <v>10287</v>
      </c>
      <c r="B6428" t="s">
        <v>10288</v>
      </c>
      <c r="C6428" t="s">
        <v>8</v>
      </c>
      <c r="D6428">
        <v>1.6519999999999999</v>
      </c>
      <c r="E6428">
        <v>529</v>
      </c>
      <c r="F6428" t="str">
        <f>HYPERLINK("https://www.google.com/maps/search/?api=1&amp;query=24.585948,46.628697", "View Map")</f>
        <v>View Map</v>
      </c>
    </row>
    <row r="6429" spans="1:7" x14ac:dyDescent="0.3">
      <c r="A6429" t="s">
        <v>8583</v>
      </c>
      <c r="B6429" t="s">
        <v>8584</v>
      </c>
      <c r="C6429" t="s">
        <v>291</v>
      </c>
      <c r="D6429">
        <v>1.6519999999999999</v>
      </c>
      <c r="E6429">
        <v>529</v>
      </c>
      <c r="F6429" t="str">
        <f>HYPERLINK("https://www.google.com/maps/search/?api=1&amp;query=23.95976446,45.56275782", "View Map")</f>
        <v>View Map</v>
      </c>
      <c r="G6429" s="2">
        <v>0.67446948830797904</v>
      </c>
    </row>
    <row r="6430" spans="1:7" x14ac:dyDescent="0.3">
      <c r="A6430" t="s">
        <v>4379</v>
      </c>
      <c r="B6430" t="s">
        <v>4380</v>
      </c>
      <c r="C6430" t="s">
        <v>286</v>
      </c>
      <c r="D6430">
        <v>1.651</v>
      </c>
      <c r="E6430">
        <v>528</v>
      </c>
      <c r="F6430" t="str">
        <f>HYPERLINK("https://www.google.com/maps/search/?api=1&amp;query=25.24006568,45.24722379", "View Map")</f>
        <v>View Map</v>
      </c>
    </row>
    <row r="6431" spans="1:7" x14ac:dyDescent="0.3">
      <c r="A6431" t="s">
        <v>12581</v>
      </c>
      <c r="B6431" t="s">
        <v>12582</v>
      </c>
      <c r="C6431" t="s">
        <v>286</v>
      </c>
      <c r="D6431">
        <v>1.651</v>
      </c>
      <c r="E6431">
        <v>528</v>
      </c>
      <c r="F6431" t="str">
        <f>HYPERLINK("https://www.google.com/maps/search/?api=1&amp;query=25.22451883,45.24302945", "View Map")</f>
        <v>View Map</v>
      </c>
      <c r="G6431" s="2">
        <v>0.42148634107272043</v>
      </c>
    </row>
    <row r="6432" spans="1:7" x14ac:dyDescent="0.3">
      <c r="A6432" t="s">
        <v>12583</v>
      </c>
      <c r="B6432" t="s">
        <v>12584</v>
      </c>
      <c r="C6432" t="s">
        <v>291</v>
      </c>
      <c r="D6432">
        <v>1.651</v>
      </c>
      <c r="E6432">
        <v>528</v>
      </c>
      <c r="F6432" t="str">
        <f>HYPERLINK("https://www.google.com/maps/search/?api=1&amp;query=24.41533924,45.81673002", "View Map")</f>
        <v>View Map</v>
      </c>
      <c r="G6432" s="2">
        <v>0.58475758940775568</v>
      </c>
    </row>
    <row r="6433" spans="1:7" x14ac:dyDescent="0.3">
      <c r="A6433" t="s">
        <v>10476</v>
      </c>
      <c r="B6433" t="s">
        <v>10477</v>
      </c>
      <c r="C6433" t="s">
        <v>8</v>
      </c>
      <c r="D6433">
        <v>1.651</v>
      </c>
      <c r="E6433">
        <v>528</v>
      </c>
      <c r="F6433" t="str">
        <f>HYPERLINK("https://www.google.com/maps/search/?api=1&amp;query=24.59409306,46.77022116", "View Map")</f>
        <v>View Map</v>
      </c>
    </row>
    <row r="6434" spans="1:7" x14ac:dyDescent="0.3">
      <c r="A6434" t="s">
        <v>9932</v>
      </c>
      <c r="B6434" t="s">
        <v>9933</v>
      </c>
      <c r="C6434" t="s">
        <v>8</v>
      </c>
      <c r="D6434">
        <v>1.65</v>
      </c>
      <c r="E6434">
        <v>528</v>
      </c>
      <c r="F6434" t="str">
        <f>HYPERLINK("https://www.google.com/maps/search/?api=1&amp;query=24.80123547,46.79103692", "View Map")</f>
        <v>View Map</v>
      </c>
    </row>
    <row r="6435" spans="1:7" x14ac:dyDescent="0.3">
      <c r="A6435" t="s">
        <v>10696</v>
      </c>
      <c r="B6435" t="s">
        <v>10697</v>
      </c>
      <c r="C6435" t="s">
        <v>8</v>
      </c>
      <c r="D6435">
        <v>1.649</v>
      </c>
      <c r="E6435">
        <v>528</v>
      </c>
      <c r="F6435" t="str">
        <f>HYPERLINK("https://www.google.com/maps/search/?api=1&amp;query=24.79689306,46.69508732", "View Map")</f>
        <v>View Map</v>
      </c>
      <c r="G6435" s="2">
        <v>0.40277456609746642</v>
      </c>
    </row>
    <row r="6436" spans="1:7" x14ac:dyDescent="0.3">
      <c r="A6436" t="s">
        <v>28</v>
      </c>
      <c r="B6436" t="s">
        <v>7989</v>
      </c>
      <c r="C6436" t="s">
        <v>30</v>
      </c>
      <c r="D6436">
        <v>1.649</v>
      </c>
      <c r="E6436">
        <v>528</v>
      </c>
      <c r="F6436" t="str">
        <f>HYPERLINK("https://www.google.com/maps/search/?api=1&amp;query=24.0945035,47.27503035", "View Map")</f>
        <v>View Map</v>
      </c>
      <c r="G6436" s="2">
        <v>0.51960414199259408</v>
      </c>
    </row>
    <row r="6437" spans="1:7" x14ac:dyDescent="0.3">
      <c r="A6437" t="s">
        <v>12585</v>
      </c>
      <c r="B6437" t="s">
        <v>12586</v>
      </c>
      <c r="C6437" t="s">
        <v>8</v>
      </c>
      <c r="D6437">
        <v>1.649</v>
      </c>
      <c r="E6437">
        <v>528</v>
      </c>
      <c r="F6437" t="str">
        <f>HYPERLINK("https://www.google.com/maps/search/?api=1&amp;query=24.55905408,46.72092626", "View Map")</f>
        <v>View Map</v>
      </c>
    </row>
    <row r="6438" spans="1:7" x14ac:dyDescent="0.3">
      <c r="A6438" t="s">
        <v>8927</v>
      </c>
      <c r="B6438" t="s">
        <v>8928</v>
      </c>
      <c r="C6438" t="s">
        <v>8</v>
      </c>
      <c r="D6438">
        <v>1.6479999999999999</v>
      </c>
      <c r="E6438">
        <v>527</v>
      </c>
      <c r="F6438" t="str">
        <f>HYPERLINK("https://www.google.com/maps/search/?api=1&amp;query=24.59048086,46.63762672", "View Map")</f>
        <v>View Map</v>
      </c>
    </row>
    <row r="6439" spans="1:7" x14ac:dyDescent="0.3">
      <c r="A6439" t="s">
        <v>2737</v>
      </c>
      <c r="B6439" t="s">
        <v>12587</v>
      </c>
      <c r="C6439" t="s">
        <v>8</v>
      </c>
      <c r="D6439">
        <v>1.6479999999999999</v>
      </c>
      <c r="E6439">
        <v>527</v>
      </c>
      <c r="F6439" t="str">
        <f>HYPERLINK("https://www.google.com/maps/search/?api=1&amp;query=24.68984651,46.84753123", "View Map")</f>
        <v>View Map</v>
      </c>
    </row>
    <row r="6440" spans="1:7" x14ac:dyDescent="0.3">
      <c r="A6440" t="s">
        <v>678</v>
      </c>
      <c r="B6440" t="s">
        <v>10229</v>
      </c>
      <c r="C6440" t="s">
        <v>21</v>
      </c>
      <c r="D6440">
        <v>1.647</v>
      </c>
      <c r="E6440">
        <v>527</v>
      </c>
      <c r="F6440" t="str">
        <f>HYPERLINK("https://www.google.com/maps/search/?api=1&amp;query=26.30842404,44.88709897", "View Map")</f>
        <v>View Map</v>
      </c>
    </row>
    <row r="6441" spans="1:7" x14ac:dyDescent="0.3">
      <c r="A6441" t="s">
        <v>5260</v>
      </c>
      <c r="B6441" t="s">
        <v>5261</v>
      </c>
      <c r="C6441" t="s">
        <v>55</v>
      </c>
      <c r="D6441">
        <v>1.647</v>
      </c>
      <c r="E6441">
        <v>527</v>
      </c>
      <c r="F6441" t="str">
        <f>HYPERLINK("https://www.google.com/maps/search/?api=1&amp;query=24.75799778,46.56479366", "View Map")</f>
        <v>View Map</v>
      </c>
    </row>
    <row r="6442" spans="1:7" x14ac:dyDescent="0.3">
      <c r="A6442" t="s">
        <v>12588</v>
      </c>
      <c r="B6442" t="s">
        <v>12589</v>
      </c>
      <c r="C6442" t="s">
        <v>466</v>
      </c>
      <c r="D6442">
        <v>1.647</v>
      </c>
      <c r="E6442">
        <v>527</v>
      </c>
      <c r="F6442" t="str">
        <f>HYPERLINK("https://www.google.com/maps/search/?api=1&amp;query=24.71196281,45.9382626", "View Map")</f>
        <v>View Map</v>
      </c>
    </row>
    <row r="6443" spans="1:7" x14ac:dyDescent="0.3">
      <c r="A6443" t="s">
        <v>12590</v>
      </c>
      <c r="B6443" t="s">
        <v>12591</v>
      </c>
      <c r="C6443" t="s">
        <v>8</v>
      </c>
      <c r="D6443">
        <v>1.647</v>
      </c>
      <c r="E6443">
        <v>527</v>
      </c>
      <c r="F6443" t="str">
        <f>HYPERLINK("https://www.google.com/maps/search/?api=1&amp;query=24.68990643,46.59679933", "View Map")</f>
        <v>View Map</v>
      </c>
    </row>
    <row r="6444" spans="1:7" x14ac:dyDescent="0.3">
      <c r="A6444" t="s">
        <v>4907</v>
      </c>
      <c r="B6444" t="s">
        <v>4908</v>
      </c>
      <c r="C6444" t="s">
        <v>8</v>
      </c>
      <c r="D6444">
        <v>1.6459999999999999</v>
      </c>
      <c r="E6444">
        <v>527</v>
      </c>
      <c r="F6444" t="str">
        <f>HYPERLINK("https://www.google.com/maps/search/?api=1&amp;query=24.61757667,46.69805552", "View Map")</f>
        <v>View Map</v>
      </c>
    </row>
    <row r="6445" spans="1:7" x14ac:dyDescent="0.3">
      <c r="A6445" t="s">
        <v>8992</v>
      </c>
      <c r="B6445" t="s">
        <v>8993</v>
      </c>
      <c r="C6445" t="s">
        <v>137</v>
      </c>
      <c r="D6445">
        <v>1.6459999999999999</v>
      </c>
      <c r="E6445">
        <v>527</v>
      </c>
      <c r="F6445" t="str">
        <f>HYPERLINK("https://www.google.com/maps/search/?api=1&amp;query=23.49650531,46.82099913", "View Map")</f>
        <v>View Map</v>
      </c>
      <c r="G6445" s="2">
        <v>0.68556155765616322</v>
      </c>
    </row>
    <row r="6446" spans="1:7" x14ac:dyDescent="0.3">
      <c r="A6446" t="s">
        <v>12592</v>
      </c>
      <c r="B6446" t="s">
        <v>12593</v>
      </c>
      <c r="C6446" t="s">
        <v>30</v>
      </c>
      <c r="D6446">
        <v>1.6459999999999999</v>
      </c>
      <c r="E6446">
        <v>527</v>
      </c>
      <c r="F6446" t="str">
        <f>HYPERLINK("https://www.google.com/maps/search/?api=1&amp;query=24.1753,47.2878", "View Map")</f>
        <v>View Map</v>
      </c>
    </row>
    <row r="6447" spans="1:7" x14ac:dyDescent="0.3">
      <c r="A6447" t="s">
        <v>12594</v>
      </c>
      <c r="B6447" t="s">
        <v>12595</v>
      </c>
      <c r="C6447" t="s">
        <v>214</v>
      </c>
      <c r="D6447">
        <v>1.6459999999999999</v>
      </c>
      <c r="E6447">
        <v>527</v>
      </c>
      <c r="F6447" t="str">
        <f>HYPERLINK("https://www.google.com/maps/search/?api=1&amp;query=26.15172579,46.16261684", "View Map")</f>
        <v>View Map</v>
      </c>
    </row>
    <row r="6448" spans="1:7" x14ac:dyDescent="0.3">
      <c r="A6448" t="s">
        <v>510</v>
      </c>
      <c r="B6448" t="s">
        <v>12596</v>
      </c>
      <c r="C6448" t="s">
        <v>393</v>
      </c>
      <c r="D6448">
        <v>1.6459999999999999</v>
      </c>
      <c r="E6448">
        <v>527</v>
      </c>
      <c r="F6448" t="str">
        <f>HYPERLINK("https://www.google.com/maps/search/?api=1&amp;query=22.46959617,44.92868215", "View Map")</f>
        <v>View Map</v>
      </c>
      <c r="G6448" s="2">
        <v>0.84507913765183806</v>
      </c>
    </row>
    <row r="6449" spans="1:7" x14ac:dyDescent="0.3">
      <c r="A6449" t="s">
        <v>6917</v>
      </c>
      <c r="B6449" t="s">
        <v>6918</v>
      </c>
      <c r="C6449" t="s">
        <v>8</v>
      </c>
      <c r="D6449">
        <v>1.6459999999999999</v>
      </c>
      <c r="E6449">
        <v>527</v>
      </c>
      <c r="F6449" t="str">
        <f>HYPERLINK("https://www.google.com/maps/search/?api=1&amp;query=24.57374243,46.59319472", "View Map")</f>
        <v>View Map</v>
      </c>
    </row>
    <row r="6450" spans="1:7" x14ac:dyDescent="0.3">
      <c r="A6450" t="s">
        <v>3506</v>
      </c>
      <c r="B6450" t="s">
        <v>3507</v>
      </c>
      <c r="C6450" t="s">
        <v>8</v>
      </c>
      <c r="D6450">
        <v>1.6459999999999999</v>
      </c>
      <c r="E6450">
        <v>527</v>
      </c>
      <c r="F6450" t="str">
        <f>HYPERLINK("https://www.google.com/maps/search/?api=1&amp;query=24.5803236,46.84041839", "View Map")</f>
        <v>View Map</v>
      </c>
    </row>
    <row r="6451" spans="1:7" x14ac:dyDescent="0.3">
      <c r="A6451" t="s">
        <v>12597</v>
      </c>
      <c r="B6451" t="s">
        <v>12598</v>
      </c>
      <c r="C6451" t="s">
        <v>291</v>
      </c>
      <c r="D6451">
        <v>1.6459999999999999</v>
      </c>
      <c r="E6451">
        <v>527</v>
      </c>
      <c r="F6451" t="str">
        <f>HYPERLINK("https://www.google.com/maps/search/?api=1&amp;query=24.52395443,45.63768934", "View Map")</f>
        <v>View Map</v>
      </c>
      <c r="G6451" s="2">
        <v>0.63940479706633058</v>
      </c>
    </row>
    <row r="6452" spans="1:7" x14ac:dyDescent="0.3">
      <c r="A6452" t="s">
        <v>46</v>
      </c>
      <c r="B6452" t="s">
        <v>12599</v>
      </c>
      <c r="C6452" t="s">
        <v>8</v>
      </c>
      <c r="D6452">
        <v>1.645</v>
      </c>
      <c r="E6452">
        <v>526</v>
      </c>
      <c r="F6452" t="str">
        <f>HYPERLINK("https://www.google.com/maps/search/?api=1&amp;query=24.82760704,46.80253286", "View Map")</f>
        <v>View Map</v>
      </c>
      <c r="G6452" s="2">
        <v>0.85901179568322272</v>
      </c>
    </row>
    <row r="6453" spans="1:7" x14ac:dyDescent="0.3">
      <c r="A6453" t="s">
        <v>12600</v>
      </c>
      <c r="B6453" t="s">
        <v>12601</v>
      </c>
      <c r="C6453" t="s">
        <v>296</v>
      </c>
      <c r="D6453">
        <v>1.645</v>
      </c>
      <c r="E6453">
        <v>526</v>
      </c>
      <c r="F6453" t="str">
        <f>HYPERLINK("https://www.google.com/maps/search/?api=1&amp;query=24.50802094,45.99782988", "View Map")</f>
        <v>View Map</v>
      </c>
      <c r="G6453" s="2">
        <v>0.41191164723272411</v>
      </c>
    </row>
    <row r="6454" spans="1:7" x14ac:dyDescent="0.3">
      <c r="A6454" t="s">
        <v>73</v>
      </c>
      <c r="B6454" t="s">
        <v>12602</v>
      </c>
      <c r="C6454" t="s">
        <v>8</v>
      </c>
      <c r="D6454">
        <v>1.6439999999999999</v>
      </c>
      <c r="E6454">
        <v>526</v>
      </c>
      <c r="F6454" t="str">
        <f>HYPERLINK("https://www.google.com/maps/search/?api=1&amp;query=24.91138535,46.62032743", "View Map")</f>
        <v>View Map</v>
      </c>
    </row>
    <row r="6455" spans="1:7" x14ac:dyDescent="0.3">
      <c r="A6455" t="s">
        <v>430</v>
      </c>
      <c r="B6455" t="s">
        <v>10341</v>
      </c>
      <c r="C6455" t="s">
        <v>8</v>
      </c>
      <c r="D6455">
        <v>1.6439999999999999</v>
      </c>
      <c r="E6455">
        <v>526</v>
      </c>
      <c r="F6455" t="str">
        <f>HYPERLINK("https://www.google.com/maps/search/?api=1&amp;query=24.69737175,46.76072907", "View Map")</f>
        <v>View Map</v>
      </c>
    </row>
    <row r="6456" spans="1:7" x14ac:dyDescent="0.3">
      <c r="A6456" t="s">
        <v>8245</v>
      </c>
      <c r="B6456" t="s">
        <v>8246</v>
      </c>
      <c r="C6456" t="s">
        <v>8</v>
      </c>
      <c r="D6456">
        <v>1.6439999999999999</v>
      </c>
      <c r="E6456">
        <v>526</v>
      </c>
      <c r="F6456" t="str">
        <f>HYPERLINK("https://www.google.com/maps/search/?api=1&amp;query=24.59281078,46.67385969", "View Map")</f>
        <v>View Map</v>
      </c>
    </row>
    <row r="6457" spans="1:7" x14ac:dyDescent="0.3">
      <c r="A6457" t="s">
        <v>12603</v>
      </c>
      <c r="B6457" t="s">
        <v>12604</v>
      </c>
      <c r="C6457" t="s">
        <v>270</v>
      </c>
      <c r="D6457">
        <v>1.6439999999999999</v>
      </c>
      <c r="E6457">
        <v>526</v>
      </c>
      <c r="F6457" t="str">
        <f>HYPERLINK("https://www.google.com/maps/search/?api=1&amp;query=24.02279479,47.13832198", "View Map")</f>
        <v>View Map</v>
      </c>
    </row>
    <row r="6458" spans="1:7" x14ac:dyDescent="0.3">
      <c r="A6458" t="s">
        <v>12605</v>
      </c>
      <c r="B6458" t="s">
        <v>12606</v>
      </c>
      <c r="C6458" t="s">
        <v>77</v>
      </c>
      <c r="D6458">
        <v>1.643</v>
      </c>
      <c r="E6458">
        <v>526</v>
      </c>
      <c r="F6458" t="str">
        <f>HYPERLINK("https://www.google.com/maps/search/?api=1&amp;query=22.22798746,46.77950454", "View Map")</f>
        <v>View Map</v>
      </c>
    </row>
    <row r="6459" spans="1:7" x14ac:dyDescent="0.3">
      <c r="A6459" t="s">
        <v>5349</v>
      </c>
      <c r="B6459" t="s">
        <v>5350</v>
      </c>
      <c r="C6459" t="s">
        <v>30</v>
      </c>
      <c r="D6459">
        <v>1.643</v>
      </c>
      <c r="E6459">
        <v>526</v>
      </c>
      <c r="F6459" t="str">
        <f>HYPERLINK("https://www.google.com/maps/search/?api=1&amp;query=24.15109138,47.36192047", "View Map")</f>
        <v>View Map</v>
      </c>
      <c r="G6459" s="2">
        <v>0.2598178256265809</v>
      </c>
    </row>
    <row r="6460" spans="1:7" x14ac:dyDescent="0.3">
      <c r="A6460" t="s">
        <v>4761</v>
      </c>
      <c r="B6460" t="s">
        <v>4762</v>
      </c>
      <c r="C6460" t="s">
        <v>8</v>
      </c>
      <c r="D6460">
        <v>1.6419999999999999</v>
      </c>
      <c r="E6460">
        <v>525</v>
      </c>
      <c r="F6460" t="str">
        <f>HYPERLINK("https://www.google.com/maps/search/?api=1&amp;query=24.70350896,46.67361466", "View Map")</f>
        <v>View Map</v>
      </c>
    </row>
    <row r="6461" spans="1:7" x14ac:dyDescent="0.3">
      <c r="A6461" t="s">
        <v>12607</v>
      </c>
      <c r="B6461" t="s">
        <v>12608</v>
      </c>
      <c r="C6461" t="s">
        <v>55</v>
      </c>
      <c r="D6461">
        <v>1.6419999999999999</v>
      </c>
      <c r="E6461">
        <v>525</v>
      </c>
      <c r="F6461" t="str">
        <f>HYPERLINK("https://www.google.com/maps/search/?api=1&amp;query=24.75595728,46.57202354", "View Map")</f>
        <v>View Map</v>
      </c>
    </row>
    <row r="6462" spans="1:7" x14ac:dyDescent="0.3">
      <c r="A6462" t="s">
        <v>12609</v>
      </c>
      <c r="B6462" t="s">
        <v>12610</v>
      </c>
      <c r="C6462" t="s">
        <v>255</v>
      </c>
      <c r="D6462">
        <v>1.6419999999999999</v>
      </c>
      <c r="E6462">
        <v>526</v>
      </c>
      <c r="F6462" t="str">
        <f>HYPERLINK("https://www.google.com/maps/search/?api=1&amp;query=24.52566878,44.40377173", "View Map")</f>
        <v>View Map</v>
      </c>
    </row>
    <row r="6463" spans="1:7" x14ac:dyDescent="0.3">
      <c r="A6463" t="s">
        <v>28</v>
      </c>
      <c r="B6463" t="s">
        <v>12611</v>
      </c>
      <c r="C6463" t="s">
        <v>30</v>
      </c>
      <c r="D6463">
        <v>1.6419999999999999</v>
      </c>
      <c r="E6463">
        <v>525</v>
      </c>
      <c r="F6463" t="str">
        <f>HYPERLINK("https://www.google.com/maps/search/?api=1&amp;query=24.14032569,47.27386571", "View Map")</f>
        <v>View Map</v>
      </c>
    </row>
    <row r="6464" spans="1:7" x14ac:dyDescent="0.3">
      <c r="A6464" t="s">
        <v>46</v>
      </c>
      <c r="B6464" t="s">
        <v>7219</v>
      </c>
      <c r="C6464" t="s">
        <v>8</v>
      </c>
      <c r="D6464">
        <v>1.6419999999999999</v>
      </c>
      <c r="E6464">
        <v>525</v>
      </c>
      <c r="F6464" t="str">
        <f>HYPERLINK("https://www.google.com/maps/search/?api=1&amp;query=24.87661559,46.64199031", "View Map")</f>
        <v>View Map</v>
      </c>
    </row>
    <row r="6465" spans="1:7" x14ac:dyDescent="0.3">
      <c r="A6465" t="s">
        <v>12612</v>
      </c>
      <c r="B6465" t="s">
        <v>12613</v>
      </c>
      <c r="C6465" t="s">
        <v>8</v>
      </c>
      <c r="D6465">
        <v>1.64</v>
      </c>
      <c r="E6465">
        <v>525</v>
      </c>
      <c r="F6465" t="str">
        <f>HYPERLINK("https://www.google.com/maps/search/?api=1&amp;query=24.40173524,46.83684822", "View Map")</f>
        <v>View Map</v>
      </c>
    </row>
    <row r="6466" spans="1:7" x14ac:dyDescent="0.3">
      <c r="A6466" t="s">
        <v>11264</v>
      </c>
      <c r="B6466" t="s">
        <v>11265</v>
      </c>
      <c r="C6466" t="s">
        <v>241</v>
      </c>
      <c r="D6466">
        <v>1.64</v>
      </c>
      <c r="E6466">
        <v>525</v>
      </c>
      <c r="F6466" t="str">
        <f>HYPERLINK("https://www.google.com/maps/search/?api=1&amp;query=21.96393943,44.98700189", "View Map")</f>
        <v>View Map</v>
      </c>
      <c r="G6466" s="2">
        <v>0.85094614624505927</v>
      </c>
    </row>
    <row r="6467" spans="1:7" x14ac:dyDescent="0.3">
      <c r="A6467" t="s">
        <v>3061</v>
      </c>
      <c r="B6467" t="s">
        <v>3062</v>
      </c>
      <c r="C6467" t="s">
        <v>8</v>
      </c>
      <c r="D6467">
        <v>1.64</v>
      </c>
      <c r="E6467">
        <v>525</v>
      </c>
      <c r="F6467" t="str">
        <f>HYPERLINK("https://www.google.com/maps/search/?api=1&amp;query=24.57383894,46.6336162", "View Map")</f>
        <v>View Map</v>
      </c>
      <c r="G6467" s="2">
        <v>0.19039263385457281</v>
      </c>
    </row>
    <row r="6468" spans="1:7" x14ac:dyDescent="0.3">
      <c r="A6468" t="s">
        <v>12614</v>
      </c>
      <c r="B6468" t="s">
        <v>12615</v>
      </c>
      <c r="C6468" t="s">
        <v>393</v>
      </c>
      <c r="D6468">
        <v>1.639</v>
      </c>
      <c r="E6468">
        <v>524</v>
      </c>
      <c r="F6468" t="str">
        <f>HYPERLINK("https://www.google.com/maps/search/?api=1&amp;query=22.87548084,45.47926285", "View Map")</f>
        <v>View Map</v>
      </c>
      <c r="G6468" s="2">
        <v>0.83408051938834049</v>
      </c>
    </row>
    <row r="6469" spans="1:7" x14ac:dyDescent="0.3">
      <c r="A6469" t="s">
        <v>678</v>
      </c>
      <c r="B6469" t="s">
        <v>8973</v>
      </c>
      <c r="C6469" t="s">
        <v>21</v>
      </c>
      <c r="D6469">
        <v>1.639</v>
      </c>
      <c r="E6469">
        <v>525</v>
      </c>
      <c r="F6469" t="str">
        <f>HYPERLINK("https://www.google.com/maps/search/?api=1&amp;query=26.30577467,44.89516584", "View Map")</f>
        <v>View Map</v>
      </c>
      <c r="G6469" s="2">
        <v>0.39603268581197643</v>
      </c>
    </row>
    <row r="6470" spans="1:7" x14ac:dyDescent="0.3">
      <c r="A6470" t="s">
        <v>12616</v>
      </c>
      <c r="B6470" t="s">
        <v>12617</v>
      </c>
      <c r="C6470" t="s">
        <v>255</v>
      </c>
      <c r="D6470">
        <v>1.639</v>
      </c>
      <c r="E6470">
        <v>524</v>
      </c>
      <c r="F6470" t="str">
        <f>HYPERLINK("https://www.google.com/maps/search/?api=1&amp;query=24.45897293,44.36171992", "View Map")</f>
        <v>View Map</v>
      </c>
      <c r="G6470" s="2">
        <v>0.96564781972488034</v>
      </c>
    </row>
    <row r="6471" spans="1:7" x14ac:dyDescent="0.3">
      <c r="A6471" t="s">
        <v>12618</v>
      </c>
      <c r="B6471" t="s">
        <v>12619</v>
      </c>
      <c r="C6471" t="s">
        <v>241</v>
      </c>
      <c r="D6471">
        <v>1.639</v>
      </c>
      <c r="E6471">
        <v>525</v>
      </c>
      <c r="F6471" t="str">
        <f>HYPERLINK("https://www.google.com/maps/search/?api=1&amp;query=20.46216607,44.78301561", "View Map")</f>
        <v>View Map</v>
      </c>
    </row>
    <row r="6472" spans="1:7" x14ac:dyDescent="0.3">
      <c r="A6472" t="s">
        <v>12620</v>
      </c>
      <c r="B6472" t="s">
        <v>12621</v>
      </c>
      <c r="C6472" t="s">
        <v>255</v>
      </c>
      <c r="D6472">
        <v>1.6359999999999999</v>
      </c>
      <c r="E6472">
        <v>524</v>
      </c>
      <c r="F6472" t="str">
        <f>HYPERLINK("https://www.google.com/maps/search/?api=1&amp;query=24.66588044,43.55159963", "View Map")</f>
        <v>View Map</v>
      </c>
    </row>
    <row r="6473" spans="1:7" x14ac:dyDescent="0.3">
      <c r="A6473" t="s">
        <v>12622</v>
      </c>
      <c r="B6473" t="s">
        <v>12623</v>
      </c>
      <c r="C6473" t="s">
        <v>296</v>
      </c>
      <c r="D6473">
        <v>1.6359999999999999</v>
      </c>
      <c r="E6473">
        <v>523</v>
      </c>
      <c r="F6473" t="str">
        <f>HYPERLINK("https://www.google.com/maps/search/?api=1&amp;query=24.47258463,46.27360047", "View Map")</f>
        <v>View Map</v>
      </c>
    </row>
    <row r="6474" spans="1:7" x14ac:dyDescent="0.3">
      <c r="A6474" t="s">
        <v>4606</v>
      </c>
      <c r="B6474" t="s">
        <v>4607</v>
      </c>
      <c r="C6474" t="s">
        <v>8</v>
      </c>
      <c r="D6474">
        <v>1.6359999999999999</v>
      </c>
      <c r="E6474">
        <v>523</v>
      </c>
      <c r="F6474" t="str">
        <f>HYPERLINK("https://www.google.com/maps/search/?api=1&amp;query=24.72869569,46.68696178", "View Map")</f>
        <v>View Map</v>
      </c>
    </row>
    <row r="6475" spans="1:7" x14ac:dyDescent="0.3">
      <c r="A6475" t="s">
        <v>6038</v>
      </c>
      <c r="B6475" t="s">
        <v>6039</v>
      </c>
      <c r="C6475" t="s">
        <v>8</v>
      </c>
      <c r="D6475">
        <v>1.6359999999999999</v>
      </c>
      <c r="E6475">
        <v>524</v>
      </c>
      <c r="F6475" t="str">
        <f>HYPERLINK("https://www.google.com/maps/search/?api=1&amp;query=24.8251662,46.80683298", "View Map")</f>
        <v>View Map</v>
      </c>
    </row>
    <row r="6476" spans="1:7" x14ac:dyDescent="0.3">
      <c r="A6476" t="s">
        <v>9102</v>
      </c>
      <c r="B6476" t="s">
        <v>9103</v>
      </c>
      <c r="C6476" t="s">
        <v>214</v>
      </c>
      <c r="D6476">
        <v>1.635</v>
      </c>
      <c r="E6476">
        <v>523</v>
      </c>
      <c r="F6476" t="str">
        <f>HYPERLINK("https://www.google.com/maps/search/?api=1&amp;query=25.90835853,45.38092562", "View Map")</f>
        <v>View Map</v>
      </c>
      <c r="G6476" s="2">
        <v>0.31659975061803219</v>
      </c>
    </row>
    <row r="6477" spans="1:7" x14ac:dyDescent="0.3">
      <c r="A6477" t="s">
        <v>28</v>
      </c>
      <c r="B6477" t="s">
        <v>12624</v>
      </c>
      <c r="C6477" t="s">
        <v>30</v>
      </c>
      <c r="D6477">
        <v>1.635</v>
      </c>
      <c r="E6477">
        <v>523</v>
      </c>
      <c r="F6477" t="str">
        <f>HYPERLINK("https://www.google.com/maps/search/?api=1&amp;query=24.09266652,47.27194638", "View Map")</f>
        <v>View Map</v>
      </c>
    </row>
    <row r="6478" spans="1:7" x14ac:dyDescent="0.3">
      <c r="A6478" t="s">
        <v>146</v>
      </c>
      <c r="B6478" t="s">
        <v>12625</v>
      </c>
      <c r="C6478" t="s">
        <v>8</v>
      </c>
      <c r="D6478">
        <v>1.635</v>
      </c>
      <c r="E6478">
        <v>523</v>
      </c>
      <c r="F6478" t="str">
        <f>HYPERLINK("https://www.google.com/maps/search/?api=1&amp;query=24.55117844,46.50158735", "View Map")</f>
        <v>View Map</v>
      </c>
    </row>
    <row r="6479" spans="1:7" x14ac:dyDescent="0.3">
      <c r="A6479" t="s">
        <v>6530</v>
      </c>
      <c r="B6479" t="s">
        <v>6531</v>
      </c>
      <c r="C6479" t="s">
        <v>286</v>
      </c>
      <c r="D6479">
        <v>1.6339999999999999</v>
      </c>
      <c r="E6479">
        <v>523</v>
      </c>
      <c r="F6479" t="str">
        <f>HYPERLINK("https://www.google.com/maps/search/?api=1&amp;query=25.23487162,45.24797916", "View Map")</f>
        <v>View Map</v>
      </c>
      <c r="G6479" s="2">
        <v>0.2289938692724364</v>
      </c>
    </row>
    <row r="6480" spans="1:7" x14ac:dyDescent="0.3">
      <c r="A6480" t="s">
        <v>12626</v>
      </c>
      <c r="B6480" t="s">
        <v>12627</v>
      </c>
      <c r="C6480" t="s">
        <v>30</v>
      </c>
      <c r="D6480">
        <v>1.6339999999999999</v>
      </c>
      <c r="E6480">
        <v>523</v>
      </c>
      <c r="F6480" t="str">
        <f>HYPERLINK("https://www.google.com/maps/search/?api=1&amp;query=24.16803919,47.23486356", "View Map")</f>
        <v>View Map</v>
      </c>
      <c r="G6480" s="2">
        <v>0.4944850143015056</v>
      </c>
    </row>
    <row r="6481" spans="1:7" x14ac:dyDescent="0.3">
      <c r="A6481" t="s">
        <v>3253</v>
      </c>
      <c r="B6481" t="s">
        <v>9958</v>
      </c>
      <c r="C6481" t="s">
        <v>8</v>
      </c>
      <c r="D6481">
        <v>1.6339999999999999</v>
      </c>
      <c r="E6481">
        <v>523</v>
      </c>
      <c r="F6481" t="str">
        <f>HYPERLINK("https://www.google.com/maps/search/?api=1&amp;query=24.48458402,46.63339454", "View Map")</f>
        <v>View Map</v>
      </c>
      <c r="G6481" s="2">
        <v>0.7586614988913758</v>
      </c>
    </row>
    <row r="6482" spans="1:7" x14ac:dyDescent="0.3">
      <c r="A6482" t="s">
        <v>12628</v>
      </c>
      <c r="B6482" t="s">
        <v>12629</v>
      </c>
      <c r="C6482" t="s">
        <v>291</v>
      </c>
      <c r="D6482">
        <v>1.6339999999999999</v>
      </c>
      <c r="E6482">
        <v>523</v>
      </c>
      <c r="F6482" t="str">
        <f>HYPERLINK("https://www.google.com/maps/search/?api=1&amp;query=24.07606298,45.0038262", "View Map")</f>
        <v>View Map</v>
      </c>
      <c r="G6482" s="2">
        <v>0.97355249288361057</v>
      </c>
    </row>
    <row r="6483" spans="1:7" x14ac:dyDescent="0.3">
      <c r="A6483" t="s">
        <v>12630</v>
      </c>
      <c r="B6483" t="s">
        <v>12631</v>
      </c>
      <c r="C6483" t="s">
        <v>8</v>
      </c>
      <c r="D6483">
        <v>1.633</v>
      </c>
      <c r="E6483">
        <v>522</v>
      </c>
      <c r="F6483" t="str">
        <f>HYPERLINK("https://www.google.com/maps/search/?api=1&amp;query=24.52500596,46.71514887", "View Map")</f>
        <v>View Map</v>
      </c>
    </row>
    <row r="6484" spans="1:7" x14ac:dyDescent="0.3">
      <c r="A6484" t="s">
        <v>9988</v>
      </c>
      <c r="B6484" t="s">
        <v>9989</v>
      </c>
      <c r="C6484" t="s">
        <v>8</v>
      </c>
      <c r="D6484">
        <v>1.633</v>
      </c>
      <c r="E6484">
        <v>523</v>
      </c>
      <c r="F6484" t="str">
        <f>HYPERLINK("https://www.google.com/maps/search/?api=1&amp;query=24.75242845,46.78925601", "View Map")</f>
        <v>View Map</v>
      </c>
    </row>
    <row r="6485" spans="1:7" x14ac:dyDescent="0.3">
      <c r="A6485" t="s">
        <v>6204</v>
      </c>
      <c r="B6485" t="s">
        <v>6205</v>
      </c>
      <c r="C6485" t="s">
        <v>8</v>
      </c>
      <c r="D6485">
        <v>1.6319999999999999</v>
      </c>
      <c r="E6485">
        <v>522</v>
      </c>
      <c r="F6485" t="str">
        <f>HYPERLINK("https://www.google.com/maps/search/?api=1&amp;query=24.61854182,46.68654005", "View Map")</f>
        <v>View Map</v>
      </c>
    </row>
    <row r="6486" spans="1:7" x14ac:dyDescent="0.3">
      <c r="A6486" t="s">
        <v>2202</v>
      </c>
      <c r="B6486" t="s">
        <v>12632</v>
      </c>
      <c r="C6486" t="s">
        <v>255</v>
      </c>
      <c r="D6486">
        <v>1.6319999999999999</v>
      </c>
      <c r="E6486">
        <v>522</v>
      </c>
      <c r="F6486" t="str">
        <f>HYPERLINK("https://www.google.com/maps/search/?api=1&amp;query=25.06097822,44.71016373", "View Map")</f>
        <v>View Map</v>
      </c>
    </row>
    <row r="6487" spans="1:7" x14ac:dyDescent="0.3">
      <c r="A6487" t="s">
        <v>10963</v>
      </c>
      <c r="B6487" t="s">
        <v>10964</v>
      </c>
      <c r="C6487" t="s">
        <v>8</v>
      </c>
      <c r="D6487">
        <v>1.6319999999999999</v>
      </c>
      <c r="E6487">
        <v>522</v>
      </c>
      <c r="F6487" t="str">
        <f>HYPERLINK("https://www.google.com/maps/search/?api=1&amp;query=24.6172,46.7206", "View Map")</f>
        <v>View Map</v>
      </c>
    </row>
    <row r="6488" spans="1:7" x14ac:dyDescent="0.3">
      <c r="A6488" t="s">
        <v>12633</v>
      </c>
      <c r="B6488" t="s">
        <v>12634</v>
      </c>
      <c r="C6488" t="s">
        <v>8</v>
      </c>
      <c r="D6488">
        <v>1.6319999999999999</v>
      </c>
      <c r="E6488">
        <v>522</v>
      </c>
      <c r="F6488" t="str">
        <f>HYPERLINK("https://www.google.com/maps/search/?api=1&amp;query=24.78613177,46.62840881", "View Map")</f>
        <v>View Map</v>
      </c>
    </row>
    <row r="6489" spans="1:7" x14ac:dyDescent="0.3">
      <c r="A6489" t="s">
        <v>9913</v>
      </c>
      <c r="B6489" t="s">
        <v>9914</v>
      </c>
      <c r="C6489" t="s">
        <v>291</v>
      </c>
      <c r="D6489">
        <v>1.6319999999999999</v>
      </c>
      <c r="E6489">
        <v>522</v>
      </c>
      <c r="F6489" t="str">
        <f>HYPERLINK("https://www.google.com/maps/search/?api=1&amp;query=24.14321153,45.16710425", "View Map")</f>
        <v>View Map</v>
      </c>
      <c r="G6489" s="2">
        <v>0.76126636642191936</v>
      </c>
    </row>
    <row r="6490" spans="1:7" x14ac:dyDescent="0.3">
      <c r="A6490" t="s">
        <v>6521</v>
      </c>
      <c r="B6490" t="s">
        <v>10920</v>
      </c>
      <c r="C6490" t="s">
        <v>8</v>
      </c>
      <c r="D6490">
        <v>1.631</v>
      </c>
      <c r="E6490">
        <v>522</v>
      </c>
      <c r="F6490" t="str">
        <f>HYPERLINK("https://www.google.com/maps/search/?api=1&amp;query=24.59884135,46.70457828", "View Map")</f>
        <v>View Map</v>
      </c>
    </row>
    <row r="6491" spans="1:7" x14ac:dyDescent="0.3">
      <c r="A6491" t="s">
        <v>8269</v>
      </c>
      <c r="B6491" t="s">
        <v>8270</v>
      </c>
      <c r="C6491" t="s">
        <v>8</v>
      </c>
      <c r="D6491">
        <v>1.63</v>
      </c>
      <c r="E6491">
        <v>522</v>
      </c>
      <c r="F6491" t="str">
        <f>HYPERLINK("https://www.google.com/maps/search/?api=1&amp;query=24.69733538,46.82269093", "View Map")</f>
        <v>View Map</v>
      </c>
    </row>
    <row r="6492" spans="1:7" x14ac:dyDescent="0.3">
      <c r="A6492" t="s">
        <v>9128</v>
      </c>
      <c r="B6492" t="s">
        <v>9129</v>
      </c>
      <c r="C6492" t="s">
        <v>8</v>
      </c>
      <c r="D6492">
        <v>1.63</v>
      </c>
      <c r="E6492">
        <v>522</v>
      </c>
      <c r="F6492" t="str">
        <f>HYPERLINK("https://www.google.com/maps/search/?api=1&amp;query=24.73857131,46.77395375", "View Map")</f>
        <v>View Map</v>
      </c>
    </row>
    <row r="6493" spans="1:7" x14ac:dyDescent="0.3">
      <c r="A6493" t="s">
        <v>4875</v>
      </c>
      <c r="B6493" t="s">
        <v>4876</v>
      </c>
      <c r="C6493" t="s">
        <v>55</v>
      </c>
      <c r="D6493">
        <v>1.63</v>
      </c>
      <c r="E6493">
        <v>521</v>
      </c>
      <c r="F6493" t="str">
        <f>HYPERLINK("https://www.google.com/maps/search/?api=1&amp;query=24.75461295,46.53530444", "View Map")</f>
        <v>View Map</v>
      </c>
    </row>
    <row r="6494" spans="1:7" x14ac:dyDescent="0.3">
      <c r="A6494" t="s">
        <v>12635</v>
      </c>
      <c r="B6494" t="s">
        <v>12636</v>
      </c>
      <c r="C6494" t="s">
        <v>270</v>
      </c>
      <c r="D6494">
        <v>1.629</v>
      </c>
      <c r="E6494">
        <v>521</v>
      </c>
      <c r="F6494" t="str">
        <f>HYPERLINK("https://www.google.com/maps/search/?api=1&amp;query=23.93470198,47.16072685", "View Map")</f>
        <v>View Map</v>
      </c>
    </row>
    <row r="6495" spans="1:7" x14ac:dyDescent="0.3">
      <c r="A6495" t="s">
        <v>4114</v>
      </c>
      <c r="B6495" t="s">
        <v>4115</v>
      </c>
      <c r="C6495" t="s">
        <v>30</v>
      </c>
      <c r="D6495">
        <v>1.6279999999999999</v>
      </c>
      <c r="E6495">
        <v>521</v>
      </c>
      <c r="F6495" t="str">
        <f>HYPERLINK("https://www.google.com/maps/search/?api=1&amp;query=24.11298,47.30281", "View Map")</f>
        <v>View Map</v>
      </c>
      <c r="G6495" s="2">
        <v>0.23490839041826761</v>
      </c>
    </row>
    <row r="6496" spans="1:7" x14ac:dyDescent="0.3">
      <c r="A6496" t="s">
        <v>12637</v>
      </c>
      <c r="B6496" t="s">
        <v>12638</v>
      </c>
      <c r="C6496" t="s">
        <v>738</v>
      </c>
      <c r="D6496">
        <v>1.6279999999999999</v>
      </c>
      <c r="E6496">
        <v>521</v>
      </c>
      <c r="F6496" t="str">
        <f>HYPERLINK("https://www.google.com/maps/search/?api=1&amp;query=25.12585846,46.12531243", "View Map")</f>
        <v>View Map</v>
      </c>
      <c r="G6496" s="2">
        <v>0.56849203611801691</v>
      </c>
    </row>
    <row r="6497" spans="1:7" x14ac:dyDescent="0.3">
      <c r="A6497" t="s">
        <v>11051</v>
      </c>
      <c r="B6497" t="s">
        <v>11052</v>
      </c>
      <c r="C6497" t="s">
        <v>77</v>
      </c>
      <c r="D6497">
        <v>1.6279999999999999</v>
      </c>
      <c r="E6497">
        <v>521</v>
      </c>
      <c r="F6497" t="str">
        <f>HYPERLINK("https://www.google.com/maps/search/?api=1&amp;query=22.43643689,46.18927884", "View Map")</f>
        <v>View Map</v>
      </c>
      <c r="G6497" s="2">
        <v>0.83695631213489885</v>
      </c>
    </row>
    <row r="6498" spans="1:7" x14ac:dyDescent="0.3">
      <c r="A6498" t="s">
        <v>12639</v>
      </c>
      <c r="B6498" t="s">
        <v>12640</v>
      </c>
      <c r="C6498" t="s">
        <v>291</v>
      </c>
      <c r="D6498">
        <v>1.6279999999999999</v>
      </c>
      <c r="E6498">
        <v>521</v>
      </c>
      <c r="F6498" t="str">
        <f>HYPERLINK("https://www.google.com/maps/search/?api=1&amp;query=24.25894843,45.09062128", "View Map")</f>
        <v>View Map</v>
      </c>
      <c r="G6498" s="2">
        <v>0.44486470127063149</v>
      </c>
    </row>
    <row r="6499" spans="1:7" x14ac:dyDescent="0.3">
      <c r="A6499" t="s">
        <v>352</v>
      </c>
      <c r="B6499" t="s">
        <v>12641</v>
      </c>
      <c r="C6499" t="s">
        <v>8</v>
      </c>
      <c r="D6499">
        <v>1.6279999999999999</v>
      </c>
      <c r="E6499">
        <v>521</v>
      </c>
      <c r="F6499" t="str">
        <f>HYPERLINK("https://www.google.com/maps/search/?api=1&amp;query=24.75557608,46.78210098", "View Map")</f>
        <v>View Map</v>
      </c>
    </row>
    <row r="6500" spans="1:7" x14ac:dyDescent="0.3">
      <c r="A6500" t="s">
        <v>1788</v>
      </c>
      <c r="B6500" t="s">
        <v>12642</v>
      </c>
      <c r="C6500" t="s">
        <v>393</v>
      </c>
      <c r="D6500">
        <v>1.627</v>
      </c>
      <c r="E6500">
        <v>521</v>
      </c>
      <c r="F6500" t="str">
        <f>HYPERLINK("https://www.google.com/maps/search/?api=1&amp;query=23.35208286,45.38442427", "View Map")</f>
        <v>View Map</v>
      </c>
    </row>
    <row r="6501" spans="1:7" x14ac:dyDescent="0.3">
      <c r="A6501" t="s">
        <v>146</v>
      </c>
      <c r="B6501" t="s">
        <v>7329</v>
      </c>
      <c r="C6501" t="s">
        <v>55</v>
      </c>
      <c r="D6501">
        <v>1.627</v>
      </c>
      <c r="E6501">
        <v>521</v>
      </c>
      <c r="F6501" t="str">
        <f>HYPERLINK("https://www.google.com/maps/search/?api=1&amp;query=24.907124,46.429818", "View Map")</f>
        <v>View Map</v>
      </c>
    </row>
    <row r="6502" spans="1:7" x14ac:dyDescent="0.3">
      <c r="A6502" t="s">
        <v>9956</v>
      </c>
      <c r="B6502" t="s">
        <v>9957</v>
      </c>
      <c r="C6502" t="s">
        <v>8</v>
      </c>
      <c r="D6502">
        <v>1.6259999999999999</v>
      </c>
      <c r="E6502">
        <v>520</v>
      </c>
      <c r="F6502" t="str">
        <f>HYPERLINK("https://www.google.com/maps/search/?api=1&amp;query=24.55679048,46.69763322", "View Map")</f>
        <v>View Map</v>
      </c>
    </row>
    <row r="6503" spans="1:7" x14ac:dyDescent="0.3">
      <c r="A6503" t="s">
        <v>12643</v>
      </c>
      <c r="B6503" t="s">
        <v>12644</v>
      </c>
      <c r="C6503" t="s">
        <v>8</v>
      </c>
      <c r="D6503">
        <v>1.625</v>
      </c>
      <c r="E6503">
        <v>520</v>
      </c>
      <c r="F6503" t="str">
        <f>HYPERLINK("https://www.google.com/maps/search/?api=1&amp;query=24.78316729,46.80621993", "View Map")</f>
        <v>View Map</v>
      </c>
    </row>
    <row r="6504" spans="1:7" x14ac:dyDescent="0.3">
      <c r="A6504" t="s">
        <v>7990</v>
      </c>
      <c r="B6504" t="s">
        <v>7991</v>
      </c>
      <c r="C6504" t="s">
        <v>8</v>
      </c>
      <c r="D6504">
        <v>1.625</v>
      </c>
      <c r="E6504">
        <v>520</v>
      </c>
      <c r="F6504" t="str">
        <f>HYPERLINK("https://www.google.com/maps/search/?api=1&amp;query=24.58574158,46.5890097", "View Map")</f>
        <v>View Map</v>
      </c>
    </row>
    <row r="6505" spans="1:7" x14ac:dyDescent="0.3">
      <c r="A6505" t="s">
        <v>9650</v>
      </c>
      <c r="B6505" t="s">
        <v>9651</v>
      </c>
      <c r="C6505" t="s">
        <v>8</v>
      </c>
      <c r="D6505">
        <v>1.625</v>
      </c>
      <c r="E6505">
        <v>520</v>
      </c>
      <c r="F6505" t="str">
        <f>HYPERLINK("https://www.google.com/maps/search/?api=1&amp;query=24.7404933,46.82110909", "View Map")</f>
        <v>View Map</v>
      </c>
    </row>
    <row r="6506" spans="1:7" x14ac:dyDescent="0.3">
      <c r="A6506" t="s">
        <v>2063</v>
      </c>
      <c r="B6506" t="s">
        <v>12645</v>
      </c>
      <c r="C6506" t="s">
        <v>255</v>
      </c>
      <c r="D6506">
        <v>1.625</v>
      </c>
      <c r="E6506">
        <v>520</v>
      </c>
      <c r="F6506" t="str">
        <f>HYPERLINK("https://www.google.com/maps/search/?api=1&amp;query=25.06535547,44.70075385", "View Map")</f>
        <v>View Map</v>
      </c>
      <c r="G6506" s="2">
        <v>0.79703439600089243</v>
      </c>
    </row>
    <row r="6507" spans="1:7" x14ac:dyDescent="0.3">
      <c r="A6507" t="s">
        <v>8323</v>
      </c>
      <c r="B6507" t="s">
        <v>8324</v>
      </c>
      <c r="C6507" t="s">
        <v>291</v>
      </c>
      <c r="D6507">
        <v>1.6240000000000001</v>
      </c>
      <c r="E6507">
        <v>520</v>
      </c>
      <c r="F6507" t="str">
        <f>HYPERLINK("https://www.google.com/maps/search/?api=1&amp;query=24.42357673,45.31205744", "View Map")</f>
        <v>View Map</v>
      </c>
    </row>
    <row r="6508" spans="1:7" x14ac:dyDescent="0.3">
      <c r="A6508" t="s">
        <v>12646</v>
      </c>
      <c r="B6508" t="s">
        <v>12647</v>
      </c>
      <c r="C6508" t="s">
        <v>77</v>
      </c>
      <c r="D6508">
        <v>1.6240000000000001</v>
      </c>
      <c r="E6508">
        <v>520</v>
      </c>
      <c r="F6508" t="str">
        <f>HYPERLINK("https://www.google.com/maps/search/?api=1&amp;query=22.0197115,46.57380269", "View Map")</f>
        <v>View Map</v>
      </c>
      <c r="G6508" s="2">
        <v>0.4588037659377095</v>
      </c>
    </row>
    <row r="6509" spans="1:7" x14ac:dyDescent="0.3">
      <c r="A6509" t="s">
        <v>12648</v>
      </c>
      <c r="B6509" t="s">
        <v>12649</v>
      </c>
      <c r="C6509" t="s">
        <v>8</v>
      </c>
      <c r="D6509">
        <v>1.6240000000000001</v>
      </c>
      <c r="E6509">
        <v>520</v>
      </c>
      <c r="F6509" t="str">
        <f>HYPERLINK("https://www.google.com/maps/search/?api=1&amp;query=24.60063906,46.62976435", "View Map")</f>
        <v>View Map</v>
      </c>
    </row>
    <row r="6510" spans="1:7" x14ac:dyDescent="0.3">
      <c r="A6510" t="s">
        <v>7658</v>
      </c>
      <c r="B6510" t="s">
        <v>7659</v>
      </c>
      <c r="C6510" t="s">
        <v>8</v>
      </c>
      <c r="D6510">
        <v>1.623</v>
      </c>
      <c r="E6510">
        <v>519</v>
      </c>
      <c r="F6510" t="str">
        <f>HYPERLINK("https://www.google.com/maps/search/?api=1&amp;query=24.82298273,46.62311306", "View Map")</f>
        <v>View Map</v>
      </c>
    </row>
    <row r="6511" spans="1:7" x14ac:dyDescent="0.3">
      <c r="A6511" t="s">
        <v>717</v>
      </c>
      <c r="B6511" t="s">
        <v>12650</v>
      </c>
      <c r="C6511" t="s">
        <v>255</v>
      </c>
      <c r="D6511">
        <v>1.623</v>
      </c>
      <c r="E6511">
        <v>519</v>
      </c>
      <c r="F6511" t="str">
        <f>HYPERLINK("https://www.google.com/maps/search/?api=1&amp;query=24.52691121,43.87552235", "View Map")</f>
        <v>View Map</v>
      </c>
      <c r="G6511" s="2">
        <v>0.77781796204753395</v>
      </c>
    </row>
    <row r="6512" spans="1:7" x14ac:dyDescent="0.3">
      <c r="A6512" t="s">
        <v>12651</v>
      </c>
      <c r="B6512" t="s">
        <v>12652</v>
      </c>
      <c r="C6512" t="s">
        <v>255</v>
      </c>
      <c r="D6512">
        <v>1.623</v>
      </c>
      <c r="E6512">
        <v>519</v>
      </c>
      <c r="F6512" t="str">
        <f>HYPERLINK("https://www.google.com/maps/search/?api=1&amp;query=25.37686523,44.50105771", "View Map")</f>
        <v>View Map</v>
      </c>
    </row>
    <row r="6513" spans="1:7" x14ac:dyDescent="0.3">
      <c r="A6513" t="s">
        <v>3735</v>
      </c>
      <c r="B6513" t="s">
        <v>12653</v>
      </c>
      <c r="C6513" t="s">
        <v>255</v>
      </c>
      <c r="D6513">
        <v>1.6220000000000001</v>
      </c>
      <c r="E6513">
        <v>519</v>
      </c>
      <c r="F6513" t="str">
        <f>HYPERLINK("https://www.google.com/maps/search/?api=1&amp;query=25.15282771,44.23616863", "View Map")</f>
        <v>View Map</v>
      </c>
      <c r="G6513" s="2">
        <v>0.52789180949721326</v>
      </c>
    </row>
    <row r="6514" spans="1:7" x14ac:dyDescent="0.3">
      <c r="A6514" t="s">
        <v>2053</v>
      </c>
      <c r="B6514" t="s">
        <v>6617</v>
      </c>
      <c r="C6514" t="s">
        <v>8</v>
      </c>
      <c r="D6514">
        <v>1.6220000000000001</v>
      </c>
      <c r="E6514">
        <v>519</v>
      </c>
      <c r="F6514" t="str">
        <f>HYPERLINK("https://www.google.com/maps/search/?api=1&amp;query=24.67876933,46.80289551", "View Map")</f>
        <v>View Map</v>
      </c>
    </row>
    <row r="6515" spans="1:7" x14ac:dyDescent="0.3">
      <c r="A6515" t="s">
        <v>12654</v>
      </c>
      <c r="B6515" t="s">
        <v>12655</v>
      </c>
      <c r="C6515" t="s">
        <v>291</v>
      </c>
      <c r="D6515">
        <v>1.621</v>
      </c>
      <c r="E6515">
        <v>519</v>
      </c>
      <c r="F6515" t="str">
        <f>HYPERLINK("https://www.google.com/maps/search/?api=1&amp;query=24.25702379,45.76039617", "View Map")</f>
        <v>View Map</v>
      </c>
      <c r="G6515" s="2">
        <v>0.93466334159637265</v>
      </c>
    </row>
    <row r="6516" spans="1:7" x14ac:dyDescent="0.3">
      <c r="A6516" t="s">
        <v>12656</v>
      </c>
      <c r="B6516" t="s">
        <v>12657</v>
      </c>
      <c r="C6516" t="s">
        <v>16</v>
      </c>
      <c r="D6516">
        <v>1.621</v>
      </c>
      <c r="E6516">
        <v>519</v>
      </c>
      <c r="F6516" t="str">
        <f>HYPERLINK("https://www.google.com/maps/search/?api=1&amp;query=24.28384859,43.42367767", "View Map")</f>
        <v>View Map</v>
      </c>
      <c r="G6516" s="2">
        <v>0.81401886243015198</v>
      </c>
    </row>
    <row r="6517" spans="1:7" x14ac:dyDescent="0.3">
      <c r="A6517" t="s">
        <v>9996</v>
      </c>
      <c r="B6517" t="s">
        <v>9997</v>
      </c>
      <c r="C6517" t="s">
        <v>8</v>
      </c>
      <c r="D6517">
        <v>1.621</v>
      </c>
      <c r="E6517">
        <v>519</v>
      </c>
      <c r="F6517" t="str">
        <f>HYPERLINK("https://www.google.com/maps/search/?api=1&amp;query=24.62959525,46.71986943", "View Map")</f>
        <v>View Map</v>
      </c>
    </row>
    <row r="6518" spans="1:7" x14ac:dyDescent="0.3">
      <c r="A6518" t="s">
        <v>12658</v>
      </c>
      <c r="B6518" t="s">
        <v>12659</v>
      </c>
      <c r="C6518" t="s">
        <v>30</v>
      </c>
      <c r="D6518">
        <v>1.62</v>
      </c>
      <c r="E6518">
        <v>518</v>
      </c>
      <c r="F6518" t="str">
        <f>HYPERLINK("https://www.google.com/maps/search/?api=1&amp;query=24.15481778,47.30828879", "View Map")</f>
        <v>View Map</v>
      </c>
    </row>
    <row r="6519" spans="1:7" x14ac:dyDescent="0.3">
      <c r="A6519" t="s">
        <v>12660</v>
      </c>
      <c r="B6519" t="s">
        <v>12661</v>
      </c>
      <c r="C6519" t="s">
        <v>364</v>
      </c>
      <c r="D6519">
        <v>1.62</v>
      </c>
      <c r="E6519">
        <v>518</v>
      </c>
      <c r="F6519" t="str">
        <f>HYPERLINK("https://www.google.com/maps/search/?api=1&amp;query=24.96516064,45.76358519", "View Map")</f>
        <v>View Map</v>
      </c>
      <c r="G6519" s="2">
        <v>0.77490901034263782</v>
      </c>
    </row>
    <row r="6520" spans="1:7" x14ac:dyDescent="0.3">
      <c r="A6520" t="s">
        <v>6873</v>
      </c>
      <c r="B6520" t="s">
        <v>6874</v>
      </c>
      <c r="C6520" t="s">
        <v>255</v>
      </c>
      <c r="D6520">
        <v>1.62</v>
      </c>
      <c r="E6520">
        <v>518</v>
      </c>
      <c r="F6520" t="str">
        <f>HYPERLINK("https://www.google.com/maps/search/?api=1&amp;query=24.52076762,44.40920674", "View Map")</f>
        <v>View Map</v>
      </c>
      <c r="G6520" s="2">
        <v>0.28034617054222322</v>
      </c>
    </row>
    <row r="6521" spans="1:7" x14ac:dyDescent="0.3">
      <c r="A6521" t="s">
        <v>12662</v>
      </c>
      <c r="B6521" t="s">
        <v>12663</v>
      </c>
      <c r="C6521" t="s">
        <v>30</v>
      </c>
      <c r="D6521">
        <v>1.62</v>
      </c>
      <c r="E6521">
        <v>518</v>
      </c>
      <c r="F6521" t="str">
        <f>HYPERLINK("https://www.google.com/maps/search/?api=1&amp;query=24.16022481,47.34308782", "View Map")</f>
        <v>View Map</v>
      </c>
    </row>
    <row r="6522" spans="1:7" x14ac:dyDescent="0.3">
      <c r="A6522" t="s">
        <v>9316</v>
      </c>
      <c r="B6522" t="s">
        <v>9317</v>
      </c>
      <c r="C6522" t="s">
        <v>8</v>
      </c>
      <c r="D6522">
        <v>1.619</v>
      </c>
      <c r="E6522">
        <v>518</v>
      </c>
      <c r="F6522" t="str">
        <f>HYPERLINK("https://www.google.com/maps/search/?api=1&amp;query=24.60221203,46.58723397", "View Map")</f>
        <v>View Map</v>
      </c>
    </row>
    <row r="6523" spans="1:7" x14ac:dyDescent="0.3">
      <c r="A6523" t="s">
        <v>73</v>
      </c>
      <c r="B6523" t="s">
        <v>8795</v>
      </c>
      <c r="C6523" t="s">
        <v>8</v>
      </c>
      <c r="D6523">
        <v>1.619</v>
      </c>
      <c r="E6523">
        <v>518</v>
      </c>
      <c r="F6523" t="str">
        <f>HYPERLINK("https://www.google.com/maps/search/?api=1&amp;query=24.64363665,46.76690571", "View Map")</f>
        <v>View Map</v>
      </c>
    </row>
    <row r="6524" spans="1:7" x14ac:dyDescent="0.3">
      <c r="A6524" t="s">
        <v>12664</v>
      </c>
      <c r="B6524" t="s">
        <v>12665</v>
      </c>
      <c r="C6524" t="s">
        <v>214</v>
      </c>
      <c r="D6524">
        <v>1.6180000000000001</v>
      </c>
      <c r="E6524">
        <v>518</v>
      </c>
      <c r="F6524" t="str">
        <f>HYPERLINK("https://www.google.com/maps/search/?api=1&amp;query=25.72030859,45.85495284", "View Map")</f>
        <v>View Map</v>
      </c>
    </row>
    <row r="6525" spans="1:7" x14ac:dyDescent="0.3">
      <c r="A6525" t="s">
        <v>12666</v>
      </c>
      <c r="B6525" t="s">
        <v>12667</v>
      </c>
      <c r="C6525" t="s">
        <v>8</v>
      </c>
      <c r="D6525">
        <v>1.6180000000000001</v>
      </c>
      <c r="E6525">
        <v>518</v>
      </c>
      <c r="F6525" t="str">
        <f>HYPERLINK("https://www.google.com/maps/search/?api=1&amp;query=24.60519215,46.73549603", "View Map")</f>
        <v>View Map</v>
      </c>
    </row>
    <row r="6526" spans="1:7" x14ac:dyDescent="0.3">
      <c r="A6526" t="s">
        <v>12668</v>
      </c>
      <c r="B6526" t="s">
        <v>12669</v>
      </c>
      <c r="C6526" t="s">
        <v>255</v>
      </c>
      <c r="D6526">
        <v>1.6180000000000001</v>
      </c>
      <c r="E6526">
        <v>518</v>
      </c>
      <c r="F6526" t="str">
        <f>HYPERLINK("https://www.google.com/maps/search/?api=1&amp;query=25.16031044,43.98092249", "View Map")</f>
        <v>View Map</v>
      </c>
    </row>
    <row r="6527" spans="1:7" x14ac:dyDescent="0.3">
      <c r="A6527" t="s">
        <v>6694</v>
      </c>
      <c r="B6527" t="s">
        <v>6695</v>
      </c>
      <c r="C6527" t="s">
        <v>8</v>
      </c>
      <c r="D6527">
        <v>1.6180000000000001</v>
      </c>
      <c r="E6527">
        <v>518</v>
      </c>
      <c r="F6527" t="str">
        <f>HYPERLINK("https://www.google.com/maps/search/?api=1&amp;query=24.64481683,46.6842812", "View Map")</f>
        <v>View Map</v>
      </c>
    </row>
    <row r="6528" spans="1:7" x14ac:dyDescent="0.3">
      <c r="A6528" t="s">
        <v>2848</v>
      </c>
      <c r="B6528" t="s">
        <v>10152</v>
      </c>
      <c r="C6528" t="s">
        <v>214</v>
      </c>
      <c r="D6528">
        <v>1.617</v>
      </c>
      <c r="E6528">
        <v>517</v>
      </c>
      <c r="F6528" t="str">
        <f>HYPERLINK("https://www.google.com/maps/search/?api=1&amp;query=26.87350708,45.31841607", "View Map")</f>
        <v>View Map</v>
      </c>
      <c r="G6528" s="2">
        <v>0.42064702388234881</v>
      </c>
    </row>
    <row r="6529" spans="1:7" x14ac:dyDescent="0.3">
      <c r="A6529" t="s">
        <v>22</v>
      </c>
      <c r="B6529" t="s">
        <v>10710</v>
      </c>
      <c r="C6529" t="s">
        <v>8</v>
      </c>
      <c r="D6529">
        <v>1.617</v>
      </c>
      <c r="E6529">
        <v>517</v>
      </c>
      <c r="F6529" t="str">
        <f>HYPERLINK("https://www.google.com/maps/search/?api=1&amp;query=24.67731411,46.58313015", "View Map")</f>
        <v>View Map</v>
      </c>
    </row>
    <row r="6530" spans="1:7" x14ac:dyDescent="0.3">
      <c r="A6530" t="s">
        <v>3350</v>
      </c>
      <c r="B6530" t="s">
        <v>3351</v>
      </c>
      <c r="C6530" t="s">
        <v>8</v>
      </c>
      <c r="D6530">
        <v>1.617</v>
      </c>
      <c r="E6530">
        <v>517</v>
      </c>
      <c r="F6530" t="str">
        <f>HYPERLINK("https://www.google.com/maps/search/?api=1&amp;query=24.57694573,46.66337742", "View Map")</f>
        <v>View Map</v>
      </c>
    </row>
    <row r="6531" spans="1:7" x14ac:dyDescent="0.3">
      <c r="A6531" t="s">
        <v>12670</v>
      </c>
      <c r="B6531" t="s">
        <v>12671</v>
      </c>
      <c r="C6531" t="s">
        <v>255</v>
      </c>
      <c r="D6531">
        <v>1.617</v>
      </c>
      <c r="E6531">
        <v>517</v>
      </c>
      <c r="F6531" t="str">
        <f>HYPERLINK("https://www.google.com/maps/search/?api=1&amp;query=25.35812337,44.53328626", "View Map")</f>
        <v>View Map</v>
      </c>
    </row>
    <row r="6532" spans="1:7" x14ac:dyDescent="0.3">
      <c r="A6532" t="s">
        <v>9938</v>
      </c>
      <c r="B6532" t="s">
        <v>9939</v>
      </c>
      <c r="C6532" t="s">
        <v>8</v>
      </c>
      <c r="D6532">
        <v>1.617</v>
      </c>
      <c r="E6532">
        <v>518</v>
      </c>
      <c r="F6532" t="str">
        <f>HYPERLINK("https://www.google.com/maps/search/?api=1&amp;query=24.65932438,46.67192101", "View Map")</f>
        <v>View Map</v>
      </c>
    </row>
    <row r="6533" spans="1:7" x14ac:dyDescent="0.3">
      <c r="A6533" t="s">
        <v>28</v>
      </c>
      <c r="B6533" t="s">
        <v>12672</v>
      </c>
      <c r="C6533" t="s">
        <v>30</v>
      </c>
      <c r="D6533">
        <v>1.6160000000000001</v>
      </c>
      <c r="E6533">
        <v>517</v>
      </c>
      <c r="F6533" t="str">
        <f>HYPERLINK("https://www.google.com/maps/search/?api=1&amp;query=24.0945035,47.27503035", "View Map")</f>
        <v>View Map</v>
      </c>
    </row>
    <row r="6534" spans="1:7" x14ac:dyDescent="0.3">
      <c r="A6534" t="s">
        <v>46</v>
      </c>
      <c r="B6534" t="s">
        <v>3837</v>
      </c>
      <c r="C6534" t="s">
        <v>8</v>
      </c>
      <c r="D6534">
        <v>1.6160000000000001</v>
      </c>
      <c r="E6534">
        <v>517</v>
      </c>
      <c r="F6534" t="str">
        <f>HYPERLINK("https://www.google.com/maps/search/?api=1&amp;query=24.85203405,46.82693237", "View Map")</f>
        <v>View Map</v>
      </c>
    </row>
    <row r="6535" spans="1:7" x14ac:dyDescent="0.3">
      <c r="A6535" t="s">
        <v>12673</v>
      </c>
      <c r="B6535" t="s">
        <v>12674</v>
      </c>
      <c r="C6535" t="s">
        <v>291</v>
      </c>
      <c r="D6535">
        <v>1.6160000000000001</v>
      </c>
      <c r="E6535">
        <v>517</v>
      </c>
      <c r="F6535" t="str">
        <f>HYPERLINK("https://www.google.com/maps/search/?api=1&amp;query=23.99182515,45.16695113", "View Map")</f>
        <v>View Map</v>
      </c>
    </row>
    <row r="6536" spans="1:7" x14ac:dyDescent="0.3">
      <c r="A6536" t="s">
        <v>46</v>
      </c>
      <c r="B6536" t="s">
        <v>12675</v>
      </c>
      <c r="C6536" t="s">
        <v>8</v>
      </c>
      <c r="D6536">
        <v>1.615</v>
      </c>
      <c r="E6536">
        <v>517</v>
      </c>
      <c r="F6536" t="str">
        <f>HYPERLINK("https://www.google.com/maps/search/?api=1&amp;query=24.79526866,46.61667302", "View Map")</f>
        <v>View Map</v>
      </c>
      <c r="G6536" s="2">
        <v>0.98454520206230978</v>
      </c>
    </row>
    <row r="6537" spans="1:7" x14ac:dyDescent="0.3">
      <c r="A6537" t="s">
        <v>46</v>
      </c>
      <c r="B6537" t="s">
        <v>9703</v>
      </c>
      <c r="C6537" t="s">
        <v>8</v>
      </c>
      <c r="D6537">
        <v>1.615</v>
      </c>
      <c r="E6537">
        <v>517</v>
      </c>
      <c r="F6537" t="str">
        <f>HYPERLINK("https://www.google.com/maps/search/?api=1&amp;query=24.71648238,46.68938234", "View Map")</f>
        <v>View Map</v>
      </c>
    </row>
    <row r="6538" spans="1:7" x14ac:dyDescent="0.3">
      <c r="A6538" t="s">
        <v>12676</v>
      </c>
      <c r="B6538" t="s">
        <v>12677</v>
      </c>
      <c r="C6538" t="s">
        <v>30</v>
      </c>
      <c r="D6538">
        <v>1.6140000000000001</v>
      </c>
      <c r="E6538">
        <v>517</v>
      </c>
      <c r="F6538" t="str">
        <f>HYPERLINK("https://www.google.com/maps/search/?api=1&amp;query=24.14210076,47.28788388", "View Map")</f>
        <v>View Map</v>
      </c>
    </row>
    <row r="6539" spans="1:7" x14ac:dyDescent="0.3">
      <c r="A6539" t="s">
        <v>12678</v>
      </c>
      <c r="B6539" t="s">
        <v>12679</v>
      </c>
      <c r="C6539" t="s">
        <v>8</v>
      </c>
      <c r="D6539">
        <v>1.6140000000000001</v>
      </c>
      <c r="E6539">
        <v>516</v>
      </c>
      <c r="F6539" t="str">
        <f>HYPERLINK("https://www.google.com/maps/search/?api=1&amp;query=24.63059179,46.79805594", "View Map")</f>
        <v>View Map</v>
      </c>
    </row>
    <row r="6540" spans="1:7" x14ac:dyDescent="0.3">
      <c r="A6540" t="s">
        <v>46</v>
      </c>
      <c r="B6540" t="s">
        <v>3872</v>
      </c>
      <c r="C6540" t="s">
        <v>55</v>
      </c>
      <c r="D6540">
        <v>1.6140000000000001</v>
      </c>
      <c r="E6540">
        <v>516</v>
      </c>
      <c r="F6540" t="str">
        <f>HYPERLINK("https://www.google.com/maps/search/?api=1&amp;query=24.90233057,46.30434206", "View Map")</f>
        <v>View Map</v>
      </c>
      <c r="G6540" s="2">
        <v>0.26403151595054503</v>
      </c>
    </row>
    <row r="6541" spans="1:7" x14ac:dyDescent="0.3">
      <c r="A6541" t="s">
        <v>46</v>
      </c>
      <c r="B6541" t="s">
        <v>12680</v>
      </c>
      <c r="C6541" t="s">
        <v>55</v>
      </c>
      <c r="D6541">
        <v>1.6140000000000001</v>
      </c>
      <c r="E6541">
        <v>516</v>
      </c>
      <c r="F6541" t="str">
        <f>HYPERLINK("https://www.google.com/maps/search/?api=1&amp;query=24.74115151,46.50840367", "View Map")</f>
        <v>View Map</v>
      </c>
    </row>
    <row r="6542" spans="1:7" x14ac:dyDescent="0.3">
      <c r="A6542" t="s">
        <v>12681</v>
      </c>
      <c r="B6542" t="s">
        <v>12682</v>
      </c>
      <c r="C6542" t="s">
        <v>214</v>
      </c>
      <c r="D6542">
        <v>1.613</v>
      </c>
      <c r="E6542">
        <v>516</v>
      </c>
      <c r="F6542" t="str">
        <f>HYPERLINK("https://www.google.com/maps/search/?api=1&amp;query=25.90278925,45.39829077", "View Map")</f>
        <v>View Map</v>
      </c>
    </row>
    <row r="6543" spans="1:7" x14ac:dyDescent="0.3">
      <c r="A6543" t="s">
        <v>12683</v>
      </c>
      <c r="B6543" t="s">
        <v>12684</v>
      </c>
      <c r="C6543" t="s">
        <v>8</v>
      </c>
      <c r="D6543">
        <v>1.613</v>
      </c>
      <c r="E6543">
        <v>516</v>
      </c>
      <c r="F6543" t="str">
        <f>HYPERLINK("https://www.google.com/maps/search/?api=1&amp;query=24.68279983,46.593574", "View Map")</f>
        <v>View Map</v>
      </c>
    </row>
    <row r="6544" spans="1:7" x14ac:dyDescent="0.3">
      <c r="A6544" t="s">
        <v>6849</v>
      </c>
      <c r="B6544" t="s">
        <v>6850</v>
      </c>
      <c r="C6544" t="s">
        <v>255</v>
      </c>
      <c r="D6544">
        <v>1.613</v>
      </c>
      <c r="E6544">
        <v>516</v>
      </c>
      <c r="F6544" t="str">
        <f>HYPERLINK("https://www.google.com/maps/search/?api=1&amp;query=24.50242314,44.38778873", "View Map")</f>
        <v>View Map</v>
      </c>
      <c r="G6544" s="2">
        <v>0.224792902942862</v>
      </c>
    </row>
    <row r="6545" spans="1:7" x14ac:dyDescent="0.3">
      <c r="A6545" t="s">
        <v>12685</v>
      </c>
      <c r="B6545" t="s">
        <v>12686</v>
      </c>
      <c r="C6545" t="s">
        <v>291</v>
      </c>
      <c r="D6545">
        <v>1.613</v>
      </c>
      <c r="E6545">
        <v>516</v>
      </c>
      <c r="F6545" t="str">
        <f>HYPERLINK("https://www.google.com/maps/search/?api=1&amp;query=24.36924024,45.29440479", "View Map")</f>
        <v>View Map</v>
      </c>
      <c r="G6545" s="2">
        <v>0.93647097972102689</v>
      </c>
    </row>
    <row r="6546" spans="1:7" x14ac:dyDescent="0.3">
      <c r="A6546" t="s">
        <v>7519</v>
      </c>
      <c r="B6546" t="s">
        <v>7520</v>
      </c>
      <c r="C6546" t="s">
        <v>214</v>
      </c>
      <c r="D6546">
        <v>1.613</v>
      </c>
      <c r="E6546">
        <v>516</v>
      </c>
      <c r="F6546" t="str">
        <f>HYPERLINK("https://www.google.com/maps/search/?api=1&amp;query=25.69391774,45.88508463", "View Map")</f>
        <v>View Map</v>
      </c>
      <c r="G6546" s="2">
        <v>0.34395489920474059</v>
      </c>
    </row>
    <row r="6547" spans="1:7" x14ac:dyDescent="0.3">
      <c r="A6547" t="s">
        <v>11196</v>
      </c>
      <c r="B6547" t="s">
        <v>11197</v>
      </c>
      <c r="C6547" t="s">
        <v>214</v>
      </c>
      <c r="D6547">
        <v>1.6120000000000001</v>
      </c>
      <c r="E6547">
        <v>516</v>
      </c>
      <c r="F6547" t="str">
        <f>HYPERLINK("https://www.google.com/maps/search/?api=1&amp;query=25.65044976,45.56020465", "View Map")</f>
        <v>View Map</v>
      </c>
      <c r="G6547" s="2">
        <v>0.50412650500406986</v>
      </c>
    </row>
    <row r="6548" spans="1:7" x14ac:dyDescent="0.3">
      <c r="A6548" t="s">
        <v>73</v>
      </c>
      <c r="B6548" t="s">
        <v>10685</v>
      </c>
      <c r="C6548" t="s">
        <v>8</v>
      </c>
      <c r="D6548">
        <v>1.6120000000000001</v>
      </c>
      <c r="E6548">
        <v>516</v>
      </c>
      <c r="F6548" t="str">
        <f>HYPERLINK("https://www.google.com/maps/search/?api=1&amp;query=24.76525368,46.68195434", "View Map")</f>
        <v>View Map</v>
      </c>
      <c r="G6548" s="2">
        <v>0.85717939530527898</v>
      </c>
    </row>
    <row r="6549" spans="1:7" x14ac:dyDescent="0.3">
      <c r="A6549" t="s">
        <v>385</v>
      </c>
      <c r="B6549" t="s">
        <v>12687</v>
      </c>
      <c r="C6549" t="s">
        <v>255</v>
      </c>
      <c r="D6549">
        <v>1.611</v>
      </c>
      <c r="E6549">
        <v>516</v>
      </c>
      <c r="F6549" t="str">
        <f>HYPERLINK("https://www.google.com/maps/search/?api=1&amp;query=24.56953108,44.45371624", "View Map")</f>
        <v>View Map</v>
      </c>
    </row>
    <row r="6550" spans="1:7" x14ac:dyDescent="0.3">
      <c r="A6550" t="s">
        <v>12688</v>
      </c>
      <c r="B6550" t="s">
        <v>12689</v>
      </c>
      <c r="C6550" t="s">
        <v>364</v>
      </c>
      <c r="D6550">
        <v>1.611</v>
      </c>
      <c r="E6550">
        <v>516</v>
      </c>
      <c r="F6550" t="str">
        <f>HYPERLINK("https://www.google.com/maps/search/?api=1&amp;query=25.65664,46.36069", "View Map")</f>
        <v>View Map</v>
      </c>
    </row>
    <row r="6551" spans="1:7" x14ac:dyDescent="0.3">
      <c r="A6551" t="s">
        <v>12690</v>
      </c>
      <c r="B6551" t="s">
        <v>12691</v>
      </c>
      <c r="C6551" t="s">
        <v>393</v>
      </c>
      <c r="D6551">
        <v>1.611</v>
      </c>
      <c r="E6551">
        <v>516</v>
      </c>
      <c r="F6551" t="str">
        <f>HYPERLINK("https://www.google.com/maps/search/?api=1&amp;query=23.38808573,45.37775877", "View Map")</f>
        <v>View Map</v>
      </c>
      <c r="G6551" s="2">
        <v>0.8866259076400651</v>
      </c>
    </row>
    <row r="6552" spans="1:7" x14ac:dyDescent="0.3">
      <c r="A6552" t="s">
        <v>7224</v>
      </c>
      <c r="B6552" t="s">
        <v>7225</v>
      </c>
      <c r="C6552" t="s">
        <v>8</v>
      </c>
      <c r="D6552">
        <v>1.611</v>
      </c>
      <c r="E6552">
        <v>515</v>
      </c>
      <c r="F6552" t="str">
        <f>HYPERLINK("https://www.google.com/maps/search/?api=1&amp;query=24.77944254,46.76738078", "View Map")</f>
        <v>View Map</v>
      </c>
    </row>
    <row r="6553" spans="1:7" x14ac:dyDescent="0.3">
      <c r="A6553" t="s">
        <v>9600</v>
      </c>
      <c r="B6553" t="s">
        <v>9601</v>
      </c>
      <c r="C6553" t="s">
        <v>291</v>
      </c>
      <c r="D6553">
        <v>1.611</v>
      </c>
      <c r="E6553">
        <v>515</v>
      </c>
      <c r="F6553" t="str">
        <f>HYPERLINK("https://www.google.com/maps/search/?api=1&amp;query=23.76215054,44.75934013", "View Map")</f>
        <v>View Map</v>
      </c>
      <c r="G6553" s="2">
        <v>0.33910017658663871</v>
      </c>
    </row>
    <row r="6554" spans="1:7" x14ac:dyDescent="0.3">
      <c r="A6554" t="s">
        <v>12692</v>
      </c>
      <c r="B6554" t="s">
        <v>12693</v>
      </c>
      <c r="C6554" t="s">
        <v>8</v>
      </c>
      <c r="D6554">
        <v>1.611</v>
      </c>
      <c r="E6554">
        <v>516</v>
      </c>
      <c r="F6554" t="str">
        <f>HYPERLINK("https://www.google.com/maps/search/?api=1&amp;query=24.50275292,46.62342366", "View Map")</f>
        <v>View Map</v>
      </c>
    </row>
    <row r="6555" spans="1:7" x14ac:dyDescent="0.3">
      <c r="A6555" t="s">
        <v>12694</v>
      </c>
      <c r="B6555" t="s">
        <v>12695</v>
      </c>
      <c r="C6555" t="s">
        <v>255</v>
      </c>
      <c r="D6555">
        <v>1.61</v>
      </c>
      <c r="E6555">
        <v>515</v>
      </c>
      <c r="F6555" t="str">
        <f>HYPERLINK("https://www.google.com/maps/search/?api=1&amp;query=24.6728341,43.62776953", "View Map")</f>
        <v>View Map</v>
      </c>
      <c r="G6555" s="2">
        <v>1.053421281971674</v>
      </c>
    </row>
    <row r="6556" spans="1:7" x14ac:dyDescent="0.3">
      <c r="A6556" t="s">
        <v>12696</v>
      </c>
      <c r="B6556" t="s">
        <v>12697</v>
      </c>
      <c r="C6556" t="s">
        <v>214</v>
      </c>
      <c r="D6556">
        <v>1.61</v>
      </c>
      <c r="E6556">
        <v>515</v>
      </c>
      <c r="F6556" t="str">
        <f>HYPERLINK("https://www.google.com/maps/search/?api=1&amp;query=26.67589388,45.34094581", "View Map")</f>
        <v>View Map</v>
      </c>
      <c r="G6556" s="2">
        <v>0.41722210240615609</v>
      </c>
    </row>
    <row r="6557" spans="1:7" x14ac:dyDescent="0.3">
      <c r="A6557" t="s">
        <v>469</v>
      </c>
      <c r="B6557" t="s">
        <v>12698</v>
      </c>
      <c r="C6557" t="s">
        <v>8</v>
      </c>
      <c r="D6557">
        <v>1.61</v>
      </c>
      <c r="E6557">
        <v>515</v>
      </c>
      <c r="F6557" t="str">
        <f>HYPERLINK("https://www.google.com/maps/search/?api=1&amp;query=24.62896511,46.80640333", "View Map")</f>
        <v>View Map</v>
      </c>
    </row>
    <row r="6558" spans="1:7" x14ac:dyDescent="0.3">
      <c r="A6558" t="s">
        <v>7771</v>
      </c>
      <c r="B6558" t="s">
        <v>7772</v>
      </c>
      <c r="C6558" t="s">
        <v>8</v>
      </c>
      <c r="D6558">
        <v>1.609</v>
      </c>
      <c r="E6558">
        <v>515</v>
      </c>
      <c r="F6558" t="str">
        <f>HYPERLINK("https://www.google.com/maps/search/?api=1&amp;query=24.58995509,46.61694729", "View Map")</f>
        <v>View Map</v>
      </c>
    </row>
    <row r="6559" spans="1:7" x14ac:dyDescent="0.3">
      <c r="A6559" t="s">
        <v>11284</v>
      </c>
      <c r="B6559" t="s">
        <v>11285</v>
      </c>
      <c r="C6559" t="s">
        <v>442</v>
      </c>
      <c r="D6559">
        <v>1.609</v>
      </c>
      <c r="E6559">
        <v>515</v>
      </c>
      <c r="F6559" t="str">
        <f>HYPERLINK("https://www.google.com/maps/search/?api=1&amp;query=23.33813592,45.95495329", "View Map")</f>
        <v>View Map</v>
      </c>
      <c r="G6559" s="2">
        <v>0.59608999760111703</v>
      </c>
    </row>
    <row r="6560" spans="1:7" x14ac:dyDescent="0.3">
      <c r="A6560" t="s">
        <v>46</v>
      </c>
      <c r="B6560" t="s">
        <v>12699</v>
      </c>
      <c r="C6560" t="s">
        <v>8</v>
      </c>
      <c r="D6560">
        <v>1.609</v>
      </c>
      <c r="E6560">
        <v>515</v>
      </c>
      <c r="F6560" t="str">
        <f>HYPERLINK("https://www.google.com/maps/search/?api=1&amp;query=24.83092516,46.77305534", "View Map")</f>
        <v>View Map</v>
      </c>
    </row>
    <row r="6561" spans="1:7" x14ac:dyDescent="0.3">
      <c r="A6561" t="s">
        <v>1457</v>
      </c>
      <c r="B6561" t="s">
        <v>1458</v>
      </c>
      <c r="C6561" t="s">
        <v>8</v>
      </c>
      <c r="D6561">
        <v>1.609</v>
      </c>
      <c r="E6561">
        <v>515</v>
      </c>
      <c r="F6561" t="str">
        <f>HYPERLINK("https://www.google.com/maps/search/?api=1&amp;query=24.77760132,46.62092336", "View Map")</f>
        <v>View Map</v>
      </c>
      <c r="G6561" s="2">
        <v>8.0788799751416548E-2</v>
      </c>
    </row>
    <row r="6562" spans="1:7" x14ac:dyDescent="0.3">
      <c r="A6562" t="s">
        <v>3948</v>
      </c>
      <c r="B6562" t="s">
        <v>12700</v>
      </c>
      <c r="C6562" t="s">
        <v>8</v>
      </c>
      <c r="D6562">
        <v>1.609</v>
      </c>
      <c r="E6562">
        <v>515</v>
      </c>
      <c r="F6562" t="str">
        <f>HYPERLINK("https://www.google.com/maps/search/?api=1&amp;query=24.64354458,46.72024495", "View Map")</f>
        <v>View Map</v>
      </c>
    </row>
    <row r="6563" spans="1:7" x14ac:dyDescent="0.3">
      <c r="A6563" t="s">
        <v>9994</v>
      </c>
      <c r="B6563" t="s">
        <v>9995</v>
      </c>
      <c r="C6563" t="s">
        <v>8</v>
      </c>
      <c r="D6563">
        <v>1.6080000000000001</v>
      </c>
      <c r="E6563">
        <v>515</v>
      </c>
      <c r="F6563" t="str">
        <f>HYPERLINK("https://www.google.com/maps/search/?api=1&amp;query=24.56348884,46.70273816", "View Map")</f>
        <v>View Map</v>
      </c>
    </row>
    <row r="6564" spans="1:7" x14ac:dyDescent="0.3">
      <c r="A6564" t="s">
        <v>5093</v>
      </c>
      <c r="B6564" t="s">
        <v>12701</v>
      </c>
      <c r="C6564" t="s">
        <v>255</v>
      </c>
      <c r="D6564">
        <v>1.6080000000000001</v>
      </c>
      <c r="E6564">
        <v>515</v>
      </c>
      <c r="F6564" t="str">
        <f>HYPERLINK("https://www.google.com/maps/search/?api=1&amp;query=24.33848034,43.86157832", "View Map")</f>
        <v>View Map</v>
      </c>
    </row>
    <row r="6565" spans="1:7" x14ac:dyDescent="0.3">
      <c r="A6565" t="s">
        <v>12702</v>
      </c>
      <c r="B6565" t="s">
        <v>12703</v>
      </c>
      <c r="C6565" t="s">
        <v>241</v>
      </c>
      <c r="D6565">
        <v>1.6080000000000001</v>
      </c>
      <c r="E6565">
        <v>514</v>
      </c>
      <c r="F6565" t="str">
        <f>HYPERLINK("https://www.google.com/maps/search/?api=1&amp;query=20.44033184,45.12935416", "View Map")</f>
        <v>View Map</v>
      </c>
      <c r="G6565" s="2">
        <v>0.84998262377037082</v>
      </c>
    </row>
    <row r="6566" spans="1:7" x14ac:dyDescent="0.3">
      <c r="A6566" t="s">
        <v>6494</v>
      </c>
      <c r="B6566" t="s">
        <v>12704</v>
      </c>
      <c r="C6566" t="s">
        <v>1112</v>
      </c>
      <c r="D6566">
        <v>1.6080000000000001</v>
      </c>
      <c r="E6566">
        <v>515</v>
      </c>
      <c r="F6566" t="str">
        <f>HYPERLINK("https://www.google.com/maps/search/?api=1&amp;query=26.03788618,44.93421584", "View Map")</f>
        <v>View Map</v>
      </c>
      <c r="G6566" s="2">
        <v>0.7801201496795529</v>
      </c>
    </row>
    <row r="6567" spans="1:7" x14ac:dyDescent="0.3">
      <c r="A6567" t="s">
        <v>2634</v>
      </c>
      <c r="B6567" t="s">
        <v>2635</v>
      </c>
      <c r="C6567" t="s">
        <v>8</v>
      </c>
      <c r="D6567">
        <v>1.607</v>
      </c>
      <c r="E6567">
        <v>514</v>
      </c>
      <c r="F6567" t="str">
        <f>HYPERLINK("https://www.google.com/maps/search/?api=1&amp;query=24.57624023,46.64218931", "View Map")</f>
        <v>View Map</v>
      </c>
    </row>
    <row r="6568" spans="1:7" x14ac:dyDescent="0.3">
      <c r="A6568" t="s">
        <v>12705</v>
      </c>
      <c r="B6568" t="s">
        <v>12706</v>
      </c>
      <c r="C6568" t="s">
        <v>8</v>
      </c>
      <c r="D6568">
        <v>1.607</v>
      </c>
      <c r="E6568">
        <v>514</v>
      </c>
      <c r="F6568" t="str">
        <f>HYPERLINK("https://www.google.com/maps/search/?api=1&amp;query=24.62790867,46.56215705", "View Map")</f>
        <v>View Map</v>
      </c>
    </row>
    <row r="6569" spans="1:7" x14ac:dyDescent="0.3">
      <c r="A6569" t="s">
        <v>12211</v>
      </c>
      <c r="B6569" t="s">
        <v>12707</v>
      </c>
      <c r="C6569" t="s">
        <v>738</v>
      </c>
      <c r="D6569">
        <v>1.6060000000000001</v>
      </c>
      <c r="E6569">
        <v>514</v>
      </c>
      <c r="F6569" t="str">
        <f>HYPERLINK("https://www.google.com/maps/search/?api=1&amp;query=25.33270115,46.17479854", "View Map")</f>
        <v>View Map</v>
      </c>
      <c r="G6569" s="2">
        <v>0.80534119815170346</v>
      </c>
    </row>
    <row r="6570" spans="1:7" x14ac:dyDescent="0.3">
      <c r="A6570" t="s">
        <v>12708</v>
      </c>
      <c r="B6570" t="s">
        <v>12709</v>
      </c>
      <c r="C6570" t="s">
        <v>393</v>
      </c>
      <c r="D6570">
        <v>1.6060000000000001</v>
      </c>
      <c r="E6570">
        <v>514</v>
      </c>
      <c r="F6570" t="str">
        <f>HYPERLINK("https://www.google.com/maps/search/?api=1&amp;query=23.81007325,45.25801039", "View Map")</f>
        <v>View Map</v>
      </c>
      <c r="G6570" s="2">
        <v>0.91831476237854803</v>
      </c>
    </row>
    <row r="6571" spans="1:7" x14ac:dyDescent="0.3">
      <c r="A6571" t="s">
        <v>860</v>
      </c>
      <c r="B6571" t="s">
        <v>10036</v>
      </c>
      <c r="C6571" t="s">
        <v>8</v>
      </c>
      <c r="D6571">
        <v>1.6060000000000001</v>
      </c>
      <c r="E6571">
        <v>514</v>
      </c>
      <c r="F6571" t="str">
        <f>HYPERLINK("https://www.google.com/maps/search/?api=1&amp;query=24.69569309,46.86418031", "View Map")</f>
        <v>View Map</v>
      </c>
      <c r="G6571" s="2">
        <v>0.95705745068888748</v>
      </c>
    </row>
    <row r="6572" spans="1:7" x14ac:dyDescent="0.3">
      <c r="A6572" t="s">
        <v>12710</v>
      </c>
      <c r="B6572" t="s">
        <v>12711</v>
      </c>
      <c r="C6572" t="s">
        <v>8</v>
      </c>
      <c r="D6572">
        <v>1.605</v>
      </c>
      <c r="E6572">
        <v>514</v>
      </c>
      <c r="F6572" t="str">
        <f>HYPERLINK("https://www.google.com/maps/search/?api=1&amp;query=24.63588024,46.71842588", "View Map")</f>
        <v>View Map</v>
      </c>
    </row>
    <row r="6573" spans="1:7" x14ac:dyDescent="0.3">
      <c r="A6573" t="s">
        <v>12712</v>
      </c>
      <c r="B6573" t="s">
        <v>12713</v>
      </c>
      <c r="C6573" t="s">
        <v>8</v>
      </c>
      <c r="D6573">
        <v>1.605</v>
      </c>
      <c r="E6573">
        <v>514</v>
      </c>
      <c r="F6573" t="str">
        <f>HYPERLINK("https://www.google.com/maps/search/?api=1&amp;query=24.57867615,46.59689655", "View Map")</f>
        <v>View Map</v>
      </c>
    </row>
    <row r="6574" spans="1:7" x14ac:dyDescent="0.3">
      <c r="A6574" t="s">
        <v>9561</v>
      </c>
      <c r="B6574" t="s">
        <v>9562</v>
      </c>
      <c r="C6574" t="s">
        <v>8</v>
      </c>
      <c r="D6574">
        <v>1.605</v>
      </c>
      <c r="E6574">
        <v>514</v>
      </c>
      <c r="F6574" t="str">
        <f>HYPERLINK("https://www.google.com/maps/search/?api=1&amp;query=24.81640306,46.80975098", "View Map")</f>
        <v>View Map</v>
      </c>
    </row>
    <row r="6575" spans="1:7" x14ac:dyDescent="0.3">
      <c r="A6575" t="s">
        <v>10593</v>
      </c>
      <c r="B6575" t="s">
        <v>10594</v>
      </c>
      <c r="C6575" t="s">
        <v>255</v>
      </c>
      <c r="D6575">
        <v>1.6040000000000001</v>
      </c>
      <c r="E6575">
        <v>513</v>
      </c>
      <c r="F6575" t="str">
        <f>HYPERLINK("https://www.google.com/maps/search/?api=1&amp;query=25.01599089,43.82372243", "View Map")</f>
        <v>View Map</v>
      </c>
    </row>
    <row r="6576" spans="1:7" x14ac:dyDescent="0.3">
      <c r="A6576" t="s">
        <v>9372</v>
      </c>
      <c r="B6576" t="s">
        <v>9373</v>
      </c>
      <c r="C6576" t="s">
        <v>8</v>
      </c>
      <c r="D6576">
        <v>1.6040000000000001</v>
      </c>
      <c r="E6576">
        <v>513</v>
      </c>
      <c r="F6576" t="str">
        <f>HYPERLINK("https://www.google.com/maps/search/?api=1&amp;query=24.63652647,46.56941693", "View Map")</f>
        <v>View Map</v>
      </c>
    </row>
    <row r="6577" spans="1:7" x14ac:dyDescent="0.3">
      <c r="A6577" t="s">
        <v>2848</v>
      </c>
      <c r="B6577" t="s">
        <v>10758</v>
      </c>
      <c r="C6577" t="s">
        <v>214</v>
      </c>
      <c r="D6577">
        <v>1.6040000000000001</v>
      </c>
      <c r="E6577">
        <v>513</v>
      </c>
      <c r="F6577" t="str">
        <f>HYPERLINK("https://www.google.com/maps/search/?api=1&amp;query=26.5090677,45.34735978", "View Map")</f>
        <v>View Map</v>
      </c>
      <c r="G6577" s="2">
        <v>0.68243166734172722</v>
      </c>
    </row>
    <row r="6578" spans="1:7" x14ac:dyDescent="0.3">
      <c r="A6578" t="s">
        <v>754</v>
      </c>
      <c r="B6578" t="s">
        <v>12714</v>
      </c>
      <c r="C6578" t="s">
        <v>8</v>
      </c>
      <c r="D6578">
        <v>1.603</v>
      </c>
      <c r="E6578">
        <v>513</v>
      </c>
      <c r="F6578" t="str">
        <f>HYPERLINK("https://www.google.com/maps/search/?api=1&amp;query=24.73684034,46.76053093", "View Map")</f>
        <v>View Map</v>
      </c>
      <c r="G6578" s="2">
        <v>0.55567948144176393</v>
      </c>
    </row>
    <row r="6579" spans="1:7" x14ac:dyDescent="0.3">
      <c r="A6579" t="s">
        <v>6554</v>
      </c>
      <c r="B6579" t="s">
        <v>6555</v>
      </c>
      <c r="C6579" t="s">
        <v>214</v>
      </c>
      <c r="D6579">
        <v>1.6020000000000001</v>
      </c>
      <c r="E6579">
        <v>513</v>
      </c>
      <c r="F6579" t="str">
        <f>HYPERLINK("https://www.google.com/maps/search/?api=1&amp;query=25.92681914,45.3922486", "View Map")</f>
        <v>View Map</v>
      </c>
      <c r="G6579" s="2">
        <v>0.30809185114597221</v>
      </c>
    </row>
    <row r="6580" spans="1:7" x14ac:dyDescent="0.3">
      <c r="A6580" t="s">
        <v>11183</v>
      </c>
      <c r="B6580" t="s">
        <v>11184</v>
      </c>
      <c r="C6580" t="s">
        <v>77</v>
      </c>
      <c r="D6580">
        <v>1.601</v>
      </c>
      <c r="E6580">
        <v>512</v>
      </c>
      <c r="F6580" t="str">
        <f>HYPERLINK("https://www.google.com/maps/search/?api=1&amp;query=22.01975314,46.56147781", "View Map")</f>
        <v>View Map</v>
      </c>
      <c r="G6580" s="2">
        <v>0.60381128594402478</v>
      </c>
    </row>
    <row r="6581" spans="1:7" x14ac:dyDescent="0.3">
      <c r="A6581" t="s">
        <v>12715</v>
      </c>
      <c r="B6581" t="s">
        <v>12716</v>
      </c>
      <c r="C6581" t="s">
        <v>77</v>
      </c>
      <c r="D6581">
        <v>1.601</v>
      </c>
      <c r="E6581">
        <v>512</v>
      </c>
      <c r="F6581" t="str">
        <f>HYPERLINK("https://www.google.com/maps/search/?api=1&amp;query=22.03109525,46.55574656", "View Map")</f>
        <v>View Map</v>
      </c>
    </row>
    <row r="6582" spans="1:7" x14ac:dyDescent="0.3">
      <c r="A6582" t="s">
        <v>12717</v>
      </c>
      <c r="B6582" t="s">
        <v>12718</v>
      </c>
      <c r="C6582" t="s">
        <v>77</v>
      </c>
      <c r="D6582">
        <v>1.6</v>
      </c>
      <c r="E6582">
        <v>512</v>
      </c>
      <c r="F6582" t="str">
        <f>HYPERLINK("https://www.google.com/maps/search/?api=1&amp;query=22.02265994,46.56093406", "View Map")</f>
        <v>View Map</v>
      </c>
    </row>
    <row r="6583" spans="1:7" x14ac:dyDescent="0.3">
      <c r="A6583" t="s">
        <v>12719</v>
      </c>
      <c r="B6583" t="s">
        <v>12720</v>
      </c>
      <c r="C6583" t="s">
        <v>255</v>
      </c>
      <c r="D6583">
        <v>1.6</v>
      </c>
      <c r="E6583">
        <v>512</v>
      </c>
      <c r="F6583" t="str">
        <f>HYPERLINK("https://www.google.com/maps/search/?api=1&amp;query=24.21772912,43.36135241", "View Map")</f>
        <v>View Map</v>
      </c>
    </row>
    <row r="6584" spans="1:7" x14ac:dyDescent="0.3">
      <c r="A6584" t="s">
        <v>3090</v>
      </c>
      <c r="B6584" t="s">
        <v>7452</v>
      </c>
      <c r="C6584" t="s">
        <v>8</v>
      </c>
      <c r="D6584">
        <v>1.6</v>
      </c>
      <c r="E6584">
        <v>512</v>
      </c>
      <c r="F6584" t="str">
        <f>HYPERLINK("https://www.google.com/maps/search/?api=1&amp;query=24.78883732,46.68569906", "View Map")</f>
        <v>View Map</v>
      </c>
    </row>
    <row r="6585" spans="1:7" x14ac:dyDescent="0.3">
      <c r="A6585" t="s">
        <v>5111</v>
      </c>
      <c r="B6585" t="s">
        <v>5112</v>
      </c>
      <c r="C6585" t="s">
        <v>8</v>
      </c>
      <c r="D6585">
        <v>1.599</v>
      </c>
      <c r="E6585">
        <v>512</v>
      </c>
      <c r="F6585" t="str">
        <f>HYPERLINK("https://www.google.com/maps/search/?api=1&amp;query=24.59529414,46.7128258", "View Map")</f>
        <v>View Map</v>
      </c>
    </row>
    <row r="6586" spans="1:7" x14ac:dyDescent="0.3">
      <c r="A6586" t="s">
        <v>8633</v>
      </c>
      <c r="B6586" t="s">
        <v>8634</v>
      </c>
      <c r="C6586" t="s">
        <v>291</v>
      </c>
      <c r="D6586">
        <v>1.599</v>
      </c>
      <c r="E6586">
        <v>512</v>
      </c>
      <c r="F6586" t="str">
        <f>HYPERLINK("https://www.google.com/maps/search/?api=1&amp;query=24.41647821,45.88275526", "View Map")</f>
        <v>View Map</v>
      </c>
    </row>
    <row r="6587" spans="1:7" x14ac:dyDescent="0.3">
      <c r="A6587" t="s">
        <v>7617</v>
      </c>
      <c r="B6587" t="s">
        <v>7618</v>
      </c>
      <c r="C6587" t="s">
        <v>8</v>
      </c>
      <c r="D6587">
        <v>1.599</v>
      </c>
      <c r="E6587">
        <v>512</v>
      </c>
      <c r="F6587" t="str">
        <f>HYPERLINK("https://www.google.com/maps/search/?api=1&amp;query=24.62647728,46.68203026", "View Map")</f>
        <v>View Map</v>
      </c>
    </row>
    <row r="6588" spans="1:7" x14ac:dyDescent="0.3">
      <c r="A6588" t="s">
        <v>12721</v>
      </c>
      <c r="B6588" t="s">
        <v>12722</v>
      </c>
      <c r="C6588" t="s">
        <v>16</v>
      </c>
      <c r="D6588">
        <v>1.599</v>
      </c>
      <c r="E6588">
        <v>512</v>
      </c>
      <c r="F6588" t="str">
        <f>HYPERLINK("https://www.google.com/maps/search/?api=1&amp;query=23.89237794,42.66304397", "View Map")</f>
        <v>View Map</v>
      </c>
      <c r="G6588" s="2">
        <v>0.71938704576373003</v>
      </c>
    </row>
    <row r="6589" spans="1:7" x14ac:dyDescent="0.3">
      <c r="A6589" t="s">
        <v>4623</v>
      </c>
      <c r="B6589" t="s">
        <v>4624</v>
      </c>
      <c r="C6589" t="s">
        <v>8</v>
      </c>
      <c r="D6589">
        <v>1.599</v>
      </c>
      <c r="E6589">
        <v>512</v>
      </c>
      <c r="F6589" t="str">
        <f>HYPERLINK("https://www.google.com/maps/search/?api=1&amp;query=24.64942153,46.70695369", "View Map")</f>
        <v>View Map</v>
      </c>
    </row>
    <row r="6590" spans="1:7" x14ac:dyDescent="0.3">
      <c r="A6590" t="s">
        <v>10326</v>
      </c>
      <c r="B6590" t="s">
        <v>10327</v>
      </c>
      <c r="C6590" t="s">
        <v>214</v>
      </c>
      <c r="D6590">
        <v>1.599</v>
      </c>
      <c r="E6590">
        <v>512</v>
      </c>
      <c r="F6590" t="str">
        <f>HYPERLINK("https://www.google.com/maps/search/?api=1&amp;query=26.49368864,45.3492732", "View Map")</f>
        <v>View Map</v>
      </c>
      <c r="G6590" s="2">
        <v>0.36736693075822391</v>
      </c>
    </row>
    <row r="6591" spans="1:7" x14ac:dyDescent="0.3">
      <c r="A6591" t="s">
        <v>8714</v>
      </c>
      <c r="B6591" t="s">
        <v>8715</v>
      </c>
      <c r="C6591" t="s">
        <v>30</v>
      </c>
      <c r="D6591">
        <v>1.599</v>
      </c>
      <c r="E6591">
        <v>512</v>
      </c>
      <c r="F6591" t="str">
        <f>HYPERLINK("https://www.google.com/maps/search/?api=1&amp;query=24.16323742,47.32951724", "View Map")</f>
        <v>View Map</v>
      </c>
    </row>
    <row r="6592" spans="1:7" x14ac:dyDescent="0.3">
      <c r="A6592" t="s">
        <v>146</v>
      </c>
      <c r="B6592" t="s">
        <v>10386</v>
      </c>
      <c r="C6592" t="s">
        <v>8</v>
      </c>
      <c r="D6592">
        <v>1.599</v>
      </c>
      <c r="E6592">
        <v>512</v>
      </c>
      <c r="F6592" t="str">
        <f>HYPERLINK("https://www.google.com/maps/search/?api=1&amp;query=24.54059323,46.6510544", "View Map")</f>
        <v>View Map</v>
      </c>
    </row>
    <row r="6593" spans="1:7" x14ac:dyDescent="0.3">
      <c r="A6593" t="s">
        <v>12723</v>
      </c>
      <c r="B6593" t="s">
        <v>12724</v>
      </c>
      <c r="C6593" t="s">
        <v>8</v>
      </c>
      <c r="D6593">
        <v>1.599</v>
      </c>
      <c r="E6593">
        <v>512</v>
      </c>
      <c r="F6593" t="str">
        <f>HYPERLINK("https://www.google.com/maps/search/?api=1&amp;query=24.81164114,46.89045291", "View Map")</f>
        <v>View Map</v>
      </c>
    </row>
    <row r="6594" spans="1:7" x14ac:dyDescent="0.3">
      <c r="A6594" t="s">
        <v>11148</v>
      </c>
      <c r="B6594" t="s">
        <v>11149</v>
      </c>
      <c r="C6594" t="s">
        <v>255</v>
      </c>
      <c r="D6594">
        <v>1.5980000000000001</v>
      </c>
      <c r="E6594">
        <v>511</v>
      </c>
      <c r="F6594" t="str">
        <f>HYPERLINK("https://www.google.com/maps/search/?api=1&amp;query=24.2936097,43.47596431", "View Map")</f>
        <v>View Map</v>
      </c>
      <c r="G6594" s="2">
        <v>0.86297811864448315</v>
      </c>
    </row>
    <row r="6595" spans="1:7" x14ac:dyDescent="0.3">
      <c r="A6595" t="s">
        <v>12725</v>
      </c>
      <c r="B6595" t="s">
        <v>12726</v>
      </c>
      <c r="C6595" t="s">
        <v>8</v>
      </c>
      <c r="D6595">
        <v>1.5980000000000001</v>
      </c>
      <c r="E6595">
        <v>511</v>
      </c>
      <c r="F6595" t="str">
        <f>HYPERLINK("https://www.google.com/maps/search/?api=1&amp;query=24.79408043,46.90556342", "View Map")</f>
        <v>View Map</v>
      </c>
    </row>
    <row r="6596" spans="1:7" x14ac:dyDescent="0.3">
      <c r="A6596" t="s">
        <v>12727</v>
      </c>
      <c r="B6596" t="s">
        <v>12728</v>
      </c>
      <c r="C6596" t="s">
        <v>255</v>
      </c>
      <c r="D6596">
        <v>1.5980000000000001</v>
      </c>
      <c r="E6596">
        <v>511</v>
      </c>
      <c r="F6596" t="str">
        <f>HYPERLINK("https://www.google.com/maps/search/?api=1&amp;query=24.54344812,44.41959413", "View Map")</f>
        <v>View Map</v>
      </c>
      <c r="G6596" s="2">
        <v>0.6352363996681426</v>
      </c>
    </row>
    <row r="6597" spans="1:7" x14ac:dyDescent="0.3">
      <c r="A6597" t="s">
        <v>10078</v>
      </c>
      <c r="B6597" t="s">
        <v>10079</v>
      </c>
      <c r="C6597" t="s">
        <v>8</v>
      </c>
      <c r="D6597">
        <v>1.5980000000000001</v>
      </c>
      <c r="E6597">
        <v>511</v>
      </c>
      <c r="F6597" t="str">
        <f>HYPERLINK("https://www.google.com/maps/search/?api=1&amp;query=24.59062406,46.64018161", "View Map")</f>
        <v>View Map</v>
      </c>
    </row>
    <row r="6598" spans="1:7" x14ac:dyDescent="0.3">
      <c r="A6598" t="s">
        <v>12729</v>
      </c>
      <c r="B6598" t="s">
        <v>12730</v>
      </c>
      <c r="C6598" t="s">
        <v>241</v>
      </c>
      <c r="D6598">
        <v>1.597</v>
      </c>
      <c r="E6598">
        <v>511</v>
      </c>
      <c r="F6598" t="str">
        <f>HYPERLINK("https://www.google.com/maps/search/?api=1&amp;query=20.42216001,44.73865471", "View Map")</f>
        <v>View Map</v>
      </c>
    </row>
    <row r="6599" spans="1:7" x14ac:dyDescent="0.3">
      <c r="A6599" t="s">
        <v>5597</v>
      </c>
      <c r="B6599" t="s">
        <v>5598</v>
      </c>
      <c r="C6599" t="s">
        <v>16</v>
      </c>
      <c r="D6599">
        <v>1.597</v>
      </c>
      <c r="E6599">
        <v>511</v>
      </c>
      <c r="F6599" t="str">
        <f>HYPERLINK("https://www.google.com/maps/search/?api=1&amp;query=23.86725652,42.70127491", "View Map")</f>
        <v>View Map</v>
      </c>
      <c r="G6599" s="2">
        <v>0.3004835863586125</v>
      </c>
    </row>
    <row r="6600" spans="1:7" x14ac:dyDescent="0.3">
      <c r="A6600" t="s">
        <v>8673</v>
      </c>
      <c r="B6600" t="s">
        <v>8674</v>
      </c>
      <c r="C6600" t="s">
        <v>214</v>
      </c>
      <c r="D6600">
        <v>1.5960000000000001</v>
      </c>
      <c r="E6600">
        <v>511</v>
      </c>
      <c r="F6600" t="str">
        <f>HYPERLINK("https://www.google.com/maps/search/?api=1&amp;query=25.61848586,45.56035034", "View Map")</f>
        <v>View Map</v>
      </c>
      <c r="G6600" s="2">
        <v>0.62528058882555126</v>
      </c>
    </row>
    <row r="6601" spans="1:7" x14ac:dyDescent="0.3">
      <c r="A6601" t="s">
        <v>12731</v>
      </c>
      <c r="B6601" t="s">
        <v>12732</v>
      </c>
      <c r="C6601" t="s">
        <v>255</v>
      </c>
      <c r="D6601">
        <v>1.5960000000000001</v>
      </c>
      <c r="E6601">
        <v>511</v>
      </c>
      <c r="F6601" t="str">
        <f>HYPERLINK("https://www.google.com/maps/search/?api=1&amp;query=25.17845727,44.59675588", "View Map")</f>
        <v>View Map</v>
      </c>
    </row>
    <row r="6602" spans="1:7" x14ac:dyDescent="0.3">
      <c r="A6602" t="s">
        <v>5001</v>
      </c>
      <c r="B6602" t="s">
        <v>5002</v>
      </c>
      <c r="C6602" t="s">
        <v>8</v>
      </c>
      <c r="D6602">
        <v>1.5960000000000001</v>
      </c>
      <c r="E6602">
        <v>511</v>
      </c>
      <c r="F6602" t="str">
        <f>HYPERLINK("https://www.google.com/maps/search/?api=1&amp;query=24.75111255,46.7636978", "View Map")</f>
        <v>View Map</v>
      </c>
    </row>
    <row r="6603" spans="1:7" x14ac:dyDescent="0.3">
      <c r="A6603" t="s">
        <v>46</v>
      </c>
      <c r="B6603" t="s">
        <v>5446</v>
      </c>
      <c r="C6603" t="s">
        <v>55</v>
      </c>
      <c r="D6603">
        <v>1.5960000000000001</v>
      </c>
      <c r="E6603">
        <v>511</v>
      </c>
      <c r="F6603" t="str">
        <f>HYPERLINK("https://www.google.com/maps/search/?api=1&amp;query=24.90313982,46.37321847", "View Map")</f>
        <v>View Map</v>
      </c>
    </row>
    <row r="6604" spans="1:7" x14ac:dyDescent="0.3">
      <c r="A6604" t="s">
        <v>12733</v>
      </c>
      <c r="B6604" t="s">
        <v>12734</v>
      </c>
      <c r="C6604" t="s">
        <v>214</v>
      </c>
      <c r="D6604">
        <v>1.595</v>
      </c>
      <c r="E6604">
        <v>510</v>
      </c>
      <c r="F6604" t="str">
        <f>HYPERLINK("https://www.google.com/maps/search/?api=1&amp;query=25.62896686,45.57821783", "View Map")</f>
        <v>View Map</v>
      </c>
    </row>
    <row r="6605" spans="1:7" x14ac:dyDescent="0.3">
      <c r="A6605" t="s">
        <v>12735</v>
      </c>
      <c r="B6605" t="s">
        <v>12736</v>
      </c>
      <c r="C6605" t="s">
        <v>646</v>
      </c>
      <c r="D6605">
        <v>1.595</v>
      </c>
      <c r="E6605">
        <v>510</v>
      </c>
      <c r="F6605" t="str">
        <f>HYPERLINK("https://www.google.com/maps/search/?api=1&amp;query=20.40761876,45.39936326", "View Map")</f>
        <v>View Map</v>
      </c>
    </row>
    <row r="6606" spans="1:7" x14ac:dyDescent="0.3">
      <c r="A6606" t="s">
        <v>4979</v>
      </c>
      <c r="B6606" t="s">
        <v>4980</v>
      </c>
      <c r="C6606" t="s">
        <v>8</v>
      </c>
      <c r="D6606">
        <v>1.595</v>
      </c>
      <c r="E6606">
        <v>511</v>
      </c>
      <c r="F6606" t="str">
        <f>HYPERLINK("https://www.google.com/maps/search/?api=1&amp;query=24.76276,46.61216", "View Map")</f>
        <v>View Map</v>
      </c>
    </row>
    <row r="6607" spans="1:7" x14ac:dyDescent="0.3">
      <c r="A6607" t="s">
        <v>6639</v>
      </c>
      <c r="B6607" t="s">
        <v>6640</v>
      </c>
      <c r="C6607" t="s">
        <v>8</v>
      </c>
      <c r="D6607">
        <v>1.595</v>
      </c>
      <c r="E6607">
        <v>510</v>
      </c>
      <c r="F6607" t="str">
        <f>HYPERLINK("https://www.google.com/maps/search/?api=1&amp;query=24.76882868,46.68191664", "View Map")</f>
        <v>View Map</v>
      </c>
    </row>
    <row r="6608" spans="1:7" x14ac:dyDescent="0.3">
      <c r="A6608" t="s">
        <v>12737</v>
      </c>
      <c r="B6608" t="s">
        <v>12738</v>
      </c>
      <c r="C6608" t="s">
        <v>8</v>
      </c>
      <c r="D6608">
        <v>1.5940000000000001</v>
      </c>
      <c r="E6608">
        <v>510</v>
      </c>
      <c r="F6608" t="str">
        <f>HYPERLINK("https://www.google.com/maps/search/?api=1&amp;query=24.71129111,46.60995882", "View Map")</f>
        <v>View Map</v>
      </c>
    </row>
    <row r="6609" spans="1:7" x14ac:dyDescent="0.3">
      <c r="A6609" t="s">
        <v>8769</v>
      </c>
      <c r="B6609" t="s">
        <v>8770</v>
      </c>
      <c r="C6609" t="s">
        <v>8</v>
      </c>
      <c r="D6609">
        <v>1.5940000000000001</v>
      </c>
      <c r="E6609">
        <v>510</v>
      </c>
      <c r="F6609" t="str">
        <f>HYPERLINK("https://www.google.com/maps/search/?api=1&amp;query=24.77409627,46.6078313", "View Map")</f>
        <v>View Map</v>
      </c>
    </row>
    <row r="6610" spans="1:7" x14ac:dyDescent="0.3">
      <c r="A6610" t="s">
        <v>9929</v>
      </c>
      <c r="B6610" t="s">
        <v>9930</v>
      </c>
      <c r="C6610" t="s">
        <v>8</v>
      </c>
      <c r="D6610">
        <v>1.5940000000000001</v>
      </c>
      <c r="E6610">
        <v>510</v>
      </c>
      <c r="F6610" t="str">
        <f>HYPERLINK("https://www.google.com/maps/search/?api=1&amp;query=24.57666991,46.71126927", "View Map")</f>
        <v>View Map</v>
      </c>
    </row>
    <row r="6611" spans="1:7" x14ac:dyDescent="0.3">
      <c r="A6611" t="s">
        <v>10514</v>
      </c>
      <c r="B6611" t="s">
        <v>10515</v>
      </c>
      <c r="C6611" t="s">
        <v>8</v>
      </c>
      <c r="D6611">
        <v>1.593</v>
      </c>
      <c r="E6611">
        <v>510</v>
      </c>
      <c r="F6611" t="str">
        <f>HYPERLINK("https://www.google.com/maps/search/?api=1&amp;query=24.62696308,46.66555846", "View Map")</f>
        <v>View Map</v>
      </c>
    </row>
    <row r="6612" spans="1:7" x14ac:dyDescent="0.3">
      <c r="A6612" t="s">
        <v>9952</v>
      </c>
      <c r="B6612" t="s">
        <v>9953</v>
      </c>
      <c r="C6612" t="s">
        <v>8</v>
      </c>
      <c r="D6612">
        <v>1.593</v>
      </c>
      <c r="E6612">
        <v>510</v>
      </c>
      <c r="F6612" t="str">
        <f>HYPERLINK("https://www.google.com/maps/search/?api=1&amp;query=24.74876461,46.83573612", "View Map")</f>
        <v>View Map</v>
      </c>
    </row>
    <row r="6613" spans="1:7" x14ac:dyDescent="0.3">
      <c r="A6613" t="s">
        <v>9281</v>
      </c>
      <c r="B6613" t="s">
        <v>11134</v>
      </c>
      <c r="C6613" t="s">
        <v>393</v>
      </c>
      <c r="D6613">
        <v>1.593</v>
      </c>
      <c r="E6613">
        <v>510</v>
      </c>
      <c r="F6613" t="str">
        <f>HYPERLINK("https://www.google.com/maps/search/?api=1&amp;query=23.48039008,45.76287552", "View Map")</f>
        <v>View Map</v>
      </c>
      <c r="G6613" s="2">
        <v>0.73043629107611541</v>
      </c>
    </row>
    <row r="6614" spans="1:7" x14ac:dyDescent="0.3">
      <c r="A6614" t="s">
        <v>7266</v>
      </c>
      <c r="B6614" t="s">
        <v>9505</v>
      </c>
      <c r="C6614" t="s">
        <v>8</v>
      </c>
      <c r="D6614">
        <v>1.593</v>
      </c>
      <c r="E6614">
        <v>510</v>
      </c>
      <c r="F6614" t="str">
        <f>HYPERLINK("https://www.google.com/maps/search/?api=1&amp;query=24.69069652,46.65349468", "View Map")</f>
        <v>View Map</v>
      </c>
    </row>
    <row r="6615" spans="1:7" x14ac:dyDescent="0.3">
      <c r="A6615" t="s">
        <v>5240</v>
      </c>
      <c r="B6615" t="s">
        <v>10901</v>
      </c>
      <c r="C6615" t="s">
        <v>8</v>
      </c>
      <c r="D6615">
        <v>1.593</v>
      </c>
      <c r="E6615">
        <v>510</v>
      </c>
      <c r="F6615" t="str">
        <f>HYPERLINK("https://www.google.com/maps/search/?api=1&amp;query=24.8174262,46.88257927", "View Map")</f>
        <v>View Map</v>
      </c>
    </row>
    <row r="6616" spans="1:7" x14ac:dyDescent="0.3">
      <c r="A6616" t="s">
        <v>12739</v>
      </c>
      <c r="B6616" t="s">
        <v>12740</v>
      </c>
      <c r="C6616" t="s">
        <v>214</v>
      </c>
      <c r="D6616">
        <v>1.5920000000000001</v>
      </c>
      <c r="E6616">
        <v>509</v>
      </c>
      <c r="F6616" t="str">
        <f>HYPERLINK("https://www.google.com/maps/search/?api=1&amp;query=25.58244467,45.61083001", "View Map")</f>
        <v>View Map</v>
      </c>
    </row>
    <row r="6617" spans="1:7" x14ac:dyDescent="0.3">
      <c r="A6617" t="s">
        <v>11139</v>
      </c>
      <c r="B6617" t="s">
        <v>11140</v>
      </c>
      <c r="C6617" t="s">
        <v>8</v>
      </c>
      <c r="D6617">
        <v>1.5920000000000001</v>
      </c>
      <c r="E6617">
        <v>509</v>
      </c>
      <c r="F6617" t="str">
        <f>HYPERLINK("https://www.google.com/maps/search/?api=1&amp;query=24.59258883,46.53948231", "View Map")</f>
        <v>View Map</v>
      </c>
    </row>
    <row r="6618" spans="1:7" x14ac:dyDescent="0.3">
      <c r="A6618" t="s">
        <v>46</v>
      </c>
      <c r="B6618" t="s">
        <v>12741</v>
      </c>
      <c r="C6618" t="s">
        <v>8</v>
      </c>
      <c r="D6618">
        <v>1.5920000000000001</v>
      </c>
      <c r="E6618">
        <v>509</v>
      </c>
      <c r="F6618" t="str">
        <f>HYPERLINK("https://www.google.com/maps/search/?api=1&amp;query=24.64936535,46.56457391", "View Map")</f>
        <v>View Map</v>
      </c>
    </row>
    <row r="6619" spans="1:7" x14ac:dyDescent="0.3">
      <c r="A6619" t="s">
        <v>4711</v>
      </c>
      <c r="B6619" t="s">
        <v>4712</v>
      </c>
      <c r="C6619" t="s">
        <v>241</v>
      </c>
      <c r="D6619">
        <v>1.591</v>
      </c>
      <c r="E6619">
        <v>509</v>
      </c>
      <c r="F6619" t="str">
        <f>HYPERLINK("https://www.google.com/maps/search/?api=1&amp;query=20.45112597,44.76774079", "View Map")</f>
        <v>View Map</v>
      </c>
    </row>
    <row r="6620" spans="1:7" x14ac:dyDescent="0.3">
      <c r="A6620" t="s">
        <v>4294</v>
      </c>
      <c r="B6620" t="s">
        <v>12742</v>
      </c>
      <c r="C6620" t="s">
        <v>8</v>
      </c>
      <c r="D6620">
        <v>1.591</v>
      </c>
      <c r="E6620">
        <v>509</v>
      </c>
      <c r="F6620" t="str">
        <f>HYPERLINK("https://www.google.com/maps/search/?api=1&amp;query=24.74608103,46.79637723", "View Map")</f>
        <v>View Map</v>
      </c>
    </row>
    <row r="6621" spans="1:7" x14ac:dyDescent="0.3">
      <c r="A6621" t="s">
        <v>12743</v>
      </c>
      <c r="B6621" t="s">
        <v>12744</v>
      </c>
      <c r="C6621" t="s">
        <v>8</v>
      </c>
      <c r="D6621">
        <v>1.59</v>
      </c>
      <c r="E6621">
        <v>509</v>
      </c>
      <c r="F6621" t="str">
        <f>HYPERLINK("https://www.google.com/maps/search/?api=1&amp;query=24.63602452,46.74034807", "View Map")</f>
        <v>View Map</v>
      </c>
    </row>
    <row r="6622" spans="1:7" x14ac:dyDescent="0.3">
      <c r="A6622" t="s">
        <v>2457</v>
      </c>
      <c r="B6622" t="s">
        <v>2458</v>
      </c>
      <c r="C6622" t="s">
        <v>296</v>
      </c>
      <c r="D6622">
        <v>1.59</v>
      </c>
      <c r="E6622">
        <v>509</v>
      </c>
      <c r="F6622" t="str">
        <f>HYPERLINK("https://www.google.com/maps/search/?api=1&amp;query=24.47559069,46.28405371", "View Map")</f>
        <v>View Map</v>
      </c>
      <c r="G6622" s="2">
        <v>0.19352990609725509</v>
      </c>
    </row>
    <row r="6623" spans="1:7" x14ac:dyDescent="0.3">
      <c r="A6623" t="s">
        <v>46</v>
      </c>
      <c r="B6623" t="s">
        <v>9225</v>
      </c>
      <c r="C6623" t="s">
        <v>8</v>
      </c>
      <c r="D6623">
        <v>1.59</v>
      </c>
      <c r="E6623">
        <v>509</v>
      </c>
      <c r="F6623" t="str">
        <f>HYPERLINK("https://www.google.com/maps/search/?api=1&amp;query=24.84198305,46.75873085", "View Map")</f>
        <v>View Map</v>
      </c>
    </row>
    <row r="6624" spans="1:7" x14ac:dyDescent="0.3">
      <c r="A6624" t="s">
        <v>12745</v>
      </c>
      <c r="B6624" t="s">
        <v>12746</v>
      </c>
      <c r="C6624" t="s">
        <v>255</v>
      </c>
      <c r="D6624">
        <v>1.59</v>
      </c>
      <c r="E6624">
        <v>509</v>
      </c>
      <c r="F6624" t="str">
        <f>HYPERLINK("https://www.google.com/maps/search/?api=1&amp;query=24.90250444,44.55066916", "View Map")</f>
        <v>View Map</v>
      </c>
      <c r="G6624" s="2">
        <v>0.95266866780885084</v>
      </c>
    </row>
    <row r="6625" spans="1:7" x14ac:dyDescent="0.3">
      <c r="A6625" t="s">
        <v>10889</v>
      </c>
      <c r="B6625" t="s">
        <v>10890</v>
      </c>
      <c r="C6625" t="s">
        <v>8</v>
      </c>
      <c r="D6625">
        <v>1.589</v>
      </c>
      <c r="E6625">
        <v>508</v>
      </c>
      <c r="F6625" t="str">
        <f>HYPERLINK("https://www.google.com/maps/search/?api=1&amp;query=24.64113356,46.59069291", "View Map")</f>
        <v>View Map</v>
      </c>
    </row>
    <row r="6626" spans="1:7" x14ac:dyDescent="0.3">
      <c r="A6626" t="s">
        <v>4609</v>
      </c>
      <c r="B6626" t="s">
        <v>4610</v>
      </c>
      <c r="C6626" t="s">
        <v>296</v>
      </c>
      <c r="D6626">
        <v>1.589</v>
      </c>
      <c r="E6626">
        <v>509</v>
      </c>
      <c r="F6626" t="str">
        <f>HYPERLINK("https://www.google.com/maps/search/?api=1&amp;query=24.47411963,46.26569852", "View Map")</f>
        <v>View Map</v>
      </c>
    </row>
    <row r="6627" spans="1:7" x14ac:dyDescent="0.3">
      <c r="A6627" t="s">
        <v>12747</v>
      </c>
      <c r="B6627" t="s">
        <v>12748</v>
      </c>
      <c r="C6627" t="s">
        <v>291</v>
      </c>
      <c r="D6627">
        <v>1.5880000000000001</v>
      </c>
      <c r="E6627">
        <v>508</v>
      </c>
      <c r="F6627" t="str">
        <f>HYPERLINK("https://www.google.com/maps/search/?api=1&amp;query=24.33781745,45.57134572", "View Map")</f>
        <v>View Map</v>
      </c>
      <c r="G6627" s="2">
        <v>0.71364776290459497</v>
      </c>
    </row>
    <row r="6628" spans="1:7" x14ac:dyDescent="0.3">
      <c r="A6628" t="s">
        <v>385</v>
      </c>
      <c r="B6628" t="s">
        <v>12749</v>
      </c>
      <c r="C6628" t="s">
        <v>255</v>
      </c>
      <c r="D6628">
        <v>1.5880000000000001</v>
      </c>
      <c r="E6628">
        <v>508</v>
      </c>
      <c r="F6628" t="str">
        <f>HYPERLINK("https://www.google.com/maps/search/?api=1&amp;query=24.45254689,44.70916336", "View Map")</f>
        <v>View Map</v>
      </c>
      <c r="G6628" s="2">
        <v>0.75312249342758752</v>
      </c>
    </row>
    <row r="6629" spans="1:7" x14ac:dyDescent="0.3">
      <c r="A6629" t="s">
        <v>11399</v>
      </c>
      <c r="B6629" t="s">
        <v>12750</v>
      </c>
      <c r="C6629" t="s">
        <v>8</v>
      </c>
      <c r="D6629">
        <v>1.5880000000000001</v>
      </c>
      <c r="E6629">
        <v>508</v>
      </c>
      <c r="F6629" t="str">
        <f>HYPERLINK("https://www.google.com/maps/search/?api=1&amp;query=24.62631164,46.5592212", "View Map")</f>
        <v>View Map</v>
      </c>
    </row>
    <row r="6630" spans="1:7" x14ac:dyDescent="0.3">
      <c r="A6630" t="s">
        <v>5164</v>
      </c>
      <c r="B6630" t="s">
        <v>12751</v>
      </c>
      <c r="C6630" t="s">
        <v>646</v>
      </c>
      <c r="D6630">
        <v>1.587</v>
      </c>
      <c r="E6630">
        <v>508</v>
      </c>
      <c r="F6630" t="str">
        <f>HYPERLINK("https://www.google.com/maps/search/?api=1&amp;query=20.47674277,45.28411839", "View Map")</f>
        <v>View Map</v>
      </c>
    </row>
    <row r="6631" spans="1:7" x14ac:dyDescent="0.3">
      <c r="A6631" t="s">
        <v>9106</v>
      </c>
      <c r="B6631" t="s">
        <v>9107</v>
      </c>
      <c r="C6631" t="s">
        <v>270</v>
      </c>
      <c r="D6631">
        <v>1.587</v>
      </c>
      <c r="E6631">
        <v>508</v>
      </c>
      <c r="F6631" t="str">
        <f>HYPERLINK("https://www.google.com/maps/search/?api=1&amp;query=24.10523691,47.15312737", "View Map")</f>
        <v>View Map</v>
      </c>
    </row>
    <row r="6632" spans="1:7" x14ac:dyDescent="0.3">
      <c r="A6632" t="s">
        <v>73</v>
      </c>
      <c r="B6632" t="s">
        <v>12752</v>
      </c>
      <c r="C6632" t="s">
        <v>8</v>
      </c>
      <c r="D6632">
        <v>1.587</v>
      </c>
      <c r="E6632">
        <v>508</v>
      </c>
      <c r="F6632" t="str">
        <f>HYPERLINK("https://www.google.com/maps/search/?api=1&amp;query=24.63702791,46.80439714", "View Map")</f>
        <v>View Map</v>
      </c>
    </row>
    <row r="6633" spans="1:7" x14ac:dyDescent="0.3">
      <c r="A6633" t="s">
        <v>1106</v>
      </c>
      <c r="B6633" t="s">
        <v>1107</v>
      </c>
      <c r="C6633" t="s">
        <v>8</v>
      </c>
      <c r="D6633">
        <v>1.587</v>
      </c>
      <c r="E6633">
        <v>508</v>
      </c>
      <c r="F6633" t="str">
        <f>HYPERLINK("https://www.google.com/maps/search/?api=1&amp;query=24.72711563,46.65582048", "View Map")</f>
        <v>View Map</v>
      </c>
    </row>
    <row r="6634" spans="1:7" x14ac:dyDescent="0.3">
      <c r="A6634" t="s">
        <v>10958</v>
      </c>
      <c r="B6634" t="s">
        <v>10959</v>
      </c>
      <c r="C6634" t="s">
        <v>30</v>
      </c>
      <c r="D6634">
        <v>1.587</v>
      </c>
      <c r="E6634">
        <v>508</v>
      </c>
      <c r="F6634" t="str">
        <f>HYPERLINK("https://www.google.com/maps/search/?api=1&amp;query=24.17098937,47.30769457", "View Map")</f>
        <v>View Map</v>
      </c>
    </row>
    <row r="6635" spans="1:7" x14ac:dyDescent="0.3">
      <c r="A6635" t="s">
        <v>12753</v>
      </c>
      <c r="B6635" t="s">
        <v>12754</v>
      </c>
      <c r="C6635" t="s">
        <v>8</v>
      </c>
      <c r="D6635">
        <v>1.5860000000000001</v>
      </c>
      <c r="E6635">
        <v>507</v>
      </c>
      <c r="F6635" t="str">
        <f>HYPERLINK("https://www.google.com/maps/search/?api=1&amp;query=24.60638408,46.71355428", "View Map")</f>
        <v>View Map</v>
      </c>
    </row>
    <row r="6636" spans="1:7" x14ac:dyDescent="0.3">
      <c r="A6636" t="s">
        <v>11087</v>
      </c>
      <c r="B6636" t="s">
        <v>11088</v>
      </c>
      <c r="C6636" t="s">
        <v>291</v>
      </c>
      <c r="D6636">
        <v>1.5860000000000001</v>
      </c>
      <c r="E6636">
        <v>507</v>
      </c>
      <c r="F6636" t="str">
        <f>HYPERLINK("https://www.google.com/maps/search/?api=1&amp;query=24.33679349,45.80007592", "View Map")</f>
        <v>View Map</v>
      </c>
    </row>
    <row r="6637" spans="1:7" x14ac:dyDescent="0.3">
      <c r="A6637" t="s">
        <v>10432</v>
      </c>
      <c r="B6637" t="s">
        <v>10433</v>
      </c>
      <c r="C6637" t="s">
        <v>296</v>
      </c>
      <c r="D6637">
        <v>1.5860000000000001</v>
      </c>
      <c r="E6637">
        <v>508</v>
      </c>
      <c r="F6637" t="str">
        <f>HYPERLINK("https://www.google.com/maps/search/?api=1&amp;query=24.46323689,46.27010026", "View Map")</f>
        <v>View Map</v>
      </c>
    </row>
    <row r="6638" spans="1:7" x14ac:dyDescent="0.3">
      <c r="A6638" t="s">
        <v>12755</v>
      </c>
      <c r="B6638" t="s">
        <v>12756</v>
      </c>
      <c r="C6638" t="s">
        <v>77</v>
      </c>
      <c r="D6638">
        <v>1.5860000000000001</v>
      </c>
      <c r="E6638">
        <v>507</v>
      </c>
      <c r="F6638" t="str">
        <f>HYPERLINK("https://www.google.com/maps/search/?api=1&amp;query=22.43745818,46.17893024", "View Map")</f>
        <v>View Map</v>
      </c>
      <c r="G6638" s="2">
        <v>0.60735561409900685</v>
      </c>
    </row>
    <row r="6639" spans="1:7" x14ac:dyDescent="0.3">
      <c r="A6639" t="s">
        <v>10179</v>
      </c>
      <c r="B6639" t="s">
        <v>10180</v>
      </c>
      <c r="C6639" t="s">
        <v>55</v>
      </c>
      <c r="D6639">
        <v>1.585</v>
      </c>
      <c r="E6639">
        <v>507</v>
      </c>
      <c r="F6639" t="str">
        <f>HYPERLINK("https://www.google.com/maps/search/?api=1&amp;query=24.72616,46.5738", "View Map")</f>
        <v>View Map</v>
      </c>
      <c r="G6639" s="2">
        <v>0.50680388716668145</v>
      </c>
    </row>
    <row r="6640" spans="1:7" x14ac:dyDescent="0.3">
      <c r="A6640" t="s">
        <v>12757</v>
      </c>
      <c r="B6640" t="s">
        <v>12758</v>
      </c>
      <c r="C6640" t="s">
        <v>137</v>
      </c>
      <c r="D6640">
        <v>1.585</v>
      </c>
      <c r="E6640">
        <v>507</v>
      </c>
      <c r="F6640" t="str">
        <f>HYPERLINK("https://www.google.com/maps/search/?api=1&amp;query=23.48549836,46.88088279", "View Map")</f>
        <v>View Map</v>
      </c>
    </row>
    <row r="6641" spans="1:7" x14ac:dyDescent="0.3">
      <c r="A6641" t="s">
        <v>12759</v>
      </c>
      <c r="B6641" t="s">
        <v>12760</v>
      </c>
      <c r="C6641" t="s">
        <v>364</v>
      </c>
      <c r="D6641">
        <v>1.5840000000000001</v>
      </c>
      <c r="E6641">
        <v>507</v>
      </c>
      <c r="F6641" t="str">
        <f>HYPERLINK("https://www.google.com/maps/search/?api=1&amp;query=25.31920769,46.02662953", "View Map")</f>
        <v>View Map</v>
      </c>
      <c r="G6641" s="2">
        <v>0.45889096993951051</v>
      </c>
    </row>
    <row r="6642" spans="1:7" x14ac:dyDescent="0.3">
      <c r="A6642" t="s">
        <v>4076</v>
      </c>
      <c r="B6642" t="s">
        <v>4077</v>
      </c>
      <c r="C6642" t="s">
        <v>8</v>
      </c>
      <c r="D6642">
        <v>1.5840000000000001</v>
      </c>
      <c r="E6642">
        <v>507</v>
      </c>
      <c r="F6642" t="str">
        <f>HYPERLINK("https://www.google.com/maps/search/?api=1&amp;query=24.7795176,46.6364944", "View Map")</f>
        <v>View Map</v>
      </c>
      <c r="G6642" s="2">
        <v>0.25832492486443048</v>
      </c>
    </row>
    <row r="6643" spans="1:7" x14ac:dyDescent="0.3">
      <c r="A6643" t="s">
        <v>5010</v>
      </c>
      <c r="B6643" t="s">
        <v>5011</v>
      </c>
      <c r="C6643" t="s">
        <v>8</v>
      </c>
      <c r="D6643">
        <v>1.583</v>
      </c>
      <c r="E6643">
        <v>507</v>
      </c>
      <c r="F6643" t="str">
        <f>HYPERLINK("https://www.google.com/maps/search/?api=1&amp;query=24.79024101,46.76159696", "View Map")</f>
        <v>View Map</v>
      </c>
    </row>
    <row r="6644" spans="1:7" x14ac:dyDescent="0.3">
      <c r="A6644" t="s">
        <v>10014</v>
      </c>
      <c r="B6644" t="s">
        <v>10015</v>
      </c>
      <c r="C6644" t="s">
        <v>8</v>
      </c>
      <c r="D6644">
        <v>1.583</v>
      </c>
      <c r="E6644">
        <v>506</v>
      </c>
      <c r="F6644" t="str">
        <f>HYPERLINK("https://www.google.com/maps/search/?api=1&amp;query=24.58098811,46.55421894", "View Map")</f>
        <v>View Map</v>
      </c>
    </row>
    <row r="6645" spans="1:7" x14ac:dyDescent="0.3">
      <c r="A6645" t="s">
        <v>12761</v>
      </c>
      <c r="B6645" t="s">
        <v>12762</v>
      </c>
      <c r="C6645" t="s">
        <v>393</v>
      </c>
      <c r="D6645">
        <v>1.583</v>
      </c>
      <c r="E6645">
        <v>507</v>
      </c>
      <c r="F6645" t="str">
        <f>HYPERLINK("https://www.google.com/maps/search/?api=1&amp;query=23.6001312,45.43603105", "View Map")</f>
        <v>View Map</v>
      </c>
      <c r="G6645" s="2">
        <v>0.50007666163689812</v>
      </c>
    </row>
    <row r="6646" spans="1:7" x14ac:dyDescent="0.3">
      <c r="A6646" t="s">
        <v>12763</v>
      </c>
      <c r="B6646" t="s">
        <v>12764</v>
      </c>
      <c r="C6646" t="s">
        <v>8</v>
      </c>
      <c r="D6646">
        <v>1.5820000000000001</v>
      </c>
      <c r="E6646">
        <v>506</v>
      </c>
      <c r="F6646" t="str">
        <f>HYPERLINK("https://www.google.com/maps/search/?api=1&amp;query=24.60053512,46.72499042", "View Map")</f>
        <v>View Map</v>
      </c>
    </row>
    <row r="6647" spans="1:7" x14ac:dyDescent="0.3">
      <c r="A6647" t="s">
        <v>46</v>
      </c>
      <c r="B6647" t="s">
        <v>9083</v>
      </c>
      <c r="C6647" t="s">
        <v>8</v>
      </c>
      <c r="D6647">
        <v>1.5820000000000001</v>
      </c>
      <c r="E6647">
        <v>506</v>
      </c>
      <c r="F6647" t="str">
        <f>HYPERLINK("https://www.google.com/maps/search/?api=1&amp;query=24.74464487,46.67888783", "View Map")</f>
        <v>View Map</v>
      </c>
    </row>
    <row r="6648" spans="1:7" x14ac:dyDescent="0.3">
      <c r="A6648" t="s">
        <v>9954</v>
      </c>
      <c r="B6648" t="s">
        <v>9955</v>
      </c>
      <c r="C6648" t="s">
        <v>8</v>
      </c>
      <c r="D6648">
        <v>1.5820000000000001</v>
      </c>
      <c r="E6648">
        <v>506</v>
      </c>
      <c r="F6648" t="str">
        <f>HYPERLINK("https://www.google.com/maps/search/?api=1&amp;query=24.69719825,46.84303037", "View Map")</f>
        <v>View Map</v>
      </c>
    </row>
    <row r="6649" spans="1:7" x14ac:dyDescent="0.3">
      <c r="A6649" t="s">
        <v>12765</v>
      </c>
      <c r="B6649" t="s">
        <v>12766</v>
      </c>
      <c r="C6649" t="s">
        <v>8</v>
      </c>
      <c r="D6649">
        <v>1.5820000000000001</v>
      </c>
      <c r="E6649">
        <v>506</v>
      </c>
      <c r="F6649" t="str">
        <f>HYPERLINK("https://www.google.com/maps/search/?api=1&amp;query=24.56032171,46.77570531", "View Map")</f>
        <v>View Map</v>
      </c>
    </row>
    <row r="6650" spans="1:7" x14ac:dyDescent="0.3">
      <c r="A6650" t="s">
        <v>5199</v>
      </c>
      <c r="B6650" t="s">
        <v>8939</v>
      </c>
      <c r="C6650" t="s">
        <v>137</v>
      </c>
      <c r="D6650">
        <v>1.581</v>
      </c>
      <c r="E6650">
        <v>506</v>
      </c>
      <c r="F6650" t="str">
        <f>HYPERLINK("https://www.google.com/maps/search/?api=1&amp;query=23.49069524,46.87436373", "View Map")</f>
        <v>View Map</v>
      </c>
    </row>
    <row r="6651" spans="1:7" x14ac:dyDescent="0.3">
      <c r="A6651" t="s">
        <v>12767</v>
      </c>
      <c r="B6651" t="s">
        <v>12768</v>
      </c>
      <c r="C6651" t="s">
        <v>291</v>
      </c>
      <c r="D6651">
        <v>1.581</v>
      </c>
      <c r="E6651">
        <v>506</v>
      </c>
      <c r="F6651" t="str">
        <f>HYPERLINK("https://www.google.com/maps/search/?api=1&amp;query=24.04520087,45.25002732", "View Map")</f>
        <v>View Map</v>
      </c>
      <c r="G6651" s="2">
        <v>0.45274294786719849</v>
      </c>
    </row>
    <row r="6652" spans="1:7" x14ac:dyDescent="0.3">
      <c r="A6652" t="s">
        <v>12769</v>
      </c>
      <c r="B6652" t="s">
        <v>12770</v>
      </c>
      <c r="C6652" t="s">
        <v>255</v>
      </c>
      <c r="D6652">
        <v>1.581</v>
      </c>
      <c r="E6652">
        <v>506</v>
      </c>
      <c r="F6652" t="str">
        <f>HYPERLINK("https://www.google.com/maps/search/?api=1&amp;query=25.33755721,44.53729697", "View Map")</f>
        <v>View Map</v>
      </c>
      <c r="G6652" s="2">
        <v>0.77121786816493765</v>
      </c>
    </row>
    <row r="6653" spans="1:7" x14ac:dyDescent="0.3">
      <c r="A6653" t="s">
        <v>10568</v>
      </c>
      <c r="B6653" t="s">
        <v>10569</v>
      </c>
      <c r="C6653" t="s">
        <v>364</v>
      </c>
      <c r="D6653">
        <v>1.581</v>
      </c>
      <c r="E6653">
        <v>506</v>
      </c>
      <c r="F6653" t="str">
        <f>HYPERLINK("https://www.google.com/maps/search/?api=1&amp;query=25.19588156,45.85584349", "View Map")</f>
        <v>View Map</v>
      </c>
    </row>
    <row r="6654" spans="1:7" x14ac:dyDescent="0.3">
      <c r="A6654" t="s">
        <v>12771</v>
      </c>
      <c r="B6654" t="s">
        <v>12772</v>
      </c>
      <c r="C6654" t="s">
        <v>8</v>
      </c>
      <c r="D6654">
        <v>1.58</v>
      </c>
      <c r="E6654">
        <v>505</v>
      </c>
      <c r="F6654" t="str">
        <f>HYPERLINK("https://www.google.com/maps/search/?api=1&amp;query=24.62411745,46.70105397", "View Map")</f>
        <v>View Map</v>
      </c>
    </row>
    <row r="6655" spans="1:7" x14ac:dyDescent="0.3">
      <c r="A6655" t="s">
        <v>12773</v>
      </c>
      <c r="B6655" t="s">
        <v>12774</v>
      </c>
      <c r="C6655" t="s">
        <v>8</v>
      </c>
      <c r="D6655">
        <v>1.58</v>
      </c>
      <c r="E6655">
        <v>506</v>
      </c>
      <c r="F6655" t="str">
        <f>HYPERLINK("https://www.google.com/maps/search/?api=1&amp;query=24.57362629,46.69565938", "View Map")</f>
        <v>View Map</v>
      </c>
    </row>
    <row r="6656" spans="1:7" x14ac:dyDescent="0.3">
      <c r="A6656" t="s">
        <v>12775</v>
      </c>
      <c r="B6656" t="s">
        <v>12776</v>
      </c>
      <c r="C6656" t="s">
        <v>286</v>
      </c>
      <c r="D6656">
        <v>1.58</v>
      </c>
      <c r="E6656">
        <v>506</v>
      </c>
      <c r="F6656" t="str">
        <f>HYPERLINK("https://www.google.com/maps/search/?api=1&amp;query=25.25038292,45.25803131", "View Map")</f>
        <v>View Map</v>
      </c>
    </row>
    <row r="6657" spans="1:7" x14ac:dyDescent="0.3">
      <c r="A6657" t="s">
        <v>9174</v>
      </c>
      <c r="B6657" t="s">
        <v>9175</v>
      </c>
      <c r="C6657" t="s">
        <v>270</v>
      </c>
      <c r="D6657">
        <v>1.58</v>
      </c>
      <c r="E6657">
        <v>506</v>
      </c>
      <c r="F6657" t="str">
        <f>HYPERLINK("https://www.google.com/maps/search/?api=1&amp;query=23.98962107,47.13213498", "View Map")</f>
        <v>View Map</v>
      </c>
    </row>
    <row r="6658" spans="1:7" x14ac:dyDescent="0.3">
      <c r="A6658" t="s">
        <v>46</v>
      </c>
      <c r="B6658" t="s">
        <v>12777</v>
      </c>
      <c r="C6658" t="s">
        <v>8</v>
      </c>
      <c r="D6658">
        <v>1.579</v>
      </c>
      <c r="E6658">
        <v>505</v>
      </c>
      <c r="F6658" t="str">
        <f>HYPERLINK("https://www.google.com/maps/search/?api=1&amp;query=24.69580933,46.76473194", "View Map")</f>
        <v>View Map</v>
      </c>
      <c r="G6658" s="2">
        <v>0.83708710529047603</v>
      </c>
    </row>
    <row r="6659" spans="1:7" x14ac:dyDescent="0.3">
      <c r="A6659" t="s">
        <v>2020</v>
      </c>
      <c r="B6659" t="s">
        <v>2021</v>
      </c>
      <c r="C6659" t="s">
        <v>8</v>
      </c>
      <c r="D6659">
        <v>1.579</v>
      </c>
      <c r="E6659">
        <v>505</v>
      </c>
      <c r="F6659" t="str">
        <f>HYPERLINK("https://www.google.com/maps/search/?api=1&amp;query=24.5558,46.5514", "View Map")</f>
        <v>View Map</v>
      </c>
    </row>
    <row r="6660" spans="1:7" x14ac:dyDescent="0.3">
      <c r="A6660" t="s">
        <v>12778</v>
      </c>
      <c r="B6660" t="s">
        <v>12779</v>
      </c>
      <c r="C6660" t="s">
        <v>296</v>
      </c>
      <c r="D6660">
        <v>1.579</v>
      </c>
      <c r="E6660">
        <v>505</v>
      </c>
      <c r="F6660" t="str">
        <f>HYPERLINK("https://www.google.com/maps/search/?api=1&amp;query=24.44779832,45.82856932", "View Map")</f>
        <v>View Map</v>
      </c>
      <c r="G6660" s="2">
        <v>0.85996438568021172</v>
      </c>
    </row>
    <row r="6661" spans="1:7" x14ac:dyDescent="0.3">
      <c r="A6661" t="s">
        <v>5038</v>
      </c>
      <c r="B6661" t="s">
        <v>5039</v>
      </c>
      <c r="C6661" t="s">
        <v>8</v>
      </c>
      <c r="D6661">
        <v>1.5780000000000001</v>
      </c>
      <c r="E6661">
        <v>505</v>
      </c>
      <c r="F6661" t="str">
        <f>HYPERLINK("https://www.google.com/maps/search/?api=1&amp;query=24.68819604,46.79910071", "View Map")</f>
        <v>View Map</v>
      </c>
      <c r="G6661" s="2">
        <v>0.17301791675840819</v>
      </c>
    </row>
    <row r="6662" spans="1:7" x14ac:dyDescent="0.3">
      <c r="A6662" t="s">
        <v>8194</v>
      </c>
      <c r="B6662" t="s">
        <v>8195</v>
      </c>
      <c r="C6662" t="s">
        <v>137</v>
      </c>
      <c r="D6662">
        <v>1.5780000000000001</v>
      </c>
      <c r="E6662">
        <v>505</v>
      </c>
      <c r="F6662" t="str">
        <f>HYPERLINK("https://www.google.com/maps/search/?api=1&amp;query=23.43246151,46.79009905", "View Map")</f>
        <v>View Map</v>
      </c>
    </row>
    <row r="6663" spans="1:7" x14ac:dyDescent="0.3">
      <c r="A6663" t="s">
        <v>12780</v>
      </c>
      <c r="B6663" t="s">
        <v>12781</v>
      </c>
      <c r="C6663" t="s">
        <v>255</v>
      </c>
      <c r="D6663">
        <v>1.5760000000000001</v>
      </c>
      <c r="E6663">
        <v>504</v>
      </c>
      <c r="F6663" t="str">
        <f>HYPERLINK("https://www.google.com/maps/search/?api=1&amp;query=24.49783659,44.37217785", "View Map")</f>
        <v>View Map</v>
      </c>
    </row>
    <row r="6664" spans="1:7" x14ac:dyDescent="0.3">
      <c r="A6664" t="s">
        <v>9541</v>
      </c>
      <c r="B6664" t="s">
        <v>9542</v>
      </c>
      <c r="C6664" t="s">
        <v>255</v>
      </c>
      <c r="D6664">
        <v>1.5760000000000001</v>
      </c>
      <c r="E6664">
        <v>504</v>
      </c>
      <c r="F6664" t="str">
        <f>HYPERLINK("https://www.google.com/maps/search/?api=1&amp;query=24.69088488,43.69553046", "View Map")</f>
        <v>View Map</v>
      </c>
      <c r="G6664" s="2">
        <v>0.44566679145117399</v>
      </c>
    </row>
    <row r="6665" spans="1:7" x14ac:dyDescent="0.3">
      <c r="A6665" t="s">
        <v>7197</v>
      </c>
      <c r="B6665" t="s">
        <v>7198</v>
      </c>
      <c r="C6665" t="s">
        <v>30</v>
      </c>
      <c r="D6665">
        <v>1.575</v>
      </c>
      <c r="E6665">
        <v>504</v>
      </c>
      <c r="F6665" t="str">
        <f>HYPERLINK("https://www.google.com/maps/search/?api=1&amp;query=24.16278977,47.34621904", "View Map")</f>
        <v>View Map</v>
      </c>
    </row>
    <row r="6666" spans="1:7" x14ac:dyDescent="0.3">
      <c r="A6666" t="s">
        <v>12782</v>
      </c>
      <c r="B6666" t="s">
        <v>12783</v>
      </c>
      <c r="C6666" t="s">
        <v>30</v>
      </c>
      <c r="D6666">
        <v>1.575</v>
      </c>
      <c r="E6666">
        <v>504</v>
      </c>
      <c r="F6666" t="str">
        <f>HYPERLINK("https://www.google.com/maps/search/?api=1&amp;query=24.19287957,47.38202594", "View Map")</f>
        <v>View Map</v>
      </c>
    </row>
    <row r="6667" spans="1:7" x14ac:dyDescent="0.3">
      <c r="A6667" t="s">
        <v>7834</v>
      </c>
      <c r="B6667" t="s">
        <v>7835</v>
      </c>
      <c r="C6667" t="s">
        <v>8</v>
      </c>
      <c r="D6667">
        <v>1.575</v>
      </c>
      <c r="E6667">
        <v>504</v>
      </c>
      <c r="F6667" t="str">
        <f>HYPERLINK("https://www.google.com/maps/search/?api=1&amp;query=24.78694088,46.8137289", "View Map")</f>
        <v>View Map</v>
      </c>
    </row>
    <row r="6668" spans="1:7" x14ac:dyDescent="0.3">
      <c r="A6668" t="s">
        <v>3433</v>
      </c>
      <c r="B6668" t="s">
        <v>12784</v>
      </c>
      <c r="C6668" t="s">
        <v>21</v>
      </c>
      <c r="D6668">
        <v>1.575</v>
      </c>
      <c r="E6668">
        <v>504</v>
      </c>
      <c r="F6668" t="str">
        <f>HYPERLINK("https://www.google.com/maps/search/?api=1&amp;query=26.29557123,44.81939294", "View Map")</f>
        <v>View Map</v>
      </c>
      <c r="G6668" s="2">
        <v>0.63507410269041709</v>
      </c>
    </row>
    <row r="6669" spans="1:7" x14ac:dyDescent="0.3">
      <c r="A6669" t="s">
        <v>12785</v>
      </c>
      <c r="B6669" t="s">
        <v>12786</v>
      </c>
      <c r="C6669" t="s">
        <v>16</v>
      </c>
      <c r="D6669">
        <v>1.5740000000000001</v>
      </c>
      <c r="E6669">
        <v>504</v>
      </c>
      <c r="F6669" t="str">
        <f>HYPERLINK("https://www.google.com/maps/search/?api=1&amp;query=23.98518504,42.47067286", "View Map")</f>
        <v>View Map</v>
      </c>
    </row>
    <row r="6670" spans="1:7" x14ac:dyDescent="0.3">
      <c r="A6670" t="s">
        <v>3164</v>
      </c>
      <c r="B6670" t="s">
        <v>12787</v>
      </c>
      <c r="C6670" t="s">
        <v>255</v>
      </c>
      <c r="D6670">
        <v>1.5740000000000001</v>
      </c>
      <c r="E6670">
        <v>504</v>
      </c>
      <c r="F6670" t="str">
        <f>HYPERLINK("https://www.google.com/maps/search/?api=1&amp;query=25.40020482,44.15474261", "View Map")</f>
        <v>View Map</v>
      </c>
      <c r="G6670" s="2">
        <v>0.41919268654630809</v>
      </c>
    </row>
    <row r="6671" spans="1:7" x14ac:dyDescent="0.3">
      <c r="A6671" t="s">
        <v>12788</v>
      </c>
      <c r="B6671" t="s">
        <v>12789</v>
      </c>
      <c r="C6671" t="s">
        <v>255</v>
      </c>
      <c r="D6671">
        <v>1.5740000000000001</v>
      </c>
      <c r="E6671">
        <v>504</v>
      </c>
      <c r="F6671" t="str">
        <f>HYPERLINK("https://www.google.com/maps/search/?api=1&amp;query=24.57617426,44.86113015", "View Map")</f>
        <v>View Map</v>
      </c>
    </row>
    <row r="6672" spans="1:7" x14ac:dyDescent="0.3">
      <c r="A6672" t="s">
        <v>12790</v>
      </c>
      <c r="B6672" t="s">
        <v>12791</v>
      </c>
      <c r="C6672" t="s">
        <v>137</v>
      </c>
      <c r="D6672">
        <v>1.573</v>
      </c>
      <c r="E6672">
        <v>503</v>
      </c>
      <c r="F6672" t="str">
        <f>HYPERLINK("https://www.google.com/maps/search/?api=1&amp;query=23.43782385,46.7905075", "View Map")</f>
        <v>View Map</v>
      </c>
      <c r="G6672" s="2">
        <v>0.49955055013956912</v>
      </c>
    </row>
    <row r="6673" spans="1:7" x14ac:dyDescent="0.3">
      <c r="A6673" t="s">
        <v>661</v>
      </c>
      <c r="B6673" t="s">
        <v>12792</v>
      </c>
      <c r="C6673" t="s">
        <v>214</v>
      </c>
      <c r="D6673">
        <v>1.573</v>
      </c>
      <c r="E6673">
        <v>503</v>
      </c>
      <c r="F6673" t="str">
        <f>HYPERLINK("https://www.google.com/maps/search/?api=1&amp;query=25.7066466,45.45057621", "View Map")</f>
        <v>View Map</v>
      </c>
      <c r="G6673" s="2">
        <v>0.54519516126847989</v>
      </c>
    </row>
    <row r="6674" spans="1:7" x14ac:dyDescent="0.3">
      <c r="A6674" t="s">
        <v>12793</v>
      </c>
      <c r="B6674" t="s">
        <v>12794</v>
      </c>
      <c r="C6674" t="s">
        <v>466</v>
      </c>
      <c r="D6674">
        <v>1.573</v>
      </c>
      <c r="E6674">
        <v>503</v>
      </c>
      <c r="F6674" t="str">
        <f>HYPERLINK("https://www.google.com/maps/search/?api=1&amp;query=24.61096041,46.10197157", "View Map")</f>
        <v>View Map</v>
      </c>
    </row>
    <row r="6675" spans="1:7" x14ac:dyDescent="0.3">
      <c r="A6675" t="s">
        <v>12795</v>
      </c>
      <c r="B6675" t="s">
        <v>12796</v>
      </c>
      <c r="C6675" t="s">
        <v>77</v>
      </c>
      <c r="D6675">
        <v>1.5720000000000001</v>
      </c>
      <c r="E6675">
        <v>503</v>
      </c>
      <c r="F6675" t="str">
        <f>HYPERLINK("https://www.google.com/maps/search/?api=1&amp;query=22.09382684,46.61094803", "View Map")</f>
        <v>View Map</v>
      </c>
      <c r="G6675" s="2">
        <v>0.68255301599919616</v>
      </c>
    </row>
    <row r="6676" spans="1:7" x14ac:dyDescent="0.3">
      <c r="A6676" t="s">
        <v>10992</v>
      </c>
      <c r="B6676" t="s">
        <v>10993</v>
      </c>
      <c r="C6676" t="s">
        <v>466</v>
      </c>
      <c r="D6676">
        <v>1.571</v>
      </c>
      <c r="E6676">
        <v>503</v>
      </c>
      <c r="F6676" t="str">
        <f>HYPERLINK("https://www.google.com/maps/search/?api=1&amp;query=24.60171601,46.13021811", "View Map")</f>
        <v>View Map</v>
      </c>
    </row>
    <row r="6677" spans="1:7" x14ac:dyDescent="0.3">
      <c r="A6677" t="s">
        <v>644</v>
      </c>
      <c r="B6677" t="s">
        <v>6260</v>
      </c>
      <c r="C6677" t="s">
        <v>646</v>
      </c>
      <c r="D6677">
        <v>1.571</v>
      </c>
      <c r="E6677">
        <v>503</v>
      </c>
      <c r="F6677" t="str">
        <f>HYPERLINK("https://www.google.com/maps/search/?api=1&amp;query=20.47689425,45.58722793", "View Map")</f>
        <v>View Map</v>
      </c>
    </row>
    <row r="6678" spans="1:7" x14ac:dyDescent="0.3">
      <c r="A6678" t="s">
        <v>2306</v>
      </c>
      <c r="B6678" t="s">
        <v>8720</v>
      </c>
      <c r="C6678" t="s">
        <v>8</v>
      </c>
      <c r="D6678">
        <v>1.571</v>
      </c>
      <c r="E6678">
        <v>503</v>
      </c>
      <c r="F6678" t="str">
        <f>HYPERLINK("https://www.google.com/maps/search/?api=1&amp;query=24.69058651,46.79779367", "View Map")</f>
        <v>View Map</v>
      </c>
    </row>
    <row r="6679" spans="1:7" x14ac:dyDescent="0.3">
      <c r="A6679" t="s">
        <v>12797</v>
      </c>
      <c r="B6679" t="s">
        <v>12798</v>
      </c>
      <c r="C6679" t="s">
        <v>77</v>
      </c>
      <c r="D6679">
        <v>1.571</v>
      </c>
      <c r="E6679">
        <v>503</v>
      </c>
      <c r="F6679" t="str">
        <f>HYPERLINK("https://www.google.com/maps/search/?api=1&amp;query=22.21149575,46.6887043", "View Map")</f>
        <v>View Map</v>
      </c>
      <c r="G6679" s="2">
        <v>0.64529492256842691</v>
      </c>
    </row>
    <row r="6680" spans="1:7" x14ac:dyDescent="0.3">
      <c r="A6680" t="s">
        <v>7266</v>
      </c>
      <c r="B6680" t="s">
        <v>10033</v>
      </c>
      <c r="C6680" t="s">
        <v>8</v>
      </c>
      <c r="D6680">
        <v>1.57</v>
      </c>
      <c r="E6680">
        <v>502</v>
      </c>
      <c r="F6680" t="str">
        <f>HYPERLINK("https://www.google.com/maps/search/?api=1&amp;query=24.68857769,46.65314299", "View Map")</f>
        <v>View Map</v>
      </c>
    </row>
    <row r="6681" spans="1:7" x14ac:dyDescent="0.3">
      <c r="A6681" t="s">
        <v>7691</v>
      </c>
      <c r="B6681" t="s">
        <v>12799</v>
      </c>
      <c r="C6681" t="s">
        <v>8</v>
      </c>
      <c r="D6681">
        <v>1.57</v>
      </c>
      <c r="E6681">
        <v>503</v>
      </c>
      <c r="F6681" t="str">
        <f>HYPERLINK("https://www.google.com/maps/search/?api=1&amp;query=24.72915702,46.66057523", "View Map")</f>
        <v>View Map</v>
      </c>
    </row>
    <row r="6682" spans="1:7" x14ac:dyDescent="0.3">
      <c r="A6682" t="s">
        <v>704</v>
      </c>
      <c r="B6682" t="s">
        <v>12800</v>
      </c>
      <c r="C6682" t="s">
        <v>8</v>
      </c>
      <c r="D6682">
        <v>1.569</v>
      </c>
      <c r="E6682">
        <v>502</v>
      </c>
      <c r="F6682" t="str">
        <f>HYPERLINK("https://www.google.com/maps/search/?api=1&amp;query=24.74695602,46.83085874", "View Map")</f>
        <v>View Map</v>
      </c>
    </row>
    <row r="6683" spans="1:7" x14ac:dyDescent="0.3">
      <c r="A6683" t="s">
        <v>4412</v>
      </c>
      <c r="B6683" t="s">
        <v>11235</v>
      </c>
      <c r="C6683" t="s">
        <v>16</v>
      </c>
      <c r="D6683">
        <v>1.569</v>
      </c>
      <c r="E6683">
        <v>502</v>
      </c>
      <c r="F6683" t="str">
        <f>HYPERLINK("https://www.google.com/maps/search/?api=1&amp;query=23.9033538,42.89162467", "View Map")</f>
        <v>View Map</v>
      </c>
      <c r="G6683" s="2">
        <v>0.53054161908627362</v>
      </c>
    </row>
    <row r="6684" spans="1:7" x14ac:dyDescent="0.3">
      <c r="A6684" t="s">
        <v>6124</v>
      </c>
      <c r="B6684" t="s">
        <v>6125</v>
      </c>
      <c r="C6684" t="s">
        <v>30</v>
      </c>
      <c r="D6684">
        <v>1.5680000000000001</v>
      </c>
      <c r="E6684">
        <v>502</v>
      </c>
      <c r="F6684" t="str">
        <f>HYPERLINK("https://www.google.com/maps/search/?api=1&amp;query=24.15109138,47.36192047", "View Map")</f>
        <v>View Map</v>
      </c>
    </row>
    <row r="6685" spans="1:7" x14ac:dyDescent="0.3">
      <c r="A6685" t="s">
        <v>12801</v>
      </c>
      <c r="B6685" t="s">
        <v>12802</v>
      </c>
      <c r="C6685" t="s">
        <v>214</v>
      </c>
      <c r="D6685">
        <v>1.5649999999999999</v>
      </c>
      <c r="E6685">
        <v>501</v>
      </c>
      <c r="F6685" t="str">
        <f>HYPERLINK("https://www.google.com/maps/search/?api=1&amp;query=26.41902316,45.17007726", "View Map")</f>
        <v>View Map</v>
      </c>
      <c r="G6685" s="2">
        <v>0.52821207509887502</v>
      </c>
    </row>
    <row r="6686" spans="1:7" x14ac:dyDescent="0.3">
      <c r="A6686" t="s">
        <v>12803</v>
      </c>
      <c r="B6686" t="s">
        <v>12804</v>
      </c>
      <c r="C6686" t="s">
        <v>255</v>
      </c>
      <c r="D6686">
        <v>1.5649999999999999</v>
      </c>
      <c r="E6686">
        <v>501</v>
      </c>
      <c r="F6686" t="str">
        <f>HYPERLINK("https://www.google.com/maps/search/?api=1&amp;query=24.52357615,43.90147172", "View Map")</f>
        <v>View Map</v>
      </c>
    </row>
    <row r="6687" spans="1:7" x14ac:dyDescent="0.3">
      <c r="A6687" t="s">
        <v>10465</v>
      </c>
      <c r="B6687" t="s">
        <v>10466</v>
      </c>
      <c r="C6687" t="s">
        <v>8</v>
      </c>
      <c r="D6687">
        <v>1.5649999999999999</v>
      </c>
      <c r="E6687">
        <v>501</v>
      </c>
      <c r="F6687" t="str">
        <f>HYPERLINK("https://www.google.com/maps/search/?api=1&amp;query=24.58263047,46.57392003", "View Map")</f>
        <v>View Map</v>
      </c>
    </row>
    <row r="6688" spans="1:7" x14ac:dyDescent="0.3">
      <c r="A6688" t="s">
        <v>12805</v>
      </c>
      <c r="B6688" t="s">
        <v>12806</v>
      </c>
      <c r="C6688" t="s">
        <v>699</v>
      </c>
      <c r="D6688">
        <v>1.5640000000000001</v>
      </c>
      <c r="E6688">
        <v>501</v>
      </c>
      <c r="F6688" t="str">
        <f>HYPERLINK("https://www.google.com/maps/search/?api=1&amp;query=25.16832693,45.39285047", "View Map")</f>
        <v>View Map</v>
      </c>
      <c r="G6688" s="2">
        <v>0.74683741734950226</v>
      </c>
    </row>
    <row r="6689" spans="1:7" x14ac:dyDescent="0.3">
      <c r="A6689" t="s">
        <v>12807</v>
      </c>
      <c r="B6689" t="s">
        <v>12808</v>
      </c>
      <c r="C6689" t="s">
        <v>291</v>
      </c>
      <c r="D6689">
        <v>1.5640000000000001</v>
      </c>
      <c r="E6689">
        <v>500</v>
      </c>
      <c r="F6689" t="str">
        <f>HYPERLINK("https://www.google.com/maps/search/?api=1&amp;query=24.26467152,45.00632585", "View Map")</f>
        <v>View Map</v>
      </c>
      <c r="G6689" s="2">
        <v>0.94162655048019839</v>
      </c>
    </row>
    <row r="6690" spans="1:7" x14ac:dyDescent="0.3">
      <c r="A6690" t="s">
        <v>46</v>
      </c>
      <c r="B6690" t="s">
        <v>10967</v>
      </c>
      <c r="C6690" t="s">
        <v>8</v>
      </c>
      <c r="D6690">
        <v>1.5640000000000001</v>
      </c>
      <c r="E6690">
        <v>501</v>
      </c>
      <c r="F6690" t="str">
        <f>HYPERLINK("https://www.google.com/maps/search/?api=1&amp;query=24.65657724,46.68381828", "View Map")</f>
        <v>View Map</v>
      </c>
    </row>
    <row r="6691" spans="1:7" x14ac:dyDescent="0.3">
      <c r="A6691" t="s">
        <v>3635</v>
      </c>
      <c r="B6691" t="s">
        <v>3636</v>
      </c>
      <c r="C6691" t="s">
        <v>646</v>
      </c>
      <c r="D6691">
        <v>1.5629999999999999</v>
      </c>
      <c r="E6691">
        <v>500</v>
      </c>
      <c r="F6691" t="str">
        <f>HYPERLINK("https://www.google.com/maps/search/?api=1&amp;query=20.45229655,45.57151859", "View Map")</f>
        <v>View Map</v>
      </c>
      <c r="G6691" s="2">
        <v>0.20777273297311369</v>
      </c>
    </row>
    <row r="6692" spans="1:7" x14ac:dyDescent="0.3">
      <c r="A6692" t="s">
        <v>12809</v>
      </c>
      <c r="B6692" t="s">
        <v>12810</v>
      </c>
      <c r="C6692" t="s">
        <v>8</v>
      </c>
      <c r="D6692">
        <v>1.5620000000000001</v>
      </c>
      <c r="E6692">
        <v>500</v>
      </c>
      <c r="F6692" t="str">
        <f>HYPERLINK("https://www.google.com/maps/search/?api=1&amp;query=24.713083,46.670166", "View Map")</f>
        <v>View Map</v>
      </c>
    </row>
    <row r="6693" spans="1:7" x14ac:dyDescent="0.3">
      <c r="A6693" t="s">
        <v>9183</v>
      </c>
      <c r="B6693" t="s">
        <v>9184</v>
      </c>
      <c r="C6693" t="s">
        <v>738</v>
      </c>
      <c r="D6693">
        <v>1.5620000000000001</v>
      </c>
      <c r="E6693">
        <v>500</v>
      </c>
      <c r="F6693" t="str">
        <f>HYPERLINK("https://www.google.com/maps/search/?api=1&amp;query=25.10993732,46.10069596", "View Map")</f>
        <v>View Map</v>
      </c>
    </row>
    <row r="6694" spans="1:7" x14ac:dyDescent="0.3">
      <c r="A6694" t="s">
        <v>46</v>
      </c>
      <c r="B6694" t="s">
        <v>12811</v>
      </c>
      <c r="C6694" t="s">
        <v>8</v>
      </c>
      <c r="D6694">
        <v>1.5609999999999999</v>
      </c>
      <c r="E6694">
        <v>500</v>
      </c>
      <c r="F6694" t="str">
        <f>HYPERLINK("https://www.google.com/maps/search/?api=1&amp;query=24.8989,46.6278", "View Map")</f>
        <v>View Map</v>
      </c>
    </row>
    <row r="6695" spans="1:7" x14ac:dyDescent="0.3">
      <c r="A6695" t="s">
        <v>717</v>
      </c>
      <c r="B6695" t="s">
        <v>4838</v>
      </c>
      <c r="C6695" t="s">
        <v>255</v>
      </c>
      <c r="D6695">
        <v>1.5609999999999999</v>
      </c>
      <c r="E6695">
        <v>499</v>
      </c>
      <c r="F6695" t="str">
        <f>HYPERLINK("https://www.google.com/maps/search/?api=1&amp;query=24.5520837,44.42524255", "View Map")</f>
        <v>View Map</v>
      </c>
    </row>
    <row r="6696" spans="1:7" x14ac:dyDescent="0.3">
      <c r="A6696" t="s">
        <v>12812</v>
      </c>
      <c r="B6696" t="s">
        <v>12813</v>
      </c>
      <c r="C6696" t="s">
        <v>270</v>
      </c>
      <c r="D6696">
        <v>1.5609999999999999</v>
      </c>
      <c r="E6696">
        <v>499</v>
      </c>
      <c r="F6696" t="str">
        <f>HYPERLINK("https://www.google.com/maps/search/?api=1&amp;query=24.00857463,47.13561811", "View Map")</f>
        <v>View Map</v>
      </c>
    </row>
    <row r="6697" spans="1:7" x14ac:dyDescent="0.3">
      <c r="A6697" t="s">
        <v>12814</v>
      </c>
      <c r="B6697" t="s">
        <v>12815</v>
      </c>
      <c r="C6697" t="s">
        <v>8</v>
      </c>
      <c r="D6697">
        <v>1.56</v>
      </c>
      <c r="E6697">
        <v>499</v>
      </c>
      <c r="F6697" t="str">
        <f>HYPERLINK("https://www.google.com/maps/search/?api=1&amp;query=24.56704571,46.73423413", "View Map")</f>
        <v>View Map</v>
      </c>
      <c r="G6697" s="2">
        <v>0.4213578969532904</v>
      </c>
    </row>
    <row r="6698" spans="1:7" x14ac:dyDescent="0.3">
      <c r="A6698" t="s">
        <v>1262</v>
      </c>
      <c r="B6698" t="s">
        <v>2850</v>
      </c>
      <c r="C6698" t="s">
        <v>8</v>
      </c>
      <c r="D6698">
        <v>1.56</v>
      </c>
      <c r="E6698">
        <v>499</v>
      </c>
      <c r="F6698" t="str">
        <f>HYPERLINK("https://www.google.com/maps/search/?api=1&amp;query=24.76831011,46.81467673", "View Map")</f>
        <v>View Map</v>
      </c>
      <c r="G6698" s="2">
        <v>0.1091865315325754</v>
      </c>
    </row>
    <row r="6699" spans="1:7" x14ac:dyDescent="0.3">
      <c r="A6699" t="s">
        <v>12816</v>
      </c>
      <c r="B6699" t="s">
        <v>12817</v>
      </c>
      <c r="C6699" t="s">
        <v>8</v>
      </c>
      <c r="D6699">
        <v>1.56</v>
      </c>
      <c r="E6699">
        <v>499</v>
      </c>
      <c r="F6699" t="str">
        <f>HYPERLINK("https://www.google.com/maps/search/?api=1&amp;query=24.73897133,46.83123421", "View Map")</f>
        <v>View Map</v>
      </c>
    </row>
    <row r="6700" spans="1:7" x14ac:dyDescent="0.3">
      <c r="A6700" t="s">
        <v>12818</v>
      </c>
      <c r="B6700" t="s">
        <v>12819</v>
      </c>
      <c r="C6700" t="s">
        <v>214</v>
      </c>
      <c r="D6700">
        <v>1.5589999999999999</v>
      </c>
      <c r="E6700">
        <v>499</v>
      </c>
      <c r="F6700" t="str">
        <f>HYPERLINK("https://www.google.com/maps/search/?api=1&amp;query=26.50971883,45.34348805", "View Map")</f>
        <v>View Map</v>
      </c>
    </row>
    <row r="6701" spans="1:7" x14ac:dyDescent="0.3">
      <c r="A6701" t="s">
        <v>1273</v>
      </c>
      <c r="B6701" t="s">
        <v>4916</v>
      </c>
      <c r="C6701" t="s">
        <v>241</v>
      </c>
      <c r="D6701">
        <v>1.5589999999999999</v>
      </c>
      <c r="E6701">
        <v>499</v>
      </c>
      <c r="F6701" t="str">
        <f>HYPERLINK("https://www.google.com/maps/search/?api=1&amp;query=20.4503241,44.8405842", "View Map")</f>
        <v>View Map</v>
      </c>
      <c r="G6701" s="2">
        <v>0.2136352563715059</v>
      </c>
    </row>
    <row r="6702" spans="1:7" x14ac:dyDescent="0.3">
      <c r="A6702" t="s">
        <v>7046</v>
      </c>
      <c r="B6702" t="s">
        <v>7047</v>
      </c>
      <c r="C6702" t="s">
        <v>8</v>
      </c>
      <c r="D6702">
        <v>1.5589999999999999</v>
      </c>
      <c r="E6702">
        <v>499</v>
      </c>
      <c r="F6702" t="str">
        <f>HYPERLINK("https://www.google.com/maps/search/?api=1&amp;query=24.68751392,46.80119424", "View Map")</f>
        <v>View Map</v>
      </c>
    </row>
    <row r="6703" spans="1:7" x14ac:dyDescent="0.3">
      <c r="A6703" t="s">
        <v>12820</v>
      </c>
      <c r="B6703" t="s">
        <v>12821</v>
      </c>
      <c r="C6703" t="s">
        <v>77</v>
      </c>
      <c r="D6703">
        <v>1.5569999999999999</v>
      </c>
      <c r="E6703">
        <v>498</v>
      </c>
      <c r="F6703" t="str">
        <f>HYPERLINK("https://www.google.com/maps/search/?api=1&amp;query=22.01813805,46.5646082", "View Map")</f>
        <v>View Map</v>
      </c>
      <c r="G6703" s="2">
        <v>0.9372610608449381</v>
      </c>
    </row>
    <row r="6704" spans="1:7" x14ac:dyDescent="0.3">
      <c r="A6704" t="s">
        <v>12822</v>
      </c>
      <c r="B6704" t="s">
        <v>12823</v>
      </c>
      <c r="C6704" t="s">
        <v>214</v>
      </c>
      <c r="D6704">
        <v>1.5569999999999999</v>
      </c>
      <c r="E6704">
        <v>498</v>
      </c>
      <c r="F6704" t="str">
        <f>HYPERLINK("https://www.google.com/maps/search/?api=1&amp;query=25.90722582,45.35088609", "View Map")</f>
        <v>View Map</v>
      </c>
    </row>
    <row r="6705" spans="1:7" x14ac:dyDescent="0.3">
      <c r="A6705" t="s">
        <v>1273</v>
      </c>
      <c r="B6705" t="s">
        <v>4231</v>
      </c>
      <c r="C6705" t="s">
        <v>241</v>
      </c>
      <c r="D6705">
        <v>1.5569999999999999</v>
      </c>
      <c r="E6705">
        <v>498</v>
      </c>
      <c r="F6705" t="str">
        <f>HYPERLINK("https://www.google.com/maps/search/?api=1&amp;query=20.45801339,44.86060672", "View Map")</f>
        <v>View Map</v>
      </c>
      <c r="G6705" s="2">
        <v>0.24150980468015831</v>
      </c>
    </row>
    <row r="6706" spans="1:7" x14ac:dyDescent="0.3">
      <c r="A6706" t="s">
        <v>146</v>
      </c>
      <c r="B6706" t="s">
        <v>12824</v>
      </c>
      <c r="C6706" t="s">
        <v>8</v>
      </c>
      <c r="D6706">
        <v>1.5569999999999999</v>
      </c>
      <c r="E6706">
        <v>498</v>
      </c>
      <c r="F6706" t="str">
        <f>HYPERLINK("https://www.google.com/maps/search/?api=1&amp;query=24.5648488,46.60823283", "View Map")</f>
        <v>View Map</v>
      </c>
    </row>
    <row r="6707" spans="1:7" x14ac:dyDescent="0.3">
      <c r="A6707" t="s">
        <v>146</v>
      </c>
      <c r="B6707" t="s">
        <v>12825</v>
      </c>
      <c r="C6707" t="s">
        <v>8</v>
      </c>
      <c r="D6707">
        <v>1.5569999999999999</v>
      </c>
      <c r="E6707">
        <v>498</v>
      </c>
      <c r="F6707" t="str">
        <f>HYPERLINK("https://www.google.com/maps/search/?api=1&amp;query=24.57001706,46.53349811", "View Map")</f>
        <v>View Map</v>
      </c>
    </row>
    <row r="6708" spans="1:7" x14ac:dyDescent="0.3">
      <c r="A6708" t="s">
        <v>12826</v>
      </c>
      <c r="B6708" t="s">
        <v>12827</v>
      </c>
      <c r="C6708" t="s">
        <v>8</v>
      </c>
      <c r="D6708">
        <v>1.556</v>
      </c>
      <c r="E6708">
        <v>498</v>
      </c>
      <c r="F6708" t="str">
        <f>HYPERLINK("https://www.google.com/maps/search/?api=1&amp;query=24.52896974,46.64510287", "View Map")</f>
        <v>View Map</v>
      </c>
    </row>
    <row r="6709" spans="1:7" x14ac:dyDescent="0.3">
      <c r="A6709" t="s">
        <v>8337</v>
      </c>
      <c r="B6709" t="s">
        <v>8338</v>
      </c>
      <c r="C6709" t="s">
        <v>8</v>
      </c>
      <c r="D6709">
        <v>1.556</v>
      </c>
      <c r="E6709">
        <v>498</v>
      </c>
      <c r="F6709" t="str">
        <f>HYPERLINK("https://www.google.com/maps/search/?api=1&amp;query=24.6321674,46.73309895", "View Map")</f>
        <v>View Map</v>
      </c>
    </row>
    <row r="6710" spans="1:7" x14ac:dyDescent="0.3">
      <c r="A6710" t="s">
        <v>12828</v>
      </c>
      <c r="B6710" t="s">
        <v>12829</v>
      </c>
      <c r="C6710" t="s">
        <v>8</v>
      </c>
      <c r="D6710">
        <v>1.556</v>
      </c>
      <c r="E6710">
        <v>498</v>
      </c>
      <c r="F6710" t="str">
        <f>HYPERLINK("https://www.google.com/maps/search/?api=1&amp;query=24.58500951,46.59607608", "View Map")</f>
        <v>View Map</v>
      </c>
    </row>
    <row r="6711" spans="1:7" x14ac:dyDescent="0.3">
      <c r="A6711" t="s">
        <v>7874</v>
      </c>
      <c r="B6711" t="s">
        <v>7875</v>
      </c>
      <c r="C6711" t="s">
        <v>21</v>
      </c>
      <c r="D6711">
        <v>1.556</v>
      </c>
      <c r="E6711">
        <v>498</v>
      </c>
      <c r="F6711" t="str">
        <f>HYPERLINK("https://www.google.com/maps/search/?api=1&amp;query=26.31086632,44.79312545", "View Map")</f>
        <v>View Map</v>
      </c>
      <c r="G6711" s="2">
        <v>0.29956782275901572</v>
      </c>
    </row>
    <row r="6712" spans="1:7" x14ac:dyDescent="0.3">
      <c r="A6712" t="s">
        <v>12830</v>
      </c>
      <c r="B6712" t="s">
        <v>12831</v>
      </c>
      <c r="C6712" t="s">
        <v>8</v>
      </c>
      <c r="D6712">
        <v>1.5549999999999999</v>
      </c>
      <c r="E6712">
        <v>497</v>
      </c>
      <c r="F6712" t="str">
        <f>HYPERLINK("https://www.google.com/maps/search/?api=1&amp;query=24.6961125,46.67294261", "View Map")</f>
        <v>View Map</v>
      </c>
    </row>
    <row r="6713" spans="1:7" x14ac:dyDescent="0.3">
      <c r="A6713" t="s">
        <v>12832</v>
      </c>
      <c r="B6713" t="s">
        <v>12833</v>
      </c>
      <c r="C6713" t="s">
        <v>8</v>
      </c>
      <c r="D6713">
        <v>1.5549999999999999</v>
      </c>
      <c r="E6713">
        <v>498</v>
      </c>
      <c r="F6713" t="str">
        <f>HYPERLINK("https://www.google.com/maps/search/?api=1&amp;query=24.67912658,46.75334303", "View Map")</f>
        <v>View Map</v>
      </c>
    </row>
    <row r="6714" spans="1:7" x14ac:dyDescent="0.3">
      <c r="A6714" t="s">
        <v>12834</v>
      </c>
      <c r="B6714" t="s">
        <v>12835</v>
      </c>
      <c r="C6714" t="s">
        <v>55</v>
      </c>
      <c r="D6714">
        <v>1.5549999999999999</v>
      </c>
      <c r="E6714">
        <v>498</v>
      </c>
      <c r="F6714" t="str">
        <f>HYPERLINK("https://www.google.com/maps/search/?api=1&amp;query=24.7422019,46.5796673", "View Map")</f>
        <v>View Map</v>
      </c>
    </row>
    <row r="6715" spans="1:7" x14ac:dyDescent="0.3">
      <c r="A6715" t="s">
        <v>146</v>
      </c>
      <c r="B6715" t="s">
        <v>10357</v>
      </c>
      <c r="C6715" t="s">
        <v>8</v>
      </c>
      <c r="D6715">
        <v>1.554</v>
      </c>
      <c r="E6715">
        <v>497</v>
      </c>
      <c r="F6715" t="str">
        <f>HYPERLINK("https://www.google.com/maps/search/?api=1&amp;query=24.56369751,46.55344939", "View Map")</f>
        <v>View Map</v>
      </c>
    </row>
    <row r="6716" spans="1:7" x14ac:dyDescent="0.3">
      <c r="A6716" t="s">
        <v>22</v>
      </c>
      <c r="B6716" t="s">
        <v>12836</v>
      </c>
      <c r="C6716" t="s">
        <v>8</v>
      </c>
      <c r="D6716">
        <v>1.554</v>
      </c>
      <c r="E6716">
        <v>497</v>
      </c>
      <c r="F6716" t="str">
        <f>HYPERLINK("https://www.google.com/maps/search/?api=1&amp;query=24.74829944,46.82654535", "View Map")</f>
        <v>View Map</v>
      </c>
    </row>
    <row r="6717" spans="1:7" x14ac:dyDescent="0.3">
      <c r="A6717" t="s">
        <v>1273</v>
      </c>
      <c r="B6717" t="s">
        <v>12837</v>
      </c>
      <c r="C6717" t="s">
        <v>241</v>
      </c>
      <c r="D6717">
        <v>1.554</v>
      </c>
      <c r="E6717">
        <v>497</v>
      </c>
      <c r="F6717" t="str">
        <f>HYPERLINK("https://www.google.com/maps/search/?api=1&amp;query=20.46466599,44.81197286", "View Map")</f>
        <v>View Map</v>
      </c>
    </row>
    <row r="6718" spans="1:7" x14ac:dyDescent="0.3">
      <c r="A6718" t="s">
        <v>12838</v>
      </c>
      <c r="B6718" t="s">
        <v>12839</v>
      </c>
      <c r="C6718" t="s">
        <v>16</v>
      </c>
      <c r="D6718">
        <v>1.554</v>
      </c>
      <c r="E6718">
        <v>497</v>
      </c>
      <c r="F6718" t="str">
        <f>HYPERLINK("https://www.google.com/maps/search/?api=1&amp;query=23.88693493,42.88246885", "View Map")</f>
        <v>View Map</v>
      </c>
    </row>
    <row r="6719" spans="1:7" x14ac:dyDescent="0.3">
      <c r="A6719" t="s">
        <v>12840</v>
      </c>
      <c r="B6719" t="s">
        <v>12841</v>
      </c>
      <c r="C6719" t="s">
        <v>255</v>
      </c>
      <c r="D6719">
        <v>1.5529999999999999</v>
      </c>
      <c r="E6719">
        <v>497</v>
      </c>
      <c r="F6719" t="str">
        <f>HYPERLINK("https://www.google.com/maps/search/?api=1&amp;query=24.53215614,44.4175065", "View Map")</f>
        <v>View Map</v>
      </c>
      <c r="G6719" s="2">
        <v>0.57126671412905206</v>
      </c>
    </row>
    <row r="6720" spans="1:7" x14ac:dyDescent="0.3">
      <c r="A6720" t="s">
        <v>12842</v>
      </c>
      <c r="B6720" t="s">
        <v>12843</v>
      </c>
      <c r="C6720" t="s">
        <v>291</v>
      </c>
      <c r="D6720">
        <v>1.5529999999999999</v>
      </c>
      <c r="E6720">
        <v>497</v>
      </c>
      <c r="F6720" t="str">
        <f>HYPERLINK("https://www.google.com/maps/search/?api=1&amp;query=23.87393817,45.35540339", "View Map")</f>
        <v>View Map</v>
      </c>
      <c r="G6720" s="2">
        <v>0.54784674770649011</v>
      </c>
    </row>
    <row r="6721" spans="1:7" x14ac:dyDescent="0.3">
      <c r="A6721" t="s">
        <v>12844</v>
      </c>
      <c r="B6721" t="s">
        <v>12845</v>
      </c>
      <c r="C6721" t="s">
        <v>30</v>
      </c>
      <c r="D6721">
        <v>1.5529999999999999</v>
      </c>
      <c r="E6721">
        <v>497</v>
      </c>
      <c r="F6721" t="str">
        <f>HYPERLINK("https://www.google.com/maps/search/?api=1&amp;query=24.1467733,47.30826479", "View Map")</f>
        <v>View Map</v>
      </c>
    </row>
    <row r="6722" spans="1:7" x14ac:dyDescent="0.3">
      <c r="A6722" t="s">
        <v>9700</v>
      </c>
      <c r="B6722" t="s">
        <v>9701</v>
      </c>
      <c r="C6722" t="s">
        <v>8</v>
      </c>
      <c r="D6722">
        <v>1.5529999999999999</v>
      </c>
      <c r="E6722">
        <v>497</v>
      </c>
      <c r="F6722" t="str">
        <f>HYPERLINK("https://www.google.com/maps/search/?api=1&amp;query=24.76533818,46.79683584", "View Map")</f>
        <v>View Map</v>
      </c>
    </row>
    <row r="6723" spans="1:7" x14ac:dyDescent="0.3">
      <c r="A6723" t="s">
        <v>12846</v>
      </c>
      <c r="B6723" t="s">
        <v>12847</v>
      </c>
      <c r="C6723" t="s">
        <v>442</v>
      </c>
      <c r="D6723">
        <v>1.552</v>
      </c>
      <c r="E6723">
        <v>497</v>
      </c>
      <c r="F6723" t="str">
        <f>HYPERLINK("https://www.google.com/maps/search/?api=1&amp;query=23.61752794,46.64003548", "View Map")</f>
        <v>View Map</v>
      </c>
      <c r="G6723" s="2">
        <v>0.73326906403239789</v>
      </c>
    </row>
    <row r="6724" spans="1:7" x14ac:dyDescent="0.3">
      <c r="A6724" t="s">
        <v>10659</v>
      </c>
      <c r="B6724" t="s">
        <v>10660</v>
      </c>
      <c r="C6724" t="s">
        <v>255</v>
      </c>
      <c r="D6724">
        <v>1.552</v>
      </c>
      <c r="E6724">
        <v>497</v>
      </c>
      <c r="F6724" t="str">
        <f>HYPERLINK("https://www.google.com/maps/search/?api=1&amp;query=24.5388225,44.28209285", "View Map")</f>
        <v>View Map</v>
      </c>
      <c r="G6724" s="2">
        <v>0.92260966638436581</v>
      </c>
    </row>
    <row r="6725" spans="1:7" x14ac:dyDescent="0.3">
      <c r="A6725" t="s">
        <v>146</v>
      </c>
      <c r="B6725" t="s">
        <v>12848</v>
      </c>
      <c r="C6725" t="s">
        <v>820</v>
      </c>
      <c r="D6725">
        <v>1.552</v>
      </c>
      <c r="E6725">
        <v>497</v>
      </c>
      <c r="F6725" t="str">
        <f>HYPERLINK("https://www.google.com/maps/search/?api=1&amp;query=0.0,0.0", "View Map")</f>
        <v>View Map</v>
      </c>
    </row>
    <row r="6726" spans="1:7" x14ac:dyDescent="0.3">
      <c r="A6726" t="s">
        <v>146</v>
      </c>
      <c r="B6726" t="s">
        <v>12849</v>
      </c>
      <c r="C6726" t="s">
        <v>8</v>
      </c>
      <c r="D6726">
        <v>1.552</v>
      </c>
      <c r="E6726">
        <v>497</v>
      </c>
      <c r="F6726" t="str">
        <f>HYPERLINK("https://www.google.com/maps/search/?api=1&amp;query=24.56925677,46.55913179", "View Map")</f>
        <v>View Map</v>
      </c>
    </row>
    <row r="6727" spans="1:7" x14ac:dyDescent="0.3">
      <c r="A6727" t="s">
        <v>963</v>
      </c>
      <c r="B6727" t="s">
        <v>12850</v>
      </c>
      <c r="C6727" t="s">
        <v>241</v>
      </c>
      <c r="D6727">
        <v>1.55</v>
      </c>
      <c r="E6727">
        <v>496</v>
      </c>
      <c r="F6727" t="str">
        <f>HYPERLINK("https://www.google.com/maps/search/?api=1&amp;query=20.48979473,44.7724919", "View Map")</f>
        <v>View Map</v>
      </c>
      <c r="G6727" s="2">
        <v>0.51814131122136975</v>
      </c>
    </row>
    <row r="6728" spans="1:7" x14ac:dyDescent="0.3">
      <c r="A6728" t="s">
        <v>12851</v>
      </c>
      <c r="B6728" t="s">
        <v>12852</v>
      </c>
      <c r="C6728" t="s">
        <v>738</v>
      </c>
      <c r="D6728">
        <v>1.5489999999999999</v>
      </c>
      <c r="E6728">
        <v>496</v>
      </c>
      <c r="F6728" t="str">
        <f>HYPERLINK("https://www.google.com/maps/search/?api=1&amp;query=25.11540207,46.12304545", "View Map")</f>
        <v>View Map</v>
      </c>
      <c r="G6728" s="2">
        <v>0.62901809308426104</v>
      </c>
    </row>
    <row r="6729" spans="1:7" x14ac:dyDescent="0.3">
      <c r="A6729" t="s">
        <v>5331</v>
      </c>
      <c r="B6729" t="s">
        <v>5332</v>
      </c>
      <c r="C6729" t="s">
        <v>30</v>
      </c>
      <c r="D6729">
        <v>1.5489999999999999</v>
      </c>
      <c r="E6729">
        <v>496</v>
      </c>
      <c r="F6729" t="str">
        <f>HYPERLINK("https://www.google.com/maps/search/?api=1&amp;query=24.23869314,47.24295775", "View Map")</f>
        <v>View Map</v>
      </c>
      <c r="G6729" s="2">
        <v>0.19041111318159079</v>
      </c>
    </row>
    <row r="6730" spans="1:7" x14ac:dyDescent="0.3">
      <c r="A6730" t="s">
        <v>1790</v>
      </c>
      <c r="B6730" t="s">
        <v>12853</v>
      </c>
      <c r="C6730" t="s">
        <v>291</v>
      </c>
      <c r="D6730">
        <v>1.5489999999999999</v>
      </c>
      <c r="E6730">
        <v>496</v>
      </c>
      <c r="F6730" t="str">
        <f>HYPERLINK("https://www.google.com/maps/search/?api=1&amp;query=23.78046024,44.7980036", "View Map")</f>
        <v>View Map</v>
      </c>
    </row>
    <row r="6731" spans="1:7" x14ac:dyDescent="0.3">
      <c r="A6731" t="s">
        <v>644</v>
      </c>
      <c r="B6731" t="s">
        <v>11185</v>
      </c>
      <c r="C6731" t="s">
        <v>646</v>
      </c>
      <c r="D6731">
        <v>1.5489999999999999</v>
      </c>
      <c r="E6731">
        <v>496</v>
      </c>
      <c r="F6731" t="str">
        <f>HYPERLINK("https://www.google.com/maps/search/?api=1&amp;query=20.46061723,45.59354143", "View Map")</f>
        <v>View Map</v>
      </c>
    </row>
    <row r="6732" spans="1:7" x14ac:dyDescent="0.3">
      <c r="A6732" t="s">
        <v>8812</v>
      </c>
      <c r="B6732" t="s">
        <v>8813</v>
      </c>
      <c r="C6732" t="s">
        <v>393</v>
      </c>
      <c r="D6732">
        <v>1.548</v>
      </c>
      <c r="E6732">
        <v>495</v>
      </c>
      <c r="F6732" t="str">
        <f>HYPERLINK("https://www.google.com/maps/search/?api=1&amp;query=22.51794994,44.80082477", "View Map")</f>
        <v>View Map</v>
      </c>
      <c r="G6732" s="2">
        <v>0.59459657500411656</v>
      </c>
    </row>
    <row r="6733" spans="1:7" x14ac:dyDescent="0.3">
      <c r="A6733" t="s">
        <v>12854</v>
      </c>
      <c r="B6733" t="s">
        <v>12855</v>
      </c>
      <c r="C6733" t="s">
        <v>291</v>
      </c>
      <c r="D6733">
        <v>1.548</v>
      </c>
      <c r="E6733">
        <v>495</v>
      </c>
      <c r="F6733" t="str">
        <f>HYPERLINK("https://www.google.com/maps/search/?api=1&amp;query=23.84731169,44.99885663", "View Map")</f>
        <v>View Map</v>
      </c>
      <c r="G6733" s="2">
        <v>0.72947048462200992</v>
      </c>
    </row>
    <row r="6734" spans="1:7" x14ac:dyDescent="0.3">
      <c r="A6734" t="s">
        <v>10025</v>
      </c>
      <c r="B6734" t="s">
        <v>10026</v>
      </c>
      <c r="C6734" t="s">
        <v>393</v>
      </c>
      <c r="D6734">
        <v>1.5469999999999999</v>
      </c>
      <c r="E6734">
        <v>495</v>
      </c>
      <c r="F6734" t="str">
        <f>HYPERLINK("https://www.google.com/maps/search/?api=1&amp;query=23.80876136,45.25760658", "View Map")</f>
        <v>View Map</v>
      </c>
      <c r="G6734" s="2">
        <v>0.48822779416888129</v>
      </c>
    </row>
    <row r="6735" spans="1:7" x14ac:dyDescent="0.3">
      <c r="A6735" t="s">
        <v>12856</v>
      </c>
      <c r="B6735" t="s">
        <v>12857</v>
      </c>
      <c r="C6735" t="s">
        <v>255</v>
      </c>
      <c r="D6735">
        <v>1.5469999999999999</v>
      </c>
      <c r="E6735">
        <v>495</v>
      </c>
      <c r="F6735" t="str">
        <f>HYPERLINK("https://www.google.com/maps/search/?api=1&amp;query=24.29427614,43.6948147", "View Map")</f>
        <v>View Map</v>
      </c>
    </row>
    <row r="6736" spans="1:7" x14ac:dyDescent="0.3">
      <c r="A6736" t="s">
        <v>12858</v>
      </c>
      <c r="B6736" t="s">
        <v>12859</v>
      </c>
      <c r="C6736" t="s">
        <v>77</v>
      </c>
      <c r="D6736">
        <v>1.5469999999999999</v>
      </c>
      <c r="E6736">
        <v>495</v>
      </c>
      <c r="F6736" t="str">
        <f>HYPERLINK("https://www.google.com/maps/search/?api=1&amp;query=22.43353244,46.19627801", "View Map")</f>
        <v>View Map</v>
      </c>
      <c r="G6736" s="2">
        <v>0.54487280264292881</v>
      </c>
    </row>
    <row r="6737" spans="1:7" x14ac:dyDescent="0.3">
      <c r="A6737" t="s">
        <v>12860</v>
      </c>
      <c r="B6737" t="s">
        <v>12861</v>
      </c>
      <c r="C6737" t="s">
        <v>241</v>
      </c>
      <c r="D6737">
        <v>1.546</v>
      </c>
      <c r="E6737">
        <v>495</v>
      </c>
      <c r="F6737" t="str">
        <f>HYPERLINK("https://www.google.com/maps/search/?api=1&amp;query=20.4735362,44.7974724", "View Map")</f>
        <v>View Map</v>
      </c>
    </row>
    <row r="6738" spans="1:7" x14ac:dyDescent="0.3">
      <c r="A6738" t="s">
        <v>3664</v>
      </c>
      <c r="B6738" t="s">
        <v>8359</v>
      </c>
      <c r="C6738" t="s">
        <v>8</v>
      </c>
      <c r="D6738">
        <v>1.546</v>
      </c>
      <c r="E6738">
        <v>495</v>
      </c>
      <c r="F6738" t="str">
        <f>HYPERLINK("https://www.google.com/maps/search/?api=1&amp;query=24.59258883,46.53948231", "View Map")</f>
        <v>View Map</v>
      </c>
    </row>
    <row r="6739" spans="1:7" x14ac:dyDescent="0.3">
      <c r="A6739" t="s">
        <v>11028</v>
      </c>
      <c r="B6739" t="s">
        <v>11029</v>
      </c>
      <c r="C6739" t="s">
        <v>8</v>
      </c>
      <c r="D6739">
        <v>1.546</v>
      </c>
      <c r="E6739">
        <v>495</v>
      </c>
      <c r="F6739" t="str">
        <f>HYPERLINK("https://www.google.com/maps/search/?api=1&amp;query=24.56298245,46.75196926", "View Map")</f>
        <v>View Map</v>
      </c>
    </row>
    <row r="6740" spans="1:7" x14ac:dyDescent="0.3">
      <c r="A6740" t="s">
        <v>1303</v>
      </c>
      <c r="B6740" t="s">
        <v>9856</v>
      </c>
      <c r="C6740" t="s">
        <v>8</v>
      </c>
      <c r="D6740">
        <v>1.5449999999999999</v>
      </c>
      <c r="E6740">
        <v>494</v>
      </c>
      <c r="F6740" t="str">
        <f>HYPERLINK("https://www.google.com/maps/search/?api=1&amp;query=24.6991443,46.80976738", "View Map")</f>
        <v>View Map</v>
      </c>
      <c r="G6740" s="2">
        <v>0.61232146917136199</v>
      </c>
    </row>
    <row r="6741" spans="1:7" x14ac:dyDescent="0.3">
      <c r="A6741" t="s">
        <v>5017</v>
      </c>
      <c r="B6741" t="s">
        <v>5018</v>
      </c>
      <c r="C6741" t="s">
        <v>8</v>
      </c>
      <c r="D6741">
        <v>1.5449999999999999</v>
      </c>
      <c r="E6741">
        <v>494</v>
      </c>
      <c r="F6741" t="str">
        <f>HYPERLINK("https://www.google.com/maps/search/?api=1&amp;query=24.81352794,46.85888217", "View Map")</f>
        <v>View Map</v>
      </c>
      <c r="G6741" s="2">
        <v>0.21005080936857951</v>
      </c>
    </row>
    <row r="6742" spans="1:7" x14ac:dyDescent="0.3">
      <c r="A6742" t="s">
        <v>1077</v>
      </c>
      <c r="B6742" t="s">
        <v>12862</v>
      </c>
      <c r="C6742" t="s">
        <v>255</v>
      </c>
      <c r="D6742">
        <v>1.5449999999999999</v>
      </c>
      <c r="E6742">
        <v>494</v>
      </c>
      <c r="F6742" t="str">
        <f>HYPERLINK("https://www.google.com/maps/search/?api=1&amp;query=25.11787936,44.67191648", "View Map")</f>
        <v>View Map</v>
      </c>
    </row>
    <row r="6743" spans="1:7" x14ac:dyDescent="0.3">
      <c r="A6743" t="s">
        <v>12863</v>
      </c>
      <c r="B6743" t="s">
        <v>12864</v>
      </c>
      <c r="C6743" t="s">
        <v>255</v>
      </c>
      <c r="D6743">
        <v>1.544</v>
      </c>
      <c r="E6743">
        <v>494</v>
      </c>
      <c r="F6743" t="str">
        <f>HYPERLINK("https://www.google.com/maps/search/?api=1&amp;query=24.67961814,43.65892596", "View Map")</f>
        <v>View Map</v>
      </c>
      <c r="G6743" s="2">
        <v>0.42451439874791808</v>
      </c>
    </row>
    <row r="6744" spans="1:7" x14ac:dyDescent="0.3">
      <c r="A6744" t="s">
        <v>4412</v>
      </c>
      <c r="B6744" t="s">
        <v>12865</v>
      </c>
      <c r="C6744" t="s">
        <v>16</v>
      </c>
      <c r="D6744">
        <v>1.5429999999999999</v>
      </c>
      <c r="E6744">
        <v>494</v>
      </c>
      <c r="F6744" t="str">
        <f>HYPERLINK("https://www.google.com/maps/search/?api=1&amp;query=23.67545825,43.12862244", "View Map")</f>
        <v>View Map</v>
      </c>
      <c r="G6744" s="2">
        <v>0.51855923938380577</v>
      </c>
    </row>
    <row r="6745" spans="1:7" x14ac:dyDescent="0.3">
      <c r="A6745" t="s">
        <v>46</v>
      </c>
      <c r="B6745" t="s">
        <v>12866</v>
      </c>
      <c r="C6745" t="s">
        <v>8</v>
      </c>
      <c r="D6745">
        <v>1.5429999999999999</v>
      </c>
      <c r="E6745">
        <v>494</v>
      </c>
      <c r="F6745" t="str">
        <f>HYPERLINK("https://www.google.com/maps/search/?api=1&amp;query=24.74906,46.73131", "View Map")</f>
        <v>View Map</v>
      </c>
    </row>
    <row r="6746" spans="1:7" x14ac:dyDescent="0.3">
      <c r="A6746" t="s">
        <v>12867</v>
      </c>
      <c r="B6746" t="s">
        <v>12868</v>
      </c>
      <c r="C6746" t="s">
        <v>8</v>
      </c>
      <c r="D6746">
        <v>1.5429999999999999</v>
      </c>
      <c r="E6746">
        <v>494</v>
      </c>
      <c r="F6746" t="str">
        <f>HYPERLINK("https://www.google.com/maps/search/?api=1&amp;query=24.79259841,46.62043272", "View Map")</f>
        <v>View Map</v>
      </c>
    </row>
    <row r="6747" spans="1:7" x14ac:dyDescent="0.3">
      <c r="A6747" t="s">
        <v>12869</v>
      </c>
      <c r="B6747" t="s">
        <v>12870</v>
      </c>
      <c r="C6747" t="s">
        <v>241</v>
      </c>
      <c r="D6747">
        <v>1.5429999999999999</v>
      </c>
      <c r="E6747">
        <v>494</v>
      </c>
      <c r="F6747" t="str">
        <f>HYPERLINK("https://www.google.com/maps/search/?api=1&amp;query=20.46973288,44.79948005", "View Map")</f>
        <v>View Map</v>
      </c>
    </row>
    <row r="6748" spans="1:7" x14ac:dyDescent="0.3">
      <c r="A6748" t="s">
        <v>10816</v>
      </c>
      <c r="B6748" t="s">
        <v>10817</v>
      </c>
      <c r="C6748" t="s">
        <v>883</v>
      </c>
      <c r="D6748">
        <v>1.5429999999999999</v>
      </c>
      <c r="E6748">
        <v>494</v>
      </c>
      <c r="F6748" t="str">
        <f>HYPERLINK("https://www.google.com/maps/search/?api=1&amp;query=25.55586023,47.17488934", "View Map")</f>
        <v>View Map</v>
      </c>
    </row>
    <row r="6749" spans="1:7" x14ac:dyDescent="0.3">
      <c r="A6749" t="s">
        <v>12871</v>
      </c>
      <c r="B6749" t="s">
        <v>12872</v>
      </c>
      <c r="C6749" t="s">
        <v>8</v>
      </c>
      <c r="D6749">
        <v>1.5429999999999999</v>
      </c>
      <c r="E6749">
        <v>494</v>
      </c>
      <c r="F6749" t="str">
        <f>HYPERLINK("https://www.google.com/maps/search/?api=1&amp;query=24.59283752,46.64587898", "View Map")</f>
        <v>View Map</v>
      </c>
    </row>
    <row r="6750" spans="1:7" x14ac:dyDescent="0.3">
      <c r="A6750" t="s">
        <v>12873</v>
      </c>
      <c r="B6750" t="s">
        <v>12874</v>
      </c>
      <c r="C6750" t="s">
        <v>8</v>
      </c>
      <c r="D6750">
        <v>1.5429999999999999</v>
      </c>
      <c r="E6750">
        <v>494</v>
      </c>
      <c r="F6750" t="str">
        <f>HYPERLINK("https://www.google.com/maps/search/?api=1&amp;query=24.56588724,46.76922784", "View Map")</f>
        <v>View Map</v>
      </c>
    </row>
    <row r="6751" spans="1:7" x14ac:dyDescent="0.3">
      <c r="A6751" t="s">
        <v>12875</v>
      </c>
      <c r="B6751" t="s">
        <v>12876</v>
      </c>
      <c r="C6751" t="s">
        <v>291</v>
      </c>
      <c r="D6751">
        <v>1.542</v>
      </c>
      <c r="E6751">
        <v>494</v>
      </c>
      <c r="F6751" t="str">
        <f>HYPERLINK("https://www.google.com/maps/search/?api=1&amp;query=23.68101146,44.88813116", "View Map")</f>
        <v>View Map</v>
      </c>
      <c r="G6751" s="2">
        <v>1.3238896725421869</v>
      </c>
    </row>
    <row r="6752" spans="1:7" x14ac:dyDescent="0.3">
      <c r="A6752" t="s">
        <v>9417</v>
      </c>
      <c r="B6752" t="s">
        <v>9418</v>
      </c>
      <c r="C6752" t="s">
        <v>21</v>
      </c>
      <c r="D6752">
        <v>1.542</v>
      </c>
      <c r="E6752">
        <v>493</v>
      </c>
      <c r="F6752" t="str">
        <f>HYPERLINK("https://www.google.com/maps/search/?api=1&amp;query=26.30723669,44.79485548", "View Map")</f>
        <v>View Map</v>
      </c>
      <c r="G6752" s="2">
        <v>0.50194507922483456</v>
      </c>
    </row>
    <row r="6753" spans="1:7" x14ac:dyDescent="0.3">
      <c r="A6753" t="s">
        <v>12877</v>
      </c>
      <c r="B6753" t="s">
        <v>12878</v>
      </c>
      <c r="C6753" t="s">
        <v>8</v>
      </c>
      <c r="D6753">
        <v>1.542</v>
      </c>
      <c r="E6753">
        <v>493</v>
      </c>
      <c r="F6753" t="str">
        <f>HYPERLINK("https://www.google.com/maps/search/?api=1&amp;query=24.61929007,46.71698195", "View Map")</f>
        <v>View Map</v>
      </c>
    </row>
    <row r="6754" spans="1:7" x14ac:dyDescent="0.3">
      <c r="A6754" t="s">
        <v>1273</v>
      </c>
      <c r="B6754" t="s">
        <v>12879</v>
      </c>
      <c r="C6754" t="s">
        <v>241</v>
      </c>
      <c r="D6754">
        <v>1.5409999999999999</v>
      </c>
      <c r="E6754">
        <v>493</v>
      </c>
      <c r="F6754" t="str">
        <f>HYPERLINK("https://www.google.com/maps/search/?api=1&amp;query=20.43509642,44.87205832", "View Map")</f>
        <v>View Map</v>
      </c>
    </row>
    <row r="6755" spans="1:7" x14ac:dyDescent="0.3">
      <c r="A6755" t="s">
        <v>11118</v>
      </c>
      <c r="B6755" t="s">
        <v>11119</v>
      </c>
      <c r="C6755" t="s">
        <v>296</v>
      </c>
      <c r="D6755">
        <v>1.5409999999999999</v>
      </c>
      <c r="E6755">
        <v>493</v>
      </c>
      <c r="F6755" t="str">
        <f>HYPERLINK("https://www.google.com/maps/search/?api=1&amp;query=24.16755707,46.18794035", "View Map")</f>
        <v>View Map</v>
      </c>
      <c r="G6755" s="2">
        <v>0.71564057127533642</v>
      </c>
    </row>
    <row r="6756" spans="1:7" x14ac:dyDescent="0.3">
      <c r="A6756" t="s">
        <v>146</v>
      </c>
      <c r="B6756" t="s">
        <v>6244</v>
      </c>
      <c r="C6756" t="s">
        <v>8</v>
      </c>
      <c r="D6756">
        <v>1.5409999999999999</v>
      </c>
      <c r="E6756">
        <v>493</v>
      </c>
      <c r="F6756" t="str">
        <f>HYPERLINK("https://www.google.com/maps/search/?api=1&amp;query=24.58092763,46.70459587", "View Map")</f>
        <v>View Map</v>
      </c>
      <c r="G6756" s="2">
        <v>0.27589759499464361</v>
      </c>
    </row>
    <row r="6757" spans="1:7" x14ac:dyDescent="0.3">
      <c r="A6757" t="s">
        <v>3374</v>
      </c>
      <c r="B6757" t="s">
        <v>3375</v>
      </c>
      <c r="C6757" t="s">
        <v>8</v>
      </c>
      <c r="D6757">
        <v>1.5389999999999999</v>
      </c>
      <c r="E6757">
        <v>493</v>
      </c>
      <c r="F6757" t="str">
        <f>HYPERLINK("https://www.google.com/maps/search/?api=1&amp;query=24.68870058,46.78801037", "View Map")</f>
        <v>View Map</v>
      </c>
    </row>
    <row r="6758" spans="1:7" x14ac:dyDescent="0.3">
      <c r="A6758" t="s">
        <v>46</v>
      </c>
      <c r="B6758" t="s">
        <v>5210</v>
      </c>
      <c r="C6758" t="s">
        <v>8</v>
      </c>
      <c r="D6758">
        <v>1.538</v>
      </c>
      <c r="E6758">
        <v>492</v>
      </c>
      <c r="F6758" t="str">
        <f>HYPERLINK("https://www.google.com/maps/search/?api=1&amp;query=24.622656,46.52221324", "View Map")</f>
        <v>View Map</v>
      </c>
    </row>
    <row r="6759" spans="1:7" x14ac:dyDescent="0.3">
      <c r="A6759" t="s">
        <v>693</v>
      </c>
      <c r="B6759" t="s">
        <v>12880</v>
      </c>
      <c r="C6759" t="s">
        <v>8</v>
      </c>
      <c r="D6759">
        <v>1.538</v>
      </c>
      <c r="E6759">
        <v>492</v>
      </c>
      <c r="F6759" t="str">
        <f>HYPERLINK("https://www.google.com/maps/search/?api=1&amp;query=24.77224315,46.60965173", "View Map")</f>
        <v>View Map</v>
      </c>
    </row>
    <row r="6760" spans="1:7" x14ac:dyDescent="0.3">
      <c r="A6760" t="s">
        <v>8934</v>
      </c>
      <c r="B6760" t="s">
        <v>8935</v>
      </c>
      <c r="C6760" t="s">
        <v>8</v>
      </c>
      <c r="D6760">
        <v>1.538</v>
      </c>
      <c r="E6760">
        <v>492</v>
      </c>
      <c r="F6760" t="str">
        <f>HYPERLINK("https://www.google.com/maps/search/?api=1&amp;query=24.77136308,46.61343257", "View Map")</f>
        <v>View Map</v>
      </c>
    </row>
    <row r="6761" spans="1:7" x14ac:dyDescent="0.3">
      <c r="A6761" t="s">
        <v>11078</v>
      </c>
      <c r="B6761" t="s">
        <v>11079</v>
      </c>
      <c r="C6761" t="s">
        <v>296</v>
      </c>
      <c r="D6761">
        <v>1.538</v>
      </c>
      <c r="E6761">
        <v>492</v>
      </c>
      <c r="F6761" t="str">
        <f>HYPERLINK("https://www.google.com/maps/search/?api=1&amp;query=24.45073409,46.30022976", "View Map")</f>
        <v>View Map</v>
      </c>
    </row>
    <row r="6762" spans="1:7" x14ac:dyDescent="0.3">
      <c r="A6762" t="s">
        <v>12881</v>
      </c>
      <c r="B6762" t="s">
        <v>12882</v>
      </c>
      <c r="C6762" t="s">
        <v>8</v>
      </c>
      <c r="D6762">
        <v>1.538</v>
      </c>
      <c r="E6762">
        <v>492</v>
      </c>
      <c r="F6762" t="str">
        <f>HYPERLINK("https://www.google.com/maps/search/?api=1&amp;query=24.57830352,46.63491401", "View Map")</f>
        <v>View Map</v>
      </c>
    </row>
    <row r="6763" spans="1:7" x14ac:dyDescent="0.3">
      <c r="A6763" t="s">
        <v>12883</v>
      </c>
      <c r="B6763" t="s">
        <v>12884</v>
      </c>
      <c r="C6763" t="s">
        <v>255</v>
      </c>
      <c r="D6763">
        <v>1.5369999999999999</v>
      </c>
      <c r="E6763">
        <v>492</v>
      </c>
      <c r="F6763" t="str">
        <f>HYPERLINK("https://www.google.com/maps/search/?api=1&amp;query=24.29775112,43.738909", "View Map")</f>
        <v>View Map</v>
      </c>
    </row>
    <row r="6764" spans="1:7" x14ac:dyDescent="0.3">
      <c r="A6764" t="s">
        <v>12885</v>
      </c>
      <c r="B6764" t="s">
        <v>12886</v>
      </c>
      <c r="C6764" t="s">
        <v>393</v>
      </c>
      <c r="D6764">
        <v>1.5349999999999999</v>
      </c>
      <c r="E6764">
        <v>491</v>
      </c>
      <c r="F6764" t="str">
        <f>HYPERLINK("https://www.google.com/maps/search/?api=1&amp;query=23.55521871,45.46744996", "View Map")</f>
        <v>View Map</v>
      </c>
      <c r="G6764" s="2">
        <v>0.76499481146266168</v>
      </c>
    </row>
    <row r="6765" spans="1:7" x14ac:dyDescent="0.3">
      <c r="A6765" t="s">
        <v>7949</v>
      </c>
      <c r="B6765" t="s">
        <v>7950</v>
      </c>
      <c r="C6765" t="s">
        <v>270</v>
      </c>
      <c r="D6765">
        <v>1.5349999999999999</v>
      </c>
      <c r="E6765">
        <v>491</v>
      </c>
      <c r="F6765" t="str">
        <f>HYPERLINK("https://www.google.com/maps/search/?api=1&amp;query=24.08267,47.16461", "View Map")</f>
        <v>View Map</v>
      </c>
    </row>
    <row r="6766" spans="1:7" x14ac:dyDescent="0.3">
      <c r="A6766" t="s">
        <v>46</v>
      </c>
      <c r="B6766" t="s">
        <v>10035</v>
      </c>
      <c r="C6766" t="s">
        <v>8</v>
      </c>
      <c r="D6766">
        <v>1.5349999999999999</v>
      </c>
      <c r="E6766">
        <v>491</v>
      </c>
      <c r="F6766" t="str">
        <f>HYPERLINK("https://www.google.com/maps/search/?api=1&amp;query=24.62481282,46.50276354", "View Map")</f>
        <v>View Map</v>
      </c>
    </row>
    <row r="6767" spans="1:7" x14ac:dyDescent="0.3">
      <c r="A6767" t="s">
        <v>9734</v>
      </c>
      <c r="B6767" t="s">
        <v>9735</v>
      </c>
      <c r="C6767" t="s">
        <v>393</v>
      </c>
      <c r="D6767">
        <v>1.5349999999999999</v>
      </c>
      <c r="E6767">
        <v>491</v>
      </c>
      <c r="F6767" t="str">
        <f>HYPERLINK("https://www.google.com/maps/search/?api=1&amp;query=22.61451635,44.88182585", "View Map")</f>
        <v>View Map</v>
      </c>
      <c r="G6767" s="2">
        <v>0.84160717956844633</v>
      </c>
    </row>
    <row r="6768" spans="1:7" x14ac:dyDescent="0.3">
      <c r="A6768" t="s">
        <v>3687</v>
      </c>
      <c r="B6768" t="s">
        <v>3688</v>
      </c>
      <c r="C6768" t="s">
        <v>30</v>
      </c>
      <c r="D6768">
        <v>1.5349999999999999</v>
      </c>
      <c r="E6768">
        <v>491</v>
      </c>
      <c r="F6768" t="str">
        <f>HYPERLINK("https://www.google.com/maps/search/?api=1&amp;query=24.15432739,47.31032128", "View Map")</f>
        <v>View Map</v>
      </c>
      <c r="G6768" s="2">
        <v>0.17221778280720751</v>
      </c>
    </row>
    <row r="6769" spans="1:7" x14ac:dyDescent="0.3">
      <c r="A6769" t="s">
        <v>12887</v>
      </c>
      <c r="B6769" t="s">
        <v>12888</v>
      </c>
      <c r="C6769" t="s">
        <v>255</v>
      </c>
      <c r="D6769">
        <v>1.534</v>
      </c>
      <c r="E6769">
        <v>491</v>
      </c>
      <c r="F6769" t="str">
        <f>HYPERLINK("https://www.google.com/maps/search/?api=1&amp;query=25.16956985,44.59913294", "View Map")</f>
        <v>View Map</v>
      </c>
    </row>
    <row r="6770" spans="1:7" x14ac:dyDescent="0.3">
      <c r="A6770" t="s">
        <v>12889</v>
      </c>
      <c r="B6770" t="s">
        <v>12890</v>
      </c>
      <c r="C6770" t="s">
        <v>883</v>
      </c>
      <c r="D6770">
        <v>1.534</v>
      </c>
      <c r="E6770">
        <v>491</v>
      </c>
      <c r="F6770" t="str">
        <f>HYPERLINK("https://www.google.com/maps/search/?api=1&amp;query=25.91975786,46.52399111", "View Map")</f>
        <v>View Map</v>
      </c>
    </row>
    <row r="6771" spans="1:7" x14ac:dyDescent="0.3">
      <c r="A6771" t="s">
        <v>10938</v>
      </c>
      <c r="B6771" t="s">
        <v>10939</v>
      </c>
      <c r="C6771" t="s">
        <v>8</v>
      </c>
      <c r="D6771">
        <v>1.534</v>
      </c>
      <c r="E6771">
        <v>491</v>
      </c>
      <c r="F6771" t="str">
        <f>HYPERLINK("https://www.google.com/maps/search/?api=1&amp;query=24.60939611,46.6062606", "View Map")</f>
        <v>View Map</v>
      </c>
    </row>
    <row r="6772" spans="1:7" x14ac:dyDescent="0.3">
      <c r="A6772" t="s">
        <v>479</v>
      </c>
      <c r="B6772" t="s">
        <v>12891</v>
      </c>
      <c r="C6772" t="s">
        <v>738</v>
      </c>
      <c r="D6772">
        <v>1.534</v>
      </c>
      <c r="E6772">
        <v>491</v>
      </c>
      <c r="F6772" t="str">
        <f>HYPERLINK("https://www.google.com/maps/search/?api=1&amp;query=25.11213354,46.13257717", "View Map")</f>
        <v>View Map</v>
      </c>
    </row>
    <row r="6773" spans="1:7" x14ac:dyDescent="0.3">
      <c r="A6773" t="s">
        <v>12892</v>
      </c>
      <c r="B6773" t="s">
        <v>12893</v>
      </c>
      <c r="C6773" t="s">
        <v>738</v>
      </c>
      <c r="D6773">
        <v>1.5329999999999999</v>
      </c>
      <c r="E6773">
        <v>490</v>
      </c>
      <c r="F6773" t="str">
        <f>HYPERLINK("https://www.google.com/maps/search/?api=1&amp;query=25.12676583,46.11908448", "View Map")</f>
        <v>View Map</v>
      </c>
      <c r="G6773" s="2">
        <v>0.9591734771591256</v>
      </c>
    </row>
    <row r="6774" spans="1:7" x14ac:dyDescent="0.3">
      <c r="A6774" t="s">
        <v>4761</v>
      </c>
      <c r="B6774" t="s">
        <v>12894</v>
      </c>
      <c r="C6774" t="s">
        <v>8</v>
      </c>
      <c r="D6774">
        <v>1.5329999999999999</v>
      </c>
      <c r="E6774">
        <v>490</v>
      </c>
      <c r="F6774" t="str">
        <f>HYPERLINK("https://www.google.com/maps/search/?api=1&amp;query=24.70350594,46.67360755", "View Map")</f>
        <v>View Map</v>
      </c>
      <c r="G6774" s="2">
        <v>0.9027430284860245</v>
      </c>
    </row>
    <row r="6775" spans="1:7" x14ac:dyDescent="0.3">
      <c r="A6775" t="s">
        <v>9886</v>
      </c>
      <c r="B6775" t="s">
        <v>9887</v>
      </c>
      <c r="C6775" t="s">
        <v>8</v>
      </c>
      <c r="D6775">
        <v>1.532</v>
      </c>
      <c r="E6775">
        <v>490</v>
      </c>
      <c r="F6775" t="str">
        <f>HYPERLINK("https://www.google.com/maps/search/?api=1&amp;query=24.84298486,46.80342975", "View Map")</f>
        <v>View Map</v>
      </c>
    </row>
    <row r="6776" spans="1:7" x14ac:dyDescent="0.3">
      <c r="A6776" t="s">
        <v>46</v>
      </c>
      <c r="B6776" t="s">
        <v>8589</v>
      </c>
      <c r="C6776" t="s">
        <v>8</v>
      </c>
      <c r="D6776">
        <v>1.532</v>
      </c>
      <c r="E6776">
        <v>490</v>
      </c>
      <c r="F6776" t="str">
        <f>HYPERLINK("https://www.google.com/maps/search/?api=1&amp;query=24.88061854,46.60326453", "View Map")</f>
        <v>View Map</v>
      </c>
    </row>
    <row r="6777" spans="1:7" x14ac:dyDescent="0.3">
      <c r="A6777" t="s">
        <v>12895</v>
      </c>
      <c r="B6777" t="s">
        <v>12896</v>
      </c>
      <c r="C6777" t="s">
        <v>738</v>
      </c>
      <c r="D6777">
        <v>1.532</v>
      </c>
      <c r="E6777">
        <v>490</v>
      </c>
      <c r="F6777" t="str">
        <f>HYPERLINK("https://www.google.com/maps/search/?api=1&amp;query=25.12746527,46.12297418", "View Map")</f>
        <v>View Map</v>
      </c>
      <c r="G6777" s="2">
        <v>0.39452827835614129</v>
      </c>
    </row>
    <row r="6778" spans="1:7" x14ac:dyDescent="0.3">
      <c r="A6778" t="s">
        <v>11208</v>
      </c>
      <c r="B6778" t="s">
        <v>11209</v>
      </c>
      <c r="C6778" t="s">
        <v>214</v>
      </c>
      <c r="D6778">
        <v>1.532</v>
      </c>
      <c r="E6778">
        <v>490</v>
      </c>
      <c r="F6778" t="str">
        <f>HYPERLINK("https://www.google.com/maps/search/?api=1&amp;query=25.5980558,45.64463926", "View Map")</f>
        <v>View Map</v>
      </c>
    </row>
    <row r="6779" spans="1:7" x14ac:dyDescent="0.3">
      <c r="A6779" t="s">
        <v>2597</v>
      </c>
      <c r="B6779" t="s">
        <v>12897</v>
      </c>
      <c r="C6779" t="s">
        <v>291</v>
      </c>
      <c r="D6779">
        <v>1.532</v>
      </c>
      <c r="E6779">
        <v>490</v>
      </c>
      <c r="F6779" t="str">
        <f>HYPERLINK("https://www.google.com/maps/search/?api=1&amp;query=23.78627,44.78729", "View Map")</f>
        <v>View Map</v>
      </c>
      <c r="G6779" s="2">
        <v>0.90313123475057477</v>
      </c>
    </row>
    <row r="6780" spans="1:7" x14ac:dyDescent="0.3">
      <c r="A6780" t="s">
        <v>11127</v>
      </c>
      <c r="B6780" t="s">
        <v>11128</v>
      </c>
      <c r="C6780" t="s">
        <v>214</v>
      </c>
      <c r="D6780">
        <v>1.532</v>
      </c>
      <c r="E6780">
        <v>490</v>
      </c>
      <c r="F6780" t="str">
        <f>HYPERLINK("https://www.google.com/maps/search/?api=1&amp;query=26.52713,45.34123", "View Map")</f>
        <v>View Map</v>
      </c>
      <c r="G6780" s="2">
        <v>0.80380867989773874</v>
      </c>
    </row>
    <row r="6781" spans="1:7" x14ac:dyDescent="0.3">
      <c r="A6781" t="s">
        <v>7969</v>
      </c>
      <c r="B6781" t="s">
        <v>7970</v>
      </c>
      <c r="C6781" t="s">
        <v>8</v>
      </c>
      <c r="D6781">
        <v>1.532</v>
      </c>
      <c r="E6781">
        <v>490</v>
      </c>
      <c r="F6781" t="str">
        <f>HYPERLINK("https://www.google.com/maps/search/?api=1&amp;query=24.49931966,46.62987886", "View Map")</f>
        <v>View Map</v>
      </c>
    </row>
    <row r="6782" spans="1:7" x14ac:dyDescent="0.3">
      <c r="A6782" t="s">
        <v>10748</v>
      </c>
      <c r="B6782" t="s">
        <v>10749</v>
      </c>
      <c r="C6782" t="s">
        <v>8</v>
      </c>
      <c r="D6782">
        <v>1.53</v>
      </c>
      <c r="E6782">
        <v>489</v>
      </c>
      <c r="F6782" t="str">
        <f>HYPERLINK("https://www.google.com/maps/search/?api=1&amp;query=24.60157862,46.77535972", "View Map")</f>
        <v>View Map</v>
      </c>
    </row>
    <row r="6783" spans="1:7" x14ac:dyDescent="0.3">
      <c r="A6783" t="s">
        <v>12898</v>
      </c>
      <c r="B6783" t="s">
        <v>12899</v>
      </c>
      <c r="C6783" t="s">
        <v>393</v>
      </c>
      <c r="D6783">
        <v>1.53</v>
      </c>
      <c r="E6783">
        <v>490</v>
      </c>
      <c r="F6783" t="str">
        <f>HYPERLINK("https://www.google.com/maps/search/?api=1&amp;query=23.55666406,45.46447315", "View Map")</f>
        <v>View Map</v>
      </c>
      <c r="G6783" s="2">
        <v>0.69048333125127181</v>
      </c>
    </row>
    <row r="6784" spans="1:7" x14ac:dyDescent="0.3">
      <c r="A6784" t="s">
        <v>9574</v>
      </c>
      <c r="B6784" t="s">
        <v>9575</v>
      </c>
      <c r="C6784" t="s">
        <v>8</v>
      </c>
      <c r="D6784">
        <v>1.53</v>
      </c>
      <c r="E6784">
        <v>490</v>
      </c>
      <c r="F6784" t="str">
        <f>HYPERLINK("https://www.google.com/maps/search/?api=1&amp;query=24.55530165,46.8648805", "View Map")</f>
        <v>View Map</v>
      </c>
    </row>
    <row r="6785" spans="1:7" x14ac:dyDescent="0.3">
      <c r="A6785" t="s">
        <v>717</v>
      </c>
      <c r="B6785" t="s">
        <v>10622</v>
      </c>
      <c r="C6785" t="s">
        <v>255</v>
      </c>
      <c r="D6785">
        <v>1.5289999999999999</v>
      </c>
      <c r="E6785">
        <v>489</v>
      </c>
      <c r="F6785" t="str">
        <f>HYPERLINK("https://www.google.com/maps/search/?api=1&amp;query=24.56397091,44.45486024", "View Map")</f>
        <v>View Map</v>
      </c>
      <c r="G6785" s="2">
        <v>0.47023338717077873</v>
      </c>
    </row>
    <row r="6786" spans="1:7" x14ac:dyDescent="0.3">
      <c r="A6786" t="s">
        <v>10694</v>
      </c>
      <c r="B6786" t="s">
        <v>10695</v>
      </c>
      <c r="C6786" t="s">
        <v>16</v>
      </c>
      <c r="D6786">
        <v>1.5289999999999999</v>
      </c>
      <c r="E6786">
        <v>489</v>
      </c>
      <c r="F6786" t="str">
        <f>HYPERLINK("https://www.google.com/maps/search/?api=1&amp;query=23.99596945,43.0802385", "View Map")</f>
        <v>View Map</v>
      </c>
      <c r="G6786" s="2">
        <v>0.72793179393561824</v>
      </c>
    </row>
    <row r="6787" spans="1:7" x14ac:dyDescent="0.3">
      <c r="A6787" t="s">
        <v>2575</v>
      </c>
      <c r="B6787" t="s">
        <v>10588</v>
      </c>
      <c r="C6787" t="s">
        <v>8</v>
      </c>
      <c r="D6787">
        <v>1.5289999999999999</v>
      </c>
      <c r="E6787">
        <v>489</v>
      </c>
      <c r="F6787" t="str">
        <f>HYPERLINK("https://www.google.com/maps/search/?api=1&amp;query=24.81278726,46.65225156", "View Map")</f>
        <v>View Map</v>
      </c>
    </row>
    <row r="6788" spans="1:7" x14ac:dyDescent="0.3">
      <c r="A6788" t="s">
        <v>2748</v>
      </c>
      <c r="B6788" t="s">
        <v>6182</v>
      </c>
      <c r="C6788" t="s">
        <v>8</v>
      </c>
      <c r="D6788">
        <v>1.528</v>
      </c>
      <c r="E6788">
        <v>489</v>
      </c>
      <c r="F6788" t="str">
        <f>HYPERLINK("https://www.google.com/maps/search/?api=1&amp;query=24.5766322,46.64459561", "View Map")</f>
        <v>View Map</v>
      </c>
    </row>
    <row r="6789" spans="1:7" x14ac:dyDescent="0.3">
      <c r="A6789" t="s">
        <v>12900</v>
      </c>
      <c r="B6789" t="s">
        <v>12901</v>
      </c>
      <c r="C6789" t="s">
        <v>21</v>
      </c>
      <c r="D6789">
        <v>1.528</v>
      </c>
      <c r="E6789">
        <v>489</v>
      </c>
      <c r="F6789" t="str">
        <f>HYPERLINK("https://www.google.com/maps/search/?api=1&amp;query=26.30561361,44.81352694", "View Map")</f>
        <v>View Map</v>
      </c>
    </row>
    <row r="6790" spans="1:7" x14ac:dyDescent="0.3">
      <c r="A6790" t="s">
        <v>12902</v>
      </c>
      <c r="B6790" t="s">
        <v>12903</v>
      </c>
      <c r="C6790" t="s">
        <v>8</v>
      </c>
      <c r="D6790">
        <v>1.5269999999999999</v>
      </c>
      <c r="E6790">
        <v>489</v>
      </c>
      <c r="F6790" t="str">
        <f>HYPERLINK("https://www.google.com/maps/search/?api=1&amp;query=24.5897,46.6358", "View Map")</f>
        <v>View Map</v>
      </c>
    </row>
    <row r="6791" spans="1:7" x14ac:dyDescent="0.3">
      <c r="A6791" t="s">
        <v>6871</v>
      </c>
      <c r="B6791" t="s">
        <v>6872</v>
      </c>
      <c r="C6791" t="s">
        <v>55</v>
      </c>
      <c r="D6791">
        <v>1.5269999999999999</v>
      </c>
      <c r="E6791">
        <v>489</v>
      </c>
      <c r="F6791" t="str">
        <f>HYPERLINK("https://www.google.com/maps/search/?api=1&amp;query=24.74949569,46.52405982", "View Map")</f>
        <v>View Map</v>
      </c>
    </row>
    <row r="6792" spans="1:7" x14ac:dyDescent="0.3">
      <c r="A6792" t="s">
        <v>1262</v>
      </c>
      <c r="B6792" t="s">
        <v>12904</v>
      </c>
      <c r="C6792" t="s">
        <v>8</v>
      </c>
      <c r="D6792">
        <v>1.5269999999999999</v>
      </c>
      <c r="E6792">
        <v>489</v>
      </c>
      <c r="F6792" t="str">
        <f>HYPERLINK("https://www.google.com/maps/search/?api=1&amp;query=24.75813459,46.79719179", "View Map")</f>
        <v>View Map</v>
      </c>
    </row>
    <row r="6793" spans="1:7" x14ac:dyDescent="0.3">
      <c r="A6793" t="s">
        <v>12905</v>
      </c>
      <c r="B6793" t="s">
        <v>12906</v>
      </c>
      <c r="C6793" t="s">
        <v>291</v>
      </c>
      <c r="D6793">
        <v>1.526</v>
      </c>
      <c r="E6793">
        <v>488</v>
      </c>
      <c r="F6793" t="str">
        <f>HYPERLINK("https://www.google.com/maps/search/?api=1&amp;query=23.47595523,44.37618392", "View Map")</f>
        <v>View Map</v>
      </c>
    </row>
    <row r="6794" spans="1:7" x14ac:dyDescent="0.3">
      <c r="A6794" t="s">
        <v>7897</v>
      </c>
      <c r="B6794" t="s">
        <v>7898</v>
      </c>
      <c r="C6794" t="s">
        <v>255</v>
      </c>
      <c r="D6794">
        <v>1.526</v>
      </c>
      <c r="E6794">
        <v>488</v>
      </c>
      <c r="F6794" t="str">
        <f>HYPERLINK("https://www.google.com/maps/search/?api=1&amp;query=24.66147873,44.83254547", "View Map")</f>
        <v>View Map</v>
      </c>
      <c r="G6794" s="2">
        <v>0.24336779111470311</v>
      </c>
    </row>
    <row r="6795" spans="1:7" x14ac:dyDescent="0.3">
      <c r="A6795" t="s">
        <v>12907</v>
      </c>
      <c r="B6795" t="s">
        <v>12908</v>
      </c>
      <c r="C6795" t="s">
        <v>255</v>
      </c>
      <c r="D6795">
        <v>1.526</v>
      </c>
      <c r="E6795">
        <v>488</v>
      </c>
      <c r="F6795" t="str">
        <f>HYPERLINK("https://www.google.com/maps/search/?api=1&amp;query=24.58902733,44.38443533", "View Map")</f>
        <v>View Map</v>
      </c>
    </row>
    <row r="6796" spans="1:7" x14ac:dyDescent="0.3">
      <c r="A6796" t="s">
        <v>12909</v>
      </c>
      <c r="B6796" t="s">
        <v>12910</v>
      </c>
      <c r="C6796" t="s">
        <v>255</v>
      </c>
      <c r="D6796">
        <v>1.524</v>
      </c>
      <c r="E6796">
        <v>488</v>
      </c>
      <c r="F6796" t="str">
        <f>HYPERLINK("https://www.google.com/maps/search/?api=1&amp;query=25.38834939,44.16288859", "View Map")</f>
        <v>View Map</v>
      </c>
      <c r="G6796" s="2">
        <v>0.57271463218110519</v>
      </c>
    </row>
    <row r="6797" spans="1:7" x14ac:dyDescent="0.3">
      <c r="A6797" t="s">
        <v>8459</v>
      </c>
      <c r="B6797" t="s">
        <v>8460</v>
      </c>
      <c r="C6797" t="s">
        <v>699</v>
      </c>
      <c r="D6797">
        <v>1.524</v>
      </c>
      <c r="E6797">
        <v>488</v>
      </c>
      <c r="F6797" t="str">
        <f>HYPERLINK("https://www.google.com/maps/search/?api=1&amp;query=24.44467086,45.43447153", "View Map")</f>
        <v>View Map</v>
      </c>
      <c r="G6797" s="2">
        <v>0.3278678624650499</v>
      </c>
    </row>
    <row r="6798" spans="1:7" x14ac:dyDescent="0.3">
      <c r="A6798" t="s">
        <v>12911</v>
      </c>
      <c r="B6798" t="s">
        <v>12912</v>
      </c>
      <c r="C6798" t="s">
        <v>291</v>
      </c>
      <c r="D6798">
        <v>1.524</v>
      </c>
      <c r="E6798">
        <v>488</v>
      </c>
      <c r="F6798" t="str">
        <f>HYPERLINK("https://www.google.com/maps/search/?api=1&amp;query=23.72943542,44.76153553", "View Map")</f>
        <v>View Map</v>
      </c>
      <c r="G6798" s="2">
        <v>0.74558233257357676</v>
      </c>
    </row>
    <row r="6799" spans="1:7" x14ac:dyDescent="0.3">
      <c r="A6799" t="s">
        <v>12913</v>
      </c>
      <c r="B6799" t="s">
        <v>12914</v>
      </c>
      <c r="C6799" t="s">
        <v>291</v>
      </c>
      <c r="D6799">
        <v>1.5229999999999999</v>
      </c>
      <c r="E6799">
        <v>487</v>
      </c>
      <c r="F6799" t="str">
        <f>HYPERLINK("https://www.google.com/maps/search/?api=1&amp;query=23.68977131,44.58862937", "View Map")</f>
        <v>View Map</v>
      </c>
      <c r="G6799" s="2">
        <v>0.84536567665677109</v>
      </c>
    </row>
    <row r="6800" spans="1:7" x14ac:dyDescent="0.3">
      <c r="A6800" t="s">
        <v>12915</v>
      </c>
      <c r="B6800" t="s">
        <v>12916</v>
      </c>
      <c r="C6800" t="s">
        <v>8</v>
      </c>
      <c r="D6800">
        <v>1.522</v>
      </c>
      <c r="E6800">
        <v>487</v>
      </c>
      <c r="F6800" t="str">
        <f>HYPERLINK("https://www.google.com/maps/search/?api=1&amp;query=24.5596672,46.76708324", "View Map")</f>
        <v>View Map</v>
      </c>
    </row>
    <row r="6801" spans="1:7" x14ac:dyDescent="0.3">
      <c r="A6801" t="s">
        <v>6878</v>
      </c>
      <c r="B6801" t="s">
        <v>12917</v>
      </c>
      <c r="C6801" t="s">
        <v>8</v>
      </c>
      <c r="D6801">
        <v>1.5209999999999999</v>
      </c>
      <c r="E6801">
        <v>487</v>
      </c>
      <c r="F6801" t="str">
        <f>HYPERLINK("https://www.google.com/maps/search/?api=1&amp;query=24.59335283,46.67132941", "View Map")</f>
        <v>View Map</v>
      </c>
    </row>
    <row r="6802" spans="1:7" x14ac:dyDescent="0.3">
      <c r="A6802" t="s">
        <v>9138</v>
      </c>
      <c r="B6802" t="s">
        <v>9139</v>
      </c>
      <c r="C6802" t="s">
        <v>8</v>
      </c>
      <c r="D6802">
        <v>1.52</v>
      </c>
      <c r="E6802">
        <v>486</v>
      </c>
      <c r="F6802" t="str">
        <f>HYPERLINK("https://www.google.com/maps/search/?api=1&amp;query=24.63448613,46.72005314", "View Map")</f>
        <v>View Map</v>
      </c>
    </row>
    <row r="6803" spans="1:7" x14ac:dyDescent="0.3">
      <c r="A6803" t="s">
        <v>12918</v>
      </c>
      <c r="B6803" t="s">
        <v>12919</v>
      </c>
      <c r="C6803" t="s">
        <v>8</v>
      </c>
      <c r="D6803">
        <v>1.52</v>
      </c>
      <c r="E6803">
        <v>486</v>
      </c>
      <c r="F6803" t="str">
        <f>HYPERLINK("https://www.google.com/maps/search/?api=1&amp;query=24.58033104,46.59097735", "View Map")</f>
        <v>View Map</v>
      </c>
    </row>
    <row r="6804" spans="1:7" x14ac:dyDescent="0.3">
      <c r="A6804" t="s">
        <v>12920</v>
      </c>
      <c r="B6804" t="s">
        <v>12921</v>
      </c>
      <c r="C6804" t="s">
        <v>393</v>
      </c>
      <c r="D6804">
        <v>1.5189999999999999</v>
      </c>
      <c r="E6804">
        <v>486</v>
      </c>
      <c r="F6804" t="str">
        <f>HYPERLINK("https://www.google.com/maps/search/?api=1&amp;query=23.66388341,45.38934704", "View Map")</f>
        <v>View Map</v>
      </c>
      <c r="G6804" s="2">
        <v>0.8039603076367503</v>
      </c>
    </row>
    <row r="6805" spans="1:7" x14ac:dyDescent="0.3">
      <c r="A6805" t="s">
        <v>8250</v>
      </c>
      <c r="B6805" t="s">
        <v>8251</v>
      </c>
      <c r="C6805" t="s">
        <v>255</v>
      </c>
      <c r="D6805">
        <v>1.5189999999999999</v>
      </c>
      <c r="E6805">
        <v>486</v>
      </c>
      <c r="F6805" t="str">
        <f>HYPERLINK("https://www.google.com/maps/search/?api=1&amp;query=24.55031868,43.87626377", "View Map")</f>
        <v>View Map</v>
      </c>
      <c r="G6805" s="2">
        <v>0.322625405434523</v>
      </c>
    </row>
    <row r="6806" spans="1:7" x14ac:dyDescent="0.3">
      <c r="A6806" t="s">
        <v>10428</v>
      </c>
      <c r="B6806" t="s">
        <v>10429</v>
      </c>
      <c r="C6806" t="s">
        <v>137</v>
      </c>
      <c r="D6806">
        <v>1.5189999999999999</v>
      </c>
      <c r="E6806">
        <v>486</v>
      </c>
      <c r="F6806" t="str">
        <f>HYPERLINK("https://www.google.com/maps/search/?api=1&amp;query=23.44914289,46.8054243", "View Map")</f>
        <v>View Map</v>
      </c>
      <c r="G6806" s="2">
        <v>0.37936819942822742</v>
      </c>
    </row>
    <row r="6807" spans="1:7" x14ac:dyDescent="0.3">
      <c r="A6807" t="s">
        <v>10193</v>
      </c>
      <c r="B6807" t="s">
        <v>10194</v>
      </c>
      <c r="C6807" t="s">
        <v>699</v>
      </c>
      <c r="D6807">
        <v>1.5189999999999999</v>
      </c>
      <c r="E6807">
        <v>486</v>
      </c>
      <c r="F6807" t="str">
        <f>HYPERLINK("https://www.google.com/maps/search/?api=1&amp;query=25.11995825,45.49277008", "View Map")</f>
        <v>View Map</v>
      </c>
    </row>
    <row r="6808" spans="1:7" x14ac:dyDescent="0.3">
      <c r="A6808" t="s">
        <v>261</v>
      </c>
      <c r="B6808" t="s">
        <v>10975</v>
      </c>
      <c r="C6808" t="s">
        <v>8</v>
      </c>
      <c r="D6808">
        <v>1.518</v>
      </c>
      <c r="E6808">
        <v>486</v>
      </c>
      <c r="F6808" t="str">
        <f>HYPERLINK("https://www.google.com/maps/search/?api=1&amp;query=24.57156494,46.84634385", "View Map")</f>
        <v>View Map</v>
      </c>
    </row>
    <row r="6809" spans="1:7" x14ac:dyDescent="0.3">
      <c r="A6809" t="s">
        <v>46</v>
      </c>
      <c r="B6809" t="s">
        <v>10219</v>
      </c>
      <c r="C6809" t="s">
        <v>8</v>
      </c>
      <c r="D6809">
        <v>1.5169999999999999</v>
      </c>
      <c r="E6809">
        <v>485</v>
      </c>
      <c r="F6809" t="str">
        <f>HYPERLINK("https://www.google.com/maps/search/?api=1&amp;query=24.6916555,46.57511498", "View Map")</f>
        <v>View Map</v>
      </c>
    </row>
    <row r="6810" spans="1:7" x14ac:dyDescent="0.3">
      <c r="A6810" t="s">
        <v>8604</v>
      </c>
      <c r="B6810" t="s">
        <v>8605</v>
      </c>
      <c r="C6810" t="s">
        <v>30</v>
      </c>
      <c r="D6810">
        <v>1.5169999999999999</v>
      </c>
      <c r="E6810">
        <v>485</v>
      </c>
      <c r="F6810" t="str">
        <f>HYPERLINK("https://www.google.com/maps/search/?api=1&amp;query=24.16468746,47.35084526", "View Map")</f>
        <v>View Map</v>
      </c>
    </row>
    <row r="6811" spans="1:7" x14ac:dyDescent="0.3">
      <c r="A6811" t="s">
        <v>12922</v>
      </c>
      <c r="B6811" t="s">
        <v>12923</v>
      </c>
      <c r="C6811" t="s">
        <v>77</v>
      </c>
      <c r="D6811">
        <v>1.5169999999999999</v>
      </c>
      <c r="E6811">
        <v>486</v>
      </c>
      <c r="F6811" t="str">
        <f>HYPERLINK("https://www.google.com/maps/search/?api=1&amp;query=22.3029002,46.70884187", "View Map")</f>
        <v>View Map</v>
      </c>
    </row>
    <row r="6812" spans="1:7" x14ac:dyDescent="0.3">
      <c r="A6812" t="s">
        <v>11173</v>
      </c>
      <c r="B6812" t="s">
        <v>11174</v>
      </c>
      <c r="C6812" t="s">
        <v>77</v>
      </c>
      <c r="D6812">
        <v>1.5169999999999999</v>
      </c>
      <c r="E6812">
        <v>485</v>
      </c>
      <c r="F6812" t="str">
        <f>HYPERLINK("https://www.google.com/maps/search/?api=1&amp;query=22.08817506,46.65972655", "View Map")</f>
        <v>View Map</v>
      </c>
      <c r="G6812" s="2">
        <v>0.85682615104259152</v>
      </c>
    </row>
    <row r="6813" spans="1:7" x14ac:dyDescent="0.3">
      <c r="A6813" t="s">
        <v>12924</v>
      </c>
      <c r="B6813" t="s">
        <v>12925</v>
      </c>
      <c r="C6813" t="s">
        <v>214</v>
      </c>
      <c r="D6813">
        <v>1.5169999999999999</v>
      </c>
      <c r="E6813">
        <v>486</v>
      </c>
      <c r="F6813" t="str">
        <f>HYPERLINK("https://www.google.com/maps/search/?api=1&amp;query=26.05560399,45.34903847", "View Map")</f>
        <v>View Map</v>
      </c>
      <c r="G6813" s="2">
        <v>0.81801761042147647</v>
      </c>
    </row>
    <row r="6814" spans="1:7" x14ac:dyDescent="0.3">
      <c r="A6814" t="s">
        <v>9876</v>
      </c>
      <c r="B6814" t="s">
        <v>9877</v>
      </c>
      <c r="C6814" t="s">
        <v>30</v>
      </c>
      <c r="D6814">
        <v>1.516</v>
      </c>
      <c r="E6814">
        <v>485</v>
      </c>
      <c r="F6814" t="str">
        <f>HYPERLINK("https://www.google.com/maps/search/?api=1&amp;query=24.11564,47.30104", "View Map")</f>
        <v>View Map</v>
      </c>
    </row>
    <row r="6815" spans="1:7" x14ac:dyDescent="0.3">
      <c r="A6815" t="s">
        <v>12926</v>
      </c>
      <c r="B6815" t="s">
        <v>12927</v>
      </c>
      <c r="C6815" t="s">
        <v>291</v>
      </c>
      <c r="D6815">
        <v>1.516</v>
      </c>
      <c r="E6815">
        <v>485</v>
      </c>
      <c r="F6815" t="str">
        <f>HYPERLINK("https://www.google.com/maps/search/?api=1&amp;query=23.2875401,44.66480803", "View Map")</f>
        <v>View Map</v>
      </c>
      <c r="G6815" s="2">
        <v>0.48144344841183012</v>
      </c>
    </row>
    <row r="6816" spans="1:7" x14ac:dyDescent="0.3">
      <c r="A6816" t="s">
        <v>12928</v>
      </c>
      <c r="B6816" t="s">
        <v>12929</v>
      </c>
      <c r="C6816" t="s">
        <v>21</v>
      </c>
      <c r="D6816">
        <v>1.516</v>
      </c>
      <c r="E6816">
        <v>485</v>
      </c>
      <c r="F6816" t="str">
        <f>HYPERLINK("https://www.google.com/maps/search/?api=1&amp;query=26.32996298,44.78543662", "View Map")</f>
        <v>View Map</v>
      </c>
      <c r="G6816" s="2">
        <v>0.53238823969227556</v>
      </c>
    </row>
    <row r="6817" spans="1:7" x14ac:dyDescent="0.3">
      <c r="A6817" t="s">
        <v>2901</v>
      </c>
      <c r="B6817" t="s">
        <v>2902</v>
      </c>
      <c r="C6817" t="s">
        <v>8</v>
      </c>
      <c r="D6817">
        <v>1.5149999999999999</v>
      </c>
      <c r="E6817">
        <v>485</v>
      </c>
      <c r="F6817" t="str">
        <f>HYPERLINK("https://www.google.com/maps/search/?api=1&amp;query=24.57108441,46.53949635", "View Map")</f>
        <v>View Map</v>
      </c>
    </row>
    <row r="6818" spans="1:7" x14ac:dyDescent="0.3">
      <c r="A6818" t="s">
        <v>12930</v>
      </c>
      <c r="B6818" t="s">
        <v>12931</v>
      </c>
      <c r="C6818" t="s">
        <v>291</v>
      </c>
      <c r="D6818">
        <v>1.5149999999999999</v>
      </c>
      <c r="E6818">
        <v>485</v>
      </c>
      <c r="F6818" t="str">
        <f>HYPERLINK("https://www.google.com/maps/search/?api=1&amp;query=24.47060417,45.76440454", "View Map")</f>
        <v>View Map</v>
      </c>
      <c r="G6818" s="2">
        <v>0.92466781397582654</v>
      </c>
    </row>
    <row r="6819" spans="1:7" x14ac:dyDescent="0.3">
      <c r="A6819" t="s">
        <v>2597</v>
      </c>
      <c r="B6819" t="s">
        <v>12932</v>
      </c>
      <c r="C6819" t="s">
        <v>291</v>
      </c>
      <c r="D6819">
        <v>1.514</v>
      </c>
      <c r="E6819">
        <v>485</v>
      </c>
      <c r="F6819" t="str">
        <f>HYPERLINK("https://www.google.com/maps/search/?api=1&amp;query=23.46329998,44.32734468", "View Map")</f>
        <v>View Map</v>
      </c>
      <c r="G6819" s="2">
        <v>0.71032016895074401</v>
      </c>
    </row>
    <row r="6820" spans="1:7" x14ac:dyDescent="0.3">
      <c r="A6820" t="s">
        <v>12933</v>
      </c>
      <c r="B6820" t="s">
        <v>12934</v>
      </c>
      <c r="C6820" t="s">
        <v>255</v>
      </c>
      <c r="D6820">
        <v>1.514</v>
      </c>
      <c r="E6820">
        <v>484</v>
      </c>
      <c r="F6820" t="str">
        <f>HYPERLINK("https://www.google.com/maps/search/?api=1&amp;query=24.57900219,43.73358805", "View Map")</f>
        <v>View Map</v>
      </c>
      <c r="G6820" s="2">
        <v>0.43085509809229022</v>
      </c>
    </row>
    <row r="6821" spans="1:7" x14ac:dyDescent="0.3">
      <c r="A6821" t="s">
        <v>9402</v>
      </c>
      <c r="B6821" t="s">
        <v>9403</v>
      </c>
      <c r="C6821" t="s">
        <v>8</v>
      </c>
      <c r="D6821">
        <v>1.514</v>
      </c>
      <c r="E6821">
        <v>485</v>
      </c>
      <c r="F6821" t="str">
        <f>HYPERLINK("https://www.google.com/maps/search/?api=1&amp;query=24.67085109,46.75211217", "View Map")</f>
        <v>View Map</v>
      </c>
    </row>
    <row r="6822" spans="1:7" x14ac:dyDescent="0.3">
      <c r="A6822" t="s">
        <v>12935</v>
      </c>
      <c r="B6822" t="s">
        <v>12936</v>
      </c>
      <c r="C6822" t="s">
        <v>291</v>
      </c>
      <c r="D6822">
        <v>1.5129999999999999</v>
      </c>
      <c r="E6822">
        <v>484</v>
      </c>
      <c r="F6822" t="str">
        <f>HYPERLINK("https://www.google.com/maps/search/?api=1&amp;query=24.34574012,45.79077719", "View Map")</f>
        <v>View Map</v>
      </c>
      <c r="G6822" s="2">
        <v>0.46661236623969538</v>
      </c>
    </row>
    <row r="6823" spans="1:7" x14ac:dyDescent="0.3">
      <c r="A6823" t="s">
        <v>146</v>
      </c>
      <c r="B6823" t="s">
        <v>10186</v>
      </c>
      <c r="C6823" t="s">
        <v>8</v>
      </c>
      <c r="D6823">
        <v>1.5129999999999999</v>
      </c>
      <c r="E6823">
        <v>484</v>
      </c>
      <c r="F6823" t="str">
        <f>HYPERLINK("https://www.google.com/maps/search/?api=1&amp;query=24.56537457,46.55861561", "View Map")</f>
        <v>View Map</v>
      </c>
    </row>
    <row r="6824" spans="1:7" x14ac:dyDescent="0.3">
      <c r="A6824" t="s">
        <v>12937</v>
      </c>
      <c r="B6824" t="s">
        <v>12938</v>
      </c>
      <c r="C6824" t="s">
        <v>442</v>
      </c>
      <c r="D6824">
        <v>1.5129999999999999</v>
      </c>
      <c r="E6824">
        <v>484</v>
      </c>
      <c r="F6824" t="str">
        <f>HYPERLINK("https://www.google.com/maps/search/?api=1&amp;query=23.61538793,46.62606668", "View Map")</f>
        <v>View Map</v>
      </c>
      <c r="G6824" s="2">
        <v>0.78048158807822066</v>
      </c>
    </row>
    <row r="6825" spans="1:7" x14ac:dyDescent="0.3">
      <c r="A6825" t="s">
        <v>289</v>
      </c>
      <c r="B6825" t="s">
        <v>12939</v>
      </c>
      <c r="C6825" t="s">
        <v>291</v>
      </c>
      <c r="D6825">
        <v>1.512</v>
      </c>
      <c r="E6825">
        <v>484</v>
      </c>
      <c r="F6825" t="str">
        <f>HYPERLINK("https://www.google.com/maps/search/?api=1&amp;query=23.83207902,45.2138207", "View Map")</f>
        <v>View Map</v>
      </c>
      <c r="G6825" s="2">
        <v>0.91983519796731417</v>
      </c>
    </row>
    <row r="6826" spans="1:7" x14ac:dyDescent="0.3">
      <c r="A6826" t="s">
        <v>10602</v>
      </c>
      <c r="B6826" t="s">
        <v>10603</v>
      </c>
      <c r="C6826" t="s">
        <v>255</v>
      </c>
      <c r="D6826">
        <v>1.512</v>
      </c>
      <c r="E6826">
        <v>484</v>
      </c>
      <c r="F6826" t="str">
        <f>HYPERLINK("https://www.google.com/maps/search/?api=1&amp;query=24.27457357,44.19090772", "View Map")</f>
        <v>View Map</v>
      </c>
      <c r="G6826" s="2">
        <v>0.58534199427295863</v>
      </c>
    </row>
    <row r="6827" spans="1:7" x14ac:dyDescent="0.3">
      <c r="A6827" t="s">
        <v>9567</v>
      </c>
      <c r="B6827" t="s">
        <v>9568</v>
      </c>
      <c r="C6827" t="s">
        <v>8</v>
      </c>
      <c r="D6827">
        <v>1.512</v>
      </c>
      <c r="E6827">
        <v>484</v>
      </c>
      <c r="F6827" t="str">
        <f>HYPERLINK("https://www.google.com/maps/search/?api=1&amp;query=24.47968017,46.80468886", "View Map")</f>
        <v>View Map</v>
      </c>
    </row>
    <row r="6828" spans="1:7" x14ac:dyDescent="0.3">
      <c r="A6828" t="s">
        <v>146</v>
      </c>
      <c r="B6828" t="s">
        <v>1555</v>
      </c>
      <c r="C6828" t="s">
        <v>8</v>
      </c>
      <c r="D6828">
        <v>1.51</v>
      </c>
      <c r="E6828">
        <v>483</v>
      </c>
      <c r="F6828" t="str">
        <f>HYPERLINK("https://www.google.com/maps/search/?api=1&amp;query=24.56193195,46.54860037", "View Map")</f>
        <v>View Map</v>
      </c>
      <c r="G6828" s="2">
        <v>0.12754500741436409</v>
      </c>
    </row>
    <row r="6829" spans="1:7" x14ac:dyDescent="0.3">
      <c r="A6829" t="s">
        <v>12940</v>
      </c>
      <c r="B6829" t="s">
        <v>12941</v>
      </c>
      <c r="C6829" t="s">
        <v>137</v>
      </c>
      <c r="D6829">
        <v>1.5089999999999999</v>
      </c>
      <c r="E6829">
        <v>483</v>
      </c>
      <c r="F6829" t="str">
        <f>HYPERLINK("https://www.google.com/maps/search/?api=1&amp;query=23.51112568,46.83490512", "View Map")</f>
        <v>View Map</v>
      </c>
    </row>
    <row r="6830" spans="1:7" x14ac:dyDescent="0.3">
      <c r="A6830" t="s">
        <v>385</v>
      </c>
      <c r="B6830" t="s">
        <v>12942</v>
      </c>
      <c r="C6830" t="s">
        <v>255</v>
      </c>
      <c r="D6830">
        <v>1.508</v>
      </c>
      <c r="E6830">
        <v>483</v>
      </c>
      <c r="F6830" t="str">
        <f>HYPERLINK("https://www.google.com/maps/search/?api=1&amp;query=24.51175657,44.37008994", "View Map")</f>
        <v>View Map</v>
      </c>
    </row>
    <row r="6831" spans="1:7" x14ac:dyDescent="0.3">
      <c r="A6831" t="s">
        <v>12943</v>
      </c>
      <c r="B6831" t="s">
        <v>12944</v>
      </c>
      <c r="C6831" t="s">
        <v>255</v>
      </c>
      <c r="D6831">
        <v>1.508</v>
      </c>
      <c r="E6831">
        <v>483</v>
      </c>
      <c r="F6831" t="str">
        <f>HYPERLINK("https://www.google.com/maps/search/?api=1&amp;query=24.56725759,44.05298834", "View Map")</f>
        <v>View Map</v>
      </c>
    </row>
    <row r="6832" spans="1:7" x14ac:dyDescent="0.3">
      <c r="A6832" t="s">
        <v>12945</v>
      </c>
      <c r="B6832" t="s">
        <v>12946</v>
      </c>
      <c r="C6832" t="s">
        <v>8</v>
      </c>
      <c r="D6832">
        <v>1.5069999999999999</v>
      </c>
      <c r="E6832">
        <v>482</v>
      </c>
      <c r="F6832" t="str">
        <f>HYPERLINK("https://www.google.com/maps/search/?api=1&amp;query=24.60751093,46.63630878", "View Map")</f>
        <v>View Map</v>
      </c>
    </row>
    <row r="6833" spans="1:7" x14ac:dyDescent="0.3">
      <c r="A6833" t="s">
        <v>717</v>
      </c>
      <c r="B6833" t="s">
        <v>9941</v>
      </c>
      <c r="C6833" t="s">
        <v>255</v>
      </c>
      <c r="D6833">
        <v>1.506</v>
      </c>
      <c r="E6833">
        <v>482</v>
      </c>
      <c r="F6833" t="str">
        <f>HYPERLINK("https://www.google.com/maps/search/?api=1&amp;query=24.5604116,44.41139127", "View Map")</f>
        <v>View Map</v>
      </c>
      <c r="G6833" s="2">
        <v>0.3116195717655264</v>
      </c>
    </row>
    <row r="6834" spans="1:7" x14ac:dyDescent="0.3">
      <c r="A6834" t="s">
        <v>12947</v>
      </c>
      <c r="B6834" t="s">
        <v>12948</v>
      </c>
      <c r="C6834" t="s">
        <v>296</v>
      </c>
      <c r="D6834">
        <v>1.5049999999999999</v>
      </c>
      <c r="E6834">
        <v>482</v>
      </c>
      <c r="F6834" t="str">
        <f>HYPERLINK("https://www.google.com/maps/search/?api=1&amp;query=24.46780551,46.27815556", "View Map")</f>
        <v>View Map</v>
      </c>
    </row>
    <row r="6835" spans="1:7" x14ac:dyDescent="0.3">
      <c r="A6835" t="s">
        <v>11268</v>
      </c>
      <c r="B6835" t="s">
        <v>11269</v>
      </c>
      <c r="C6835" t="s">
        <v>291</v>
      </c>
      <c r="D6835">
        <v>1.504</v>
      </c>
      <c r="E6835">
        <v>481</v>
      </c>
      <c r="F6835" t="str">
        <f>HYPERLINK("https://www.google.com/maps/search/?api=1&amp;query=23.98812483,45.11369298", "View Map")</f>
        <v>View Map</v>
      </c>
      <c r="G6835" s="2">
        <v>0.93479165423388666</v>
      </c>
    </row>
    <row r="6836" spans="1:7" x14ac:dyDescent="0.3">
      <c r="A6836" t="s">
        <v>717</v>
      </c>
      <c r="B6836" t="s">
        <v>12949</v>
      </c>
      <c r="C6836" t="s">
        <v>255</v>
      </c>
      <c r="D6836">
        <v>1.504</v>
      </c>
      <c r="E6836">
        <v>481</v>
      </c>
      <c r="F6836" t="str">
        <f>HYPERLINK("https://www.google.com/maps/search/?api=1&amp;query=25.01991645,43.83972472", "View Map")</f>
        <v>View Map</v>
      </c>
    </row>
    <row r="6837" spans="1:7" x14ac:dyDescent="0.3">
      <c r="A6837" t="s">
        <v>2323</v>
      </c>
      <c r="B6837" t="s">
        <v>2324</v>
      </c>
      <c r="C6837" t="s">
        <v>291</v>
      </c>
      <c r="D6837">
        <v>1.504</v>
      </c>
      <c r="E6837">
        <v>481</v>
      </c>
      <c r="F6837" t="str">
        <f>HYPERLINK("https://www.google.com/maps/search/?api=1&amp;query=23.49302395,44.39454124", "View Map")</f>
        <v>View Map</v>
      </c>
      <c r="G6837" s="2">
        <v>0.20996550287572741</v>
      </c>
    </row>
    <row r="6838" spans="1:7" x14ac:dyDescent="0.3">
      <c r="A6838" t="s">
        <v>11141</v>
      </c>
      <c r="B6838" t="s">
        <v>11142</v>
      </c>
      <c r="C6838" t="s">
        <v>8</v>
      </c>
      <c r="D6838">
        <v>1.504</v>
      </c>
      <c r="E6838">
        <v>481</v>
      </c>
      <c r="F6838" t="str">
        <f>HYPERLINK("https://www.google.com/maps/search/?api=1&amp;query=24.77817303,46.78706941", "View Map")</f>
        <v>View Map</v>
      </c>
    </row>
    <row r="6839" spans="1:7" x14ac:dyDescent="0.3">
      <c r="A6839" t="s">
        <v>2485</v>
      </c>
      <c r="B6839" t="s">
        <v>12950</v>
      </c>
      <c r="C6839" t="s">
        <v>255</v>
      </c>
      <c r="D6839">
        <v>1.5029999999999999</v>
      </c>
      <c r="E6839">
        <v>481</v>
      </c>
      <c r="F6839" t="str">
        <f>HYPERLINK("https://www.google.com/maps/search/?api=1&amp;query=24.68839408,43.69773037", "View Map")</f>
        <v>View Map</v>
      </c>
      <c r="G6839" s="2">
        <v>0.50790794151741281</v>
      </c>
    </row>
    <row r="6840" spans="1:7" x14ac:dyDescent="0.3">
      <c r="A6840" t="s">
        <v>6099</v>
      </c>
      <c r="B6840" t="s">
        <v>6100</v>
      </c>
      <c r="C6840" t="s">
        <v>21</v>
      </c>
      <c r="D6840">
        <v>1.5029999999999999</v>
      </c>
      <c r="E6840">
        <v>481</v>
      </c>
      <c r="F6840" t="str">
        <f>HYPERLINK("https://www.google.com/maps/search/?api=1&amp;query=26.30767514,44.81058047", "View Map")</f>
        <v>View Map</v>
      </c>
      <c r="G6840" s="2">
        <v>0.2375034241630429</v>
      </c>
    </row>
    <row r="6841" spans="1:7" x14ac:dyDescent="0.3">
      <c r="A6841" t="s">
        <v>46</v>
      </c>
      <c r="B6841" t="s">
        <v>10590</v>
      </c>
      <c r="C6841" t="s">
        <v>8</v>
      </c>
      <c r="D6841">
        <v>1.5029999999999999</v>
      </c>
      <c r="E6841">
        <v>481</v>
      </c>
      <c r="F6841" t="str">
        <f>HYPERLINK("https://www.google.com/maps/search/?api=1&amp;query=24.69427489,46.58748475", "View Map")</f>
        <v>View Map</v>
      </c>
    </row>
    <row r="6842" spans="1:7" x14ac:dyDescent="0.3">
      <c r="A6842" t="s">
        <v>10408</v>
      </c>
      <c r="B6842" t="s">
        <v>10409</v>
      </c>
      <c r="C6842" t="s">
        <v>8</v>
      </c>
      <c r="D6842">
        <v>1.502</v>
      </c>
      <c r="E6842">
        <v>481</v>
      </c>
      <c r="F6842" t="str">
        <f>HYPERLINK("https://www.google.com/maps/search/?api=1&amp;query=24.57247468,46.62085921", "View Map")</f>
        <v>View Map</v>
      </c>
    </row>
    <row r="6843" spans="1:7" x14ac:dyDescent="0.3">
      <c r="A6843" t="s">
        <v>6393</v>
      </c>
      <c r="B6843" t="s">
        <v>6394</v>
      </c>
      <c r="C6843" t="s">
        <v>8</v>
      </c>
      <c r="D6843">
        <v>1.502</v>
      </c>
      <c r="E6843">
        <v>481</v>
      </c>
      <c r="F6843" t="str">
        <f>HYPERLINK("https://www.google.com/maps/search/?api=1&amp;query=24.81488526,46.76960226", "View Map")</f>
        <v>View Map</v>
      </c>
    </row>
    <row r="6844" spans="1:7" x14ac:dyDescent="0.3">
      <c r="A6844" t="s">
        <v>12951</v>
      </c>
      <c r="B6844" t="s">
        <v>12952</v>
      </c>
      <c r="C6844" t="s">
        <v>8</v>
      </c>
      <c r="D6844">
        <v>1.502</v>
      </c>
      <c r="E6844">
        <v>481</v>
      </c>
      <c r="F6844" t="str">
        <f>HYPERLINK("https://www.google.com/maps/search/?api=1&amp;query=24.54029403,46.71653133", "View Map")</f>
        <v>View Map</v>
      </c>
    </row>
    <row r="6845" spans="1:7" x14ac:dyDescent="0.3">
      <c r="A6845" t="s">
        <v>12953</v>
      </c>
      <c r="B6845" t="s">
        <v>12954</v>
      </c>
      <c r="C6845" t="s">
        <v>646</v>
      </c>
      <c r="D6845">
        <v>1.5009999999999999</v>
      </c>
      <c r="E6845">
        <v>480</v>
      </c>
      <c r="F6845" t="str">
        <f>HYPERLINK("https://www.google.com/maps/search/?api=1&amp;query=20.47824073,45.26926025", "View Map")</f>
        <v>View Map</v>
      </c>
      <c r="G6845" s="2">
        <v>0.66625849373148616</v>
      </c>
    </row>
    <row r="6846" spans="1:7" x14ac:dyDescent="0.3">
      <c r="A6846" t="s">
        <v>9156</v>
      </c>
      <c r="B6846" t="s">
        <v>9157</v>
      </c>
      <c r="C6846" t="s">
        <v>21</v>
      </c>
      <c r="D6846">
        <v>1.5009999999999999</v>
      </c>
      <c r="E6846">
        <v>480</v>
      </c>
      <c r="F6846" t="str">
        <f>HYPERLINK("https://www.google.com/maps/search/?api=1&amp;query=26.31210406,44.79974679", "View Map")</f>
        <v>View Map</v>
      </c>
    </row>
    <row r="6847" spans="1:7" x14ac:dyDescent="0.3">
      <c r="A6847" t="s">
        <v>10331</v>
      </c>
      <c r="B6847" t="s">
        <v>10332</v>
      </c>
      <c r="C6847" t="s">
        <v>8</v>
      </c>
      <c r="D6847">
        <v>1.5009999999999999</v>
      </c>
      <c r="E6847">
        <v>480</v>
      </c>
      <c r="F6847" t="str">
        <f>HYPERLINK("https://www.google.com/maps/search/?api=1&amp;query=24.57281045,46.71298924", "View Map")</f>
        <v>View Map</v>
      </c>
    </row>
    <row r="6848" spans="1:7" x14ac:dyDescent="0.3">
      <c r="A6848" t="s">
        <v>46</v>
      </c>
      <c r="B6848" t="s">
        <v>12955</v>
      </c>
      <c r="C6848" t="s">
        <v>8</v>
      </c>
      <c r="D6848">
        <v>1.5</v>
      </c>
      <c r="E6848">
        <v>480</v>
      </c>
      <c r="F6848" t="str">
        <f>HYPERLINK("https://www.google.com/maps/search/?api=1&amp;query=24.81334471,46.58915607", "View Map")</f>
        <v>View Map</v>
      </c>
    </row>
    <row r="6849" spans="1:7" x14ac:dyDescent="0.3">
      <c r="A6849" t="s">
        <v>12956</v>
      </c>
      <c r="B6849" t="s">
        <v>12957</v>
      </c>
      <c r="C6849" t="s">
        <v>30</v>
      </c>
      <c r="D6849">
        <v>1.5</v>
      </c>
      <c r="E6849">
        <v>480</v>
      </c>
      <c r="F6849" t="str">
        <f>HYPERLINK("https://www.google.com/maps/search/?api=1&amp;query=24.18148525,47.29436413", "View Map")</f>
        <v>View Map</v>
      </c>
      <c r="G6849" s="2">
        <v>0.53819308759000373</v>
      </c>
    </row>
    <row r="6850" spans="1:7" x14ac:dyDescent="0.3">
      <c r="A6850" t="s">
        <v>10246</v>
      </c>
      <c r="B6850" t="s">
        <v>10247</v>
      </c>
      <c r="C6850" t="s">
        <v>364</v>
      </c>
      <c r="D6850">
        <v>1.4990000000000001</v>
      </c>
      <c r="E6850">
        <v>480</v>
      </c>
      <c r="F6850" t="str">
        <f>HYPERLINK("https://www.google.com/maps/search/?api=1&amp;query=25.2858865,45.9534747", "View Map")</f>
        <v>View Map</v>
      </c>
      <c r="G6850" s="2">
        <v>0.50209405505728044</v>
      </c>
    </row>
    <row r="6851" spans="1:7" x14ac:dyDescent="0.3">
      <c r="A6851" t="s">
        <v>305</v>
      </c>
      <c r="B6851" t="s">
        <v>12958</v>
      </c>
      <c r="C6851" t="s">
        <v>8</v>
      </c>
      <c r="D6851">
        <v>1.4990000000000001</v>
      </c>
      <c r="E6851">
        <v>480</v>
      </c>
      <c r="F6851" t="str">
        <f>HYPERLINK("https://www.google.com/maps/search/?api=1&amp;query=24.79999703,46.77411331", "View Map")</f>
        <v>View Map</v>
      </c>
    </row>
    <row r="6852" spans="1:7" x14ac:dyDescent="0.3">
      <c r="A6852" t="s">
        <v>46</v>
      </c>
      <c r="B6852" t="s">
        <v>10494</v>
      </c>
      <c r="C6852" t="s">
        <v>8</v>
      </c>
      <c r="D6852">
        <v>1.4990000000000001</v>
      </c>
      <c r="E6852">
        <v>480</v>
      </c>
      <c r="F6852" t="str">
        <f>HYPERLINK("https://www.google.com/maps/search/?api=1&amp;query=24.74720507,46.62626778", "View Map")</f>
        <v>View Map</v>
      </c>
    </row>
    <row r="6853" spans="1:7" x14ac:dyDescent="0.3">
      <c r="A6853" t="s">
        <v>12959</v>
      </c>
      <c r="B6853" t="s">
        <v>12960</v>
      </c>
      <c r="C6853" t="s">
        <v>296</v>
      </c>
      <c r="D6853">
        <v>1.4990000000000001</v>
      </c>
      <c r="E6853">
        <v>480</v>
      </c>
      <c r="F6853" t="str">
        <f>HYPERLINK("https://www.google.com/maps/search/?api=1&amp;query=24.34961943,46.33599169", "View Map")</f>
        <v>View Map</v>
      </c>
      <c r="G6853" s="2">
        <v>0.87655449578502653</v>
      </c>
    </row>
    <row r="6854" spans="1:7" x14ac:dyDescent="0.3">
      <c r="A6854" t="s">
        <v>6863</v>
      </c>
      <c r="B6854" t="s">
        <v>12961</v>
      </c>
      <c r="C6854" t="s">
        <v>255</v>
      </c>
      <c r="D6854">
        <v>1.4990000000000001</v>
      </c>
      <c r="E6854">
        <v>480</v>
      </c>
      <c r="F6854" t="str">
        <f>HYPERLINK("https://www.google.com/maps/search/?api=1&amp;query=24.54564087,44.41985742", "View Map")</f>
        <v>View Map</v>
      </c>
    </row>
    <row r="6855" spans="1:7" x14ac:dyDescent="0.3">
      <c r="A6855" t="s">
        <v>12962</v>
      </c>
      <c r="B6855" t="s">
        <v>12963</v>
      </c>
      <c r="C6855" t="s">
        <v>8</v>
      </c>
      <c r="D6855">
        <v>1.4990000000000001</v>
      </c>
      <c r="E6855">
        <v>480</v>
      </c>
      <c r="F6855" t="str">
        <f>HYPERLINK("https://www.google.com/maps/search/?api=1&amp;query=24.66505504,46.73443238", "View Map")</f>
        <v>View Map</v>
      </c>
    </row>
    <row r="6856" spans="1:7" x14ac:dyDescent="0.3">
      <c r="A6856" t="s">
        <v>7594</v>
      </c>
      <c r="B6856" t="s">
        <v>7595</v>
      </c>
      <c r="C6856" t="s">
        <v>8</v>
      </c>
      <c r="D6856">
        <v>1.498</v>
      </c>
      <c r="E6856">
        <v>479</v>
      </c>
      <c r="F6856" t="str">
        <f>HYPERLINK("https://www.google.com/maps/search/?api=1&amp;query=24.64047627,46.80225862", "View Map")</f>
        <v>View Map</v>
      </c>
      <c r="G6856" s="2">
        <v>0.2406348909306745</v>
      </c>
    </row>
    <row r="6857" spans="1:7" x14ac:dyDescent="0.3">
      <c r="A6857" t="s">
        <v>12964</v>
      </c>
      <c r="B6857" t="s">
        <v>12965</v>
      </c>
      <c r="C6857" t="s">
        <v>8</v>
      </c>
      <c r="D6857">
        <v>1.498</v>
      </c>
      <c r="E6857">
        <v>479</v>
      </c>
      <c r="F6857" t="str">
        <f>HYPERLINK("https://www.google.com/maps/search/?api=1&amp;query=24.59157332,46.76814823", "View Map")</f>
        <v>View Map</v>
      </c>
    </row>
    <row r="6858" spans="1:7" x14ac:dyDescent="0.3">
      <c r="A6858" t="s">
        <v>3000</v>
      </c>
      <c r="B6858" t="s">
        <v>9810</v>
      </c>
      <c r="C6858" t="s">
        <v>8</v>
      </c>
      <c r="D6858">
        <v>1.498</v>
      </c>
      <c r="E6858">
        <v>479</v>
      </c>
      <c r="F6858" t="str">
        <f>HYPERLINK("https://www.google.com/maps/search/?api=1&amp;query=24.74113231,46.7541525", "View Map")</f>
        <v>View Map</v>
      </c>
    </row>
    <row r="6859" spans="1:7" x14ac:dyDescent="0.3">
      <c r="A6859" t="s">
        <v>28</v>
      </c>
      <c r="B6859" t="s">
        <v>12966</v>
      </c>
      <c r="C6859" t="s">
        <v>30</v>
      </c>
      <c r="D6859">
        <v>1.4970000000000001</v>
      </c>
      <c r="E6859">
        <v>479</v>
      </c>
      <c r="F6859" t="str">
        <f>HYPERLINK("https://www.google.com/maps/search/?api=1&amp;query=24.17546593,47.36678868", "View Map")</f>
        <v>View Map</v>
      </c>
    </row>
    <row r="6860" spans="1:7" x14ac:dyDescent="0.3">
      <c r="A6860" t="s">
        <v>12967</v>
      </c>
      <c r="B6860" t="s">
        <v>12968</v>
      </c>
      <c r="C6860" t="s">
        <v>255</v>
      </c>
      <c r="D6860">
        <v>1.4970000000000001</v>
      </c>
      <c r="E6860">
        <v>479</v>
      </c>
      <c r="F6860" t="str">
        <f>HYPERLINK("https://www.google.com/maps/search/?api=1&amp;query=24.37677441,43.66493844", "View Map")</f>
        <v>View Map</v>
      </c>
      <c r="G6860" s="2">
        <v>0.51408409117096909</v>
      </c>
    </row>
    <row r="6861" spans="1:7" x14ac:dyDescent="0.3">
      <c r="A6861" t="s">
        <v>12969</v>
      </c>
      <c r="B6861" t="s">
        <v>12970</v>
      </c>
      <c r="C6861" t="s">
        <v>8</v>
      </c>
      <c r="D6861">
        <v>1.4970000000000001</v>
      </c>
      <c r="E6861">
        <v>479</v>
      </c>
      <c r="F6861" t="str">
        <f>HYPERLINK("https://www.google.com/maps/search/?api=1&amp;query=24.68169511,46.65472561", "View Map")</f>
        <v>View Map</v>
      </c>
    </row>
    <row r="6862" spans="1:7" x14ac:dyDescent="0.3">
      <c r="A6862" t="s">
        <v>146</v>
      </c>
      <c r="B6862" t="s">
        <v>9302</v>
      </c>
      <c r="C6862" t="s">
        <v>8</v>
      </c>
      <c r="D6862">
        <v>1.496</v>
      </c>
      <c r="E6862">
        <v>479</v>
      </c>
      <c r="F6862" t="str">
        <f>HYPERLINK("https://www.google.com/maps/search/?api=1&amp;query=24.55333054,46.53252655", "View Map")</f>
        <v>View Map</v>
      </c>
    </row>
    <row r="6863" spans="1:7" x14ac:dyDescent="0.3">
      <c r="A6863" t="s">
        <v>10027</v>
      </c>
      <c r="B6863" t="s">
        <v>10028</v>
      </c>
      <c r="C6863" t="s">
        <v>30</v>
      </c>
      <c r="D6863">
        <v>1.4950000000000001</v>
      </c>
      <c r="E6863">
        <v>478</v>
      </c>
      <c r="F6863" t="str">
        <f>HYPERLINK("https://www.google.com/maps/search/?api=1&amp;query=24.07694626,47.25893452", "View Map")</f>
        <v>View Map</v>
      </c>
    </row>
    <row r="6864" spans="1:7" x14ac:dyDescent="0.3">
      <c r="A6864" t="s">
        <v>661</v>
      </c>
      <c r="B6864" t="s">
        <v>12971</v>
      </c>
      <c r="C6864" t="s">
        <v>214</v>
      </c>
      <c r="D6864">
        <v>1.4950000000000001</v>
      </c>
      <c r="E6864">
        <v>478</v>
      </c>
      <c r="F6864" t="str">
        <f>HYPERLINK("https://www.google.com/maps/search/?api=1&amp;query=25.71192087,45.46848729", "View Map")</f>
        <v>View Map</v>
      </c>
    </row>
    <row r="6865" spans="1:7" x14ac:dyDescent="0.3">
      <c r="A6865" t="s">
        <v>9829</v>
      </c>
      <c r="B6865" t="s">
        <v>9830</v>
      </c>
      <c r="C6865" t="s">
        <v>286</v>
      </c>
      <c r="D6865">
        <v>1.494</v>
      </c>
      <c r="E6865">
        <v>478</v>
      </c>
      <c r="F6865" t="str">
        <f>HYPERLINK("https://www.google.com/maps/search/?api=1&amp;query=25.25178451,45.21928217", "View Map")</f>
        <v>View Map</v>
      </c>
      <c r="G6865" s="2">
        <v>0.39004171533455689</v>
      </c>
    </row>
    <row r="6866" spans="1:7" x14ac:dyDescent="0.3">
      <c r="A6866" t="s">
        <v>46</v>
      </c>
      <c r="B6866" t="s">
        <v>12972</v>
      </c>
      <c r="C6866" t="s">
        <v>8</v>
      </c>
      <c r="D6866">
        <v>1.494</v>
      </c>
      <c r="E6866">
        <v>478</v>
      </c>
      <c r="F6866" t="str">
        <f>HYPERLINK("https://www.google.com/maps/search/?api=1&amp;query=24.72598495,46.74470903", "View Map")</f>
        <v>View Map</v>
      </c>
    </row>
    <row r="6867" spans="1:7" x14ac:dyDescent="0.3">
      <c r="A6867" t="s">
        <v>12973</v>
      </c>
      <c r="B6867" t="s">
        <v>12974</v>
      </c>
      <c r="C6867" t="s">
        <v>255</v>
      </c>
      <c r="D6867">
        <v>1.494</v>
      </c>
      <c r="E6867">
        <v>478</v>
      </c>
      <c r="F6867" t="str">
        <f>HYPERLINK("https://www.google.com/maps/search/?api=1&amp;query=24.54456886,44.43271592", "View Map")</f>
        <v>View Map</v>
      </c>
    </row>
    <row r="6868" spans="1:7" x14ac:dyDescent="0.3">
      <c r="A6868" t="s">
        <v>12975</v>
      </c>
      <c r="B6868" t="s">
        <v>12976</v>
      </c>
      <c r="C6868" t="s">
        <v>8</v>
      </c>
      <c r="D6868">
        <v>1.4930000000000001</v>
      </c>
      <c r="E6868">
        <v>478</v>
      </c>
      <c r="F6868" t="str">
        <f>HYPERLINK("https://www.google.com/maps/search/?api=1&amp;query=24.62987998,46.72607133", "View Map")</f>
        <v>View Map</v>
      </c>
    </row>
    <row r="6869" spans="1:7" x14ac:dyDescent="0.3">
      <c r="A6869" t="s">
        <v>12977</v>
      </c>
      <c r="B6869" t="s">
        <v>12978</v>
      </c>
      <c r="C6869" t="s">
        <v>21</v>
      </c>
      <c r="D6869">
        <v>1.4930000000000001</v>
      </c>
      <c r="E6869">
        <v>478</v>
      </c>
      <c r="F6869" t="str">
        <f>HYPERLINK("https://www.google.com/maps/search/?api=1&amp;query=26.31084787,44.79786931", "View Map")</f>
        <v>View Map</v>
      </c>
    </row>
    <row r="6870" spans="1:7" x14ac:dyDescent="0.3">
      <c r="A6870" t="s">
        <v>12979</v>
      </c>
      <c r="B6870" t="s">
        <v>12980</v>
      </c>
      <c r="C6870" t="s">
        <v>255</v>
      </c>
      <c r="D6870">
        <v>1.492</v>
      </c>
      <c r="E6870">
        <v>478</v>
      </c>
      <c r="F6870" t="str">
        <f>HYPERLINK("https://www.google.com/maps/search/?api=1&amp;query=24.68614109,43.724303", "View Map")</f>
        <v>View Map</v>
      </c>
    </row>
    <row r="6871" spans="1:7" x14ac:dyDescent="0.3">
      <c r="A6871" t="s">
        <v>12981</v>
      </c>
      <c r="B6871" t="s">
        <v>12982</v>
      </c>
      <c r="C6871" t="s">
        <v>8</v>
      </c>
      <c r="D6871">
        <v>1.492</v>
      </c>
      <c r="E6871">
        <v>477</v>
      </c>
      <c r="F6871" t="str">
        <f>HYPERLINK("https://www.google.com/maps/search/?api=1&amp;query=24.80892856,46.79385192", "View Map")</f>
        <v>View Map</v>
      </c>
    </row>
    <row r="6872" spans="1:7" x14ac:dyDescent="0.3">
      <c r="A6872" t="s">
        <v>146</v>
      </c>
      <c r="B6872" t="s">
        <v>12983</v>
      </c>
      <c r="C6872" t="s">
        <v>8</v>
      </c>
      <c r="D6872">
        <v>1.4910000000000001</v>
      </c>
      <c r="E6872">
        <v>477</v>
      </c>
      <c r="F6872" t="str">
        <f>HYPERLINK("https://www.google.com/maps/search/?api=1&amp;query=24.55650348,46.54637598", "View Map")</f>
        <v>View Map</v>
      </c>
    </row>
    <row r="6873" spans="1:7" x14ac:dyDescent="0.3">
      <c r="A6873" t="s">
        <v>12984</v>
      </c>
      <c r="B6873" t="s">
        <v>12985</v>
      </c>
      <c r="C6873" t="s">
        <v>8</v>
      </c>
      <c r="D6873">
        <v>1.49</v>
      </c>
      <c r="E6873">
        <v>477</v>
      </c>
      <c r="F6873" t="str">
        <f>HYPERLINK("https://www.google.com/maps/search/?api=1&amp;query=24.62166514,46.70277624", "View Map")</f>
        <v>View Map</v>
      </c>
    </row>
    <row r="6874" spans="1:7" x14ac:dyDescent="0.3">
      <c r="A6874" t="s">
        <v>11245</v>
      </c>
      <c r="B6874" t="s">
        <v>11246</v>
      </c>
      <c r="C6874" t="s">
        <v>393</v>
      </c>
      <c r="D6874">
        <v>1.49</v>
      </c>
      <c r="E6874">
        <v>477</v>
      </c>
      <c r="F6874" t="str">
        <f>HYPERLINK("https://www.google.com/maps/search/?api=1&amp;query=22.85694346,44.90787729", "View Map")</f>
        <v>View Map</v>
      </c>
      <c r="G6874" s="2">
        <v>0.91609389647567863</v>
      </c>
    </row>
    <row r="6875" spans="1:7" x14ac:dyDescent="0.3">
      <c r="A6875" t="s">
        <v>10990</v>
      </c>
      <c r="B6875" t="s">
        <v>10991</v>
      </c>
      <c r="C6875" t="s">
        <v>30</v>
      </c>
      <c r="D6875">
        <v>1.4890000000000001</v>
      </c>
      <c r="E6875">
        <v>477</v>
      </c>
      <c r="F6875" t="str">
        <f>HYPERLINK("https://www.google.com/maps/search/?api=1&amp;query=24.18787283,47.30629796", "View Map")</f>
        <v>View Map</v>
      </c>
      <c r="G6875" s="2">
        <v>0.8137260504371967</v>
      </c>
    </row>
    <row r="6876" spans="1:7" x14ac:dyDescent="0.3">
      <c r="A6876" t="s">
        <v>12986</v>
      </c>
      <c r="B6876" t="s">
        <v>12987</v>
      </c>
      <c r="C6876" t="s">
        <v>8</v>
      </c>
      <c r="D6876">
        <v>1.4890000000000001</v>
      </c>
      <c r="E6876">
        <v>476</v>
      </c>
      <c r="F6876" t="str">
        <f>HYPERLINK("https://www.google.com/maps/search/?api=1&amp;query=24.68785059,46.84633225", "View Map")</f>
        <v>View Map</v>
      </c>
    </row>
    <row r="6877" spans="1:7" x14ac:dyDescent="0.3">
      <c r="A6877" t="s">
        <v>8831</v>
      </c>
      <c r="B6877" t="s">
        <v>8832</v>
      </c>
      <c r="C6877" t="s">
        <v>8</v>
      </c>
      <c r="D6877">
        <v>1.4890000000000001</v>
      </c>
      <c r="E6877">
        <v>477</v>
      </c>
      <c r="F6877" t="str">
        <f>HYPERLINK("https://www.google.com/maps/search/?api=1&amp;query=24.75473524,46.67351567", "View Map")</f>
        <v>View Map</v>
      </c>
    </row>
    <row r="6878" spans="1:7" x14ac:dyDescent="0.3">
      <c r="A6878" t="s">
        <v>12988</v>
      </c>
      <c r="B6878" t="s">
        <v>12989</v>
      </c>
      <c r="C6878" t="s">
        <v>8</v>
      </c>
      <c r="D6878">
        <v>1.488</v>
      </c>
      <c r="E6878">
        <v>476</v>
      </c>
      <c r="F6878" t="str">
        <f>HYPERLINK("https://www.google.com/maps/search/?api=1&amp;query=24.5890359,46.5356876", "View Map")</f>
        <v>View Map</v>
      </c>
    </row>
    <row r="6879" spans="1:7" x14ac:dyDescent="0.3">
      <c r="A6879" t="s">
        <v>12990</v>
      </c>
      <c r="B6879" t="s">
        <v>12991</v>
      </c>
      <c r="C6879" t="s">
        <v>8</v>
      </c>
      <c r="D6879">
        <v>1.488</v>
      </c>
      <c r="E6879">
        <v>476</v>
      </c>
      <c r="F6879" t="str">
        <f>HYPERLINK("https://www.google.com/maps/search/?api=1&amp;query=24.76326932,46.61473566", "View Map")</f>
        <v>View Map</v>
      </c>
    </row>
    <row r="6880" spans="1:7" x14ac:dyDescent="0.3">
      <c r="A6880" t="s">
        <v>5118</v>
      </c>
      <c r="B6880" t="s">
        <v>12992</v>
      </c>
      <c r="C6880" t="s">
        <v>8</v>
      </c>
      <c r="D6880">
        <v>1.4870000000000001</v>
      </c>
      <c r="E6880">
        <v>476</v>
      </c>
      <c r="F6880" t="str">
        <f>HYPERLINK("https://www.google.com/maps/search/?api=1&amp;query=24.58647312,46.58842888", "View Map")</f>
        <v>View Map</v>
      </c>
    </row>
    <row r="6881" spans="1:7" x14ac:dyDescent="0.3">
      <c r="A6881" t="s">
        <v>146</v>
      </c>
      <c r="B6881" t="s">
        <v>7438</v>
      </c>
      <c r="C6881" t="s">
        <v>8</v>
      </c>
      <c r="D6881">
        <v>1.4870000000000001</v>
      </c>
      <c r="E6881">
        <v>476</v>
      </c>
      <c r="F6881" t="str">
        <f>HYPERLINK("https://www.google.com/maps/search/?api=1&amp;query=24.56492783,46.56110241", "View Map")</f>
        <v>View Map</v>
      </c>
    </row>
    <row r="6882" spans="1:7" x14ac:dyDescent="0.3">
      <c r="A6882" t="s">
        <v>8849</v>
      </c>
      <c r="B6882" t="s">
        <v>8850</v>
      </c>
      <c r="C6882" t="s">
        <v>8</v>
      </c>
      <c r="D6882">
        <v>1.486</v>
      </c>
      <c r="E6882">
        <v>475</v>
      </c>
      <c r="F6882" t="str">
        <f>HYPERLINK("https://www.google.com/maps/search/?api=1&amp;query=24.5990622,46.72573148", "View Map")</f>
        <v>View Map</v>
      </c>
    </row>
    <row r="6883" spans="1:7" x14ac:dyDescent="0.3">
      <c r="A6883" t="s">
        <v>8846</v>
      </c>
      <c r="B6883" t="s">
        <v>12993</v>
      </c>
      <c r="C6883" t="s">
        <v>55</v>
      </c>
      <c r="D6883">
        <v>1.486</v>
      </c>
      <c r="E6883">
        <v>476</v>
      </c>
      <c r="F6883" t="str">
        <f>HYPERLINK("https://www.google.com/maps/search/?api=1&amp;query=24.75218718,46.57424457", "View Map")</f>
        <v>View Map</v>
      </c>
    </row>
    <row r="6884" spans="1:7" x14ac:dyDescent="0.3">
      <c r="A6884" t="s">
        <v>12994</v>
      </c>
      <c r="B6884" t="s">
        <v>12995</v>
      </c>
      <c r="C6884" t="s">
        <v>699</v>
      </c>
      <c r="D6884">
        <v>1.486</v>
      </c>
      <c r="E6884">
        <v>475</v>
      </c>
      <c r="F6884" t="str">
        <f>HYPERLINK("https://www.google.com/maps/search/?api=1&amp;query=24.64968595,45.3254829", "View Map")</f>
        <v>View Map</v>
      </c>
      <c r="G6884" s="2">
        <v>0.52135220670065874</v>
      </c>
    </row>
    <row r="6885" spans="1:7" x14ac:dyDescent="0.3">
      <c r="A6885" t="s">
        <v>28</v>
      </c>
      <c r="B6885" t="s">
        <v>12996</v>
      </c>
      <c r="C6885" t="s">
        <v>30</v>
      </c>
      <c r="D6885">
        <v>1.4850000000000001</v>
      </c>
      <c r="E6885">
        <v>475</v>
      </c>
      <c r="F6885" t="str">
        <f>HYPERLINK("https://www.google.com/maps/search/?api=1&amp;query=24.31040348,47.16599009", "View Map")</f>
        <v>View Map</v>
      </c>
    </row>
    <row r="6886" spans="1:7" x14ac:dyDescent="0.3">
      <c r="A6886" t="s">
        <v>73</v>
      </c>
      <c r="B6886" t="s">
        <v>8774</v>
      </c>
      <c r="C6886" t="s">
        <v>8</v>
      </c>
      <c r="D6886">
        <v>1.4850000000000001</v>
      </c>
      <c r="E6886">
        <v>475</v>
      </c>
      <c r="F6886" t="str">
        <f>HYPERLINK("https://www.google.com/maps/search/?api=1&amp;query=24.83426654,46.64855176", "View Map")</f>
        <v>View Map</v>
      </c>
    </row>
    <row r="6887" spans="1:7" x14ac:dyDescent="0.3">
      <c r="A6887" t="s">
        <v>73</v>
      </c>
      <c r="B6887" t="s">
        <v>12997</v>
      </c>
      <c r="C6887" t="s">
        <v>55</v>
      </c>
      <c r="D6887">
        <v>1.4850000000000001</v>
      </c>
      <c r="E6887">
        <v>475</v>
      </c>
      <c r="F6887" t="str">
        <f>HYPERLINK("https://www.google.com/maps/search/?api=1&amp;query=24.90307178,46.32210076", "View Map")</f>
        <v>View Map</v>
      </c>
    </row>
    <row r="6888" spans="1:7" x14ac:dyDescent="0.3">
      <c r="A6888" t="s">
        <v>12998</v>
      </c>
      <c r="B6888" t="s">
        <v>12999</v>
      </c>
      <c r="C6888" t="s">
        <v>21</v>
      </c>
      <c r="D6888">
        <v>1.484</v>
      </c>
      <c r="E6888">
        <v>475</v>
      </c>
      <c r="F6888" t="str">
        <f>HYPERLINK("https://www.google.com/maps/search/?api=1&amp;query=26.39589252,44.50505657", "View Map")</f>
        <v>View Map</v>
      </c>
      <c r="G6888" s="2">
        <v>0.66676146797462199</v>
      </c>
    </row>
    <row r="6889" spans="1:7" x14ac:dyDescent="0.3">
      <c r="A6889" t="s">
        <v>13000</v>
      </c>
      <c r="B6889" t="s">
        <v>13001</v>
      </c>
      <c r="C6889" t="s">
        <v>8</v>
      </c>
      <c r="D6889">
        <v>1.484</v>
      </c>
      <c r="E6889">
        <v>475</v>
      </c>
      <c r="F6889" t="str">
        <f>HYPERLINK("https://www.google.com/maps/search/?api=1&amp;query=24.56399641,46.79825353", "View Map")</f>
        <v>View Map</v>
      </c>
    </row>
    <row r="6890" spans="1:7" x14ac:dyDescent="0.3">
      <c r="A6890" t="s">
        <v>10636</v>
      </c>
      <c r="B6890" t="s">
        <v>10637</v>
      </c>
      <c r="C6890" t="s">
        <v>8</v>
      </c>
      <c r="D6890">
        <v>1.4830000000000001</v>
      </c>
      <c r="E6890">
        <v>475</v>
      </c>
      <c r="F6890" t="str">
        <f>HYPERLINK("https://www.google.com/maps/search/?api=1&amp;query=24.59263564,46.66578172", "View Map")</f>
        <v>View Map</v>
      </c>
    </row>
    <row r="6891" spans="1:7" x14ac:dyDescent="0.3">
      <c r="A6891" t="s">
        <v>289</v>
      </c>
      <c r="B6891" t="s">
        <v>13002</v>
      </c>
      <c r="C6891" t="s">
        <v>291</v>
      </c>
      <c r="D6891">
        <v>1.4830000000000001</v>
      </c>
      <c r="E6891">
        <v>475</v>
      </c>
      <c r="F6891" t="str">
        <f>HYPERLINK("https://www.google.com/maps/search/?api=1&amp;query=24.33255449,45.80334462", "View Map")</f>
        <v>View Map</v>
      </c>
    </row>
    <row r="6892" spans="1:7" x14ac:dyDescent="0.3">
      <c r="A6892" t="s">
        <v>13003</v>
      </c>
      <c r="B6892" t="s">
        <v>13004</v>
      </c>
      <c r="C6892" t="s">
        <v>8</v>
      </c>
      <c r="D6892">
        <v>1.4830000000000001</v>
      </c>
      <c r="E6892">
        <v>475</v>
      </c>
      <c r="F6892" t="str">
        <f>HYPERLINK("https://www.google.com/maps/search/?api=1&amp;query=24.77552599,46.77317835", "View Map")</f>
        <v>View Map</v>
      </c>
    </row>
    <row r="6893" spans="1:7" x14ac:dyDescent="0.3">
      <c r="A6893" t="s">
        <v>10467</v>
      </c>
      <c r="B6893" t="s">
        <v>10468</v>
      </c>
      <c r="C6893" t="s">
        <v>8</v>
      </c>
      <c r="D6893">
        <v>1.4830000000000001</v>
      </c>
      <c r="E6893">
        <v>474</v>
      </c>
      <c r="F6893" t="str">
        <f>HYPERLINK("https://www.google.com/maps/search/?api=1&amp;query=24.6058,46.725", "View Map")</f>
        <v>View Map</v>
      </c>
    </row>
    <row r="6894" spans="1:7" x14ac:dyDescent="0.3">
      <c r="A6894" t="s">
        <v>11280</v>
      </c>
      <c r="B6894" t="s">
        <v>11281</v>
      </c>
      <c r="C6894" t="s">
        <v>255</v>
      </c>
      <c r="D6894">
        <v>1.4830000000000001</v>
      </c>
      <c r="E6894">
        <v>475</v>
      </c>
      <c r="F6894" t="str">
        <f>HYPERLINK("https://www.google.com/maps/search/?api=1&amp;query=25.08583256,43.77471867", "View Map")</f>
        <v>View Map</v>
      </c>
      <c r="G6894" s="2">
        <v>0.81844271761590748</v>
      </c>
    </row>
    <row r="6895" spans="1:7" x14ac:dyDescent="0.3">
      <c r="A6895" t="s">
        <v>13005</v>
      </c>
      <c r="B6895" t="s">
        <v>13006</v>
      </c>
      <c r="C6895" t="s">
        <v>8</v>
      </c>
      <c r="D6895">
        <v>1.482</v>
      </c>
      <c r="E6895">
        <v>474</v>
      </c>
      <c r="F6895" t="str">
        <f>HYPERLINK("https://www.google.com/maps/search/?api=1&amp;query=24.55608469,46.70008872", "View Map")</f>
        <v>View Map</v>
      </c>
    </row>
    <row r="6896" spans="1:7" x14ac:dyDescent="0.3">
      <c r="A6896" t="s">
        <v>13007</v>
      </c>
      <c r="B6896" t="s">
        <v>13008</v>
      </c>
      <c r="C6896" t="s">
        <v>4447</v>
      </c>
      <c r="D6896">
        <v>1.482</v>
      </c>
      <c r="E6896">
        <v>474</v>
      </c>
      <c r="F6896" t="str">
        <f>HYPERLINK("https://www.google.com/maps/search/?api=1&amp;query=24.32341822,41.95583995", "View Map")</f>
        <v>View Map</v>
      </c>
      <c r="G6896" s="2">
        <v>0.87670098213229197</v>
      </c>
    </row>
    <row r="6897" spans="1:7" x14ac:dyDescent="0.3">
      <c r="A6897" t="s">
        <v>1217</v>
      </c>
      <c r="B6897" t="s">
        <v>6844</v>
      </c>
      <c r="C6897" t="s">
        <v>8</v>
      </c>
      <c r="D6897">
        <v>1.482</v>
      </c>
      <c r="E6897">
        <v>474</v>
      </c>
      <c r="F6897" t="str">
        <f>HYPERLINK("https://www.google.com/maps/search/?api=1&amp;query=24.74608284,46.76153012", "View Map")</f>
        <v>View Map</v>
      </c>
    </row>
    <row r="6898" spans="1:7" x14ac:dyDescent="0.3">
      <c r="A6898" t="s">
        <v>3614</v>
      </c>
      <c r="B6898" t="s">
        <v>13009</v>
      </c>
      <c r="C6898" t="s">
        <v>8</v>
      </c>
      <c r="D6898">
        <v>1.482</v>
      </c>
      <c r="E6898">
        <v>474</v>
      </c>
      <c r="F6898" t="str">
        <f>HYPERLINK("https://www.google.com/maps/search/?api=1&amp;query=24.69096,46.66451", "View Map")</f>
        <v>View Map</v>
      </c>
    </row>
    <row r="6899" spans="1:7" x14ac:dyDescent="0.3">
      <c r="A6899" t="s">
        <v>4813</v>
      </c>
      <c r="B6899" t="s">
        <v>4814</v>
      </c>
      <c r="C6899" t="s">
        <v>30</v>
      </c>
      <c r="D6899">
        <v>1.48</v>
      </c>
      <c r="E6899">
        <v>474</v>
      </c>
      <c r="F6899" t="str">
        <f>HYPERLINK("https://www.google.com/maps/search/?api=1&amp;query=24.27912352,47.29054417", "View Map")</f>
        <v>View Map</v>
      </c>
      <c r="G6899" s="2">
        <v>0.17693433895542079</v>
      </c>
    </row>
    <row r="6900" spans="1:7" x14ac:dyDescent="0.3">
      <c r="A6900" t="s">
        <v>717</v>
      </c>
      <c r="B6900" t="s">
        <v>13010</v>
      </c>
      <c r="C6900" t="s">
        <v>255</v>
      </c>
      <c r="D6900">
        <v>1.48</v>
      </c>
      <c r="E6900">
        <v>474</v>
      </c>
      <c r="F6900" t="str">
        <f>HYPERLINK("https://www.google.com/maps/search/?api=1&amp;query=24.54344812,44.41959413", "View Map")</f>
        <v>View Map</v>
      </c>
      <c r="G6900" s="2">
        <v>0.45010944434393968</v>
      </c>
    </row>
    <row r="6901" spans="1:7" x14ac:dyDescent="0.3">
      <c r="A6901" t="s">
        <v>28</v>
      </c>
      <c r="B6901" t="s">
        <v>7591</v>
      </c>
      <c r="C6901" t="s">
        <v>30</v>
      </c>
      <c r="D6901">
        <v>1.48</v>
      </c>
      <c r="E6901">
        <v>474</v>
      </c>
      <c r="F6901" t="str">
        <f>HYPERLINK("https://www.google.com/maps/search/?api=1&amp;query=24.0945035,47.27503035", "View Map")</f>
        <v>View Map</v>
      </c>
    </row>
    <row r="6902" spans="1:7" x14ac:dyDescent="0.3">
      <c r="A6902" t="s">
        <v>13011</v>
      </c>
      <c r="B6902" t="s">
        <v>13012</v>
      </c>
      <c r="C6902" t="s">
        <v>8</v>
      </c>
      <c r="D6902">
        <v>1.48</v>
      </c>
      <c r="E6902">
        <v>474</v>
      </c>
      <c r="F6902" t="str">
        <f>HYPERLINK("https://www.google.com/maps/search/?api=1&amp;query=24.39533839,46.83610284", "View Map")</f>
        <v>View Map</v>
      </c>
    </row>
    <row r="6903" spans="1:7" x14ac:dyDescent="0.3">
      <c r="A6903" t="s">
        <v>13013</v>
      </c>
      <c r="B6903" t="s">
        <v>13014</v>
      </c>
      <c r="C6903" t="s">
        <v>8</v>
      </c>
      <c r="D6903">
        <v>1.4790000000000001</v>
      </c>
      <c r="E6903">
        <v>473</v>
      </c>
      <c r="F6903" t="str">
        <f>HYPERLINK("https://www.google.com/maps/search/?api=1&amp;query=24.61811536,46.71040133", "View Map")</f>
        <v>View Map</v>
      </c>
    </row>
    <row r="6904" spans="1:7" x14ac:dyDescent="0.3">
      <c r="A6904" t="s">
        <v>13015</v>
      </c>
      <c r="B6904" t="s">
        <v>13016</v>
      </c>
      <c r="C6904" t="s">
        <v>291</v>
      </c>
      <c r="D6904">
        <v>1.478</v>
      </c>
      <c r="E6904">
        <v>473</v>
      </c>
      <c r="F6904" t="str">
        <f>HYPERLINK("https://www.google.com/maps/search/?api=1&amp;query=24.26727731,45.09091772", "View Map")</f>
        <v>View Map</v>
      </c>
      <c r="G6904" s="2">
        <v>0.8914881838787978</v>
      </c>
    </row>
    <row r="6905" spans="1:7" x14ac:dyDescent="0.3">
      <c r="A6905" t="s">
        <v>1800</v>
      </c>
      <c r="B6905" t="s">
        <v>9546</v>
      </c>
      <c r="C6905" t="s">
        <v>8</v>
      </c>
      <c r="D6905">
        <v>1.4770000000000001</v>
      </c>
      <c r="E6905">
        <v>473</v>
      </c>
      <c r="F6905" t="str">
        <f>HYPERLINK("https://www.google.com/maps/search/?api=1&amp;query=24.58110768,46.66960263", "View Map")</f>
        <v>View Map</v>
      </c>
    </row>
    <row r="6906" spans="1:7" x14ac:dyDescent="0.3">
      <c r="A6906" t="s">
        <v>3885</v>
      </c>
      <c r="B6906" t="s">
        <v>3886</v>
      </c>
      <c r="C6906" t="s">
        <v>8</v>
      </c>
      <c r="D6906">
        <v>1.476</v>
      </c>
      <c r="E6906">
        <v>472</v>
      </c>
      <c r="F6906" t="str">
        <f>HYPERLINK("https://www.google.com/maps/search/?api=1&amp;query=24.60315557,46.76012041", "View Map")</f>
        <v>View Map</v>
      </c>
    </row>
    <row r="6907" spans="1:7" x14ac:dyDescent="0.3">
      <c r="A6907" t="s">
        <v>1384</v>
      </c>
      <c r="B6907" t="s">
        <v>1385</v>
      </c>
      <c r="C6907" t="s">
        <v>8</v>
      </c>
      <c r="D6907">
        <v>1.476</v>
      </c>
      <c r="E6907">
        <v>472</v>
      </c>
      <c r="F6907" t="str">
        <f>HYPERLINK("https://www.google.com/maps/search/?api=1&amp;query=24.59329185,46.73703888", "View Map")</f>
        <v>View Map</v>
      </c>
    </row>
    <row r="6908" spans="1:7" x14ac:dyDescent="0.3">
      <c r="A6908" t="s">
        <v>5415</v>
      </c>
      <c r="B6908" t="s">
        <v>5416</v>
      </c>
      <c r="C6908" t="s">
        <v>8</v>
      </c>
      <c r="D6908">
        <v>1.476</v>
      </c>
      <c r="E6908">
        <v>472</v>
      </c>
      <c r="F6908" t="str">
        <f>HYPERLINK("https://www.google.com/maps/search/?api=1&amp;query=24.72781865,46.85025775", "View Map")</f>
        <v>View Map</v>
      </c>
    </row>
    <row r="6909" spans="1:7" x14ac:dyDescent="0.3">
      <c r="A6909" t="s">
        <v>2063</v>
      </c>
      <c r="B6909" t="s">
        <v>13017</v>
      </c>
      <c r="C6909" t="s">
        <v>55</v>
      </c>
      <c r="D6909">
        <v>1.4750000000000001</v>
      </c>
      <c r="E6909">
        <v>472</v>
      </c>
      <c r="F6909" t="str">
        <f>HYPERLINK("https://www.google.com/maps/search/?api=1&amp;query=24.74740267,46.57847436", "View Map")</f>
        <v>View Map</v>
      </c>
    </row>
    <row r="6910" spans="1:7" x14ac:dyDescent="0.3">
      <c r="A6910" t="s">
        <v>1128</v>
      </c>
      <c r="B6910" t="s">
        <v>1129</v>
      </c>
      <c r="C6910" t="s">
        <v>30</v>
      </c>
      <c r="D6910">
        <v>1.4750000000000001</v>
      </c>
      <c r="E6910">
        <v>472</v>
      </c>
      <c r="F6910" t="str">
        <f>HYPERLINK("https://www.google.com/maps/search/?api=1&amp;query=24.12010915,47.27391282", "View Map")</f>
        <v>View Map</v>
      </c>
      <c r="G6910" s="2">
        <v>9.3110307852257906E-2</v>
      </c>
    </row>
    <row r="6911" spans="1:7" x14ac:dyDescent="0.3">
      <c r="A6911" t="s">
        <v>9905</v>
      </c>
      <c r="B6911" t="s">
        <v>9906</v>
      </c>
      <c r="C6911" t="s">
        <v>8</v>
      </c>
      <c r="D6911">
        <v>1.4750000000000001</v>
      </c>
      <c r="E6911">
        <v>472</v>
      </c>
      <c r="F6911" t="str">
        <f>HYPERLINK("https://www.google.com/maps/search/?api=1&amp;query=24.58987102,46.63173362", "View Map")</f>
        <v>View Map</v>
      </c>
    </row>
    <row r="6912" spans="1:7" x14ac:dyDescent="0.3">
      <c r="A6912" t="s">
        <v>7767</v>
      </c>
      <c r="B6912" t="s">
        <v>7768</v>
      </c>
      <c r="C6912" t="s">
        <v>8</v>
      </c>
      <c r="D6912">
        <v>1.4750000000000001</v>
      </c>
      <c r="E6912">
        <v>472</v>
      </c>
      <c r="F6912" t="str">
        <f>HYPERLINK("https://www.google.com/maps/search/?api=1&amp;query=24.56317835,46.71480819", "View Map")</f>
        <v>View Map</v>
      </c>
    </row>
    <row r="6913" spans="1:7" x14ac:dyDescent="0.3">
      <c r="A6913" t="s">
        <v>13018</v>
      </c>
      <c r="B6913" t="s">
        <v>13019</v>
      </c>
      <c r="C6913" t="s">
        <v>699</v>
      </c>
      <c r="D6913">
        <v>1.474</v>
      </c>
      <c r="E6913">
        <v>472</v>
      </c>
      <c r="F6913" t="str">
        <f>HYPERLINK("https://www.google.com/maps/search/?api=1&amp;query=25.07247809,45.45573358", "View Map")</f>
        <v>View Map</v>
      </c>
      <c r="G6913" s="2">
        <v>0.43037898499772848</v>
      </c>
    </row>
    <row r="6914" spans="1:7" x14ac:dyDescent="0.3">
      <c r="A6914" t="s">
        <v>2340</v>
      </c>
      <c r="B6914" t="s">
        <v>2341</v>
      </c>
      <c r="C6914" t="s">
        <v>8</v>
      </c>
      <c r="D6914">
        <v>1.4730000000000001</v>
      </c>
      <c r="E6914">
        <v>471</v>
      </c>
      <c r="F6914" t="str">
        <f>HYPERLINK("https://www.google.com/maps/search/?api=1&amp;query=24.81092047,46.66143227", "View Map")</f>
        <v>View Map</v>
      </c>
      <c r="G6914" s="2">
        <v>0.1043492591814338</v>
      </c>
    </row>
    <row r="6915" spans="1:7" x14ac:dyDescent="0.3">
      <c r="A6915" t="s">
        <v>13020</v>
      </c>
      <c r="B6915" t="s">
        <v>13021</v>
      </c>
      <c r="C6915" t="s">
        <v>30</v>
      </c>
      <c r="D6915">
        <v>1.4730000000000001</v>
      </c>
      <c r="E6915">
        <v>471</v>
      </c>
      <c r="F6915" t="str">
        <f>HYPERLINK("https://www.google.com/maps/search/?api=1&amp;query=24.15357513,47.3861784", "View Map")</f>
        <v>View Map</v>
      </c>
    </row>
    <row r="6916" spans="1:7" x14ac:dyDescent="0.3">
      <c r="A6916" t="s">
        <v>8665</v>
      </c>
      <c r="B6916" t="s">
        <v>8666</v>
      </c>
      <c r="C6916" t="s">
        <v>883</v>
      </c>
      <c r="D6916">
        <v>1.4710000000000001</v>
      </c>
      <c r="E6916">
        <v>471</v>
      </c>
      <c r="F6916" t="str">
        <f>HYPERLINK("https://www.google.com/maps/search/?api=1&amp;query=25.40939403,47.21216753", "View Map")</f>
        <v>View Map</v>
      </c>
    </row>
    <row r="6917" spans="1:7" x14ac:dyDescent="0.3">
      <c r="A6917" t="s">
        <v>11008</v>
      </c>
      <c r="B6917" t="s">
        <v>11009</v>
      </c>
      <c r="C6917" t="s">
        <v>393</v>
      </c>
      <c r="D6917">
        <v>1.4710000000000001</v>
      </c>
      <c r="E6917">
        <v>471</v>
      </c>
      <c r="F6917" t="str">
        <f>HYPERLINK("https://www.google.com/maps/search/?api=1&amp;query=23.5531045,45.46610883", "View Map")</f>
        <v>View Map</v>
      </c>
      <c r="G6917" s="2">
        <v>0.88345396497226159</v>
      </c>
    </row>
    <row r="6918" spans="1:7" x14ac:dyDescent="0.3">
      <c r="A6918" t="s">
        <v>7206</v>
      </c>
      <c r="B6918" t="s">
        <v>7207</v>
      </c>
      <c r="C6918" t="s">
        <v>296</v>
      </c>
      <c r="D6918">
        <v>1.47</v>
      </c>
      <c r="E6918">
        <v>470</v>
      </c>
      <c r="F6918" t="str">
        <f>HYPERLINK("https://www.google.com/maps/search/?api=1&amp;query=24.47564708,46.25107348", "View Map")</f>
        <v>View Map</v>
      </c>
    </row>
    <row r="6919" spans="1:7" x14ac:dyDescent="0.3">
      <c r="A6919" t="s">
        <v>46</v>
      </c>
      <c r="B6919" t="s">
        <v>13022</v>
      </c>
      <c r="C6919" t="s">
        <v>8</v>
      </c>
      <c r="D6919">
        <v>1.47</v>
      </c>
      <c r="E6919">
        <v>470</v>
      </c>
      <c r="F6919" t="str">
        <f>HYPERLINK("https://www.google.com/maps/search/?api=1&amp;query=24.87827169,46.61030736", "View Map")</f>
        <v>View Map</v>
      </c>
    </row>
    <row r="6920" spans="1:7" x14ac:dyDescent="0.3">
      <c r="A6920" t="s">
        <v>4427</v>
      </c>
      <c r="B6920" t="s">
        <v>4428</v>
      </c>
      <c r="C6920" t="s">
        <v>55</v>
      </c>
      <c r="D6920">
        <v>1.47</v>
      </c>
      <c r="E6920">
        <v>470</v>
      </c>
      <c r="F6920" t="str">
        <f>HYPERLINK("https://www.google.com/maps/search/?api=1&amp;query=24.74697581,46.5715762", "View Map")</f>
        <v>View Map</v>
      </c>
    </row>
    <row r="6921" spans="1:7" x14ac:dyDescent="0.3">
      <c r="A6921" t="s">
        <v>13023</v>
      </c>
      <c r="B6921" t="s">
        <v>13024</v>
      </c>
      <c r="C6921" t="s">
        <v>8</v>
      </c>
      <c r="D6921">
        <v>1.4690000000000001</v>
      </c>
      <c r="E6921">
        <v>470</v>
      </c>
      <c r="F6921" t="str">
        <f>HYPERLINK("https://www.google.com/maps/search/?api=1&amp;query=24.62333906,46.71066796", "View Map")</f>
        <v>View Map</v>
      </c>
    </row>
    <row r="6922" spans="1:7" x14ac:dyDescent="0.3">
      <c r="A6922" t="s">
        <v>2827</v>
      </c>
      <c r="B6922" t="s">
        <v>13025</v>
      </c>
      <c r="C6922" t="s">
        <v>8</v>
      </c>
      <c r="D6922">
        <v>1.468</v>
      </c>
      <c r="E6922">
        <v>470</v>
      </c>
      <c r="F6922" t="str">
        <f>HYPERLINK("https://www.google.com/maps/search/?api=1&amp;query=24.59681577,46.75703727", "View Map")</f>
        <v>View Map</v>
      </c>
      <c r="G6922" s="2">
        <v>0.80314052915915957</v>
      </c>
    </row>
    <row r="6923" spans="1:7" x14ac:dyDescent="0.3">
      <c r="A6923" t="s">
        <v>2499</v>
      </c>
      <c r="B6923" t="s">
        <v>2500</v>
      </c>
      <c r="C6923" t="s">
        <v>214</v>
      </c>
      <c r="D6923">
        <v>1.466</v>
      </c>
      <c r="E6923">
        <v>469</v>
      </c>
      <c r="F6923" t="str">
        <f>HYPERLINK("https://www.google.com/maps/search/?api=1&amp;query=25.62337307,45.57722311", "View Map")</f>
        <v>View Map</v>
      </c>
      <c r="G6923" s="2">
        <v>0.18174826745477701</v>
      </c>
    </row>
    <row r="6924" spans="1:7" x14ac:dyDescent="0.3">
      <c r="A6924" t="s">
        <v>146</v>
      </c>
      <c r="B6924" t="s">
        <v>13026</v>
      </c>
      <c r="C6924" t="s">
        <v>8</v>
      </c>
      <c r="D6924">
        <v>1.466</v>
      </c>
      <c r="E6924">
        <v>469</v>
      </c>
      <c r="F6924" t="str">
        <f>HYPERLINK("https://www.google.com/maps/search/?api=1&amp;query=24.55363955,46.6674507", "View Map")</f>
        <v>View Map</v>
      </c>
    </row>
    <row r="6925" spans="1:7" x14ac:dyDescent="0.3">
      <c r="A6925" t="s">
        <v>46</v>
      </c>
      <c r="B6925" t="s">
        <v>13027</v>
      </c>
      <c r="C6925" t="s">
        <v>8</v>
      </c>
      <c r="D6925">
        <v>1.4650000000000001</v>
      </c>
      <c r="E6925">
        <v>469</v>
      </c>
      <c r="F6925" t="str">
        <f>HYPERLINK("https://www.google.com/maps/search/?api=1&amp;query=24.84676895,46.87743294", "View Map")</f>
        <v>View Map</v>
      </c>
    </row>
    <row r="6926" spans="1:7" x14ac:dyDescent="0.3">
      <c r="A6926" t="s">
        <v>9134</v>
      </c>
      <c r="B6926" t="s">
        <v>9135</v>
      </c>
      <c r="C6926" t="s">
        <v>296</v>
      </c>
      <c r="D6926">
        <v>1.4650000000000001</v>
      </c>
      <c r="E6926">
        <v>469</v>
      </c>
      <c r="F6926" t="str">
        <f>HYPERLINK("https://www.google.com/maps/search/?api=1&amp;query=24.47774972,46.28249701", "View Map")</f>
        <v>View Map</v>
      </c>
    </row>
    <row r="6927" spans="1:7" x14ac:dyDescent="0.3">
      <c r="A6927" t="s">
        <v>13028</v>
      </c>
      <c r="B6927" t="s">
        <v>13029</v>
      </c>
      <c r="C6927" t="s">
        <v>8</v>
      </c>
      <c r="D6927">
        <v>1.464</v>
      </c>
      <c r="E6927">
        <v>469</v>
      </c>
      <c r="F6927" t="str">
        <f>HYPERLINK("https://www.google.com/maps/search/?api=1&amp;query=24.6081577,46.62912383", "View Map")</f>
        <v>View Map</v>
      </c>
    </row>
    <row r="6928" spans="1:7" x14ac:dyDescent="0.3">
      <c r="A6928" t="s">
        <v>46</v>
      </c>
      <c r="B6928" t="s">
        <v>10321</v>
      </c>
      <c r="C6928" t="s">
        <v>8</v>
      </c>
      <c r="D6928">
        <v>1.462</v>
      </c>
      <c r="E6928">
        <v>468</v>
      </c>
      <c r="F6928" t="str">
        <f>HYPERLINK("https://www.google.com/maps/search/?api=1&amp;query=24.55351955,46.78062111", "View Map")</f>
        <v>View Map</v>
      </c>
    </row>
    <row r="6929" spans="1:7" x14ac:dyDescent="0.3">
      <c r="A6929" t="s">
        <v>10138</v>
      </c>
      <c r="B6929" t="s">
        <v>10139</v>
      </c>
      <c r="C6929" t="s">
        <v>8</v>
      </c>
      <c r="D6929">
        <v>1.462</v>
      </c>
      <c r="E6929">
        <v>468</v>
      </c>
      <c r="F6929" t="str">
        <f>HYPERLINK("https://www.google.com/maps/search/?api=1&amp;query=24.81630679,46.72359517", "View Map")</f>
        <v>View Map</v>
      </c>
    </row>
    <row r="6930" spans="1:7" x14ac:dyDescent="0.3">
      <c r="A6930" t="s">
        <v>13030</v>
      </c>
      <c r="B6930" t="s">
        <v>13031</v>
      </c>
      <c r="C6930" t="s">
        <v>8</v>
      </c>
      <c r="D6930">
        <v>1.4610000000000001</v>
      </c>
      <c r="E6930">
        <v>468</v>
      </c>
      <c r="F6930" t="str">
        <f>HYPERLINK("https://www.google.com/maps/search/?api=1&amp;query=24.83005361,46.63946", "View Map")</f>
        <v>View Map</v>
      </c>
    </row>
    <row r="6931" spans="1:7" x14ac:dyDescent="0.3">
      <c r="A6931" t="s">
        <v>7058</v>
      </c>
      <c r="B6931" t="s">
        <v>13032</v>
      </c>
      <c r="C6931" t="s">
        <v>8</v>
      </c>
      <c r="D6931">
        <v>1.4610000000000001</v>
      </c>
      <c r="E6931">
        <v>467</v>
      </c>
      <c r="F6931" t="str">
        <f>HYPERLINK("https://www.google.com/maps/search/?api=1&amp;query=24.6494479,46.76635901", "View Map")</f>
        <v>View Map</v>
      </c>
    </row>
    <row r="6932" spans="1:7" x14ac:dyDescent="0.3">
      <c r="A6932" t="s">
        <v>13033</v>
      </c>
      <c r="B6932" t="s">
        <v>13034</v>
      </c>
      <c r="C6932" t="s">
        <v>55</v>
      </c>
      <c r="D6932">
        <v>1.4610000000000001</v>
      </c>
      <c r="E6932">
        <v>467</v>
      </c>
      <c r="F6932" t="str">
        <f>HYPERLINK("https://www.google.com/maps/search/?api=1&amp;query=24.73370642,46.60298807", "View Map")</f>
        <v>View Map</v>
      </c>
    </row>
    <row r="6933" spans="1:7" x14ac:dyDescent="0.3">
      <c r="A6933" t="s">
        <v>3410</v>
      </c>
      <c r="B6933" t="s">
        <v>3411</v>
      </c>
      <c r="C6933" t="s">
        <v>8</v>
      </c>
      <c r="D6933">
        <v>1.4610000000000001</v>
      </c>
      <c r="E6933">
        <v>468</v>
      </c>
      <c r="F6933" t="str">
        <f>HYPERLINK("https://www.google.com/maps/search/?api=1&amp;query=24.5738435,46.78920839", "View Map")</f>
        <v>View Map</v>
      </c>
    </row>
    <row r="6934" spans="1:7" x14ac:dyDescent="0.3">
      <c r="A6934" t="s">
        <v>3723</v>
      </c>
      <c r="B6934" t="s">
        <v>10589</v>
      </c>
      <c r="C6934" t="s">
        <v>8</v>
      </c>
      <c r="D6934">
        <v>1.4610000000000001</v>
      </c>
      <c r="E6934">
        <v>467</v>
      </c>
      <c r="F6934" t="str">
        <f>HYPERLINK("https://www.google.com/maps/search/?api=1&amp;query=24.73938537,46.66705395", "View Map")</f>
        <v>View Map</v>
      </c>
    </row>
    <row r="6935" spans="1:7" x14ac:dyDescent="0.3">
      <c r="A6935" t="s">
        <v>10686</v>
      </c>
      <c r="B6935" t="s">
        <v>10687</v>
      </c>
      <c r="C6935" t="s">
        <v>8</v>
      </c>
      <c r="D6935">
        <v>1.46</v>
      </c>
      <c r="E6935">
        <v>467</v>
      </c>
      <c r="F6935" t="str">
        <f>HYPERLINK("https://www.google.com/maps/search/?api=1&amp;query=24.70732,46.60866", "View Map")</f>
        <v>View Map</v>
      </c>
    </row>
    <row r="6936" spans="1:7" x14ac:dyDescent="0.3">
      <c r="A6936" t="s">
        <v>13035</v>
      </c>
      <c r="B6936" t="s">
        <v>13036</v>
      </c>
      <c r="C6936" t="s">
        <v>8</v>
      </c>
      <c r="D6936">
        <v>1.46</v>
      </c>
      <c r="E6936">
        <v>467</v>
      </c>
      <c r="F6936" t="str">
        <f>HYPERLINK("https://www.google.com/maps/search/?api=1&amp;query=24.63313076,46.70776823", "View Map")</f>
        <v>View Map</v>
      </c>
    </row>
    <row r="6937" spans="1:7" x14ac:dyDescent="0.3">
      <c r="A6937" t="s">
        <v>4757</v>
      </c>
      <c r="B6937" t="s">
        <v>4758</v>
      </c>
      <c r="C6937" t="s">
        <v>8</v>
      </c>
      <c r="D6937">
        <v>1.46</v>
      </c>
      <c r="E6937">
        <v>467</v>
      </c>
      <c r="F6937" t="str">
        <f>HYPERLINK("https://www.google.com/maps/search/?api=1&amp;query=24.79178461,46.82688877", "View Map")</f>
        <v>View Map</v>
      </c>
    </row>
    <row r="6938" spans="1:7" x14ac:dyDescent="0.3">
      <c r="A6938" t="s">
        <v>10769</v>
      </c>
      <c r="B6938" t="s">
        <v>10770</v>
      </c>
      <c r="C6938" t="s">
        <v>8</v>
      </c>
      <c r="D6938">
        <v>1.4590000000000001</v>
      </c>
      <c r="E6938">
        <v>467</v>
      </c>
      <c r="F6938" t="str">
        <f>HYPERLINK("https://www.google.com/maps/search/?api=1&amp;query=24.75348357,46.75402851", "View Map")</f>
        <v>View Map</v>
      </c>
    </row>
    <row r="6939" spans="1:7" x14ac:dyDescent="0.3">
      <c r="A6939" t="s">
        <v>13037</v>
      </c>
      <c r="B6939" t="s">
        <v>13038</v>
      </c>
      <c r="C6939" t="s">
        <v>8</v>
      </c>
      <c r="D6939">
        <v>1.4590000000000001</v>
      </c>
      <c r="E6939">
        <v>467</v>
      </c>
      <c r="F6939" t="str">
        <f>HYPERLINK("https://www.google.com/maps/search/?api=1&amp;query=24.63385889,46.68761887", "View Map")</f>
        <v>View Map</v>
      </c>
    </row>
    <row r="6940" spans="1:7" x14ac:dyDescent="0.3">
      <c r="A6940" t="s">
        <v>661</v>
      </c>
      <c r="B6940" t="s">
        <v>13039</v>
      </c>
      <c r="C6940" t="s">
        <v>214</v>
      </c>
      <c r="D6940">
        <v>1.458</v>
      </c>
      <c r="E6940">
        <v>467</v>
      </c>
      <c r="F6940" t="str">
        <f>HYPERLINK("https://www.google.com/maps/search/?api=1&amp;query=25.59788567,45.6459508", "View Map")</f>
        <v>View Map</v>
      </c>
      <c r="G6940" s="2">
        <v>0.51735256645878669</v>
      </c>
    </row>
    <row r="6941" spans="1:7" x14ac:dyDescent="0.3">
      <c r="A6941" t="s">
        <v>10291</v>
      </c>
      <c r="B6941" t="s">
        <v>10292</v>
      </c>
      <c r="C6941" t="s">
        <v>364</v>
      </c>
      <c r="D6941">
        <v>1.4570000000000001</v>
      </c>
      <c r="E6941">
        <v>466</v>
      </c>
      <c r="F6941" t="str">
        <f>HYPERLINK("https://www.google.com/maps/search/?api=1&amp;query=25.25178521,45.87034996", "View Map")</f>
        <v>View Map</v>
      </c>
    </row>
    <row r="6942" spans="1:7" x14ac:dyDescent="0.3">
      <c r="A6942" t="s">
        <v>13040</v>
      </c>
      <c r="B6942" t="s">
        <v>13041</v>
      </c>
      <c r="C6942" t="s">
        <v>30</v>
      </c>
      <c r="D6942">
        <v>1.456</v>
      </c>
      <c r="E6942">
        <v>466</v>
      </c>
      <c r="F6942" t="str">
        <f>HYPERLINK("https://www.google.com/maps/search/?api=1&amp;query=24.17901,47.28288", "View Map")</f>
        <v>View Map</v>
      </c>
    </row>
    <row r="6943" spans="1:7" x14ac:dyDescent="0.3">
      <c r="A6943" t="s">
        <v>13042</v>
      </c>
      <c r="B6943" t="s">
        <v>13043</v>
      </c>
      <c r="C6943" t="s">
        <v>21</v>
      </c>
      <c r="D6943">
        <v>1.4550000000000001</v>
      </c>
      <c r="E6943">
        <v>466</v>
      </c>
      <c r="F6943" t="str">
        <f>HYPERLINK("https://www.google.com/maps/search/?api=1&amp;query=26.29920334,44.80223512", "View Map")</f>
        <v>View Map</v>
      </c>
    </row>
    <row r="6944" spans="1:7" x14ac:dyDescent="0.3">
      <c r="A6944" t="s">
        <v>13044</v>
      </c>
      <c r="B6944" t="s">
        <v>13045</v>
      </c>
      <c r="C6944" t="s">
        <v>8</v>
      </c>
      <c r="D6944">
        <v>1.4550000000000001</v>
      </c>
      <c r="E6944">
        <v>466</v>
      </c>
      <c r="F6944" t="str">
        <f>HYPERLINK("https://www.google.com/maps/search/?api=1&amp;query=24.57021467,46.68724768", "View Map")</f>
        <v>View Map</v>
      </c>
    </row>
    <row r="6945" spans="1:7" x14ac:dyDescent="0.3">
      <c r="A6945" t="s">
        <v>28</v>
      </c>
      <c r="B6945" t="s">
        <v>4877</v>
      </c>
      <c r="C6945" t="s">
        <v>30</v>
      </c>
      <c r="D6945">
        <v>1.4550000000000001</v>
      </c>
      <c r="E6945">
        <v>466</v>
      </c>
      <c r="F6945" t="str">
        <f>HYPERLINK("https://www.google.com/maps/search/?api=1&amp;query=24.10724635,47.26312493", "View Map")</f>
        <v>View Map</v>
      </c>
    </row>
    <row r="6946" spans="1:7" x14ac:dyDescent="0.3">
      <c r="A6946" t="s">
        <v>13046</v>
      </c>
      <c r="B6946" t="s">
        <v>13047</v>
      </c>
      <c r="C6946" t="s">
        <v>8</v>
      </c>
      <c r="D6946">
        <v>1.454</v>
      </c>
      <c r="E6946">
        <v>465</v>
      </c>
      <c r="F6946" t="str">
        <f>HYPERLINK("https://www.google.com/maps/search/?api=1&amp;query=24.59983388,46.67914605", "View Map")</f>
        <v>View Map</v>
      </c>
    </row>
    <row r="6947" spans="1:7" x14ac:dyDescent="0.3">
      <c r="A6947" t="s">
        <v>8229</v>
      </c>
      <c r="B6947" t="s">
        <v>8230</v>
      </c>
      <c r="C6947" t="s">
        <v>8</v>
      </c>
      <c r="D6947">
        <v>1.454</v>
      </c>
      <c r="E6947">
        <v>465</v>
      </c>
      <c r="F6947" t="str">
        <f>HYPERLINK("https://www.google.com/maps/search/?api=1&amp;query=24.58625121,46.69313837", "View Map")</f>
        <v>View Map</v>
      </c>
    </row>
    <row r="6948" spans="1:7" x14ac:dyDescent="0.3">
      <c r="A6948" t="s">
        <v>46</v>
      </c>
      <c r="B6948" t="s">
        <v>13048</v>
      </c>
      <c r="C6948" t="s">
        <v>8</v>
      </c>
      <c r="D6948">
        <v>1.4530000000000001</v>
      </c>
      <c r="E6948">
        <v>465</v>
      </c>
      <c r="F6948" t="str">
        <f>HYPERLINK("https://www.google.com/maps/search/?api=1&amp;query=24.78534069,46.90647111", "View Map")</f>
        <v>View Map</v>
      </c>
    </row>
    <row r="6949" spans="1:7" x14ac:dyDescent="0.3">
      <c r="A6949" t="s">
        <v>13049</v>
      </c>
      <c r="B6949" t="s">
        <v>13050</v>
      </c>
      <c r="C6949" t="s">
        <v>8</v>
      </c>
      <c r="D6949">
        <v>1.452</v>
      </c>
      <c r="E6949">
        <v>465</v>
      </c>
      <c r="F6949" t="str">
        <f>HYPERLINK("https://www.google.com/maps/search/?api=1&amp;query=24.61701172,46.51854438", "View Map")</f>
        <v>View Map</v>
      </c>
    </row>
    <row r="6950" spans="1:7" x14ac:dyDescent="0.3">
      <c r="A6950" t="s">
        <v>10445</v>
      </c>
      <c r="B6950" t="s">
        <v>10446</v>
      </c>
      <c r="C6950" t="s">
        <v>286</v>
      </c>
      <c r="D6950">
        <v>1.4490000000000001</v>
      </c>
      <c r="E6950">
        <v>464</v>
      </c>
      <c r="F6950" t="str">
        <f>HYPERLINK("https://www.google.com/maps/search/?api=1&amp;query=25.21522981,45.24311928", "View Map")</f>
        <v>View Map</v>
      </c>
    </row>
    <row r="6951" spans="1:7" x14ac:dyDescent="0.3">
      <c r="A6951" t="s">
        <v>46</v>
      </c>
      <c r="B6951" t="s">
        <v>13051</v>
      </c>
      <c r="C6951" t="s">
        <v>8</v>
      </c>
      <c r="D6951">
        <v>1.448</v>
      </c>
      <c r="E6951">
        <v>463</v>
      </c>
      <c r="F6951" t="str">
        <f>HYPERLINK("https://www.google.com/maps/search/?api=1&amp;query=24.87178331,46.63353777", "View Map")</f>
        <v>View Map</v>
      </c>
    </row>
    <row r="6952" spans="1:7" x14ac:dyDescent="0.3">
      <c r="A6952" t="s">
        <v>2063</v>
      </c>
      <c r="B6952" t="s">
        <v>9084</v>
      </c>
      <c r="C6952" t="s">
        <v>8</v>
      </c>
      <c r="D6952">
        <v>1.448</v>
      </c>
      <c r="E6952">
        <v>464</v>
      </c>
      <c r="F6952" t="str">
        <f>HYPERLINK("https://www.google.com/maps/search/?api=1&amp;query=24.80847403,46.90424685", "View Map")</f>
        <v>View Map</v>
      </c>
    </row>
    <row r="6953" spans="1:7" x14ac:dyDescent="0.3">
      <c r="A6953" t="s">
        <v>13052</v>
      </c>
      <c r="B6953" t="s">
        <v>13053</v>
      </c>
      <c r="C6953" t="s">
        <v>16</v>
      </c>
      <c r="D6953">
        <v>1.448</v>
      </c>
      <c r="E6953">
        <v>463</v>
      </c>
      <c r="F6953" t="str">
        <f>HYPERLINK("https://www.google.com/maps/search/?api=1&amp;query=23.83110245,42.8348754", "View Map")</f>
        <v>View Map</v>
      </c>
    </row>
    <row r="6954" spans="1:7" x14ac:dyDescent="0.3">
      <c r="A6954" t="s">
        <v>4534</v>
      </c>
      <c r="B6954" t="s">
        <v>4535</v>
      </c>
      <c r="C6954" t="s">
        <v>8</v>
      </c>
      <c r="D6954">
        <v>1.444</v>
      </c>
      <c r="E6954">
        <v>462</v>
      </c>
      <c r="F6954" t="str">
        <f>HYPERLINK("https://www.google.com/maps/search/?api=1&amp;query=24.39324164,46.83622297", "View Map")</f>
        <v>View Map</v>
      </c>
      <c r="G6954" s="2">
        <v>0.15085867727789279</v>
      </c>
    </row>
    <row r="6955" spans="1:7" x14ac:dyDescent="0.3">
      <c r="A6955" t="s">
        <v>11247</v>
      </c>
      <c r="B6955" t="s">
        <v>11248</v>
      </c>
      <c r="C6955" t="s">
        <v>241</v>
      </c>
      <c r="D6955">
        <v>1.4419999999999999</v>
      </c>
      <c r="E6955">
        <v>461</v>
      </c>
      <c r="F6955" t="str">
        <f>HYPERLINK("https://www.google.com/maps/search/?api=1&amp;query=21.58537837,43.95638325", "View Map")</f>
        <v>View Map</v>
      </c>
      <c r="G6955" s="2">
        <v>0.66657058547566617</v>
      </c>
    </row>
    <row r="6956" spans="1:7" x14ac:dyDescent="0.3">
      <c r="A6956" t="s">
        <v>3554</v>
      </c>
      <c r="B6956" t="s">
        <v>7332</v>
      </c>
      <c r="C6956" t="s">
        <v>8</v>
      </c>
      <c r="D6956">
        <v>1.44</v>
      </c>
      <c r="E6956">
        <v>461</v>
      </c>
      <c r="F6956" t="str">
        <f>HYPERLINK("https://www.google.com/maps/search/?api=1&amp;query=24.58620477,46.77999275", "View Map")</f>
        <v>View Map</v>
      </c>
    </row>
    <row r="6957" spans="1:7" x14ac:dyDescent="0.3">
      <c r="A6957" t="s">
        <v>242</v>
      </c>
      <c r="B6957" t="s">
        <v>10020</v>
      </c>
      <c r="C6957" t="s">
        <v>8</v>
      </c>
      <c r="D6957">
        <v>1.4390000000000001</v>
      </c>
      <c r="E6957">
        <v>461</v>
      </c>
      <c r="F6957" t="str">
        <f>HYPERLINK("https://www.google.com/maps/search/?api=1&amp;query=24.77664649,46.78707668", "View Map")</f>
        <v>View Map</v>
      </c>
    </row>
    <row r="6958" spans="1:7" x14ac:dyDescent="0.3">
      <c r="A6958" t="s">
        <v>990</v>
      </c>
      <c r="B6958" t="s">
        <v>7380</v>
      </c>
      <c r="C6958" t="s">
        <v>8</v>
      </c>
      <c r="D6958">
        <v>1.4390000000000001</v>
      </c>
      <c r="E6958">
        <v>461</v>
      </c>
      <c r="F6958" t="str">
        <f>HYPERLINK("https://www.google.com/maps/search/?api=1&amp;query=24.69406624,46.79645886", "View Map")</f>
        <v>View Map</v>
      </c>
    </row>
    <row r="6959" spans="1:7" x14ac:dyDescent="0.3">
      <c r="A6959" t="s">
        <v>3933</v>
      </c>
      <c r="B6959" t="s">
        <v>13054</v>
      </c>
      <c r="C6959" t="s">
        <v>8</v>
      </c>
      <c r="D6959">
        <v>1.4359999999999999</v>
      </c>
      <c r="E6959">
        <v>460</v>
      </c>
      <c r="F6959" t="str">
        <f>HYPERLINK("https://www.google.com/maps/search/?api=1&amp;query=24.79150848,46.77626989", "View Map")</f>
        <v>View Map</v>
      </c>
    </row>
    <row r="6960" spans="1:7" x14ac:dyDescent="0.3">
      <c r="A6960" t="s">
        <v>13055</v>
      </c>
      <c r="B6960" t="s">
        <v>13056</v>
      </c>
      <c r="C6960" t="s">
        <v>137</v>
      </c>
      <c r="D6960">
        <v>1.4350000000000001</v>
      </c>
      <c r="E6960">
        <v>459</v>
      </c>
      <c r="F6960" t="str">
        <f>HYPERLINK("https://www.google.com/maps/search/?api=1&amp;query=23.45718204,46.80317686", "View Map")</f>
        <v>View Map</v>
      </c>
      <c r="G6960" s="2">
        <v>0.72444439541034655</v>
      </c>
    </row>
    <row r="6961" spans="1:7" x14ac:dyDescent="0.3">
      <c r="A6961" t="s">
        <v>13057</v>
      </c>
      <c r="B6961" t="s">
        <v>13058</v>
      </c>
      <c r="C6961" t="s">
        <v>8</v>
      </c>
      <c r="D6961">
        <v>1.4350000000000001</v>
      </c>
      <c r="E6961">
        <v>459</v>
      </c>
      <c r="F6961" t="str">
        <f>HYPERLINK("https://www.google.com/maps/search/?api=1&amp;query=24.74673111,46.6790529", "View Map")</f>
        <v>View Map</v>
      </c>
    </row>
    <row r="6962" spans="1:7" x14ac:dyDescent="0.3">
      <c r="A6962" t="s">
        <v>717</v>
      </c>
      <c r="B6962" t="s">
        <v>9944</v>
      </c>
      <c r="C6962" t="s">
        <v>255</v>
      </c>
      <c r="D6962">
        <v>1.43</v>
      </c>
      <c r="E6962">
        <v>458</v>
      </c>
      <c r="F6962" t="str">
        <f>HYPERLINK("https://www.google.com/maps/search/?api=1&amp;query=24.51417729,44.38954389", "View Map")</f>
        <v>View Map</v>
      </c>
    </row>
    <row r="6963" spans="1:7" x14ac:dyDescent="0.3">
      <c r="A6963" t="s">
        <v>13059</v>
      </c>
      <c r="B6963" t="s">
        <v>13060</v>
      </c>
      <c r="C6963" t="s">
        <v>255</v>
      </c>
      <c r="D6963">
        <v>1.429</v>
      </c>
      <c r="E6963">
        <v>457</v>
      </c>
      <c r="F6963" t="str">
        <f>HYPERLINK("https://www.google.com/maps/search/?api=1&amp;query=24.70509199,43.75473471", "View Map")</f>
        <v>View Map</v>
      </c>
    </row>
    <row r="6964" spans="1:7" x14ac:dyDescent="0.3">
      <c r="A6964" t="s">
        <v>13061</v>
      </c>
      <c r="B6964" t="s">
        <v>13062</v>
      </c>
      <c r="C6964" t="s">
        <v>8</v>
      </c>
      <c r="D6964">
        <v>1.427</v>
      </c>
      <c r="E6964">
        <v>457</v>
      </c>
      <c r="F6964" t="str">
        <f>HYPERLINK("https://www.google.com/maps/search/?api=1&amp;query=24.60471303,46.72765608", "View Map")</f>
        <v>View Map</v>
      </c>
    </row>
    <row r="6965" spans="1:7" x14ac:dyDescent="0.3">
      <c r="A6965" t="s">
        <v>4636</v>
      </c>
      <c r="B6965" t="s">
        <v>10942</v>
      </c>
      <c r="C6965" t="s">
        <v>8</v>
      </c>
      <c r="D6965">
        <v>1.4239999999999999</v>
      </c>
      <c r="E6965">
        <v>456</v>
      </c>
      <c r="F6965" t="str">
        <f>HYPERLINK("https://www.google.com/maps/search/?api=1&amp;query=24.74345091,46.75898679", "View Map")</f>
        <v>View Map</v>
      </c>
    </row>
    <row r="6966" spans="1:7" x14ac:dyDescent="0.3">
      <c r="A6966" t="s">
        <v>13063</v>
      </c>
      <c r="B6966" t="s">
        <v>13064</v>
      </c>
      <c r="C6966" t="s">
        <v>137</v>
      </c>
      <c r="D6966">
        <v>1.4219999999999999</v>
      </c>
      <c r="E6966">
        <v>455</v>
      </c>
      <c r="F6966" t="str">
        <f>HYPERLINK("https://www.google.com/maps/search/?api=1&amp;query=23.25689131,46.18983579", "View Map")</f>
        <v>View Map</v>
      </c>
      <c r="G6966" s="2">
        <v>0.68964937866261977</v>
      </c>
    </row>
    <row r="6967" spans="1:7" x14ac:dyDescent="0.3">
      <c r="A6967" t="s">
        <v>13065</v>
      </c>
      <c r="B6967" t="s">
        <v>13066</v>
      </c>
      <c r="C6967" t="s">
        <v>291</v>
      </c>
      <c r="D6967">
        <v>1.42</v>
      </c>
      <c r="E6967">
        <v>454</v>
      </c>
      <c r="F6967" t="str">
        <f>HYPERLINK("https://www.google.com/maps/search/?api=1&amp;query=24.32968697,45.77676744", "View Map")</f>
        <v>View Map</v>
      </c>
      <c r="G6967" s="2">
        <v>0.84887483714337919</v>
      </c>
    </row>
    <row r="6968" spans="1:7" x14ac:dyDescent="0.3">
      <c r="A6968" t="s">
        <v>9223</v>
      </c>
      <c r="B6968" t="s">
        <v>11272</v>
      </c>
      <c r="C6968" t="s">
        <v>8</v>
      </c>
      <c r="D6968">
        <v>1.413</v>
      </c>
      <c r="E6968">
        <v>452</v>
      </c>
      <c r="F6968" t="str">
        <f>HYPERLINK("https://www.google.com/maps/search/?api=1&amp;query=24.77722624,46.79580449", "View Map")</f>
        <v>View Map</v>
      </c>
    </row>
    <row r="6969" spans="1:7" x14ac:dyDescent="0.3">
      <c r="A6969" t="s">
        <v>2597</v>
      </c>
      <c r="B6969" t="s">
        <v>13067</v>
      </c>
      <c r="C6969" t="s">
        <v>291</v>
      </c>
      <c r="D6969">
        <v>1.403</v>
      </c>
      <c r="E6969">
        <v>449</v>
      </c>
      <c r="F6969" t="str">
        <f>HYPERLINK("https://www.google.com/maps/search/?api=1&amp;query=23.61969235,44.76419941", "View Map")</f>
        <v>View Map</v>
      </c>
      <c r="G6969" s="2">
        <v>0.47258955438472727</v>
      </c>
    </row>
    <row r="6970" spans="1:7" x14ac:dyDescent="0.3">
      <c r="A6970" t="s">
        <v>13068</v>
      </c>
      <c r="B6970" t="s">
        <v>13069</v>
      </c>
      <c r="C6970" t="s">
        <v>8</v>
      </c>
      <c r="D6970">
        <v>1.4019999999999999</v>
      </c>
      <c r="E6970">
        <v>449</v>
      </c>
      <c r="F6970" t="str">
        <f>HYPERLINK("https://www.google.com/maps/search/?api=1&amp;query=24.63823384,46.72534517", "View Map")</f>
        <v>View Map</v>
      </c>
    </row>
    <row r="6971" spans="1:7" x14ac:dyDescent="0.3">
      <c r="A6971" t="s">
        <v>11243</v>
      </c>
      <c r="B6971" t="s">
        <v>11244</v>
      </c>
      <c r="C6971" t="s">
        <v>8</v>
      </c>
      <c r="D6971">
        <v>1.395</v>
      </c>
      <c r="E6971">
        <v>446</v>
      </c>
      <c r="F6971" t="str">
        <f>HYPERLINK("https://www.google.com/maps/search/?api=1&amp;query=24.5444917,46.69517782", "View Map")</f>
        <v>View Map</v>
      </c>
    </row>
    <row r="6972" spans="1:7" x14ac:dyDescent="0.3">
      <c r="A6972" t="s">
        <v>9736</v>
      </c>
      <c r="B6972" t="s">
        <v>9737</v>
      </c>
      <c r="C6972" t="s">
        <v>8</v>
      </c>
      <c r="D6972">
        <v>1.3879999999999999</v>
      </c>
      <c r="E6972">
        <v>444</v>
      </c>
      <c r="F6972" t="str">
        <f>HYPERLINK("https://www.google.com/maps/search/?api=1&amp;query=24.58478014,46.6869654", "View Map")</f>
        <v>View Map</v>
      </c>
    </row>
    <row r="6973" spans="1:7" x14ac:dyDescent="0.3">
      <c r="A6973" t="s">
        <v>13070</v>
      </c>
      <c r="B6973" t="s">
        <v>13071</v>
      </c>
      <c r="C6973" t="s">
        <v>8</v>
      </c>
      <c r="D6973">
        <v>1.3859999999999999</v>
      </c>
      <c r="E6973">
        <v>444</v>
      </c>
      <c r="F6973" t="str">
        <f>HYPERLINK("https://www.google.com/maps/search/?api=1&amp;query=24.57289128,46.84907569", "View Map")</f>
        <v>View Map</v>
      </c>
    </row>
    <row r="6974" spans="1:7" x14ac:dyDescent="0.3">
      <c r="A6974" t="s">
        <v>13072</v>
      </c>
      <c r="B6974" t="s">
        <v>13073</v>
      </c>
      <c r="C6974" t="s">
        <v>214</v>
      </c>
      <c r="D6974">
        <v>1.373</v>
      </c>
      <c r="E6974">
        <v>439</v>
      </c>
      <c r="F6974" t="str">
        <f>HYPERLINK("https://www.google.com/maps/search/?api=1&amp;query=26.8617754,45.23786413", "View Map")</f>
        <v>View Map</v>
      </c>
      <c r="G6974" s="2">
        <v>0.46656784757295899</v>
      </c>
    </row>
    <row r="6975" spans="1:7" x14ac:dyDescent="0.3">
      <c r="A6975" t="s">
        <v>1594</v>
      </c>
      <c r="B6975" t="s">
        <v>9155</v>
      </c>
      <c r="C6975" t="s">
        <v>296</v>
      </c>
      <c r="D6975">
        <v>1.371</v>
      </c>
      <c r="E6975">
        <v>439</v>
      </c>
      <c r="F6975" t="str">
        <f>HYPERLINK("https://www.google.com/maps/search/?api=1&amp;query=24.45537065,46.25714656", "View Map")</f>
        <v>View Map</v>
      </c>
      <c r="G6975" s="2">
        <v>0.36823221525892741</v>
      </c>
    </row>
    <row r="6976" spans="1:7" x14ac:dyDescent="0.3">
      <c r="A6976" t="s">
        <v>28</v>
      </c>
      <c r="B6976" t="s">
        <v>13074</v>
      </c>
      <c r="C6976" t="s">
        <v>30</v>
      </c>
      <c r="D6976">
        <v>1.333</v>
      </c>
      <c r="E6976">
        <v>426</v>
      </c>
      <c r="F6976" t="str">
        <f>HYPERLINK("https://www.google.com/maps/search/?api=1&amp;query=24.13827832,47.26908974", "View Map")</f>
        <v>View Map</v>
      </c>
    </row>
    <row r="6977" spans="1:7" x14ac:dyDescent="0.3">
      <c r="A6977" t="s">
        <v>13075</v>
      </c>
      <c r="B6977" t="s">
        <v>13076</v>
      </c>
      <c r="C6977" t="s">
        <v>77</v>
      </c>
      <c r="D6977">
        <v>1.3320000000000001</v>
      </c>
      <c r="E6977">
        <v>426</v>
      </c>
      <c r="F6977" t="str">
        <f>HYPERLINK("https://www.google.com/maps/search/?api=1&amp;query=22.43293291,46.19421957", "View Map")</f>
        <v>View Map</v>
      </c>
      <c r="G6977" s="2">
        <v>0.48205192049529999</v>
      </c>
    </row>
    <row r="6978" spans="1:7" x14ac:dyDescent="0.3">
      <c r="A6978" t="s">
        <v>146</v>
      </c>
      <c r="B6978" t="s">
        <v>11126</v>
      </c>
      <c r="C6978" t="s">
        <v>8</v>
      </c>
      <c r="D6978">
        <v>1.3320000000000001</v>
      </c>
      <c r="E6978">
        <v>426</v>
      </c>
      <c r="F6978" t="str">
        <f>HYPERLINK("https://www.google.com/maps/search/?api=1&amp;query=24.55924152,46.52838656", "View Map")</f>
        <v>View Map</v>
      </c>
    </row>
    <row r="6979" spans="1:7" x14ac:dyDescent="0.3">
      <c r="A6979" t="s">
        <v>13077</v>
      </c>
      <c r="B6979" t="s">
        <v>13078</v>
      </c>
      <c r="C6979" t="s">
        <v>8</v>
      </c>
      <c r="D6979">
        <v>1.3260000000000001</v>
      </c>
      <c r="E6979">
        <v>424</v>
      </c>
      <c r="F6979" t="str">
        <f>HYPERLINK("https://www.google.com/maps/search/?api=1&amp;query=24.59314562,46.71031256", "View Map")</f>
        <v>View Map</v>
      </c>
    </row>
    <row r="6980" spans="1:7" x14ac:dyDescent="0.3">
      <c r="A6980" t="s">
        <v>3735</v>
      </c>
      <c r="B6980" t="s">
        <v>13079</v>
      </c>
      <c r="C6980" t="s">
        <v>255</v>
      </c>
      <c r="D6980">
        <v>1.319</v>
      </c>
      <c r="E6980">
        <v>422</v>
      </c>
      <c r="F6980" t="str">
        <f>HYPERLINK("https://www.google.com/maps/search/?api=1&amp;query=25.25833047,44.63241593", "View Map")</f>
        <v>View Map</v>
      </c>
      <c r="G6980" s="2">
        <v>0.69466545534695645</v>
      </c>
    </row>
    <row r="6981" spans="1:7" x14ac:dyDescent="0.3">
      <c r="A6981" t="s">
        <v>13080</v>
      </c>
      <c r="B6981" t="s">
        <v>13081</v>
      </c>
      <c r="C6981" t="s">
        <v>8</v>
      </c>
      <c r="D6981">
        <v>1.304</v>
      </c>
      <c r="E6981">
        <v>417</v>
      </c>
      <c r="F6981" t="str">
        <f>HYPERLINK("https://www.google.com/maps/search/?api=1&amp;query=24.60546268,46.71727898", "View Map")</f>
        <v>View Map</v>
      </c>
    </row>
    <row r="6982" spans="1:7" x14ac:dyDescent="0.3">
      <c r="A6982" t="s">
        <v>13082</v>
      </c>
      <c r="B6982" t="s">
        <v>13083</v>
      </c>
      <c r="C6982" t="s">
        <v>286</v>
      </c>
      <c r="D6982">
        <v>1.2929999999999999</v>
      </c>
      <c r="E6982">
        <v>414</v>
      </c>
      <c r="F6982" t="str">
        <f>HYPERLINK("https://www.google.com/maps/search/?api=1&amp;query=25.33101947,45.19765554", "View Map")</f>
        <v>View Map</v>
      </c>
    </row>
    <row r="6983" spans="1:7" x14ac:dyDescent="0.3">
      <c r="A6983" t="s">
        <v>13084</v>
      </c>
      <c r="B6983" t="s">
        <v>13085</v>
      </c>
      <c r="C6983" t="s">
        <v>8</v>
      </c>
      <c r="D6983">
        <v>1.288</v>
      </c>
      <c r="E6983">
        <v>412</v>
      </c>
      <c r="F6983" t="str">
        <f>HYPERLINK("https://www.google.com/maps/search/?api=1&amp;query=24.61978378,46.71874503", "View Map")</f>
        <v>View Map</v>
      </c>
    </row>
    <row r="6984" spans="1:7" x14ac:dyDescent="0.3">
      <c r="A6984" t="s">
        <v>11226</v>
      </c>
      <c r="B6984" t="s">
        <v>11227</v>
      </c>
      <c r="C6984" t="s">
        <v>77</v>
      </c>
      <c r="D6984">
        <v>1.282</v>
      </c>
      <c r="E6984">
        <v>410</v>
      </c>
      <c r="F6984" t="str">
        <f>HYPERLINK("https://www.google.com/maps/search/?api=1&amp;query=22.56578527,46.53145875", "View Map")</f>
        <v>View Map</v>
      </c>
      <c r="G6984" s="2">
        <v>0.4494154150542487</v>
      </c>
    </row>
    <row r="6985" spans="1:7" x14ac:dyDescent="0.3">
      <c r="A6985" t="s">
        <v>13086</v>
      </c>
      <c r="B6985" t="s">
        <v>13087</v>
      </c>
      <c r="C6985" t="s">
        <v>393</v>
      </c>
      <c r="D6985">
        <v>1.282</v>
      </c>
      <c r="E6985">
        <v>410</v>
      </c>
      <c r="F6985" t="str">
        <f>HYPERLINK("https://www.google.com/maps/search/?api=1&amp;query=22.84171554,44.95538889", "View Map")</f>
        <v>View Map</v>
      </c>
    </row>
    <row r="6986" spans="1:7" x14ac:dyDescent="0.3">
      <c r="A6986" t="s">
        <v>10542</v>
      </c>
      <c r="B6986" t="s">
        <v>10543</v>
      </c>
      <c r="C6986" t="s">
        <v>255</v>
      </c>
      <c r="D6986">
        <v>1.2809999999999999</v>
      </c>
      <c r="E6986">
        <v>410</v>
      </c>
      <c r="F6986" t="str">
        <f>HYPERLINK("https://www.google.com/maps/search/?api=1&amp;query=25.02958379,44.72767675", "View Map")</f>
        <v>View Map</v>
      </c>
      <c r="G6986" s="2">
        <v>0.41252207104358118</v>
      </c>
    </row>
    <row r="6987" spans="1:7" x14ac:dyDescent="0.3">
      <c r="A6987" t="s">
        <v>13088</v>
      </c>
      <c r="B6987" t="s">
        <v>13089</v>
      </c>
      <c r="C6987" t="s">
        <v>8</v>
      </c>
      <c r="D6987">
        <v>1.2729999999999999</v>
      </c>
      <c r="E6987">
        <v>407</v>
      </c>
      <c r="F6987" t="str">
        <f>HYPERLINK("https://www.google.com/maps/search/?api=1&amp;query=24.57055704,46.68443487", "View Map")</f>
        <v>View Map</v>
      </c>
    </row>
    <row r="6988" spans="1:7" x14ac:dyDescent="0.3">
      <c r="A6988" t="s">
        <v>13090</v>
      </c>
      <c r="B6988" t="s">
        <v>13091</v>
      </c>
      <c r="C6988" t="s">
        <v>270</v>
      </c>
      <c r="D6988">
        <v>1.2669999999999999</v>
      </c>
      <c r="E6988">
        <v>405</v>
      </c>
      <c r="F6988" t="str">
        <f>HYPERLINK("https://www.google.com/maps/search/?api=1&amp;query=23.982911,47.12379708", "View Map")</f>
        <v>View Map</v>
      </c>
    </row>
    <row r="6989" spans="1:7" x14ac:dyDescent="0.3">
      <c r="A6989" t="s">
        <v>13092</v>
      </c>
      <c r="B6989" t="s">
        <v>13093</v>
      </c>
      <c r="C6989" t="s">
        <v>8</v>
      </c>
      <c r="D6989">
        <v>1.26</v>
      </c>
      <c r="E6989">
        <v>403</v>
      </c>
      <c r="F6989" t="str">
        <f>HYPERLINK("https://www.google.com/maps/search/?api=1&amp;query=24.61552976,46.70425516", "View Map")</f>
        <v>View Map</v>
      </c>
      <c r="G6989" s="2">
        <v>0.56360048531706786</v>
      </c>
    </row>
    <row r="6990" spans="1:7" x14ac:dyDescent="0.3">
      <c r="A6990" t="s">
        <v>11218</v>
      </c>
      <c r="B6990" t="s">
        <v>11219</v>
      </c>
      <c r="C6990" t="s">
        <v>8</v>
      </c>
      <c r="D6990">
        <v>1.2549999999999999</v>
      </c>
      <c r="E6990">
        <v>402</v>
      </c>
      <c r="F6990" t="str">
        <f>HYPERLINK("https://www.google.com/maps/search/?api=1&amp;query=24.81008175,46.60339533", "View Map")</f>
        <v>View Map</v>
      </c>
    </row>
    <row r="6991" spans="1:7" x14ac:dyDescent="0.3">
      <c r="A6991" t="s">
        <v>11266</v>
      </c>
      <c r="B6991" t="s">
        <v>11267</v>
      </c>
      <c r="C6991" t="s">
        <v>8</v>
      </c>
      <c r="D6991">
        <v>1.2490000000000001</v>
      </c>
      <c r="E6991">
        <v>400</v>
      </c>
      <c r="F6991" t="str">
        <f>HYPERLINK("https://www.google.com/maps/search/?api=1&amp;query=24.44098936,46.97822832", "View Map")</f>
        <v>View Map</v>
      </c>
    </row>
    <row r="6992" spans="1:7" x14ac:dyDescent="0.3">
      <c r="A6992" t="s">
        <v>10613</v>
      </c>
      <c r="B6992" t="s">
        <v>10614</v>
      </c>
      <c r="C6992" t="s">
        <v>646</v>
      </c>
      <c r="D6992">
        <v>1.242</v>
      </c>
      <c r="E6992">
        <v>397</v>
      </c>
      <c r="F6992" t="str">
        <f>HYPERLINK("https://www.google.com/maps/search/?api=1&amp;query=20.40826705,45.43541265", "View Map")</f>
        <v>View Map</v>
      </c>
      <c r="G6992" s="2">
        <v>0.45145372252217469</v>
      </c>
    </row>
    <row r="6993" spans="1:7" x14ac:dyDescent="0.3">
      <c r="A6993" t="s">
        <v>11286</v>
      </c>
      <c r="B6993" t="s">
        <v>11287</v>
      </c>
      <c r="C6993" t="s">
        <v>291</v>
      </c>
      <c r="D6993">
        <v>1.242</v>
      </c>
      <c r="E6993">
        <v>397</v>
      </c>
      <c r="F6993" t="str">
        <f>HYPERLINK("https://www.google.com/maps/search/?api=1&amp;query=24.40055501,45.32537801", "View Map")</f>
        <v>View Map</v>
      </c>
      <c r="G6993" s="2">
        <v>0.95031204054866913</v>
      </c>
    </row>
    <row r="6994" spans="1:7" x14ac:dyDescent="0.3">
      <c r="A6994" t="s">
        <v>13094</v>
      </c>
      <c r="B6994" t="s">
        <v>13095</v>
      </c>
      <c r="C6994" t="s">
        <v>255</v>
      </c>
      <c r="D6994">
        <v>1.232</v>
      </c>
      <c r="E6994">
        <v>394</v>
      </c>
      <c r="F6994" t="str">
        <f>HYPERLINK("https://www.google.com/maps/search/?api=1&amp;query=24.2926481,43.75233461", "View Map")</f>
        <v>View Map</v>
      </c>
    </row>
    <row r="6995" spans="1:7" x14ac:dyDescent="0.3">
      <c r="A6995" t="s">
        <v>13096</v>
      </c>
      <c r="B6995" t="s">
        <v>13097</v>
      </c>
      <c r="C6995" t="s">
        <v>8</v>
      </c>
      <c r="D6995">
        <v>1.2250000000000001</v>
      </c>
      <c r="E6995">
        <v>392</v>
      </c>
      <c r="F6995" t="str">
        <f>HYPERLINK("https://www.google.com/maps/search/?api=1&amp;query=24.61796026,46.67789645", "View Map")</f>
        <v>View Map</v>
      </c>
    </row>
    <row r="6996" spans="1:7" x14ac:dyDescent="0.3">
      <c r="A6996" t="s">
        <v>73</v>
      </c>
      <c r="B6996" t="s">
        <v>13098</v>
      </c>
      <c r="C6996" t="s">
        <v>8</v>
      </c>
      <c r="D6996">
        <v>1.21</v>
      </c>
      <c r="E6996">
        <v>387</v>
      </c>
      <c r="F6996" t="str">
        <f>HYPERLINK("https://www.google.com/maps/search/?api=1&amp;query=24.63081379,46.53521542", "View Map")</f>
        <v>View Map</v>
      </c>
    </row>
    <row r="6997" spans="1:7" x14ac:dyDescent="0.3">
      <c r="A6997" t="s">
        <v>11216</v>
      </c>
      <c r="B6997" t="s">
        <v>11217</v>
      </c>
      <c r="C6997" t="s">
        <v>241</v>
      </c>
      <c r="D6997">
        <v>1.2010000000000001</v>
      </c>
      <c r="E6997">
        <v>384</v>
      </c>
      <c r="F6997" t="str">
        <f>HYPERLINK("https://www.google.com/maps/search/?api=1&amp;query=21.42692287,43.95059678", "View Map")</f>
        <v>View Map</v>
      </c>
      <c r="G6997" s="2">
        <v>0.49681286653424139</v>
      </c>
    </row>
    <row r="6998" spans="1:7" x14ac:dyDescent="0.3">
      <c r="A6998" t="s">
        <v>13099</v>
      </c>
      <c r="B6998" t="s">
        <v>13100</v>
      </c>
      <c r="C6998" t="s">
        <v>255</v>
      </c>
      <c r="D6998">
        <v>1.1910000000000001</v>
      </c>
      <c r="E6998">
        <v>381</v>
      </c>
      <c r="F6998" t="str">
        <f>HYPERLINK("https://www.google.com/maps/search/?api=1&amp;query=24.96536029,43.66782851", "View Map")</f>
        <v>View Map</v>
      </c>
    </row>
    <row r="6999" spans="1:7" x14ac:dyDescent="0.3">
      <c r="A6999" t="s">
        <v>13101</v>
      </c>
      <c r="B6999" t="s">
        <v>13102</v>
      </c>
      <c r="C6999" t="s">
        <v>8</v>
      </c>
      <c r="D6999">
        <v>1.19</v>
      </c>
      <c r="E6999">
        <v>381</v>
      </c>
      <c r="F6999" t="str">
        <f>HYPERLINK("https://www.google.com/maps/search/?api=1&amp;query=24.55259833,46.50992826", "View Map")</f>
        <v>View Map</v>
      </c>
      <c r="G6999" s="2">
        <v>0.77399123803809089</v>
      </c>
    </row>
    <row r="7000" spans="1:7" x14ac:dyDescent="0.3">
      <c r="A7000" t="s">
        <v>11241</v>
      </c>
      <c r="B7000" t="s">
        <v>11242</v>
      </c>
      <c r="C7000" t="s">
        <v>55</v>
      </c>
      <c r="D7000">
        <v>1.1870000000000001</v>
      </c>
      <c r="E7000">
        <v>380</v>
      </c>
      <c r="F7000" t="str">
        <f>HYPERLINK("https://www.google.com/maps/search/?api=1&amp;query=24.8987084,46.36596146", "View Map")</f>
        <v>View Map</v>
      </c>
      <c r="G7000" s="2">
        <v>0.5133435127002226</v>
      </c>
    </row>
    <row r="7001" spans="1:7" x14ac:dyDescent="0.3">
      <c r="A7001" t="s">
        <v>13103</v>
      </c>
      <c r="B7001" t="s">
        <v>13104</v>
      </c>
      <c r="C7001" t="s">
        <v>255</v>
      </c>
      <c r="D7001">
        <v>1.155</v>
      </c>
      <c r="E7001">
        <v>370</v>
      </c>
      <c r="F7001" t="str">
        <f>HYPERLINK("https://www.google.com/maps/search/?api=1&amp;query=25.1067918,44.68595378", "View Map")</f>
        <v>View Map</v>
      </c>
    </row>
    <row r="7002" spans="1:7" x14ac:dyDescent="0.3">
      <c r="A7002" t="s">
        <v>10934</v>
      </c>
      <c r="B7002" t="s">
        <v>10935</v>
      </c>
      <c r="C7002" t="s">
        <v>8</v>
      </c>
      <c r="D7002">
        <v>1.1519999999999999</v>
      </c>
      <c r="E7002">
        <v>369</v>
      </c>
      <c r="F7002" t="str">
        <f>HYPERLINK("https://www.google.com/maps/search/?api=1&amp;query=24.56874929,46.77004487", "View Map")</f>
        <v>View Map</v>
      </c>
    </row>
    <row r="7003" spans="1:7" x14ac:dyDescent="0.3">
      <c r="A7003" t="s">
        <v>13105</v>
      </c>
      <c r="B7003" t="s">
        <v>13106</v>
      </c>
      <c r="C7003" t="s">
        <v>291</v>
      </c>
      <c r="D7003">
        <v>1.1299999999999999</v>
      </c>
      <c r="E7003">
        <v>362</v>
      </c>
      <c r="F7003" t="str">
        <f>HYPERLINK("https://www.google.com/maps/search/?api=1&amp;query=23.68399954,44.89275999", "View Map")</f>
        <v>View Map</v>
      </c>
    </row>
    <row r="7004" spans="1:7" x14ac:dyDescent="0.3">
      <c r="A7004" t="s">
        <v>13107</v>
      </c>
      <c r="B7004" t="s">
        <v>13108</v>
      </c>
      <c r="C7004" t="s">
        <v>296</v>
      </c>
      <c r="D7004">
        <v>1.127</v>
      </c>
      <c r="E7004">
        <v>361</v>
      </c>
      <c r="F7004" t="str">
        <f>HYPERLINK("https://www.google.com/maps/search/?api=1&amp;query=24.02578044,46.29521418", "View Map")</f>
        <v>View Map</v>
      </c>
      <c r="G7004" s="2">
        <v>0.82855845008610085</v>
      </c>
    </row>
    <row r="7005" spans="1:7" x14ac:dyDescent="0.3">
      <c r="A7005" t="s">
        <v>11259</v>
      </c>
      <c r="B7005" t="s">
        <v>11260</v>
      </c>
      <c r="C7005" t="s">
        <v>8</v>
      </c>
      <c r="D7005">
        <v>1.1259999999999999</v>
      </c>
      <c r="E7005">
        <v>360</v>
      </c>
      <c r="F7005" t="str">
        <f>HYPERLINK("https://www.google.com/maps/search/?api=1&amp;query=24.5740782,46.77259381", "View Map")</f>
        <v>View Map</v>
      </c>
    </row>
    <row r="7006" spans="1:7" x14ac:dyDescent="0.3">
      <c r="A7006" t="s">
        <v>411</v>
      </c>
      <c r="B7006" t="s">
        <v>13109</v>
      </c>
      <c r="C7006" t="s">
        <v>77</v>
      </c>
      <c r="D7006">
        <v>1.1080000000000001</v>
      </c>
      <c r="E7006">
        <v>354</v>
      </c>
      <c r="F7006" t="str">
        <f>HYPERLINK("https://www.google.com/maps/search/?api=1&amp;query=21.9954244,46.56305537", "View Map")</f>
        <v>View Map</v>
      </c>
      <c r="G7006" s="2">
        <v>0.70890966987088955</v>
      </c>
    </row>
    <row r="7007" spans="1:7" x14ac:dyDescent="0.3">
      <c r="A7007" t="s">
        <v>11276</v>
      </c>
      <c r="B7007" t="s">
        <v>11277</v>
      </c>
      <c r="C7007" t="s">
        <v>255</v>
      </c>
      <c r="D7007">
        <v>1.1020000000000001</v>
      </c>
      <c r="E7007">
        <v>353</v>
      </c>
      <c r="F7007" t="str">
        <f>HYPERLINK("https://www.google.com/maps/search/?api=1&amp;query=25.03029411,43.74884355", "View Map")</f>
        <v>View Map</v>
      </c>
      <c r="G7007" s="2">
        <v>0.78967704568987007</v>
      </c>
    </row>
    <row r="7008" spans="1:7" x14ac:dyDescent="0.3">
      <c r="A7008" t="s">
        <v>11257</v>
      </c>
      <c r="B7008" t="s">
        <v>11258</v>
      </c>
      <c r="C7008" t="s">
        <v>214</v>
      </c>
      <c r="D7008">
        <v>1.101</v>
      </c>
      <c r="E7008">
        <v>352</v>
      </c>
      <c r="F7008" t="str">
        <f>HYPERLINK("https://www.google.com/maps/search/?api=1&amp;query=25.71320261,45.86310017", "View Map")</f>
        <v>View Map</v>
      </c>
      <c r="G7008" s="2">
        <v>0.45893450509088479</v>
      </c>
    </row>
    <row r="7009" spans="1:7" x14ac:dyDescent="0.3">
      <c r="A7009" t="s">
        <v>5575</v>
      </c>
      <c r="B7009" t="s">
        <v>5576</v>
      </c>
      <c r="C7009" t="s">
        <v>646</v>
      </c>
      <c r="D7009">
        <v>1.0900000000000001</v>
      </c>
      <c r="E7009">
        <v>349</v>
      </c>
      <c r="F7009" t="str">
        <f>HYPERLINK("https://www.google.com/maps/search/?api=1&amp;query=20.46439667,45.59393835", "View Map")</f>
        <v>View Map</v>
      </c>
      <c r="G7009" s="2">
        <v>0.15218149935949821</v>
      </c>
    </row>
    <row r="7010" spans="1:7" x14ac:dyDescent="0.3">
      <c r="A7010" t="s">
        <v>11290</v>
      </c>
      <c r="B7010" t="s">
        <v>11291</v>
      </c>
      <c r="C7010" t="s">
        <v>8</v>
      </c>
      <c r="D7010">
        <v>1.0649999999999999</v>
      </c>
      <c r="E7010">
        <v>341</v>
      </c>
      <c r="F7010" t="str">
        <f>HYPERLINK("https://www.google.com/maps/search/?api=1&amp;query=24.74945472,46.75192887", "View Map")</f>
        <v>View Map</v>
      </c>
    </row>
    <row r="7011" spans="1:7" x14ac:dyDescent="0.3">
      <c r="A7011" t="s">
        <v>1788</v>
      </c>
      <c r="B7011" t="s">
        <v>11302</v>
      </c>
      <c r="C7011" t="s">
        <v>393</v>
      </c>
      <c r="D7011">
        <v>1.054</v>
      </c>
      <c r="E7011">
        <v>337</v>
      </c>
      <c r="F7011" t="str">
        <f>HYPERLINK("https://www.google.com/maps/search/?api=1&amp;query=23.61835924,45.39282352", "View Map")</f>
        <v>View Map</v>
      </c>
      <c r="G7011" s="2">
        <v>0.89583579552882719</v>
      </c>
    </row>
    <row r="7012" spans="1:7" x14ac:dyDescent="0.3">
      <c r="A7012" t="s">
        <v>7071</v>
      </c>
      <c r="B7012" t="s">
        <v>7072</v>
      </c>
      <c r="C7012" t="s">
        <v>8</v>
      </c>
      <c r="D7012">
        <v>1.0469999999999999</v>
      </c>
      <c r="E7012">
        <v>335</v>
      </c>
      <c r="F7012" t="str">
        <f>HYPERLINK("https://www.google.com/maps/search/?api=1&amp;query=24.68156398,46.66570811", "View Map")</f>
        <v>View Map</v>
      </c>
      <c r="G7012" s="2">
        <v>0.1809993483062135</v>
      </c>
    </row>
    <row r="7013" spans="1:7" x14ac:dyDescent="0.3">
      <c r="A7013" t="s">
        <v>13110</v>
      </c>
      <c r="B7013" t="s">
        <v>13111</v>
      </c>
      <c r="C7013" t="s">
        <v>393</v>
      </c>
      <c r="D7013">
        <v>1.044</v>
      </c>
      <c r="E7013">
        <v>334</v>
      </c>
      <c r="F7013" t="str">
        <f>HYPERLINK("https://www.google.com/maps/search/?api=1&amp;query=22.89540887,44.86100291", "View Map")</f>
        <v>View Map</v>
      </c>
      <c r="G7013" s="2">
        <v>0.86395741719720387</v>
      </c>
    </row>
    <row r="7014" spans="1:7" x14ac:dyDescent="0.3">
      <c r="A7014" t="s">
        <v>13112</v>
      </c>
      <c r="B7014" t="s">
        <v>13113</v>
      </c>
      <c r="C7014" t="s">
        <v>270</v>
      </c>
      <c r="D7014">
        <v>1.0429999999999999</v>
      </c>
      <c r="E7014">
        <v>334</v>
      </c>
      <c r="F7014" t="str">
        <f>HYPERLINK("https://www.google.com/maps/search/?api=1&amp;query=23.99017149,47.12274875", "View Map")</f>
        <v>View Map</v>
      </c>
    </row>
    <row r="7015" spans="1:7" x14ac:dyDescent="0.3">
      <c r="A7015" t="s">
        <v>10147</v>
      </c>
      <c r="B7015" t="s">
        <v>10148</v>
      </c>
      <c r="C7015" t="s">
        <v>291</v>
      </c>
      <c r="D7015">
        <v>1.038</v>
      </c>
      <c r="E7015">
        <v>332</v>
      </c>
      <c r="F7015" t="str">
        <f>HYPERLINK("https://www.google.com/maps/search/?api=1&amp;query=24.27436093,45.87334135", "View Map")</f>
        <v>View Map</v>
      </c>
      <c r="G7015" s="2">
        <v>0.4835185577682225</v>
      </c>
    </row>
    <row r="7016" spans="1:7" x14ac:dyDescent="0.3">
      <c r="A7016" t="s">
        <v>362</v>
      </c>
      <c r="B7016" t="s">
        <v>11275</v>
      </c>
      <c r="C7016" t="s">
        <v>364</v>
      </c>
      <c r="D7016">
        <v>1.036</v>
      </c>
      <c r="E7016">
        <v>331</v>
      </c>
      <c r="F7016" t="str">
        <f>HYPERLINK("https://www.google.com/maps/search/?api=1&amp;query=25.29057632,45.7976909", "View Map")</f>
        <v>View Map</v>
      </c>
      <c r="G7016" s="2">
        <v>0.74368870390696395</v>
      </c>
    </row>
    <row r="7017" spans="1:7" x14ac:dyDescent="0.3">
      <c r="A7017" t="s">
        <v>11273</v>
      </c>
      <c r="B7017" t="s">
        <v>11274</v>
      </c>
      <c r="C7017" t="s">
        <v>8</v>
      </c>
      <c r="D7017">
        <v>0.99199999999999999</v>
      </c>
      <c r="E7017">
        <v>317</v>
      </c>
      <c r="F7017" t="str">
        <f>HYPERLINK("https://www.google.com/maps/search/?api=1&amp;query=24.4981774,46.62160574", "View Map")</f>
        <v>View Map</v>
      </c>
    </row>
    <row r="7018" spans="1:7" x14ac:dyDescent="0.3">
      <c r="A7018" t="s">
        <v>11282</v>
      </c>
      <c r="B7018" t="s">
        <v>11283</v>
      </c>
      <c r="C7018" t="s">
        <v>255</v>
      </c>
      <c r="D7018">
        <v>0.97799999999999998</v>
      </c>
      <c r="E7018">
        <v>313</v>
      </c>
      <c r="F7018" t="str">
        <f>HYPERLINK("https://www.google.com/maps/search/?api=1&amp;query=24.66443002,43.6415956", "View Map")</f>
        <v>View Map</v>
      </c>
      <c r="G7018" s="2">
        <v>0.85873511067004915</v>
      </c>
    </row>
    <row r="7019" spans="1:7" x14ac:dyDescent="0.3">
      <c r="A7019" t="s">
        <v>4155</v>
      </c>
      <c r="B7019" t="s">
        <v>11292</v>
      </c>
      <c r="C7019" t="s">
        <v>8</v>
      </c>
      <c r="D7019">
        <v>0.96099999999999997</v>
      </c>
      <c r="E7019">
        <v>308</v>
      </c>
      <c r="F7019" t="str">
        <f>HYPERLINK("https://www.google.com/maps/search/?api=1&amp;query=24.5780302,46.5218564", "View Map")</f>
        <v>View Map</v>
      </c>
    </row>
    <row r="7020" spans="1:7" x14ac:dyDescent="0.3">
      <c r="A7020" t="s">
        <v>13114</v>
      </c>
      <c r="B7020" t="s">
        <v>13115</v>
      </c>
      <c r="C7020" t="s">
        <v>137</v>
      </c>
      <c r="D7020">
        <v>0.93400000000000005</v>
      </c>
      <c r="E7020">
        <v>299</v>
      </c>
      <c r="F7020" t="str">
        <f>HYPERLINK("https://www.google.com/maps/search/?api=1&amp;query=23.48048506,46.85548605", "View Map")</f>
        <v>View Map</v>
      </c>
      <c r="G7020" s="2">
        <v>0.57202929206261577</v>
      </c>
    </row>
    <row r="7021" spans="1:7" x14ac:dyDescent="0.3">
      <c r="A7021" t="s">
        <v>13116</v>
      </c>
      <c r="B7021" t="s">
        <v>13117</v>
      </c>
      <c r="C7021" t="s">
        <v>8</v>
      </c>
      <c r="D7021">
        <v>0.93</v>
      </c>
      <c r="E7021">
        <v>297</v>
      </c>
      <c r="F7021" t="str">
        <f>HYPERLINK("https://www.google.com/maps/search/?api=1&amp;query=24.57855931,46.65430422", "View Map")</f>
        <v>View Map</v>
      </c>
    </row>
    <row r="7022" spans="1:7" x14ac:dyDescent="0.3">
      <c r="A7022" t="s">
        <v>46</v>
      </c>
      <c r="B7022" t="s">
        <v>13118</v>
      </c>
      <c r="C7022" t="s">
        <v>8</v>
      </c>
      <c r="D7022">
        <v>0.91</v>
      </c>
      <c r="E7022">
        <v>291</v>
      </c>
      <c r="F7022" t="str">
        <f>HYPERLINK("https://www.google.com/maps/search/?api=1&amp;query=24.79022868,46.59262798", "View Map")</f>
        <v>View Map</v>
      </c>
    </row>
    <row r="7023" spans="1:7" x14ac:dyDescent="0.3">
      <c r="A7023" t="s">
        <v>13119</v>
      </c>
      <c r="B7023" t="s">
        <v>13120</v>
      </c>
      <c r="C7023" t="s">
        <v>8</v>
      </c>
      <c r="D7023">
        <v>0.90100000000000002</v>
      </c>
      <c r="E7023">
        <v>288</v>
      </c>
      <c r="F7023" t="str">
        <f>HYPERLINK("https://www.google.com/maps/search/?api=1&amp;query=24.61242295,46.62941819", "View Map")</f>
        <v>View Map</v>
      </c>
    </row>
    <row r="7024" spans="1:7" x14ac:dyDescent="0.3">
      <c r="A7024" t="s">
        <v>13121</v>
      </c>
      <c r="B7024" t="s">
        <v>13122</v>
      </c>
      <c r="C7024" t="s">
        <v>291</v>
      </c>
      <c r="D7024">
        <v>0.89700000000000002</v>
      </c>
      <c r="E7024">
        <v>287</v>
      </c>
      <c r="F7024" t="str">
        <f>HYPERLINK("https://www.google.com/maps/search/?api=1&amp;query=23.85547516,45.4196688", "View Map")</f>
        <v>View Map</v>
      </c>
      <c r="G7024" s="2">
        <v>0.93302780166707744</v>
      </c>
    </row>
    <row r="7025" spans="1:7" x14ac:dyDescent="0.3">
      <c r="A7025" t="s">
        <v>11072</v>
      </c>
      <c r="B7025" t="s">
        <v>11073</v>
      </c>
      <c r="C7025" t="s">
        <v>646</v>
      </c>
      <c r="D7025">
        <v>0.84899999999999998</v>
      </c>
      <c r="E7025">
        <v>272</v>
      </c>
      <c r="F7025" t="str">
        <f>HYPERLINK("https://www.google.com/maps/search/?api=1&amp;query=20.46733334,45.57539495", "View Map")</f>
        <v>View Map</v>
      </c>
      <c r="G7025" s="2">
        <v>0.33419144913768611</v>
      </c>
    </row>
    <row r="7026" spans="1:7" x14ac:dyDescent="0.3">
      <c r="A7026" t="s">
        <v>11288</v>
      </c>
      <c r="B7026" t="s">
        <v>11289</v>
      </c>
      <c r="C7026" t="s">
        <v>8</v>
      </c>
      <c r="D7026">
        <v>0.84899999999999998</v>
      </c>
      <c r="E7026">
        <v>272</v>
      </c>
      <c r="F7026" t="str">
        <f>HYPERLINK("https://www.google.com/maps/search/?api=1&amp;query=24.43904749,46.97940649", "View Map")</f>
        <v>View Map</v>
      </c>
    </row>
    <row r="7027" spans="1:7" x14ac:dyDescent="0.3">
      <c r="A7027" t="s">
        <v>13123</v>
      </c>
      <c r="B7027" t="s">
        <v>13124</v>
      </c>
      <c r="C7027" t="s">
        <v>646</v>
      </c>
      <c r="D7027">
        <v>0.83199999999999996</v>
      </c>
      <c r="E7027">
        <v>266</v>
      </c>
      <c r="F7027" t="str">
        <f>HYPERLINK("https://www.google.com/maps/search/?api=1&amp;query=20.46174291,45.57880233", "View Map")</f>
        <v>View Map</v>
      </c>
    </row>
    <row r="7028" spans="1:7" x14ac:dyDescent="0.3">
      <c r="A7028" t="s">
        <v>11300</v>
      </c>
      <c r="B7028" t="s">
        <v>11301</v>
      </c>
      <c r="C7028" t="s">
        <v>214</v>
      </c>
      <c r="D7028">
        <v>0.80100000000000005</v>
      </c>
      <c r="E7028">
        <v>256</v>
      </c>
      <c r="F7028" t="str">
        <f>HYPERLINK("https://www.google.com/maps/search/?api=1&amp;query=26.87995,45.32123", "View Map")</f>
        <v>View Map</v>
      </c>
      <c r="G7028" s="2">
        <v>0.85316202708383715</v>
      </c>
    </row>
  </sheetData>
  <pageMargins left="0.75" right="0.75" top="1" bottom="1" header="0.5" footer="0.5"/>
  <headerFooter>
    <oddFooter>&amp;C_x000D_&amp;1#&amp;"Aptos"&amp;10&amp;K0000FF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selection activeCell="D4" sqref="D4"/>
    </sheetView>
  </sheetViews>
  <sheetFormatPr defaultRowHeight="14.4" x14ac:dyDescent="0.3"/>
  <cols>
    <col min="1" max="1" width="31.88671875" bestFit="1" customWidth="1"/>
    <col min="2" max="2" width="18.6640625" bestFit="1" customWidth="1"/>
    <col min="3" max="3" width="15.33203125" bestFit="1" customWidth="1"/>
    <col min="4" max="4" width="9.88671875" bestFit="1" customWidth="1"/>
    <col min="5" max="5" width="23.33203125" bestFit="1" customWidth="1"/>
    <col min="6" max="6" width="2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11303</v>
      </c>
    </row>
    <row r="2" spans="1:6" x14ac:dyDescent="0.3">
      <c r="A2" t="s">
        <v>14</v>
      </c>
      <c r="B2" t="s">
        <v>15</v>
      </c>
      <c r="C2" t="s">
        <v>16</v>
      </c>
      <c r="D2" t="str">
        <f>HYPERLINK("https://www.google.com/maps/search/?api=1&amp;query=23.89383282,42.89633611", "View Map")</f>
        <v>View Map</v>
      </c>
      <c r="E2" s="3">
        <v>48.743558793216465</v>
      </c>
      <c r="F2" s="3">
        <v>6.8411333450954417E-2</v>
      </c>
    </row>
    <row r="3" spans="1:6" x14ac:dyDescent="0.3">
      <c r="A3" t="s">
        <v>130</v>
      </c>
      <c r="B3" t="s">
        <v>131</v>
      </c>
      <c r="C3" t="s">
        <v>8</v>
      </c>
      <c r="D3" t="str">
        <f>HYPERLINK("https://www.google.com/maps/search/?api=1&amp;query=24.56028075,46.76468396", "View Map")</f>
        <v>View Map</v>
      </c>
      <c r="E3" s="3">
        <v>1.058377683465398</v>
      </c>
      <c r="F3" s="3">
        <v>0.70392418017561464</v>
      </c>
    </row>
    <row r="4" spans="1:6" x14ac:dyDescent="0.3">
      <c r="A4" t="s">
        <v>189</v>
      </c>
      <c r="B4" t="s">
        <v>190</v>
      </c>
      <c r="C4" t="s">
        <v>8</v>
      </c>
      <c r="D4" t="s">
        <v>9</v>
      </c>
      <c r="E4" s="3">
        <v>1.9735357987747428</v>
      </c>
      <c r="F4" s="3">
        <v>0.27462420849826452</v>
      </c>
    </row>
    <row r="5" spans="1:6" x14ac:dyDescent="0.3">
      <c r="A5" t="s">
        <v>289</v>
      </c>
      <c r="B5" t="s">
        <v>290</v>
      </c>
      <c r="C5" t="s">
        <v>291</v>
      </c>
      <c r="D5" t="s">
        <v>9</v>
      </c>
      <c r="E5" s="3">
        <v>0.84425746348617958</v>
      </c>
      <c r="F5" s="3">
        <v>1.0399344785614622</v>
      </c>
    </row>
    <row r="6" spans="1:6" x14ac:dyDescent="0.3">
      <c r="A6" t="s">
        <v>515</v>
      </c>
      <c r="B6" t="s">
        <v>516</v>
      </c>
      <c r="C6" t="s">
        <v>8</v>
      </c>
      <c r="D6" t="s">
        <v>9</v>
      </c>
      <c r="E6" s="3">
        <v>1.0067749297238919</v>
      </c>
      <c r="F6" s="3">
        <v>0.78562445940899395</v>
      </c>
    </row>
    <row r="7" spans="1:6" x14ac:dyDescent="0.3">
      <c r="A7" t="s">
        <v>791</v>
      </c>
      <c r="B7" t="s">
        <v>792</v>
      </c>
      <c r="C7" t="s">
        <v>8</v>
      </c>
      <c r="D7" t="s">
        <v>9</v>
      </c>
      <c r="E7" s="3">
        <v>1.3514492730636058</v>
      </c>
      <c r="F7" s="3">
        <v>0.57164425812266251</v>
      </c>
    </row>
    <row r="8" spans="1:6" x14ac:dyDescent="0.3">
      <c r="A8" t="s">
        <v>947</v>
      </c>
      <c r="B8" t="s">
        <v>948</v>
      </c>
      <c r="C8" t="s">
        <v>8</v>
      </c>
      <c r="D8" t="s">
        <v>9</v>
      </c>
      <c r="E8" s="3">
        <v>2.2046238141494792</v>
      </c>
      <c r="F8" s="3">
        <v>0.91320040747350828</v>
      </c>
    </row>
    <row r="9" spans="1:6" x14ac:dyDescent="0.3">
      <c r="A9" t="s">
        <v>1137</v>
      </c>
      <c r="B9" t="s">
        <v>1138</v>
      </c>
      <c r="C9" t="s">
        <v>8</v>
      </c>
      <c r="D9" t="s">
        <v>9</v>
      </c>
      <c r="E9" s="3">
        <v>1.3601472843183549</v>
      </c>
      <c r="F9" s="3">
        <v>0.16431030320112811</v>
      </c>
    </row>
    <row r="10" spans="1:6" x14ac:dyDescent="0.3">
      <c r="A10" t="s">
        <v>46</v>
      </c>
      <c r="B10" t="s">
        <v>1643</v>
      </c>
      <c r="C10" t="s">
        <v>820</v>
      </c>
      <c r="D10" t="s">
        <v>9</v>
      </c>
      <c r="E10" s="3">
        <v>1.6477817130306098</v>
      </c>
      <c r="F10" s="3">
        <v>1.6309629103004348</v>
      </c>
    </row>
    <row r="11" spans="1:6" x14ac:dyDescent="0.3">
      <c r="A11" t="s">
        <v>2681</v>
      </c>
      <c r="B11" t="s">
        <v>2682</v>
      </c>
      <c r="C11" t="s">
        <v>8</v>
      </c>
      <c r="D11" t="s">
        <v>9</v>
      </c>
      <c r="E11" s="3">
        <v>1.3977745701689459</v>
      </c>
      <c r="F11" s="3">
        <v>0.44623949166953059</v>
      </c>
    </row>
    <row r="12" spans="1:6" x14ac:dyDescent="0.3">
      <c r="A12" t="s">
        <v>2855</v>
      </c>
      <c r="B12" t="s">
        <v>2856</v>
      </c>
      <c r="C12" t="s">
        <v>8</v>
      </c>
      <c r="D12" t="s">
        <v>9</v>
      </c>
      <c r="E12" s="3">
        <v>1.1405781727638271</v>
      </c>
      <c r="F12" s="3">
        <v>0.92014721594236348</v>
      </c>
    </row>
    <row r="13" spans="1:6" x14ac:dyDescent="0.3">
      <c r="A13" t="s">
        <v>3827</v>
      </c>
      <c r="B13" t="s">
        <v>3828</v>
      </c>
      <c r="C13" t="s">
        <v>296</v>
      </c>
      <c r="D13" t="s">
        <v>9</v>
      </c>
      <c r="E13" s="3">
        <v>1.5406378196425259</v>
      </c>
      <c r="F13" s="3">
        <v>0.89588466730607608</v>
      </c>
    </row>
    <row r="14" spans="1:6" x14ac:dyDescent="0.3">
      <c r="A14" t="s">
        <v>289</v>
      </c>
      <c r="B14" t="s">
        <v>4326</v>
      </c>
      <c r="C14" t="s">
        <v>393</v>
      </c>
      <c r="D14" t="s">
        <v>9</v>
      </c>
      <c r="E14" s="3">
        <v>1.040375350048985</v>
      </c>
      <c r="F14" s="3">
        <v>1.003268163836661</v>
      </c>
    </row>
    <row r="15" spans="1:6" x14ac:dyDescent="0.3">
      <c r="A15" t="s">
        <v>4338</v>
      </c>
      <c r="B15" t="s">
        <v>4339</v>
      </c>
      <c r="C15" t="s">
        <v>291</v>
      </c>
      <c r="D15" t="s">
        <v>9</v>
      </c>
      <c r="E15" s="3">
        <v>1.1101579507058681</v>
      </c>
      <c r="F15" s="3">
        <v>0.51626932050339636</v>
      </c>
    </row>
    <row r="16" spans="1:6" x14ac:dyDescent="0.3">
      <c r="A16" t="s">
        <v>5107</v>
      </c>
      <c r="B16" t="s">
        <v>5108</v>
      </c>
      <c r="C16" t="s">
        <v>8</v>
      </c>
      <c r="D16" t="s">
        <v>9</v>
      </c>
      <c r="E16" s="3">
        <v>1.022155563729612</v>
      </c>
      <c r="F16" s="3">
        <v>0.62790620036872447</v>
      </c>
    </row>
    <row r="17" spans="1:6" x14ac:dyDescent="0.3">
      <c r="A17" t="s">
        <v>1219</v>
      </c>
      <c r="B17" t="s">
        <v>6043</v>
      </c>
      <c r="C17" t="s">
        <v>8</v>
      </c>
      <c r="D17" t="s">
        <v>9</v>
      </c>
      <c r="E17" s="3">
        <v>0.72575330157168072</v>
      </c>
      <c r="F17" s="3">
        <v>1.2997665668553549</v>
      </c>
    </row>
    <row r="18" spans="1:6" x14ac:dyDescent="0.3">
      <c r="A18" t="s">
        <v>1273</v>
      </c>
      <c r="B18" t="s">
        <v>6392</v>
      </c>
      <c r="C18" t="s">
        <v>241</v>
      </c>
      <c r="D18" t="s">
        <v>9</v>
      </c>
      <c r="E18" s="3">
        <v>0.72794162508407578</v>
      </c>
      <c r="F18" s="3">
        <v>1.070563001518025</v>
      </c>
    </row>
    <row r="19" spans="1:6" x14ac:dyDescent="0.3">
      <c r="A19" t="s">
        <v>7105</v>
      </c>
      <c r="B19" t="s">
        <v>7106</v>
      </c>
      <c r="C19" t="s">
        <v>8</v>
      </c>
      <c r="D19" t="s">
        <v>9</v>
      </c>
      <c r="E19" s="3">
        <v>0.80042257298956121</v>
      </c>
      <c r="F19" s="3">
        <v>1.023729654995081</v>
      </c>
    </row>
    <row r="20" spans="1:6" x14ac:dyDescent="0.3">
      <c r="A20" t="s">
        <v>7921</v>
      </c>
      <c r="B20" t="s">
        <v>7922</v>
      </c>
      <c r="C20" t="s">
        <v>291</v>
      </c>
      <c r="D20" t="s">
        <v>9</v>
      </c>
      <c r="E20" s="3">
        <v>0.4183293167717258</v>
      </c>
      <c r="F20" s="3">
        <v>1.087132580822542</v>
      </c>
    </row>
    <row r="21" spans="1:6" x14ac:dyDescent="0.3">
      <c r="A21" t="s">
        <v>405</v>
      </c>
      <c r="B21" t="s">
        <v>7976</v>
      </c>
      <c r="C21" t="s">
        <v>8</v>
      </c>
      <c r="D21" t="s">
        <v>9</v>
      </c>
      <c r="E21" s="3">
        <v>0.48369102051462376</v>
      </c>
      <c r="F21" s="3">
        <v>1.0005529441397771</v>
      </c>
    </row>
    <row r="22" spans="1:6" x14ac:dyDescent="0.3">
      <c r="A22" t="s">
        <v>8263</v>
      </c>
      <c r="B22" t="s">
        <v>8264</v>
      </c>
      <c r="C22" t="s">
        <v>393</v>
      </c>
      <c r="D22" t="s">
        <v>9</v>
      </c>
      <c r="E22" s="3">
        <v>0.91496556073983559</v>
      </c>
      <c r="F22" s="3">
        <v>1.0219670275225821</v>
      </c>
    </row>
    <row r="23" spans="1:6" x14ac:dyDescent="0.3">
      <c r="A23" t="s">
        <v>146</v>
      </c>
      <c r="B23" t="s">
        <v>8620</v>
      </c>
      <c r="C23" t="s">
        <v>8</v>
      </c>
      <c r="D23" t="s">
        <v>9</v>
      </c>
      <c r="E23" s="3">
        <v>0.76526696136305805</v>
      </c>
      <c r="F23" s="3">
        <v>1.090656600303326</v>
      </c>
    </row>
    <row r="24" spans="1:6" x14ac:dyDescent="0.3">
      <c r="A24" t="s">
        <v>305</v>
      </c>
      <c r="B24" t="s">
        <v>8749</v>
      </c>
      <c r="C24" t="s">
        <v>8</v>
      </c>
      <c r="D24" t="s">
        <v>9</v>
      </c>
      <c r="E24" s="3">
        <v>1.0925934296430411</v>
      </c>
      <c r="F24" s="3">
        <v>0.47375199864706974</v>
      </c>
    </row>
    <row r="25" spans="1:6" x14ac:dyDescent="0.3">
      <c r="A25" t="s">
        <v>717</v>
      </c>
      <c r="B25" t="s">
        <v>9315</v>
      </c>
      <c r="C25" t="s">
        <v>16</v>
      </c>
      <c r="D25" t="s">
        <v>9</v>
      </c>
      <c r="E25" s="3">
        <v>2.7314132029339864</v>
      </c>
      <c r="F25" s="3">
        <v>0.45092348350189504</v>
      </c>
    </row>
    <row r="26" spans="1:6" x14ac:dyDescent="0.3">
      <c r="A26" t="s">
        <v>1273</v>
      </c>
      <c r="B26" t="s">
        <v>9376</v>
      </c>
      <c r="C26" t="s">
        <v>241</v>
      </c>
      <c r="D26" t="s">
        <v>9</v>
      </c>
      <c r="E26" s="3">
        <v>0.67778554230354571</v>
      </c>
      <c r="F26" s="3">
        <v>1.069738339434452</v>
      </c>
    </row>
    <row r="27" spans="1:6" x14ac:dyDescent="0.3">
      <c r="A27" t="s">
        <v>860</v>
      </c>
      <c r="B27" t="s">
        <v>10036</v>
      </c>
      <c r="C27" t="s">
        <v>8</v>
      </c>
      <c r="D27" t="s">
        <v>9</v>
      </c>
      <c r="E27" s="3">
        <v>1.0071723783916209</v>
      </c>
      <c r="F27" s="3">
        <v>0.95705745068888748</v>
      </c>
    </row>
    <row r="28" spans="1:6" x14ac:dyDescent="0.3">
      <c r="A28" t="s">
        <v>10230</v>
      </c>
      <c r="B28" t="s">
        <v>10231</v>
      </c>
      <c r="C28" t="s">
        <v>214</v>
      </c>
      <c r="D28" t="s">
        <v>9</v>
      </c>
      <c r="E28" s="3">
        <v>0.59341570476979844</v>
      </c>
      <c r="F28" s="3">
        <v>1.052186053181277</v>
      </c>
    </row>
    <row r="29" spans="1:6" x14ac:dyDescent="0.3">
      <c r="A29" t="s">
        <v>10336</v>
      </c>
      <c r="B29" t="s">
        <v>10337</v>
      </c>
      <c r="C29" t="s">
        <v>4447</v>
      </c>
      <c r="D29" t="s">
        <v>9</v>
      </c>
      <c r="E29" s="3">
        <v>0.51904555715099865</v>
      </c>
      <c r="F29" s="3">
        <v>1.035875324930448</v>
      </c>
    </row>
    <row r="30" spans="1:6" x14ac:dyDescent="0.3">
      <c r="A30" t="s">
        <v>10430</v>
      </c>
      <c r="B30" t="s">
        <v>10431</v>
      </c>
      <c r="C30" t="s">
        <v>291</v>
      </c>
      <c r="D30" t="s">
        <v>9</v>
      </c>
      <c r="E30" s="3">
        <v>1.1541767069422</v>
      </c>
      <c r="F30" s="3">
        <v>0.91531133068938164</v>
      </c>
    </row>
    <row r="31" spans="1:6" x14ac:dyDescent="0.3">
      <c r="A31" t="s">
        <v>881</v>
      </c>
      <c r="B31" t="s">
        <v>10730</v>
      </c>
      <c r="C31" t="s">
        <v>883</v>
      </c>
      <c r="D31" t="s">
        <v>9</v>
      </c>
      <c r="E31" s="3">
        <v>0.26672997941935622</v>
      </c>
      <c r="F31" s="3">
        <v>1.137959077547372</v>
      </c>
    </row>
    <row r="32" spans="1:6" x14ac:dyDescent="0.3">
      <c r="A32" t="s">
        <v>3849</v>
      </c>
      <c r="B32" t="s">
        <v>11069</v>
      </c>
      <c r="C32" t="s">
        <v>8</v>
      </c>
      <c r="D32" t="s">
        <v>9</v>
      </c>
      <c r="E32" s="3">
        <v>0.78833519228007287</v>
      </c>
      <c r="F32" s="3">
        <v>1.306898128931109</v>
      </c>
    </row>
    <row r="33" spans="1:6" x14ac:dyDescent="0.3">
      <c r="A33" t="s">
        <v>11249</v>
      </c>
      <c r="B33" t="s">
        <v>11250</v>
      </c>
      <c r="C33" t="s">
        <v>291</v>
      </c>
      <c r="D33" t="s">
        <v>9</v>
      </c>
      <c r="E33" s="3">
        <v>0.77637665179309712</v>
      </c>
      <c r="F33" s="3">
        <v>1.0868386387872429</v>
      </c>
    </row>
    <row r="34" spans="1:6" x14ac:dyDescent="0.3">
      <c r="A34" t="s">
        <v>510</v>
      </c>
      <c r="B34" t="s">
        <v>11319</v>
      </c>
      <c r="C34" t="s">
        <v>393</v>
      </c>
      <c r="D34" t="s">
        <v>9</v>
      </c>
      <c r="E34" s="3">
        <v>6.031748814920343E-2</v>
      </c>
      <c r="F34" s="3">
        <v>1.046814026428954</v>
      </c>
    </row>
    <row r="35" spans="1:6" x14ac:dyDescent="0.3">
      <c r="A35" t="s">
        <v>11331</v>
      </c>
      <c r="B35" t="s">
        <v>11332</v>
      </c>
      <c r="C35" t="s">
        <v>364</v>
      </c>
      <c r="D35" t="s">
        <v>9</v>
      </c>
      <c r="E35" s="3">
        <v>0.20608727033014301</v>
      </c>
      <c r="F35" s="3">
        <v>1.0140030387287069</v>
      </c>
    </row>
    <row r="36" spans="1:6" x14ac:dyDescent="0.3">
      <c r="A36" t="s">
        <v>11373</v>
      </c>
      <c r="B36" t="s">
        <v>11374</v>
      </c>
      <c r="C36" t="s">
        <v>16</v>
      </c>
      <c r="D36" t="s">
        <v>9</v>
      </c>
      <c r="E36" s="3">
        <v>0.42730577756396831</v>
      </c>
      <c r="F36" s="3">
        <v>1.1223966771986029</v>
      </c>
    </row>
    <row r="37" spans="1:6" x14ac:dyDescent="0.3">
      <c r="A37" t="s">
        <v>11441</v>
      </c>
      <c r="B37" t="s">
        <v>11442</v>
      </c>
      <c r="C37" t="s">
        <v>4447</v>
      </c>
      <c r="D37" t="s">
        <v>9</v>
      </c>
      <c r="E37" s="3">
        <v>0.55160450665754934</v>
      </c>
      <c r="F37" s="3">
        <v>1.115039267350437</v>
      </c>
    </row>
    <row r="38" spans="1:6" x14ac:dyDescent="0.3">
      <c r="A38" t="s">
        <v>11508</v>
      </c>
      <c r="B38" t="s">
        <v>11509</v>
      </c>
      <c r="C38" t="s">
        <v>8</v>
      </c>
      <c r="D38" t="s">
        <v>9</v>
      </c>
      <c r="E38" s="3">
        <v>0.4895575687161362</v>
      </c>
      <c r="F38" s="3">
        <v>1.0659351435550679</v>
      </c>
    </row>
    <row r="39" spans="1:6" x14ac:dyDescent="0.3">
      <c r="A39" t="s">
        <v>11545</v>
      </c>
      <c r="B39" t="s">
        <v>11546</v>
      </c>
      <c r="C39" t="s">
        <v>393</v>
      </c>
      <c r="D39" t="s">
        <v>9</v>
      </c>
      <c r="E39" s="3">
        <v>0.48013809334171159</v>
      </c>
      <c r="F39" s="3">
        <v>1.230667754529772</v>
      </c>
    </row>
    <row r="40" spans="1:6" x14ac:dyDescent="0.3">
      <c r="A40" t="s">
        <v>11585</v>
      </c>
      <c r="B40" t="s">
        <v>11586</v>
      </c>
      <c r="C40" t="s">
        <v>291</v>
      </c>
      <c r="D40" t="s">
        <v>9</v>
      </c>
      <c r="E40" s="3">
        <v>0.59447941365974133</v>
      </c>
      <c r="F40" s="3">
        <v>1.0202521181946151</v>
      </c>
    </row>
    <row r="41" spans="1:6" x14ac:dyDescent="0.3">
      <c r="A41" t="s">
        <v>1273</v>
      </c>
      <c r="B41" t="s">
        <v>11691</v>
      </c>
      <c r="C41" t="s">
        <v>241</v>
      </c>
      <c r="D41" t="s">
        <v>9</v>
      </c>
      <c r="E41" s="3">
        <v>0.40102127170194035</v>
      </c>
      <c r="F41" s="3">
        <v>1.0170981288615359</v>
      </c>
    </row>
    <row r="42" spans="1:6" x14ac:dyDescent="0.3">
      <c r="A42" t="s">
        <v>3595</v>
      </c>
      <c r="B42" t="s">
        <v>11901</v>
      </c>
      <c r="C42" t="s">
        <v>241</v>
      </c>
      <c r="D42" t="s">
        <v>9</v>
      </c>
      <c r="E42" s="3">
        <v>0.6080268354717111</v>
      </c>
      <c r="F42" s="3">
        <v>1.1146997689948639</v>
      </c>
    </row>
    <row r="43" spans="1:6" x14ac:dyDescent="0.3">
      <c r="A43" t="s">
        <v>289</v>
      </c>
      <c r="B43" t="s">
        <v>12054</v>
      </c>
      <c r="C43" t="s">
        <v>291</v>
      </c>
      <c r="D43" t="s">
        <v>9</v>
      </c>
      <c r="E43" s="3">
        <v>0.2658318774368561</v>
      </c>
      <c r="F43" s="3">
        <v>1.0188955719826081</v>
      </c>
    </row>
    <row r="44" spans="1:6" x14ac:dyDescent="0.3">
      <c r="A44" t="s">
        <v>12694</v>
      </c>
      <c r="B44" t="s">
        <v>12695</v>
      </c>
      <c r="C44" t="s">
        <v>255</v>
      </c>
      <c r="D44" t="s">
        <v>9</v>
      </c>
      <c r="E44" s="3">
        <v>6.8614509630508358E-2</v>
      </c>
      <c r="F44" s="3">
        <v>1.053421281971674</v>
      </c>
    </row>
    <row r="45" spans="1:6" x14ac:dyDescent="0.3">
      <c r="A45" t="s">
        <v>12875</v>
      </c>
      <c r="B45" t="s">
        <v>12876</v>
      </c>
      <c r="C45" t="s">
        <v>291</v>
      </c>
      <c r="D45" t="s">
        <v>9</v>
      </c>
      <c r="E45" s="3">
        <v>0.38612954578794861</v>
      </c>
      <c r="F45" s="3">
        <v>1.3238896725421869</v>
      </c>
    </row>
  </sheetData>
  <pageMargins left="0.75" right="0.75" top="1" bottom="1" header="0.5" footer="0.5"/>
  <headerFooter>
    <oddFooter>&amp;C_x000D_&amp;1#&amp;"Aptos"&amp;10&amp;K0000FF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الفترة الصباحية</vt:lpstr>
      <vt:lpstr>الفترة المسائية</vt:lpstr>
      <vt:lpstr>تجاوز بنسبة اكبر من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Alosaimi, Nawaf K</cp:lastModifiedBy>
  <dcterms:created xsi:type="dcterms:W3CDTF">2025-11-29T11:06:49Z</dcterms:created>
  <dcterms:modified xsi:type="dcterms:W3CDTF">2025-12-04T08:31:13Z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2025-12-04T06:28:07Z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b7c685f4-6349-4200-82e3-ab4962d2b623</vt:lpwstr>
  </property>
  <property fmtid="{D5CDD505-2E9C-101B-9397-08002B2CF9AE}" pid="8" name="MSIP_Label_3c662555-8342-48a1-91df-60b8ada0890e_ContentBits">
    <vt:lpwstr>2</vt:lpwstr>
  </property>
  <property fmtid="{D5CDD505-2E9C-101B-9397-08002B2CF9AE}" pid="9" name="MSIP_Label_3c662555-8342-48a1-91df-60b8ada0890e_Tag">
    <vt:lpwstr>10, 3, 0, 1</vt:lpwstr>
  </property>
</Properties>
</file>